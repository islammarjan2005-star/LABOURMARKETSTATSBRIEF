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omments/comment3.xml" ContentType="application/vnd.openxmlformats-officedocument.spreadsheetml.comments+xml"/>
  <Override PartName="/xl/worksheets/sheet13.xml" ContentType="application/vnd.openxmlformats-officedocument.spreadsheetml.worksheet+xml"/>
  <Override PartName="/xl/drawings/drawing3.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comments/comment4.xml" ContentType="application/vnd.openxmlformats-officedocument.spreadsheetml.comments+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drawings/drawing4.xml" ContentType="application/vnd.openxmlformats-officedocument.drawing+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comments/comment5.xml" ContentType="application/vnd.openxmlformats-officedocument.spreadsheetml.comments+xml"/>
  <Override PartName="/xl/worksheets/sheet27.xml" ContentType="application/vnd.openxmlformats-officedocument.spreadsheetml.worksheet+xml"/>
  <Override PartName="/xl/comments/comment6.xml" ContentType="application/vnd.openxmlformats-officedocument.spreadsheetml.comments+xml"/>
  <Override PartName="/xl/worksheets/sheet28.xml" ContentType="application/vnd.openxmlformats-officedocument.spreadsheetml.worksheet+xml"/>
  <Override PartName="/xl/comments/comment7.xml" ContentType="application/vnd.openxmlformats-officedocument.spreadsheetml.comments+xml"/>
  <Override PartName="/xl/worksheets/sheet29.xml" ContentType="application/vnd.openxmlformats-officedocument.spreadsheetml.worksheet+xml"/>
  <Override PartName="/xl/worksheets/sheet30.xml" ContentType="application/vnd.openxmlformats-officedocument.spreadsheetml.worksheet+xml"/>
  <Override PartName="/xl/drawings/drawing5.xml" ContentType="application/vnd.openxmlformats-officedocument.drawing+xml"/>
  <Override PartName="/xl/worksheets/sheet31.xml" ContentType="application/vnd.openxmlformats-officedocument.spreadsheetml.worksheet+xml"/>
  <Override PartName="/xl/drawings/drawing6.xml" ContentType="application/vnd.openxmlformats-officedocument.drawing+xml"/>
  <Override PartName="/xl/worksheets/sheet32.xml" ContentType="application/vnd.openxmlformats-officedocument.spreadsheetml.worksheet+xml"/>
  <Override PartName="/xl/drawings/drawing7.xml" ContentType="application/vnd.openxmlformats-officedocument.drawing+xml"/>
  <Override PartName="/xl/worksheets/sheet33.xml" ContentType="application/vnd.openxmlformats-officedocument.spreadsheetml.worksheet+xml"/>
  <Override PartName="/xl/drawings/drawing8.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620" firstSheet="1" activeTab="1" autoFilterDateGrouping="1"/>
  </bookViews>
  <sheets>
    <sheet name="How to update" sheetId="1" state="visible" r:id="rId1"/>
    <sheet name="Data links" sheetId="2" state="visible" r:id="rId2"/>
    <sheet name="Dashboard" sheetId="3" state="visible" r:id="rId3"/>
    <sheet name="1. Payrolled employees (UK)" sheetId="4" state="visible" r:id="rId4"/>
    <sheet name="23. Employees Industry" sheetId="5" state="visible" r:id="rId5"/>
    <sheet name="2" sheetId="6" state="visible" r:id="rId6"/>
    <sheet name="5" sheetId="7" state="visible" r:id="rId7"/>
    <sheet name="10" sheetId="8" state="visible" r:id="rId8"/>
    <sheet name="11" sheetId="9" state="visible" r:id="rId9"/>
    <sheet name="13" sheetId="10" state="visible" r:id="rId10"/>
    <sheet name="15" sheetId="11" state="visible" r:id="rId11"/>
    <sheet name="18" sheetId="12" state="visible" r:id="rId12"/>
    <sheet name="20" sheetId="13" state="visible" r:id="rId13"/>
    <sheet name="21" sheetId="14" state="visible" r:id="rId14"/>
    <sheet name="1 UK" sheetId="15" state="visible" r:id="rId15"/>
    <sheet name="AWE Real_CPI" sheetId="16" state="visible" r:id="rId16"/>
    <sheet name="Redundancies &gt;&gt;&gt;" sheetId="17" state="visible" r:id="rId17"/>
    <sheet name="1a" sheetId="18" state="visible" r:id="rId18"/>
    <sheet name="1b" sheetId="19" state="visible" r:id="rId19"/>
    <sheet name="2a" sheetId="20" state="visible" r:id="rId20"/>
    <sheet name="2b" sheetId="21" state="visible" r:id="rId21"/>
    <sheet name="Labour market flows &gt;&gt;&gt;" sheetId="22" state="visible" r:id="rId22"/>
    <sheet name="Labour market flows SA" sheetId="23" state="visible" r:id="rId23"/>
    <sheet name="International Comparisons &gt;&gt;&gt;" sheetId="24" state="visible" r:id="rId24"/>
    <sheet name="Final Table" sheetId="25" state="visible" r:id="rId25"/>
    <sheet name="Unemployment" sheetId="26" state="visible" r:id="rId26"/>
    <sheet name="Employment" sheetId="27" state="visible" r:id="rId27"/>
    <sheet name="Inactivity" sheetId="28" state="visible" r:id="rId28"/>
    <sheet name="Charts &gt;&gt;&gt;" sheetId="29" state="visible" r:id="rId29"/>
    <sheet name="Real Wages Chart" sheetId="30" state="visible" r:id="rId30"/>
    <sheet name="Emp, Unemp &amp; Inac Chart" sheetId="31" state="visible" r:id="rId31"/>
    <sheet name="Vacancies Chart" sheetId="32" state="visible" r:id="rId32"/>
    <sheet name="Payrolled Employees Chart" sheetId="33" state="visible"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s>
  <definedNames>
    <definedName name="_______bot1">#REF!</definedName>
    <definedName name="_______bot3">#REF!</definedName>
    <definedName name="_______bot4">#REF!</definedName>
    <definedName name="_______bot5">#REF!</definedName>
    <definedName name="_______bot6">#REF!</definedName>
    <definedName name="_______top1">#REF!</definedName>
    <definedName name="_______top2">#REF!</definedName>
    <definedName name="_______top3">#REF!</definedName>
    <definedName name="_______top4">#REF!</definedName>
    <definedName name="_______top5">#REF!</definedName>
    <definedName name="_______top6">#REF!</definedName>
    <definedName name="______bot2">#REF!</definedName>
    <definedName name="_____bot1">#REF!</definedName>
    <definedName name="_____bot3">#REF!</definedName>
    <definedName name="_____bot4">#REF!</definedName>
    <definedName name="_____bot5">#REF!</definedName>
    <definedName name="_____bot6">#REF!</definedName>
    <definedName name="_____top1">#REF!</definedName>
    <definedName name="_____top2">#REF!</definedName>
    <definedName name="_____top3">#REF!</definedName>
    <definedName name="_____top4">#REF!</definedName>
    <definedName name="_____top5">#REF!</definedName>
    <definedName name="_____top6">#REF!</definedName>
    <definedName name="____bot1">#REF!</definedName>
    <definedName name="____bot2">#REF!</definedName>
    <definedName name="____bot3">#REF!</definedName>
    <definedName name="____bot4">#REF!</definedName>
    <definedName name="____bot5">#REF!</definedName>
    <definedName name="____bot6">#REF!</definedName>
    <definedName name="____top1">#REF!</definedName>
    <definedName name="____top2">#REF!</definedName>
    <definedName name="____top3">#REF!</definedName>
    <definedName name="____top4">#REF!</definedName>
    <definedName name="____top5">#REF!</definedName>
    <definedName name="____top6">#REF!</definedName>
    <definedName name="___bot1">#REF!</definedName>
    <definedName name="___bot2">#REF!</definedName>
    <definedName name="___bot3">#REF!</definedName>
    <definedName name="___bot4">#REF!</definedName>
    <definedName name="___bot5">#REF!</definedName>
    <definedName name="___bot6">#REF!</definedName>
    <definedName name="___top1">#REF!</definedName>
    <definedName name="___top2">#REF!</definedName>
    <definedName name="___top3">#REF!</definedName>
    <definedName name="___top4">#REF!</definedName>
    <definedName name="___top5">#REF!</definedName>
    <definedName name="___top6">#REF!</definedName>
    <definedName name="__123Graph_AGRAPH1" hidden="1">[1]RPI!#REF!</definedName>
    <definedName name="__123Graph_AGRAPH2" hidden="1">[1]RPI!#REF!</definedName>
    <definedName name="__123Graph_AGRAPH3" hidden="1">[1]RPI!#REF!</definedName>
    <definedName name="__123Graph_AGRAPH4" hidden="1">[1]RPI!#REF!</definedName>
    <definedName name="__123Graph_AGRAPH5" hidden="1">[1]RPI!#REF!</definedName>
    <definedName name="__123Graph_BGRAPH1" hidden="1">[2]IDS!#REF!</definedName>
    <definedName name="__123Graph_BGRAPH2" hidden="1">[3]UWCM!#REF!</definedName>
    <definedName name="__123Graph_BGRAPH3" hidden="1">[3]UWCM!#REF!</definedName>
    <definedName name="__123Graph_CGRAPH3" hidden="1">[4]IDS!#REF!</definedName>
    <definedName name="__123Graph_XGRAPH2" hidden="1">[1]RPI!$A$56:$A$103</definedName>
    <definedName name="__123Graph_XGRAPH3" hidden="1">[1]RPI!$A$44:$A$77</definedName>
    <definedName name="__123Graph_XGRAPH5" hidden="1">[1]RPI!$A$57:$A$79</definedName>
    <definedName name="__bot1">#REF!</definedName>
    <definedName name="__bot2">#REF!</definedName>
    <definedName name="__bot3">#REF!</definedName>
    <definedName name="__bot4">#REF!</definedName>
    <definedName name="__bot5">#REF!</definedName>
    <definedName name="__bot6">#REF!</definedName>
    <definedName name="__p90" hidden="1">[1]RPI!#REF!</definedName>
    <definedName name="__top1">#REF!</definedName>
    <definedName name="__top2">#REF!</definedName>
    <definedName name="__top3">#REF!</definedName>
    <definedName name="__top4">#REF!</definedName>
    <definedName name="__top5">#REF!</definedName>
    <definedName name="__top6">#REF!</definedName>
    <definedName name="_bot1">#REF!</definedName>
    <definedName name="_bot2">#REF!</definedName>
    <definedName name="_bot3">#REF!</definedName>
    <definedName name="_bot4">#REF!</definedName>
    <definedName name="_bot5">#REF!</definedName>
    <definedName name="_bot6">#REF!</definedName>
    <definedName name="_Regression_Out" hidden="1">#REF!</definedName>
    <definedName name="_Regression_X" hidden="1">[1]RPI!#REF!</definedName>
    <definedName name="_Regression_Y" hidden="1">[1]RPI!#REF!</definedName>
    <definedName name="_top1">#REF!</definedName>
    <definedName name="_top2">#REF!</definedName>
    <definedName name="_top3">#REF!</definedName>
    <definedName name="_top4">#REF!</definedName>
    <definedName name="_top5">#REF!</definedName>
    <definedName name="_top6">#REF!</definedName>
    <definedName name="AllNSAData">'[5]Labour market flows NSA'!#REF!</definedName>
    <definedName name="AllSAData">'Labour market flows SA'!#REF!</definedName>
    <definedName name="B101b64">#REF!</definedName>
    <definedName name="calsht1">#REF!</definedName>
    <definedName name="calsht2">#REF!</definedName>
    <definedName name="calsht3">#REF!</definedName>
    <definedName name="calsht4">#REF!</definedName>
    <definedName name="CData1">#REF!,#REF!,#REF!,#REF!</definedName>
    <definedName name="CData2">#REF!,#REF!,#REF!,#REF!</definedName>
    <definedName name="CData3">#REF!,#REF!,#REF!</definedName>
    <definedName name="CData4">#REF!,#REF!,#REF!,#REF!</definedName>
    <definedName name="CData5">#REF!,#REF!,#REF!,#REF!</definedName>
    <definedName name="CData6">#REF!,#REF!,#REF!</definedName>
    <definedName name="CData7">#REF!,#REF!,#REF!,#REF!</definedName>
    <definedName name="CData8">#REF!,#REF!,#REF!,#REF!</definedName>
    <definedName name="CData9">#REF!,#REF!,#REF!</definedName>
    <definedName name="DateRanges">[6]Raw!$N$2:INDEX([6]Raw!$N:$N,COUNTA([6]Raw!$N:$N))</definedName>
    <definedName name="DATES">[1]RPI!#REF!</definedName>
    <definedName name="empl_level">[7]Sheet3!$B$5:$F$17</definedName>
    <definedName name="empl_rate">[7]Sheet3!$B$23:$F$35</definedName>
    <definedName name="F">#REF!</definedName>
    <definedName name="female">#REF!</definedName>
    <definedName name="GraphDate">#REF!</definedName>
    <definedName name="Hazard">#REF!</definedName>
    <definedName name="Int_Trade">#REF!</definedName>
    <definedName name="International_Trade">#REF!</definedName>
    <definedName name="Levels">#REF!</definedName>
    <definedName name="male">#REF!</definedName>
    <definedName name="MaxQ">[8]Gubbins!$C$2</definedName>
    <definedName name="NAMES">[1]RPI!#REF!</definedName>
    <definedName name="Offset">#REF!</definedName>
    <definedName name="people">[9]Tab10!#REF!</definedName>
    <definedName name="PubDate">#REF!</definedName>
    <definedName name="QPubDate">#REF!</definedName>
    <definedName name="quarters">[8]Gubbins!$A:$A</definedName>
    <definedName name="Rates">#REF!</definedName>
    <definedName name="S10ACV">'[10]Rates-Not seasonally adjusted'!$B$249,'[10]Rates-Not seasonally adjusted'!$C$249,'[10]Rates-Not seasonally adjusted'!$D$249,'[10]Rates-Not seasonally adjusted'!$F$249,'[10]Rates-Not seasonally adjusted'!$G$249,'[10]Rates-Not seasonally adjusted'!$H$249,'[10]Rates-Not seasonally adjusted'!$J$249,'[10]Rates-Not seasonally adjusted'!$K$249,'[10]Rates-Not seasonally adjusted'!$L$249</definedName>
    <definedName name="S11ACV">'[10]Rates-Not seasonally adjusted'!$B$489,'[10]Rates-Not seasonally adjusted'!$C$489,'[10]Rates-Not seasonally adjusted'!$D$489,'[10]Rates-Not seasonally adjusted'!$F$489,'[10]Rates-Not seasonally adjusted'!$G$489,'[10]Rates-Not seasonally adjusted'!$H$489,'[10]Rates-Not seasonally adjusted'!$J$489,'[10]Rates-Not seasonally adjusted'!$K$489,'[10]Rates-Not seasonally adjusted'!$L$489</definedName>
    <definedName name="S12ACV">'[10]Rates-Not seasonally adjusted'!$B$729,'[10]Rates-Not seasonally adjusted'!$C$729,'[10]Rates-Not seasonally adjusted'!$D$729,'[10]Rates-Not seasonally adjusted'!$F$729,'[10]Rates-Not seasonally adjusted'!$G$729,'[10]Rates-Not seasonally adjusted'!$H$729,'[10]Rates-Not seasonally adjusted'!$J$729,'[10]Rates-Not seasonally adjusted'!$K$729,'[10]Rates-Not seasonally adjusted'!$L$729</definedName>
    <definedName name="S13ACV">'[10]Rates-Not seasonally adjusted'!$B$971,'[10]Rates-Not seasonally adjusted'!$C$971,'[10]Rates-Not seasonally adjusted'!$D$971,'[10]Rates-Not seasonally adjusted'!$F$971,'[10]Rates-Not seasonally adjusted'!$G$971,'[10]Rates-Not seasonally adjusted'!$H$971,'[10]Rates-Not seasonally adjusted'!$J$971,'[10]Rates-Not seasonally adjusted'!$K$971,'[10]Rates-Not seasonally adjusted'!$L$971</definedName>
    <definedName name="S14ACV">'[10]Rates-Not seasonally adjusted'!$B$1211,'[10]Rates-Not seasonally adjusted'!$C$1211,'[10]Rates-Not seasonally adjusted'!$D$1211,'[10]Rates-Not seasonally adjusted'!$F$1211,'[10]Rates-Not seasonally adjusted'!$G$1211,'[10]Rates-Not seasonally adjusted'!$H$1211,'[10]Rates-Not seasonally adjusted'!$J$1211,'[10]Rates-Not seasonally adjusted'!$K$1211,'[10]Rates-Not seasonally adjusted'!$L$1211</definedName>
    <definedName name="S15ACV">'[10]Rates-Not seasonally adjusted'!$B$1451,'[10]Rates-Not seasonally adjusted'!$C$1451,'[10]Rates-Not seasonally adjusted'!$D$1451,'[10]Rates-Not seasonally adjusted'!$F$1451,'[10]Rates-Not seasonally adjusted'!$G$1451,'[10]Rates-Not seasonally adjusted'!$H$1451,'[10]Rates-Not seasonally adjusted'!$J$1451,'[10]Rates-Not seasonally adjusted'!$K$1451,'[10]Rates-Not seasonally adjusted'!$L$1451</definedName>
    <definedName name="S16ACV">'[10]Rates-Not seasonally adjusted'!$B$1693,'[10]Rates-Not seasonally adjusted'!$C$1693,'[10]Rates-Not seasonally adjusted'!$D$1693,'[10]Rates-Not seasonally adjusted'!$F$1693,'[10]Rates-Not seasonally adjusted'!$G$1693,'[10]Rates-Not seasonally adjusted'!$H$1693,'[10]Rates-Not seasonally adjusted'!$J$1693,'[10]Rates-Not seasonally adjusted'!$K$1693,'[10]Rates-Not seasonally adjusted'!$L$1693</definedName>
    <definedName name="S17ACV">'[10]Rates-Not seasonally adjusted'!$B$1933,'[10]Rates-Not seasonally adjusted'!$C$1933,'[10]Rates-Not seasonally adjusted'!$D$1933,'[10]Rates-Not seasonally adjusted'!$F$1933,'[10]Rates-Not seasonally adjusted'!$G$1933,'[10]Rates-Not seasonally adjusted'!$H$1933,'[10]Rates-Not seasonally adjusted'!$J$1933,'[10]Rates-Not seasonally adjusted'!$K$1933,'[10]Rates-Not seasonally adjusted'!$L$1933</definedName>
    <definedName name="S18ACV">'[10]Rates-Not seasonally adjusted'!$B$2173,'[10]Rates-Not seasonally adjusted'!$C$2173,'[10]Rates-Not seasonally adjusted'!$D$2173,'[10]Rates-Not seasonally adjusted'!$F$2173,'[10]Rates-Not seasonally adjusted'!$G$2173,'[10]Rates-Not seasonally adjusted'!$H$2173,'[10]Rates-Not seasonally adjusted'!$J$2173,'[10]Rates-Not seasonally adjusted'!$K$2173,'[10]Rates-Not seasonally adjusted'!$L$2173</definedName>
    <definedName name="S19ACP">'[2]16-24'!$B$253,'[2]16-24'!$C$253,'[2]16-24'!$D$253,'[2]16-24'!$E$253,'[2]16-24'!$G$253,'[2]16-24'!$H$253,'[2]16-24'!$I$253,'[2]16-24'!$J$253,'[2]16-24'!$L$253,'[2]16-24'!$M$253,'[2]16-24'!$N$253,'[2]16-24'!$O$253</definedName>
    <definedName name="S19ACV">'[2]16-24'!$B$252,'[2]16-24'!$C$252,'[2]16-24'!$D$252,'[2]16-24'!$E$252,'[2]16-24'!$G$252,'[2]16-24'!$H$252,'[2]16-24'!$I$252,'[2]16-24'!$J$252,'[2]16-24'!$L$252,'[2]16-24'!$M$252,'[2]16-24'!$N$252,'[2]16-24'!$O$252</definedName>
    <definedName name="S19QCP">'[2]16-24'!$B$250,'[2]16-24'!$C$250,'[2]16-24'!$D$250,'[2]16-24'!$E$250,'[2]16-24'!$G$250,'[2]16-24'!$H$250,'[2]16-24'!$I$250,'[2]16-24'!$J$250,'[2]16-24'!$L$250,'[2]16-24'!$M$250,'[2]16-24'!$N$250,'[2]16-24'!$O$250</definedName>
    <definedName name="S19QCV">'[2]16-24'!$B$249,'[2]16-24'!$C$249,'[2]16-24'!$D$249,'[2]16-24'!$E$249,'[2]16-24'!$G$249,'[2]16-24'!$H$249,'[2]16-24'!$I$249,'[2]16-24'!$J$249,'[2]16-24'!$L$249,'[2]16-24'!$M$249,'[2]16-24'!$N$249,'[2]16-24'!$O$249</definedName>
    <definedName name="S1ACP">'[10]Levels-Not seasonally adjusted'!$B$250,'[10]Levels-Not seasonally adjusted'!$C$250,'[10]Levels-Not seasonally adjusted'!$D$250,'[10]Levels-Not seasonally adjusted'!$E$250,'[10]Levels-Not seasonally adjusted'!$G$250,'[10]Levels-Not seasonally adjusted'!$H$250,'[10]Levels-Not seasonally adjusted'!$I$250,'[10]Levels-Not seasonally adjusted'!$J$250,'[10]Levels-Not seasonally adjusted'!$L$250,'[10]Levels-Not seasonally adjusted'!$M$250,'[10]Levels-Not seasonally adjusted'!$N$250,'[10]Levels-Not seasonally adjusted'!$O$250</definedName>
    <definedName name="S1ACV">'[10]Levels-Not seasonally adjusted'!$B$249,'[10]Levels-Not seasonally adjusted'!$C$249,'[10]Levels-Not seasonally adjusted'!$D$249,'[10]Levels-Not seasonally adjusted'!$E$249,'[10]Levels-Not seasonally adjusted'!$G$249,'[10]Levels-Not seasonally adjusted'!$H$249,'[10]Levels-Not seasonally adjusted'!$I$249,'[10]Levels-Not seasonally adjusted'!$J$249,'[10]Levels-Not seasonally adjusted'!$L$249,'[10]Levels-Not seasonally adjusted'!$M$249,'[10]Levels-Not seasonally adjusted'!$N$249,'[10]Levels-Not seasonally adjusted'!$O$249</definedName>
    <definedName name="S20ACP">'[2]16-24'!$B$497,'[2]16-24'!$C$497,'[2]16-24'!$D$497,'[2]16-24'!$E$497,'[2]16-24'!$G$497,'[2]16-24'!$H$497,'[2]16-24'!$I$497,'[2]16-24'!$J$497,'[2]16-24'!$L$497,'[2]16-24'!$M$497,'[2]16-24'!$N$497,'[2]16-24'!$O$497</definedName>
    <definedName name="S20ACV">'[2]16-24'!$B$496,'[2]16-24'!$C$496,'[2]16-24'!$D$496,'[2]16-24'!$E$496,'[2]16-24'!$G$496,'[2]16-24'!$H$496,'[2]16-24'!$I$496,'[2]16-24'!$J$496,'[2]16-24'!$L$496,'[2]16-24'!$M$496,'[2]16-24'!$N$496,'[2]16-24'!$O$496</definedName>
    <definedName name="S20QCP">'[2]16-24'!$B$494,'[2]16-24'!$C$494,'[2]16-24'!$D$494,'[2]16-24'!$E$494,'[2]16-24'!$G$494,'[2]16-24'!$H$494,'[2]16-24'!$I$494,'[2]16-24'!$J$494,'[2]16-24'!$L$494,'[2]16-24'!$M$494,'[2]16-24'!$N$494,'[2]16-24'!$O$494</definedName>
    <definedName name="S20QCV">'[2]16-24'!$B$493,'[2]16-24'!$C$493,'[2]16-24'!$D$493,'[2]16-24'!$E$493,'[2]16-24'!$G$493,'[2]16-24'!$H$493,'[2]16-24'!$I$493,'[2]16-24'!$J$493,'[2]16-24'!$L$493,'[2]16-24'!$M$493,'[2]16-24'!$N$493,'[2]16-24'!$O$493</definedName>
    <definedName name="S21ACP">'[2]16-24'!$B$741,'[2]16-24'!$C$741,'[2]16-24'!$D$741,'[2]16-24'!$E$741,'[2]16-24'!$G$741,'[2]16-24'!$H$741,'[2]16-24'!$I$741,'[2]16-24'!$J$741,'[2]16-24'!$L$741,'[2]16-24'!$M$741,'[2]16-24'!$N$741,'[2]16-24'!$O$741</definedName>
    <definedName name="S21ACV">'[2]16-24'!$B$740,'[2]16-24'!$C$740,'[2]16-24'!$D$740,'[2]16-24'!$E$740,'[2]16-24'!$G$740,'[2]16-24'!$H$740,'[2]16-24'!$I$740,'[2]16-24'!$J$740,'[2]16-24'!$L$740,'[2]16-24'!$M$740,'[2]16-24'!$N$740,'[2]16-24'!$O$740</definedName>
    <definedName name="S21QCP">'[2]16-24'!$B$738,'[2]16-24'!$C$738,'[2]16-24'!$D$738,'[2]16-24'!$E$738,'[2]16-24'!$G$738,'[2]16-24'!$H$738,'[2]16-24'!$I$738,'[2]16-24'!$J$738,'[2]16-24'!$L$738,'[2]16-24'!$M$738,'[2]16-24'!$N$738,'[2]16-24'!$O$738</definedName>
    <definedName name="S21QCV">'[2]16-24'!$B$737,'[2]16-24'!$C$737,'[2]16-24'!$D$737,'[2]16-24'!$E$737,'[2]16-24'!$G$737,'[2]16-24'!$H$737,'[2]16-24'!$I$737,'[2]16-24'!$J$737,'[2]16-24'!$L$737,'[2]16-24'!$M$737,'[2]16-24'!$N$737,'[2]16-24'!$O$737</definedName>
    <definedName name="S22ACP">'[2]16-24'!$B$987,'[2]16-24'!$C$987,'[2]16-24'!$D$987,'[2]16-24'!$E$987,'[2]16-24'!$G$987,'[2]16-24'!$H$987,'[2]16-24'!$I$987,'[2]16-24'!$J$987,'[2]16-24'!$L$987,'[2]16-24'!$M$987,'[2]16-24'!$N$987,'[2]16-24'!$O$987</definedName>
    <definedName name="S22ACV">'[2]16-24'!$B$986,'[2]16-24'!$C$986,'[2]16-24'!$D$986,'[2]16-24'!$E$986,'[2]16-24'!$G$986,'[2]16-24'!$H$986,'[2]16-24'!$I$986,'[2]16-24'!$J$986,'[2]16-24'!$L$986,'[2]16-24'!$M$986,'[2]16-24'!$N$986,'[2]16-24'!$O$986</definedName>
    <definedName name="S22QCP">'[2]16-24'!$B$984,'[2]16-24'!$C$984,'[2]16-24'!$D$984,'[2]16-24'!$E$984,'[2]16-24'!$G$984,'[2]16-24'!$H$984,'[2]16-24'!$I$984,'[2]16-24'!$J$984,'[2]16-24'!$L$984,'[2]16-24'!$M$984,'[2]16-24'!$N$984,'[2]16-24'!$O$984</definedName>
    <definedName name="S22QCV">'[2]16-24'!$B$983,'[2]16-24'!$C$983,'[2]16-24'!$D$983,'[2]16-24'!$E$983,'[2]16-24'!$G$983,'[2]16-24'!$H$983,'[2]16-24'!$I$983,'[2]16-24'!$J$983,'[2]16-24'!$L$983,'[2]16-24'!$M$983,'[2]16-24'!$N$983,'[2]16-24'!$O$983</definedName>
    <definedName name="S23ACP">'[2]16-24'!$B$1231,'[2]16-24'!$C$1231,'[2]16-24'!$D$1231,'[2]16-24'!$E$1231,'[2]16-24'!$G$1231,'[2]16-24'!$H$1231,'[2]16-24'!$I$1231,'[2]16-24'!$J$1231,'[2]16-24'!$L$1231,'[2]16-24'!$M$1231,'[2]16-24'!$N$1231,'[2]16-24'!$O$1231</definedName>
    <definedName name="S23ACV">'[2]16-24'!$B$1230,'[2]16-24'!$C$1230,'[2]16-24'!$D$1230,'[2]16-24'!$E$1230,'[2]16-24'!$G$1230,'[2]16-24'!$H$1230,'[2]16-24'!$I$1230,'[2]16-24'!$J$1230,'[2]16-24'!$L$1230,'[2]16-24'!$M$1230,'[2]16-24'!$N$1230,'[2]16-24'!$O$1230</definedName>
    <definedName name="S23QCP">'[2]16-24'!$B$1228,'[2]16-24'!$C$1228,'[2]16-24'!$D$1228,'[2]16-24'!$E$1228,'[2]16-24'!$G$1228,'[2]16-24'!$H$1228,'[2]16-24'!$I$1228,'[2]16-24'!$J$1228,'[2]16-24'!$L$1228,'[2]16-24'!$M$1228,'[2]16-24'!$N$1228,'[2]16-24'!$O$1228</definedName>
    <definedName name="S23QCV">'[2]16-24'!$B$1227,'[2]16-24'!$C$1227,'[2]16-24'!$D$1227,'[2]16-24'!$E$1227,'[2]16-24'!$G$1227,'[2]16-24'!$H$1227,'[2]16-24'!$I$1227,'[2]16-24'!$J$1227,'[2]16-24'!$L$1227,'[2]16-24'!$M$1227,'[2]16-24'!$N$1227,'[2]16-24'!$O$1227</definedName>
    <definedName name="S24ACP">'[2]16-24'!$B$1475,'[2]16-24'!$C$1475,'[2]16-24'!$D$1475,'[2]16-24'!$E$1475,'[2]16-24'!$G$1475,'[2]16-24'!$H$1475,'[2]16-24'!$I$1475,'[2]16-24'!$J$1475,'[2]16-24'!$L$1475,'[2]16-24'!$M$1475,'[2]16-24'!$N$1475,'[2]16-24'!$O$1475</definedName>
    <definedName name="S24ACV">'[2]16-24'!$B$1474,'[2]16-24'!$C$1474,'[2]16-24'!$D$1474,'[2]16-24'!$E$1474,'[2]16-24'!$G$1474,'[2]16-24'!$H$1474,'[2]16-24'!$I$1474,'[2]16-24'!$J$1474,'[2]16-24'!$L$1474,'[2]16-24'!$M$1474,'[2]16-24'!$N$1474,'[2]16-24'!$O$1474</definedName>
    <definedName name="S24QCP">'[2]16-24'!$B$1472,'[2]16-24'!$C$1472,'[2]16-24'!$D$1472,'[2]16-24'!$E$1472,'[2]16-24'!$G$1472,'[2]16-24'!$H$1472,'[2]16-24'!$I$1472,'[2]16-24'!$J$1472,'[2]16-24'!$L$1472,'[2]16-24'!$M$1472,'[2]16-24'!$N$1472,'[2]16-24'!$O$1472</definedName>
    <definedName name="S24QCV">'[2]16-24'!$B$1471,'[2]16-24'!$C$1471,'[2]16-24'!$D$1471,'[2]16-24'!$E$1471,'[2]16-24'!$G$1471,'[2]16-24'!$H$1471,'[2]16-24'!$I$1471,'[2]16-24'!$J$1471,'[2]16-24'!$L$1471,'[2]16-24'!$M$1471,'[2]16-24'!$N$1471,'[2]16-24'!$O$1471</definedName>
    <definedName name="S25ACP">'[2]16-24'!$B$1721,'[2]16-24'!$C$1721,'[2]16-24'!$D$1721,'[2]16-24'!$E$1721,'[2]16-24'!$G$1721,'[2]16-24'!$H$1721,'[2]16-24'!$I$1721,'[2]16-24'!$J$1721,'[2]16-24'!$L$1721,'[2]16-24'!$M$1721,'[2]16-24'!$N$1721,'[2]16-24'!$O$1721</definedName>
    <definedName name="S25ACV">'[2]16-24'!$B$1720,'[2]16-24'!$C$1720,'[2]16-24'!$D$1720,'[2]16-24'!$E$1720,'[2]16-24'!$G$1720,'[2]16-24'!$H$1720,'[2]16-24'!$I$1720,'[2]16-24'!$J$1720,'[2]16-24'!$L$1720,'[2]16-24'!$M$1720,'[2]16-24'!$N$1720,'[2]16-24'!$O$1720</definedName>
    <definedName name="S25QCP">'[2]16-24'!$B$1718,'[2]16-24'!$C$1718,'[2]16-24'!$D$1718,'[2]16-24'!$E$1718,'[2]16-24'!$G$1718,'[2]16-24'!$H$1718,'[2]16-24'!$I$1718,'[2]16-24'!$J$1718,'[2]16-24'!$L$1718,'[2]16-24'!$M$1718,'[2]16-24'!$N$1718,'[2]16-24'!$O$1718</definedName>
    <definedName name="S25QCV">'[2]16-24'!$B$1717,'[2]16-24'!$C$1717,'[2]16-24'!$D$1717,'[2]16-24'!$E$1717,'[2]16-24'!$G$1717,'[2]16-24'!$H$1717,'[2]16-24'!$I$1717,'[2]16-24'!$J$1717,'[2]16-24'!$L$1717,'[2]16-24'!$M$1717,'[2]16-24'!$N$1717,'[2]16-24'!$O$1717</definedName>
    <definedName name="S26ACP">'[2]16-24'!$B$1965,'[2]16-24'!$C$1965,'[2]16-24'!$D$1965,'[2]16-24'!$E$1965,'[2]16-24'!$G$1965,'[2]16-24'!$H$1965,'[2]16-24'!$I$1965,'[2]16-24'!$J$1965,'[2]16-24'!$L$1965,'[2]16-24'!$M$1965,'[2]16-24'!$N$1965,'[2]16-24'!$O$1965</definedName>
    <definedName name="S26ACV">'[2]16-24'!$B$1964,'[2]16-24'!$C$1964,'[2]16-24'!$D$1964,'[2]16-24'!$E$1964,'[2]16-24'!$G$1964,'[2]16-24'!$H$1964,'[2]16-24'!$I$1964,'[2]16-24'!$J$1964,'[2]16-24'!$L$1964,'[2]16-24'!$M$1964,'[2]16-24'!$N$1964,'[2]16-24'!$O$1964</definedName>
    <definedName name="S26QCP">'[2]16-24'!$B$1962,'[2]16-24'!$C$1962,'[2]16-24'!$D$1962,'[2]16-24'!$E$1962,'[2]16-24'!$G$1962,'[2]16-24'!$H$1962,'[2]16-24'!$I$1962,'[2]16-24'!$J$1962,'[2]16-24'!$L$1962,'[2]16-24'!$M$1962,'[2]16-24'!$N$1962,'[2]16-24'!$O$1962</definedName>
    <definedName name="S26QCV">'[2]16-24'!$B$1961,'[2]16-24'!$C$1961,'[2]16-24'!$D$1961,'[2]16-24'!$E$1961,'[2]16-24'!$G$1961,'[2]16-24'!$H$1961,'[2]16-24'!$I$1961,'[2]16-24'!$J$1961,'[2]16-24'!$L$1961,'[2]16-24'!$M$1961,'[2]16-24'!$N$1961,'[2]16-24'!$O$1961</definedName>
    <definedName name="S27ACP">'[2]16-24'!$B$2209,'[2]16-24'!$C$2209,'[2]16-24'!$D$2209,'[2]16-24'!$E$2209,'[2]16-24'!$G$2209,'[2]16-24'!$H$2209,'[2]16-24'!$I$2209,'[2]16-24'!$J$2209,'[2]16-24'!$L$2209,'[2]16-24'!$M$2209,'[2]16-24'!$N$2209,'[2]16-24'!$O$2209</definedName>
    <definedName name="S27ACV">'[2]16-24'!$B$2208,'[2]16-24'!$C$2208,'[2]16-24'!$D$2208,'[2]16-24'!$E$2208,'[2]16-24'!$G$2208,'[2]16-24'!$H$2208,'[2]16-24'!$I$2208,'[2]16-24'!$J$2208,'[2]16-24'!$L$2208,'[2]16-24'!$M$2208,'[2]16-24'!$N$2208,'[2]16-24'!$O$2208</definedName>
    <definedName name="S27QCP">'[2]16-24'!$B$2206,'[2]16-24'!$C$2206,'[2]16-24'!$D$2206,'[2]16-24'!$E$2206,'[2]16-24'!$G$2206,'[2]16-24'!$H$2206,'[2]16-24'!$I$2206,'[2]16-24'!$J$2206,'[2]16-24'!$L$2206,'[2]16-24'!$M$2206,'[2]16-24'!$N$2206,'[2]16-24'!$O$2206</definedName>
    <definedName name="S27QCV">'[2]16-24'!$B$2205,'[2]16-24'!$C$2205,'[2]16-24'!$D$2205,'[2]16-24'!$E$2205,'[2]16-24'!$G$2205,'[2]16-24'!$H$2205,'[2]16-24'!$I$2205,'[2]16-24'!$J$2205,'[2]16-24'!$L$2205,'[2]16-24'!$M$2205,'[2]16-24'!$N$2205,'[2]16-24'!$O$2205</definedName>
    <definedName name="S28ACV">'[10]Rates-seasonally adjusted'!$B$251,'[10]Rates-seasonally adjusted'!$C$251,'[10]Rates-seasonally adjusted'!$D$251,'[10]Rates-seasonally adjusted'!$F$251,'[10]Rates-seasonally adjusted'!$G$251,'[10]Rates-seasonally adjusted'!$H$251,'[10]Rates-seasonally adjusted'!$J$251,'[10]Rates-seasonally adjusted'!$K$251,'[10]Rates-seasonally adjusted'!$L$251</definedName>
    <definedName name="S28QCV">'[10]Rates-seasonally adjusted'!$B$249,'[10]Rates-seasonally adjusted'!$C$249,'[10]Rates-seasonally adjusted'!$D$249,'[10]Rates-seasonally adjusted'!$F$249,'[10]Rates-seasonally adjusted'!$G$249,'[10]Rates-seasonally adjusted'!$H$249,'[10]Rates-seasonally adjusted'!$J$249,'[10]Rates-seasonally adjusted'!$K$249,'[10]Rates-seasonally adjusted'!$L$249</definedName>
    <definedName name="S29ACV">'[10]Rates-seasonally adjusted'!$B$493,'[10]Rates-seasonally adjusted'!$C$493,'[10]Rates-seasonally adjusted'!$D$493,'[10]Rates-seasonally adjusted'!$F$493,'[10]Rates-seasonally adjusted'!$G$493,'[10]Rates-seasonally adjusted'!$H$493,'[10]Rates-seasonally adjusted'!$J$493,'[10]Rates-seasonally adjusted'!$K$493,'[10]Rates-seasonally adjusted'!$L$493</definedName>
    <definedName name="S29QCV">'[10]Rates-seasonally adjusted'!$B$491,'[10]Rates-seasonally adjusted'!$C$491,'[10]Rates-seasonally adjusted'!$D$491,'[10]Rates-seasonally adjusted'!$F$491,'[10]Rates-seasonally adjusted'!$G$491,'[10]Rates-seasonally adjusted'!$H$491,'[10]Rates-seasonally adjusted'!$J$491,'[10]Rates-seasonally adjusted'!$K$491,'[10]Rates-seasonally adjusted'!$L$491</definedName>
    <definedName name="S2ACP">'[10]Levels-Not seasonally adjusted'!$B$491,'[10]Levels-Not seasonally adjusted'!$C$491,'[10]Levels-Not seasonally adjusted'!$D$491,'[10]Levels-Not seasonally adjusted'!$E$491,'[10]Levels-Not seasonally adjusted'!$G$491,'[10]Levels-Not seasonally adjusted'!$H$491,'[10]Levels-Not seasonally adjusted'!$I$491,'[10]Levels-Not seasonally adjusted'!$J$491,'[10]Levels-Not seasonally adjusted'!$L$491,'[10]Levels-Not seasonally adjusted'!$M$491,'[10]Levels-Not seasonally adjusted'!$N$491,'[10]Levels-Not seasonally adjusted'!$O$491</definedName>
    <definedName name="S2ACV">'[10]Levels-Not seasonally adjusted'!$B$490,'[10]Levels-Not seasonally adjusted'!$C$490,'[10]Levels-Not seasonally adjusted'!$D$490,'[10]Levels-Not seasonally adjusted'!$E$490,'[10]Levels-Not seasonally adjusted'!$G$490,'[10]Levels-Not seasonally adjusted'!$H$490,'[10]Levels-Not seasonally adjusted'!$I$490,'[10]Levels-Not seasonally adjusted'!$J$490,'[10]Levels-Not seasonally adjusted'!$L$490,'[10]Levels-Not seasonally adjusted'!$M$490,'[10]Levels-Not seasonally adjusted'!$N$490,'[10]Levels-Not seasonally adjusted'!$O$490</definedName>
    <definedName name="S30ACV">'[10]Rates-seasonally adjusted'!$B$735,'[10]Rates-seasonally adjusted'!$C$735,'[10]Rates-seasonally adjusted'!$D$735,'[10]Rates-seasonally adjusted'!$F$735,'[10]Rates-seasonally adjusted'!$G$735,'[10]Rates-seasonally adjusted'!$H$735,'[10]Rates-seasonally adjusted'!$J$735,'[10]Rates-seasonally adjusted'!$K$735,'[10]Rates-seasonally adjusted'!$L$735</definedName>
    <definedName name="S30QCV">'[10]Rates-seasonally adjusted'!$B$733,'[10]Rates-seasonally adjusted'!$C$733,'[10]Rates-seasonally adjusted'!$D$733,'[10]Rates-seasonally adjusted'!$F$733,'[10]Rates-seasonally adjusted'!$G$733,'[10]Rates-seasonally adjusted'!$H$733,'[10]Rates-seasonally adjusted'!$J$733,'[10]Rates-seasonally adjusted'!$K$733,'[10]Rates-seasonally adjusted'!$L$733</definedName>
    <definedName name="S31ACV">'[10]Rates-seasonally adjusted'!$B$979,'[10]Rates-seasonally adjusted'!$C$979,'[10]Rates-seasonally adjusted'!$D$979,'[10]Rates-seasonally adjusted'!$F$979,'[10]Rates-seasonally adjusted'!$G$979,'[10]Rates-seasonally adjusted'!$H$979,'[10]Rates-seasonally adjusted'!$J$979,'[10]Rates-seasonally adjusted'!$K$979,'[10]Rates-seasonally adjusted'!$L$979</definedName>
    <definedName name="S31QCV">'[10]Rates-seasonally adjusted'!$B$977,'[10]Rates-seasonally adjusted'!$C$977,'[10]Rates-seasonally adjusted'!$D$977,'[10]Rates-seasonally adjusted'!$F$977,'[10]Rates-seasonally adjusted'!$G$977,'[10]Rates-seasonally adjusted'!$H$977,'[10]Rates-seasonally adjusted'!$J$977,'[10]Rates-seasonally adjusted'!$K$977,'[10]Rates-seasonally adjusted'!$L$977</definedName>
    <definedName name="S32ACV">'[10]Rates-seasonally adjusted'!$B$1221,'[10]Rates-seasonally adjusted'!$C$1221,'[10]Rates-seasonally adjusted'!$D$1221,'[10]Rates-seasonally adjusted'!$F$1221,'[10]Rates-seasonally adjusted'!$G$1221,'[10]Rates-seasonally adjusted'!$H$1221,'[10]Rates-seasonally adjusted'!$J$1221,'[10]Rates-seasonally adjusted'!$K$1221,'[10]Rates-seasonally adjusted'!$L$1221</definedName>
    <definedName name="S32QCV">'[10]Rates-seasonally adjusted'!$B$1219,'[10]Rates-seasonally adjusted'!$C$1219,'[10]Rates-seasonally adjusted'!$D$1219,'[10]Rates-seasonally adjusted'!$F$1219,'[10]Rates-seasonally adjusted'!$G$1219,'[10]Rates-seasonally adjusted'!$H$1219,'[10]Rates-seasonally adjusted'!$J$1219,'[10]Rates-seasonally adjusted'!$K$1219,'[10]Rates-seasonally adjusted'!$L$1219</definedName>
    <definedName name="S33ACV">'[10]Rates-seasonally adjusted'!$B$1463,'[10]Rates-seasonally adjusted'!$C$1463,'[10]Rates-seasonally adjusted'!$D$1463,'[10]Rates-seasonally adjusted'!$F$1463,'[10]Rates-seasonally adjusted'!$G$1463,'[10]Rates-seasonally adjusted'!$H$1463,'[10]Rates-seasonally adjusted'!$J$1463,'[10]Rates-seasonally adjusted'!$K$1463,'[10]Rates-seasonally adjusted'!$L$1463</definedName>
    <definedName name="S33QCV">'[10]Rates-seasonally adjusted'!$B$1461,'[10]Rates-seasonally adjusted'!$C$1461,'[10]Rates-seasonally adjusted'!$D$1461,'[10]Rates-seasonally adjusted'!$F$1461,'[10]Rates-seasonally adjusted'!$G$1461,'[10]Rates-seasonally adjusted'!$H$1461,'[10]Rates-seasonally adjusted'!$J$1461,'[10]Rates-seasonally adjusted'!$K$1461,'[10]Rates-seasonally adjusted'!$L$1461</definedName>
    <definedName name="S34ACV">'[10]Rates-seasonally adjusted'!$B$1707,'[10]Rates-seasonally adjusted'!$C$1707,'[10]Rates-seasonally adjusted'!$D$1707,'[10]Rates-seasonally adjusted'!$F$1707,'[10]Rates-seasonally adjusted'!$G$1707,'[10]Rates-seasonally adjusted'!$H$1707,'[10]Rates-seasonally adjusted'!$J$1707,'[10]Rates-seasonally adjusted'!$K$1707,'[10]Rates-seasonally adjusted'!$L$1707</definedName>
    <definedName name="S34QCV">'[10]Rates-seasonally adjusted'!$B$1705,'[10]Rates-seasonally adjusted'!$C$1705,'[10]Rates-seasonally adjusted'!$D$1705,'[10]Rates-seasonally adjusted'!$F$1705,'[10]Rates-seasonally adjusted'!$G$1705,'[10]Rates-seasonally adjusted'!$H$1705,'[10]Rates-seasonally adjusted'!$J$1705,'[10]Rates-seasonally adjusted'!$K$1705,'[10]Rates-seasonally adjusted'!$L$1705</definedName>
    <definedName name="S35ACV">'[10]Rates-seasonally adjusted'!$B$1949,'[10]Rates-seasonally adjusted'!$C$1949,'[10]Rates-seasonally adjusted'!$D$1949,'[10]Rates-seasonally adjusted'!$F$1949,'[10]Rates-seasonally adjusted'!$G$1949,'[10]Rates-seasonally adjusted'!$H$1949,'[10]Rates-seasonally adjusted'!$J$1949,'[10]Rates-seasonally adjusted'!$K$1949,'[10]Rates-seasonally adjusted'!$L$1949</definedName>
    <definedName name="S35QCV">'[10]Rates-seasonally adjusted'!$B$1947,'[10]Rates-seasonally adjusted'!$C$1947,'[10]Rates-seasonally adjusted'!$D$1947,'[10]Rates-seasonally adjusted'!$F$1947,'[10]Rates-seasonally adjusted'!$G$1947,'[10]Rates-seasonally adjusted'!$H$1947,'[10]Rates-seasonally adjusted'!$J$1947,'[10]Rates-seasonally adjusted'!$K$1947,'[10]Rates-seasonally adjusted'!$L$1947</definedName>
    <definedName name="S36ACV">'[10]Rates-seasonally adjusted'!$B$2191,'[10]Rates-seasonally adjusted'!$C$2191,'[10]Rates-seasonally adjusted'!$D$2191,'[10]Rates-seasonally adjusted'!$F$2191,'[10]Rates-seasonally adjusted'!$G$2191,'[10]Rates-seasonally adjusted'!$H$2191,'[10]Rates-seasonally adjusted'!$J$2191,'[10]Rates-seasonally adjusted'!$K$2191,'[10]Rates-seasonally adjusted'!$L$2191</definedName>
    <definedName name="S36QCV">'[10]Rates-seasonally adjusted'!$B$2189,'[10]Rates-seasonally adjusted'!$C$2189,'[10]Rates-seasonally adjusted'!$D$2189,'[10]Rates-seasonally adjusted'!$F$2189,'[10]Rates-seasonally adjusted'!$G$2189,'[10]Rates-seasonally adjusted'!$H$2189,'[10]Rates-seasonally adjusted'!$J$2189,'[10]Rates-seasonally adjusted'!$K$2189,'[10]Rates-seasonally adjusted'!$L$2189</definedName>
    <definedName name="S3ACP">'[10]Levels-Not seasonally adjusted'!$B$732,'[10]Levels-Not seasonally adjusted'!$C$732,'[10]Levels-Not seasonally adjusted'!$D$732,'[10]Levels-Not seasonally adjusted'!$E$732,'[10]Levels-Not seasonally adjusted'!$G$732,'[10]Levels-Not seasonally adjusted'!$H$732,'[10]Levels-Not seasonally adjusted'!$I$732,'[10]Levels-Not seasonally adjusted'!$J$732,'[10]Levels-Not seasonally adjusted'!$L$732,'[10]Levels-Not seasonally adjusted'!$M$732,'[10]Levels-Not seasonally adjusted'!$N$732,'[10]Levels-Not seasonally adjusted'!$O$732</definedName>
    <definedName name="S3ACV">'[10]Levels-Not seasonally adjusted'!$B$731,'[10]Levels-Not seasonally adjusted'!$C$731,'[10]Levels-Not seasonally adjusted'!$D$731,'[10]Levels-Not seasonally adjusted'!$E$731,'[10]Levels-Not seasonally adjusted'!$G$731,'[10]Levels-Not seasonally adjusted'!$H$731,'[10]Levels-Not seasonally adjusted'!$I$731,'[10]Levels-Not seasonally adjusted'!$J$731,'[10]Levels-Not seasonally adjusted'!$L$731,'[10]Levels-Not seasonally adjusted'!$M$731,'[10]Levels-Not seasonally adjusted'!$N$731,'[10]Levels-Not seasonally adjusted'!$O$731</definedName>
    <definedName name="S4ACP">'[10]Levels-Not seasonally adjusted'!$B$975,'[10]Levels-Not seasonally adjusted'!$C$975,'[10]Levels-Not seasonally adjusted'!$D$975,'[10]Levels-Not seasonally adjusted'!$E$975,'[10]Levels-Not seasonally adjusted'!$G$975,'[10]Levels-Not seasonally adjusted'!$H$975,'[10]Levels-Not seasonally adjusted'!$I$975,'[10]Levels-Not seasonally adjusted'!$J$975,'[10]Levels-Not seasonally adjusted'!$L$975,'[10]Levels-Not seasonally adjusted'!$M$975,'[10]Levels-Not seasonally adjusted'!$N$975,'[10]Levels-Not seasonally adjusted'!$O$975</definedName>
    <definedName name="S4ACV">'[10]Levels-Not seasonally adjusted'!$B$974,'[10]Levels-Not seasonally adjusted'!$C$974,'[10]Levels-Not seasonally adjusted'!$D$974,'[10]Levels-Not seasonally adjusted'!$E$974,'[10]Levels-Not seasonally adjusted'!$G$974,'[10]Levels-Not seasonally adjusted'!$H$974,'[10]Levels-Not seasonally adjusted'!$I$974,'[10]Levels-Not seasonally adjusted'!$J$974,'[10]Levels-Not seasonally adjusted'!$L$974,'[10]Levels-Not seasonally adjusted'!$M$974,'[10]Levels-Not seasonally adjusted'!$N$974,'[10]Levels-Not seasonally adjusted'!$O$974</definedName>
    <definedName name="S5ACP">'[10]Levels-Not seasonally adjusted'!$B$1216,'[10]Levels-Not seasonally adjusted'!$C$1216,'[10]Levels-Not seasonally adjusted'!$D$1216,'[10]Levels-Not seasonally adjusted'!$E$1216,'[10]Levels-Not seasonally adjusted'!$G$1216,'[10]Levels-Not seasonally adjusted'!$H$1216,'[10]Levels-Not seasonally adjusted'!$I$1216,'[10]Levels-Not seasonally adjusted'!$J$1216,'[10]Levels-Not seasonally adjusted'!$L$1216,'[10]Levels-Not seasonally adjusted'!$M$1216,'[10]Levels-Not seasonally adjusted'!$N$1216,'[10]Levels-Not seasonally adjusted'!$O$1216</definedName>
    <definedName name="S5ACV">'[10]Levels-Not seasonally adjusted'!$B$1215,'[10]Levels-Not seasonally adjusted'!$C$1215,'[10]Levels-Not seasonally adjusted'!$D$1215,'[10]Levels-Not seasonally adjusted'!$E$1215,'[10]Levels-Not seasonally adjusted'!$G$1215,'[10]Levels-Not seasonally adjusted'!$H$1215,'[10]Levels-Not seasonally adjusted'!$I$1215,'[10]Levels-Not seasonally adjusted'!$J$1215,'[10]Levels-Not seasonally adjusted'!$L$1215,'[10]Levels-Not seasonally adjusted'!$M$1215,'[10]Levels-Not seasonally adjusted'!$N$1215,'[10]Levels-Not seasonally adjusted'!$O$1215</definedName>
    <definedName name="S6ACP">'[10]Levels-Not seasonally adjusted'!$B$1457,'[10]Levels-Not seasonally adjusted'!$C$1457,'[10]Levels-Not seasonally adjusted'!$D$1457,'[10]Levels-Not seasonally adjusted'!$E$1457,'[10]Levels-Not seasonally adjusted'!$G$1457,'[10]Levels-Not seasonally adjusted'!$H$1457,'[10]Levels-Not seasonally adjusted'!$I$1457,'[10]Levels-Not seasonally adjusted'!$J$1457,'[10]Levels-Not seasonally adjusted'!$L$1457,'[10]Levels-Not seasonally adjusted'!$M$1457,'[10]Levels-Not seasonally adjusted'!$N$1457,'[10]Levels-Not seasonally adjusted'!$O$1457</definedName>
    <definedName name="S6ACV">'[10]Levels-Not seasonally adjusted'!$B$1456,'[10]Levels-Not seasonally adjusted'!$C$1456,'[10]Levels-Not seasonally adjusted'!$D$1456,'[10]Levels-Not seasonally adjusted'!$E$1456,'[10]Levels-Not seasonally adjusted'!$G$1456,'[10]Levels-Not seasonally adjusted'!$H$1456,'[10]Levels-Not seasonally adjusted'!$I$1456,'[10]Levels-Not seasonally adjusted'!$J$1456,'[10]Levels-Not seasonally adjusted'!$L$1456,'[10]Levels-Not seasonally adjusted'!$M$1456,'[10]Levels-Not seasonally adjusted'!$N$1456,'[10]Levels-Not seasonally adjusted'!$O$1456</definedName>
    <definedName name="S7ACP">'[10]Levels-Not seasonally adjusted'!$B$1700,'[10]Levels-Not seasonally adjusted'!$C$1700,'[10]Levels-Not seasonally adjusted'!$D$1700,'[10]Levels-Not seasonally adjusted'!$E$1700,'[10]Levels-Not seasonally adjusted'!$G$1700,'[10]Levels-Not seasonally adjusted'!$H$1700,'[10]Levels-Not seasonally adjusted'!$I$1700,'[10]Levels-Not seasonally adjusted'!$J$1700,'[10]Levels-Not seasonally adjusted'!$L$1700,'[10]Levels-Not seasonally adjusted'!$M$1700,'[10]Levels-Not seasonally adjusted'!$N$1700,'[10]Levels-Not seasonally adjusted'!$O$1700</definedName>
    <definedName name="S7ACV">'[10]Levels-Not seasonally adjusted'!$B$1699,'[10]Levels-Not seasonally adjusted'!$C$1699,'[10]Levels-Not seasonally adjusted'!$D$1699,'[10]Levels-Not seasonally adjusted'!$E$1699,'[10]Levels-Not seasonally adjusted'!$G$1699,'[10]Levels-Not seasonally adjusted'!$H$1699,'[10]Levels-Not seasonally adjusted'!$I$1699,'[10]Levels-Not seasonally adjusted'!$J$1699,'[10]Levels-Not seasonally adjusted'!$L$1699,'[10]Levels-Not seasonally adjusted'!$M$1699,'[10]Levels-Not seasonally adjusted'!$N$1699,'[10]Levels-Not seasonally adjusted'!$O$1699</definedName>
    <definedName name="S8ACP">'[10]Levels-Not seasonally adjusted'!$B$1941,'[10]Levels-Not seasonally adjusted'!$C$1941,'[10]Levels-Not seasonally adjusted'!$D$1941,'[10]Levels-Not seasonally adjusted'!$E$1941,'[10]Levels-Not seasonally adjusted'!$G$1941,'[10]Levels-Not seasonally adjusted'!$H$1941,'[10]Levels-Not seasonally adjusted'!$I$1941,'[10]Levels-Not seasonally adjusted'!$J$1941,'[10]Levels-Not seasonally adjusted'!$L$1941,'[10]Levels-Not seasonally adjusted'!$M$1941,'[10]Levels-Not seasonally adjusted'!$N$1941,'[10]Levels-Not seasonally adjusted'!$O$1941</definedName>
    <definedName name="S8ACV">'[10]Levels-Not seasonally adjusted'!$B$1940,'[10]Levels-Not seasonally adjusted'!$C$1940,'[10]Levels-Not seasonally adjusted'!$D$1940,'[10]Levels-Not seasonally adjusted'!$E$1940,'[10]Levels-Not seasonally adjusted'!$G$1940,'[10]Levels-Not seasonally adjusted'!$H$1940,'[10]Levels-Not seasonally adjusted'!$I$1940,'[10]Levels-Not seasonally adjusted'!$J$1940,'[10]Levels-Not seasonally adjusted'!$L$1940,'[10]Levels-Not seasonally adjusted'!$M$1940,'[10]Levels-Not seasonally adjusted'!$N$1940,'[10]Levels-Not seasonally adjusted'!$O$1940</definedName>
    <definedName name="S9ACP">'[10]Levels-Not seasonally adjusted'!$B$2182,'[10]Levels-Not seasonally adjusted'!$C$2182,'[10]Levels-Not seasonally adjusted'!$D$2182,'[10]Levels-Not seasonally adjusted'!$E$2182,'[10]Levels-Not seasonally adjusted'!$G$2182,'[10]Levels-Not seasonally adjusted'!$H$2182,'[10]Levels-Not seasonally adjusted'!$I$2182,'[10]Levels-Not seasonally adjusted'!$J$2182,'[10]Levels-Not seasonally adjusted'!$L$2182,'[10]Levels-Not seasonally adjusted'!$M$2182,'[10]Levels-Not seasonally adjusted'!$N$2182,'[10]Levels-Not seasonally adjusted'!$O$2182</definedName>
    <definedName name="S9ACV">'[10]Levels-Not seasonally adjusted'!$B$2181,'[10]Levels-Not seasonally adjusted'!$C$2181,'[10]Levels-Not seasonally adjusted'!$D$2181,'[10]Levels-Not seasonally adjusted'!$E$2181,'[10]Levels-Not seasonally adjusted'!$G$2181,'[10]Levels-Not seasonally adjusted'!$H$2181,'[10]Levels-Not seasonally adjusted'!$I$2181,'[10]Levels-Not seasonally adjusted'!$J$2181,'[10]Levels-Not seasonally adjusted'!$L$2181,'[10]Levels-Not seasonally adjusted'!$M$2181,'[10]Levels-Not seasonally adjusted'!$N$2181,'[10]Levels-Not seasonally adjusted'!$O$2181</definedName>
    <definedName name="SAStart">'Labour market flows SA'!$B$8</definedName>
    <definedName name="SECT01">#REF!</definedName>
    <definedName name="SECT02">#REF!</definedName>
    <definedName name="SECT03">#REF!</definedName>
    <definedName name="SECT04">#REF!</definedName>
    <definedName name="SECT1">#REF!</definedName>
    <definedName name="SECT2">#REF!</definedName>
    <definedName name="SECT5">#REF!</definedName>
    <definedName name="ShortDate1">#REF!</definedName>
    <definedName name="Table">'[11]Table 13(Basic)'!$A$1:$K$532</definedName>
    <definedName name="TARG001">#REF!</definedName>
    <definedName name="TARG002">#REF!</definedName>
    <definedName name="TARG003">#REF!</definedName>
    <definedName name="TARG004">#REF!</definedName>
    <definedName name="TARG005">#REF!</definedName>
    <definedName name="TARG006">#REF!</definedName>
    <definedName name="TARG007">#REF!</definedName>
    <definedName name="TARG008">#REF!</definedName>
    <definedName name="TARG009">#REF!</definedName>
    <definedName name="TARG010">#REF!</definedName>
    <definedName name="TARG011">#REF!</definedName>
    <definedName name="TARG012">#REF!</definedName>
    <definedName name="TARG013">#REF!</definedName>
    <definedName name="TARG014">#REF!</definedName>
    <definedName name="TARG015">#REF!</definedName>
    <definedName name="TARG016">#REF!</definedName>
    <definedName name="TARG017">#REF!</definedName>
    <definedName name="TARG018">#REF!</definedName>
    <definedName name="TARG019">#REF!</definedName>
    <definedName name="TARG020">#REF!</definedName>
    <definedName name="TARG021">#REF!</definedName>
    <definedName name="TARG022">#REF!</definedName>
    <definedName name="TARG023">#REF!</definedName>
    <definedName name="TARG024">#REF!</definedName>
    <definedName name="TARG025">#REF!</definedName>
    <definedName name="TARG026">#REF!</definedName>
    <definedName name="TARG027">#REF!</definedName>
    <definedName name="TARG028">#REF!</definedName>
    <definedName name="TARG029">#REF!</definedName>
    <definedName name="TARG030">#REF!</definedName>
    <definedName name="TARG031">#REF!</definedName>
    <definedName name="TARG032">#REF!</definedName>
    <definedName name="TARG033">#REF!</definedName>
    <definedName name="TARG034">#REF!</definedName>
    <definedName name="TARG035">#REF!</definedName>
    <definedName name="TARG036">#REF!</definedName>
    <definedName name="TARG037">#REF!</definedName>
    <definedName name="TARG038">#REF!</definedName>
    <definedName name="TARG039">#REF!</definedName>
    <definedName name="TARG040">#REF!</definedName>
    <definedName name="TARG041">#REF!</definedName>
    <definedName name="TARG042">#REF!</definedName>
    <definedName name="TARG043">#REF!</definedName>
    <definedName name="TARG044">#REF!</definedName>
    <definedName name="TARG045">#REF!</definedName>
    <definedName name="TARG046">#REF!</definedName>
    <definedName name="TARG047">#REF!</definedName>
    <definedName name="TARG048">#REF!</definedName>
    <definedName name="TARG049">#REF!</definedName>
    <definedName name="TARG050">#REF!</definedName>
    <definedName name="TARG051">#REF!</definedName>
    <definedName name="TARG052">#REF!</definedName>
    <definedName name="TARG053">#REF!</definedName>
    <definedName name="TARG054">#REF!</definedName>
    <definedName name="TARG055">#REF!</definedName>
    <definedName name="TARG056">#REF!</definedName>
    <definedName name="TARG057">#REF!</definedName>
    <definedName name="TARG058">#REF!</definedName>
    <definedName name="TARG059">#REF!</definedName>
    <definedName name="TARG060">#REF!</definedName>
    <definedName name="TARG061">#REF!</definedName>
    <definedName name="TARG062">#REF!</definedName>
    <definedName name="TARG063">#REF!</definedName>
    <definedName name="TARG064">#REF!</definedName>
    <definedName name="TARG065">#REF!</definedName>
    <definedName name="TARG066">#REF!</definedName>
    <definedName name="TARG067">#REF!</definedName>
    <definedName name="TARG068">#REF!</definedName>
    <definedName name="TARG069">#REF!</definedName>
    <definedName name="TARG070">#REF!</definedName>
    <definedName name="TARG071">#REF!</definedName>
    <definedName name="TARG072">#REF!</definedName>
    <definedName name="TARG073">#REF!</definedName>
    <definedName name="TARG074">#REF!</definedName>
    <definedName name="TARG075">#REF!</definedName>
    <definedName name="TARG076">#REF!</definedName>
    <definedName name="TARG077">#REF!</definedName>
    <definedName name="TARG078">#REF!</definedName>
    <definedName name="TARG079">#REF!</definedName>
    <definedName name="TARG080">#REF!</definedName>
    <definedName name="TARG081">#REF!</definedName>
    <definedName name="TARG082">#REF!</definedName>
    <definedName name="TARG083">#REF!</definedName>
    <definedName name="TARG084">#REF!</definedName>
    <definedName name="TARG085">#REF!</definedName>
    <definedName name="TARG086">#REF!</definedName>
    <definedName name="TARG087">#REF!</definedName>
    <definedName name="TARG088">#REF!</definedName>
    <definedName name="TARG089">#REF!</definedName>
    <definedName name="TARG090">#REF!</definedName>
    <definedName name="TARG091">#REF!</definedName>
    <definedName name="TARG092">#REF!</definedName>
    <definedName name="TARG093">#REF!</definedName>
    <definedName name="TARG094">#REF!</definedName>
    <definedName name="TARG095">#REF!</definedName>
    <definedName name="TARG096">#REF!</definedName>
    <definedName name="TARG097">#REF!</definedName>
    <definedName name="TARG098">#REF!</definedName>
    <definedName name="Trading_Status_Timeseries">[12]!Trading_Status_Timeseries_1[#Data]</definedName>
    <definedName name="unempl_level">[7]Sheet3!$I$5:$M$17</definedName>
    <definedName name="unempl_rate">[7]Sheet3!$I$23:$M$35</definedName>
    <definedName name="vcop1">#REF!</definedName>
    <definedName name="vcop2">#REF!</definedName>
    <definedName name="vcop3">#REF!</definedName>
    <definedName name="vcop4">#REF!</definedName>
    <definedName name="vcop5">#REF!</definedName>
    <definedName name="WorkerFlows">#REF!</definedName>
    <definedName name="_xlnm._FilterDatabase" localSheetId="5" hidden="1">'2'!$A$11:$BM$397</definedName>
    <definedName name="_xlnm.Print_Area" localSheetId="13">'21'!$A$8:$Y$262</definedName>
    <definedName name="female" localSheetId="14">#REF!</definedName>
    <definedName name="male" localSheetId="14">#REF!</definedName>
    <definedName name="people" localSheetId="14">[9]Tab10!#REF!</definedName>
    <definedName name="SECT01" localSheetId="22">'Labour market flows SA'!$B$8</definedName>
    <definedName name="SECT03" localSheetId="22">'[5]Labour market flows hazard rate'!#REF!</definedName>
    <definedName name="ShortDate1" localSheetId="22">'Labour market flows SA'!$B$4</definedName>
    <definedName name="_xlnm.Print_Titles" localSheetId="22">'Labour market flows SA'!$1:$7,'Labour market flows SA'!$B:$B</definedName>
    <definedName name="_xlnm.Print_Area" localSheetId="22">'Labour market flows SA'!$B$1:$AB$46</definedName>
  </definedNames>
  <calcPr calcId="191028" fullCalcOnLoad="1"/>
</workbook>
</file>

<file path=xl/styles.xml><?xml version="1.0" encoding="utf-8"?>
<styleSheet xmlns="http://schemas.openxmlformats.org/spreadsheetml/2006/main">
  <numFmts count="15">
    <numFmt numFmtId="164" formatCode="#,###,"/>
    <numFmt numFmtId="165" formatCode="&quot;£&quot;#,##0"/>
    <numFmt numFmtId="166" formatCode="#,###"/>
    <numFmt numFmtId="167" formatCode="0.0"/>
    <numFmt numFmtId="168" formatCode="#,##0.0"/>
    <numFmt numFmtId="169" formatCode="#,##0,"/>
    <numFmt numFmtId="170" formatCode="mmmm\ yyyy"/>
    <numFmt numFmtId="171" formatCode="mmm\ yy"/>
    <numFmt numFmtId="172" formatCode="0.0%"/>
    <numFmt numFmtId="173" formatCode="_-* #,##0_-;\-* #,##0_-;_-* &quot;-&quot;??_-;_-@_-"/>
    <numFmt numFmtId="174" formatCode="[$-F800]dddd\,\ mmmm\ dd\,\ yyyy"/>
    <numFmt numFmtId="175" formatCode="#,##0.00,"/>
    <numFmt numFmtId="176" formatCode="0.000"/>
    <numFmt numFmtId="177" formatCode="\E\ \ \ #,##0.0;\E\ \ \ \-#,##0.0"/>
    <numFmt numFmtId="178" formatCode="_-* #,##0.00_-;\-* #,##0.00_-;_-* &quot;-&quot;??_-;_-@_-"/>
  </numFmts>
  <fonts count="144">
    <font>
      <name val="Calibri"/>
      <family val="2"/>
      <color theme="1"/>
      <sz val="11"/>
      <scheme val="minor"/>
    </font>
    <font>
      <name val="Calibri"/>
      <family val="2"/>
      <color theme="1"/>
      <sz val="11"/>
      <scheme val="minor"/>
    </font>
    <font>
      <name val="Calibri"/>
      <family val="2"/>
      <color rgb="FF006100"/>
      <sz val="11"/>
      <scheme val="minor"/>
    </font>
    <font>
      <name val="Calibri"/>
      <family val="2"/>
      <color rgb="FF9C0006"/>
      <sz val="11"/>
      <scheme val="minor"/>
    </font>
    <font>
      <name val="Calibri"/>
      <family val="2"/>
      <b val="1"/>
      <color theme="1"/>
      <sz val="11"/>
      <scheme val="minor"/>
    </font>
    <font>
      <name val="Arial"/>
      <family val="2"/>
      <b val="1"/>
      <color rgb="FFFFFFFF"/>
      <sz val="10"/>
    </font>
    <font>
      <name val="Calibri"/>
      <family val="2"/>
      <color rgb="FF000000"/>
      <sz val="11"/>
      <scheme val="minor"/>
    </font>
    <font>
      <name val="Calibri"/>
      <family val="2"/>
      <b val="1"/>
      <color theme="0" tint="-0.1499984740745262"/>
      <sz val="11"/>
      <scheme val="minor"/>
    </font>
    <font>
      <name val="Calibri"/>
      <family val="2"/>
      <color theme="0" tint="-0.1499984740745262"/>
      <sz val="11"/>
      <scheme val="minor"/>
    </font>
    <font>
      <name val="Arial"/>
      <family val="2"/>
      <b val="1"/>
      <i val="1"/>
      <color theme="0"/>
      <sz val="10"/>
    </font>
    <font>
      <name val="Arial"/>
      <family val="2"/>
      <b val="1"/>
      <i val="1"/>
      <color rgb="FFFFFFFF"/>
      <sz val="10"/>
    </font>
    <font>
      <name val="Arial"/>
      <family val="2"/>
      <b val="1"/>
      <i val="1"/>
      <color rgb="FF000000"/>
      <sz val="10"/>
    </font>
    <font>
      <name val="Arial"/>
      <family val="2"/>
      <b val="1"/>
      <color theme="1"/>
      <sz val="11"/>
    </font>
    <font>
      <name val="Arial"/>
      <family val="2"/>
      <color theme="1"/>
      <sz val="11"/>
    </font>
    <font>
      <name val="Arial"/>
      <family val="2"/>
      <b val="1"/>
      <i val="1"/>
      <sz val="10"/>
    </font>
    <font>
      <name val="Arial"/>
      <family val="2"/>
      <i val="1"/>
      <color rgb="FF000000"/>
      <sz val="10"/>
    </font>
    <font>
      <name val="Arial"/>
      <family val="2"/>
      <b val="1"/>
      <color rgb="FF000000"/>
      <sz val="10"/>
    </font>
    <font>
      <name val="Arial"/>
      <family val="2"/>
      <b val="1"/>
      <i val="1"/>
      <color rgb="FF000000"/>
      <sz val="10"/>
      <u val="single"/>
    </font>
    <font>
      <name val="Arial"/>
      <family val="2"/>
      <color rgb="FF000000"/>
      <sz val="11"/>
    </font>
    <font>
      <name val="Calibri"/>
      <family val="2"/>
      <b val="1"/>
      <sz val="11"/>
    </font>
    <font>
      <name val="Calibri"/>
      <family val="2"/>
      <color indexed="8"/>
      <sz val="11"/>
      <scheme val="minor"/>
    </font>
    <font>
      <name val="Calibri"/>
      <family val="2"/>
      <sz val="8"/>
      <scheme val="minor"/>
    </font>
    <font>
      <name val="Arial"/>
      <family val="2"/>
      <sz val="10"/>
    </font>
    <font>
      <name val="Arial"/>
      <family val="2"/>
      <b val="1"/>
      <sz val="12"/>
    </font>
    <font>
      <name val="Arial"/>
      <family val="2"/>
      <b val="1"/>
      <color theme="9" tint="-0.249977111117893"/>
      <sz val="12"/>
    </font>
    <font>
      <name val="Arial"/>
      <family val="2"/>
      <color indexed="12"/>
      <sz val="10"/>
      <u val="single"/>
    </font>
    <font>
      <name val="Arial"/>
      <family val="2"/>
      <sz val="12"/>
    </font>
    <font>
      <name val="Arial"/>
      <family val="2"/>
      <b val="1"/>
      <sz val="10"/>
    </font>
    <font>
      <name val="Arial"/>
      <family val="2"/>
      <i val="1"/>
      <sz val="10"/>
    </font>
    <font>
      <name val="Arial"/>
      <family val="2"/>
      <b val="1"/>
      <sz val="12"/>
      <vertAlign val="superscript"/>
    </font>
    <font>
      <name val="Arial"/>
      <family val="2"/>
      <sz val="14"/>
    </font>
    <font>
      <name val="Arial"/>
      <family val="2"/>
      <sz val="8"/>
    </font>
    <font>
      <name val="Arial"/>
      <family val="2"/>
      <b val="1"/>
      <color theme="1"/>
      <sz val="12"/>
    </font>
    <font>
      <name val="Arial"/>
      <family val="2"/>
      <b val="1"/>
      <sz val="8"/>
    </font>
    <font>
      <name val="Arial"/>
      <family val="2"/>
      <sz val="9"/>
    </font>
    <font>
      <name val="Arial"/>
      <family val="2"/>
      <sz val="7"/>
    </font>
    <font>
      <name val="Arial"/>
      <family val="2"/>
      <sz val="7"/>
      <vertAlign val="superscript"/>
    </font>
    <font>
      <name val="Arial"/>
      <family val="2"/>
      <i val="1"/>
      <sz val="7"/>
    </font>
    <font>
      <name val="Arial"/>
      <family val="2"/>
      <color indexed="8"/>
      <sz val="7"/>
    </font>
    <font>
      <name val="Arial"/>
      <family val="2"/>
      <color indexed="10"/>
      <sz val="10"/>
    </font>
    <font>
      <name val="Arial"/>
      <family val="2"/>
      <b val="1"/>
      <color indexed="10"/>
      <sz val="12"/>
    </font>
    <font>
      <name val="Arial"/>
      <family val="2"/>
      <sz val="16"/>
    </font>
    <font>
      <name val="Calibri"/>
      <family val="2"/>
      <sz val="11"/>
      <scheme val="minor"/>
    </font>
    <font>
      <name val="Calibri"/>
      <family val="2"/>
      <color theme="1"/>
      <sz val="10"/>
      <scheme val="minor"/>
    </font>
    <font>
      <name val="Arial"/>
      <family val="2"/>
      <color theme="1"/>
      <sz val="12"/>
    </font>
    <font>
      <name val="Arial"/>
      <family val="2"/>
      <sz val="6"/>
    </font>
    <font>
      <name val="Arial"/>
      <family val="2"/>
      <sz val="22"/>
    </font>
    <font>
      <name val="Arial"/>
      <family val="2"/>
      <b val="1"/>
      <sz val="7"/>
    </font>
    <font>
      <name val="Arial"/>
      <family val="2"/>
      <sz val="10"/>
      <vertAlign val="superscript"/>
    </font>
    <font>
      <name val="Calibri"/>
      <family val="2"/>
      <color rgb="FFFF0000"/>
      <sz val="11"/>
      <scheme val="minor"/>
    </font>
    <font>
      <name val="Arial"/>
      <family val="2"/>
      <sz val="10"/>
    </font>
    <font>
      <name val="Calibri"/>
      <family val="2"/>
      <b val="1"/>
      <color rgb="FF000000"/>
      <sz val="11"/>
    </font>
    <font>
      <name val="Calibri"/>
      <family val="2"/>
      <color rgb="FF000000"/>
      <sz val="11"/>
    </font>
    <font>
      <name val="Arial"/>
      <family val="2"/>
      <color rgb="FF000000"/>
      <sz val="10"/>
    </font>
    <font>
      <name val="Arial"/>
      <family val="2"/>
      <b val="1"/>
      <sz val="14"/>
    </font>
    <font>
      <name val="Arial"/>
      <family val="2"/>
      <i val="1"/>
      <sz val="8"/>
    </font>
    <font>
      <name val="Arial"/>
      <family val="2"/>
      <i val="1"/>
      <sz val="12"/>
    </font>
    <font>
      <name val="Arial"/>
      <family val="2"/>
      <color indexed="12"/>
      <sz val="12"/>
      <u val="single"/>
    </font>
    <font>
      <name val="Arial"/>
      <family val="2"/>
      <b val="1"/>
      <i val="1"/>
      <sz val="12"/>
    </font>
    <font>
      <name val="Arial"/>
      <family val="2"/>
      <b val="1"/>
      <color rgb="FFFF0000"/>
      <sz val="10"/>
    </font>
    <font>
      <name val="Arial"/>
      <family val="2"/>
      <b val="1"/>
      <color rgb="FF323132"/>
      <sz val="11"/>
    </font>
    <font>
      <name val="Arial"/>
      <family val="2"/>
      <b val="1"/>
      <color indexed="8"/>
      <sz val="10"/>
    </font>
    <font>
      <name val="Arial"/>
      <family val="2"/>
      <color theme="1"/>
      <sz val="10"/>
    </font>
    <font>
      <name val="Arial"/>
      <family val="2"/>
      <color indexed="8"/>
      <sz val="10"/>
    </font>
    <font>
      <name val="Arial"/>
      <family val="2"/>
      <sz val="10"/>
    </font>
    <font>
      <name val="Calibri"/>
      <family val="2"/>
      <color theme="1"/>
      <sz val="11"/>
    </font>
    <font>
      <name val="Arial"/>
      <family val="2"/>
      <color theme="10"/>
      <sz val="12"/>
      <u val="single"/>
    </font>
    <font>
      <name val="Calibri"/>
      <family val="2"/>
      <sz val="11"/>
    </font>
    <font>
      <name val="Arial"/>
      <family val="2"/>
      <b val="1"/>
      <color rgb="FFFF0000"/>
      <sz val="7"/>
    </font>
    <font>
      <name val="Arial"/>
      <family val="2"/>
      <color indexed="8"/>
      <sz val="12"/>
    </font>
    <font>
      <name val="Calibri"/>
      <family val="2"/>
      <color theme="1"/>
      <sz val="12"/>
      <scheme val="minor"/>
    </font>
    <font>
      <name val="Calibri"/>
      <family val="2"/>
      <i val="1"/>
      <sz val="11"/>
    </font>
    <font>
      <name val="Calibri"/>
      <family val="2"/>
      <color theme="10"/>
      <sz val="11"/>
      <u val="single"/>
    </font>
    <font>
      <name val="Arial"/>
      <family val="2"/>
      <color theme="10"/>
      <sz val="10"/>
      <u val="single"/>
    </font>
    <font>
      <name val="Calibri"/>
      <family val="2"/>
      <b val="1"/>
      <color theme="3"/>
      <sz val="13"/>
      <scheme val="minor"/>
    </font>
    <font>
      <name val="Arial"/>
      <family val="2"/>
      <color indexed="30"/>
      <sz val="10"/>
      <u val="single"/>
    </font>
    <font>
      <name val="Calibri Light"/>
      <family val="2"/>
      <color theme="3"/>
      <sz val="18"/>
      <scheme val="major"/>
    </font>
    <font>
      <name val="Arial"/>
      <family val="2"/>
      <color rgb="FFFF0000"/>
      <sz val="12"/>
    </font>
    <font>
      <name val="Arial"/>
      <family val="2"/>
      <b val="1"/>
      <color theme="3"/>
      <sz val="15"/>
    </font>
    <font>
      <name val="Arial"/>
      <family val="2"/>
      <b val="1"/>
      <color theme="3"/>
      <sz val="13"/>
    </font>
    <font>
      <name val="Arial"/>
      <family val="2"/>
      <b val="1"/>
      <color theme="3"/>
      <sz val="11"/>
    </font>
    <font>
      <name val="Arial"/>
      <family val="2"/>
      <color rgb="FF006100"/>
      <sz val="12"/>
    </font>
    <font>
      <name val="Arial"/>
      <family val="2"/>
      <color rgb="FF9C0006"/>
      <sz val="12"/>
    </font>
    <font>
      <name val="Arial"/>
      <family val="2"/>
      <color rgb="FF9C5700"/>
      <sz val="12"/>
    </font>
    <font>
      <name val="Arial"/>
      <family val="2"/>
      <color rgb="FF3F3F76"/>
      <sz val="12"/>
    </font>
    <font>
      <name val="Arial"/>
      <family val="2"/>
      <b val="1"/>
      <color rgb="FF3F3F3F"/>
      <sz val="12"/>
    </font>
    <font>
      <name val="Arial"/>
      <family val="2"/>
      <b val="1"/>
      <color rgb="FFFA7D00"/>
      <sz val="12"/>
    </font>
    <font>
      <name val="Arial"/>
      <family val="2"/>
      <color rgb="FFFA7D00"/>
      <sz val="12"/>
    </font>
    <font>
      <name val="Arial"/>
      <family val="2"/>
      <b val="1"/>
      <color theme="0"/>
      <sz val="12"/>
    </font>
    <font>
      <name val="Arial"/>
      <family val="2"/>
      <i val="1"/>
      <color rgb="FF7F7F7F"/>
      <sz val="12"/>
    </font>
    <font>
      <name val="Arial"/>
      <family val="2"/>
      <color theme="0"/>
      <sz val="12"/>
    </font>
    <font>
      <name val="Arial"/>
      <family val="2"/>
      <color rgb="FF000000"/>
      <sz val="12"/>
    </font>
    <font>
      <name val="Arial"/>
      <family val="2"/>
      <b val="1"/>
      <color rgb="FF000000"/>
      <sz val="14"/>
    </font>
    <font>
      <name val="Arial"/>
      <family val="2"/>
      <b val="1"/>
      <color rgb="FF000000"/>
      <sz val="12"/>
    </font>
    <font>
      <name val="Arial"/>
      <family val="2"/>
      <b val="1"/>
      <sz val="12"/>
      <u val="single"/>
    </font>
    <font>
      <name val="Calibri"/>
      <family val="2"/>
      <color theme="10"/>
      <sz val="11"/>
      <u val="single"/>
      <scheme val="minor"/>
    </font>
    <font>
      <name val="Calibri"/>
      <family val="2"/>
      <b val="1"/>
      <color theme="3"/>
      <sz val="15"/>
      <scheme val="minor"/>
    </font>
    <font>
      <name val="Calibri"/>
      <family val="2"/>
      <b val="1"/>
      <color theme="3"/>
      <sz val="11"/>
      <scheme val="minor"/>
    </font>
    <font>
      <name val="Calibri"/>
      <family val="2"/>
      <color rgb="FF9C57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i val="1"/>
      <color rgb="FF7F7F7F"/>
      <sz val="11"/>
      <scheme val="minor"/>
    </font>
    <font>
      <name val="Calibri"/>
      <family val="2"/>
      <color theme="0"/>
      <sz val="11"/>
      <scheme val="minor"/>
    </font>
    <font>
      <name val="Arial"/>
      <family val="2"/>
      <sz val="10"/>
    </font>
    <font>
      <name val="Calibri"/>
      <family val="2"/>
      <b val="1"/>
      <color indexed="8"/>
      <sz val="11"/>
      <scheme val="minor"/>
    </font>
    <font>
      <name val="Arial"/>
      <family val="2"/>
      <color theme="0"/>
      <sz val="10"/>
    </font>
    <font>
      <name val="Arial"/>
      <family val="2"/>
      <b val="1"/>
      <color theme="0"/>
      <sz val="10"/>
    </font>
    <font>
      <name val="Calibri"/>
      <family val="2"/>
      <b val="1"/>
      <color theme="0"/>
      <sz val="10"/>
      <scheme val="minor"/>
    </font>
    <font>
      <name val="Arial"/>
      <family val="2"/>
      <color theme="0"/>
      <sz val="10"/>
      <vertAlign val="superscript"/>
    </font>
    <font>
      <name val="Arial"/>
      <family val="2"/>
      <color theme="0"/>
      <sz val="7"/>
    </font>
    <font>
      <name val="Arial"/>
      <family val="2"/>
      <color theme="0"/>
      <sz val="7"/>
      <vertAlign val="superscript"/>
    </font>
    <font>
      <name val="Arial"/>
      <family val="2"/>
      <b val="1"/>
      <color theme="0"/>
      <sz val="7"/>
    </font>
    <font>
      <name val="Arial"/>
      <family val="2"/>
      <b val="1"/>
      <color theme="0"/>
      <sz val="7"/>
      <vertAlign val="superscript"/>
    </font>
    <font>
      <name val="Arial"/>
      <family val="2"/>
      <b val="1"/>
      <i val="1"/>
      <color theme="0"/>
      <sz val="7"/>
    </font>
    <font>
      <name val="Arial"/>
      <family val="2"/>
      <sz val="10"/>
    </font>
    <font>
      <name val="Arial"/>
      <family val="2"/>
      <b val="1"/>
      <sz val="10"/>
      <vertAlign val="superscript"/>
    </font>
    <font>
      <name val="Arial"/>
      <family val="2"/>
      <b val="1"/>
      <sz val="16"/>
    </font>
    <font>
      <name val="Calibri"/>
      <family val="2"/>
      <b val="1"/>
      <color theme="1"/>
      <sz val="11"/>
      <u val="single"/>
      <scheme val="minor"/>
    </font>
    <font>
      <name val="Arial"/>
      <family val="2"/>
      <b val="1"/>
      <color theme="1"/>
      <sz val="11"/>
    </font>
    <font>
      <name val="Arial"/>
      <family val="2"/>
      <color theme="1"/>
      <sz val="11"/>
    </font>
    <font>
      <name val="Arial"/>
      <family val="2"/>
      <b val="1"/>
      <color theme="0"/>
      <sz val="10"/>
    </font>
    <font>
      <name val="Arial"/>
      <family val="2"/>
      <b val="1"/>
      <sz val="10"/>
    </font>
    <font>
      <name val="Calibri"/>
      <family val="2"/>
      <b val="1"/>
      <sz val="11"/>
      <scheme val="minor"/>
    </font>
    <font>
      <name val="Arial"/>
      <family val="2"/>
      <b val="1"/>
      <color rgb="FFFFFFFF"/>
      <sz val="12"/>
    </font>
    <font>
      <name val="Arial"/>
      <family val="2"/>
      <b val="1"/>
      <color rgb="FFFFFFFF"/>
      <sz val="12"/>
      <vertAlign val="superscript"/>
    </font>
    <font>
      <name val="Calibri"/>
      <family val="2"/>
      <b val="1"/>
      <color rgb="FFFFFFFF"/>
      <sz val="11"/>
    </font>
    <font>
      <name val="Calibri"/>
      <family val="2"/>
      <color rgb="FFFFFFFF"/>
      <sz val="11"/>
    </font>
    <font>
      <name val="Calibri"/>
      <family val="2"/>
      <color rgb="FF0563C1"/>
      <sz val="11"/>
      <u val="single"/>
    </font>
    <font>
      <name val="Arial"/>
      <family val="2"/>
      <color theme="1"/>
      <sz val="16"/>
    </font>
    <font>
      <name val="Arial"/>
      <sz val="10"/>
    </font>
    <font>
      <name val="Arial"/>
      <b val="1"/>
      <sz val="10"/>
    </font>
    <font>
      <name val="Arial"/>
      <color indexed="8"/>
      <sz val="10"/>
    </font>
    <font>
      <name val="Arial"/>
      <b val="1"/>
      <color indexed="8"/>
      <sz val="10"/>
    </font>
    <font>
      <name val="Calibri"/>
      <sz val="12"/>
    </font>
    <font>
      <name val="Calibri"/>
      <sz val="11"/>
    </font>
    <font>
      <name val="Arial"/>
      <sz val="12"/>
    </font>
    <font>
      <name val="Arial"/>
      <b val="1"/>
      <i val="1"/>
      <sz val="10"/>
    </font>
    <font>
      <name val="Arial"/>
      <i val="1"/>
      <sz val="10"/>
    </font>
    <font>
      <name val="Arial"/>
      <b val="1"/>
      <sz val="12"/>
    </font>
    <font>
      <name val="Arial"/>
      <color theme="1"/>
      <sz val="12"/>
    </font>
    <font>
      <b val="1"/>
      <color rgb="000000FF"/>
    </font>
  </fonts>
  <fills count="52">
    <fill>
      <patternFill/>
    </fill>
    <fill>
      <patternFill patternType="gray125"/>
    </fill>
    <fill>
      <patternFill patternType="solid">
        <fgColor rgb="FFC6EFCE"/>
      </patternFill>
    </fill>
    <fill>
      <patternFill patternType="solid">
        <fgColor rgb="FFFFC7CE"/>
      </patternFill>
    </fill>
    <fill>
      <patternFill patternType="solid">
        <fgColor rgb="FF366092"/>
        <bgColor rgb="FF000000"/>
      </patternFill>
    </fill>
    <fill>
      <patternFill patternType="solid">
        <fgColor theme="4" tint="-0.249977111117893"/>
        <bgColor indexed="64"/>
      </patternFill>
    </fill>
    <fill>
      <patternFill patternType="solid">
        <fgColor rgb="FFFFFF00"/>
        <bgColor indexed="64"/>
      </patternFill>
    </fill>
    <fill>
      <patternFill patternType="solid">
        <fgColor rgb="FFFFFFFF"/>
        <bgColor indexed="64"/>
      </patternFill>
    </fill>
    <fill>
      <patternFill patternType="solid">
        <fgColor theme="0" tint="-0.249977111117893"/>
        <bgColor indexed="64"/>
      </patternFill>
    </fill>
    <fill>
      <patternFill patternType="solid">
        <fgColor theme="0"/>
        <bgColor indexed="64"/>
      </patternFill>
    </fill>
    <fill>
      <patternFill patternType="solid">
        <fgColor rgb="FFFFFFCC"/>
      </patternFill>
    </fill>
    <fill>
      <patternFill patternType="solid">
        <fgColor indexed="43"/>
        <bgColor indexed="64"/>
      </patternFill>
    </fill>
    <fill>
      <patternFill patternType="solid">
        <fgColor indexed="44"/>
        <bgColor indexed="64"/>
      </patternFill>
    </fill>
    <fill>
      <patternFill patternType="solid">
        <fgColor indexed="20"/>
        <bgColor indexed="64"/>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FF002060"/>
        <bgColor indexed="64"/>
      </patternFill>
    </fill>
    <fill>
      <patternFill patternType="solid">
        <fgColor theme="1"/>
        <bgColor indexed="64"/>
      </patternFill>
    </fill>
    <fill>
      <patternFill patternType="solid">
        <fgColor theme="8" tint="0.7999816888943144"/>
        <bgColor indexed="64"/>
      </patternFill>
    </fill>
    <fill>
      <patternFill patternType="solid">
        <fgColor theme="0" tint="-0.0499893185216834"/>
        <bgColor indexed="64"/>
      </patternFill>
    </fill>
    <fill>
      <patternFill patternType="solid">
        <fgColor theme="4" tint="0.7999816888943144"/>
        <bgColor indexed="64"/>
      </patternFill>
    </fill>
    <fill>
      <patternFill patternType="solid">
        <fgColor rgb="FF00285F"/>
        <bgColor indexed="64"/>
      </patternFill>
    </fill>
    <fill>
      <patternFill patternType="solid">
        <fgColor rgb="FF0549AB"/>
      </patternFill>
    </fill>
    <fill>
      <patternFill patternType="solid">
        <fgColor rgb="FFE2F2FB"/>
      </patternFill>
    </fill>
    <fill>
      <patternFill patternType="solid">
        <fgColor rgb="FFF1F1F1"/>
      </patternFill>
    </fill>
    <fill>
      <patternFill patternType="solid">
        <fgColor rgb="00FFFF00"/>
        <bgColor rgb="00FFFF00"/>
      </patternFill>
    </fill>
  </fills>
  <borders count="62">
    <border>
      <left/>
      <right/>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right/>
      <top/>
      <bottom style="thin">
        <color rgb="FF000000"/>
      </bottom>
      <diagonal/>
    </border>
    <border>
      <left/>
      <right/>
      <top/>
      <bottom style="medium">
        <color indexed="64"/>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thin">
        <color indexed="64"/>
      </right>
      <top/>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medium">
        <color indexed="64"/>
      </top>
      <bottom style="thin">
        <color indexed="64"/>
      </bottom>
      <diagonal/>
    </border>
    <border>
      <left/>
      <right/>
      <top style="thin">
        <color indexed="64"/>
      </top>
      <bottom/>
      <diagonal/>
    </border>
    <border>
      <left/>
      <right/>
      <top style="thin">
        <color indexed="64"/>
      </top>
      <bottom style="thin">
        <color indexed="64"/>
      </bottom>
      <diagonal/>
    </border>
    <border>
      <left style="medium">
        <color indexed="64"/>
      </left>
      <right style="medium">
        <color indexed="64"/>
      </right>
      <top/>
      <bottom/>
      <diagonal/>
    </border>
    <border>
      <left/>
      <right style="medium">
        <color indexed="64"/>
      </right>
      <top/>
      <bottom/>
      <diagonal/>
    </border>
    <border>
      <left style="thin">
        <color indexed="64"/>
      </left>
      <right style="thin">
        <color indexed="64"/>
      </right>
      <top/>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indexed="0"/>
      </left>
      <right style="thin">
        <color indexed="0"/>
      </right>
      <top style="thin">
        <color indexed="0"/>
      </top>
      <bottom style="thin">
        <color indexed="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top style="mediumDashed">
        <color indexed="64"/>
      </top>
      <bottom/>
      <diagonal/>
    </border>
    <border>
      <left/>
      <right/>
      <top/>
      <bottom style="mediumDashed">
        <color indexed="64"/>
      </bottom>
      <diagonal/>
    </border>
    <border>
      <left/>
      <right style="thin">
        <color indexed="64"/>
      </right>
      <top style="thin">
        <color indexed="64"/>
      </top>
      <bottom/>
      <diagonal/>
    </border>
    <border>
      <left style="medium">
        <color indexed="64"/>
      </left>
      <right/>
      <top/>
      <bottom/>
      <diagonal/>
    </border>
    <border>
      <left style="thin">
        <color indexed="64"/>
      </left>
      <right style="thin">
        <color indexed="64"/>
      </right>
      <top style="medium">
        <color indexed="64"/>
      </top>
      <bottom/>
      <diagonal/>
    </border>
  </borders>
  <cellStyleXfs count="1574">
    <xf numFmtId="0" fontId="1" fillId="0" borderId="0"/>
    <xf numFmtId="9" fontId="1" fillId="0" borderId="0"/>
    <xf numFmtId="0" fontId="2" fillId="2" borderId="0"/>
    <xf numFmtId="0" fontId="3" fillId="3" borderId="0"/>
    <xf numFmtId="9" fontId="1" fillId="0" borderId="0"/>
    <xf numFmtId="43" fontId="1" fillId="0" borderId="0"/>
    <xf numFmtId="0" fontId="20" fillId="0" borderId="0"/>
    <xf numFmtId="0" fontId="117" fillId="0" borderId="0"/>
    <xf numFmtId="0" fontId="117" fillId="0" borderId="0"/>
    <xf numFmtId="0" fontId="25" fillId="0" borderId="0" applyAlignment="1" applyProtection="1">
      <alignment vertical="top"/>
      <protection locked="0" hidden="0"/>
    </xf>
    <xf numFmtId="43" fontId="117" fillId="0" borderId="0"/>
    <xf numFmtId="0" fontId="1" fillId="0" borderId="0"/>
    <xf numFmtId="0" fontId="117" fillId="0" borderId="0"/>
    <xf numFmtId="0" fontId="117" fillId="0" borderId="0"/>
    <xf numFmtId="0" fontId="117" fillId="0" borderId="0"/>
    <xf numFmtId="0" fontId="117" fillId="0" borderId="0"/>
    <xf numFmtId="0" fontId="117" fillId="0" borderId="0"/>
    <xf numFmtId="0" fontId="1" fillId="0" borderId="0"/>
    <xf numFmtId="0" fontId="117" fillId="0" borderId="0"/>
    <xf numFmtId="0" fontId="117" fillId="0" borderId="0"/>
    <xf numFmtId="0" fontId="117" fillId="0" borderId="0"/>
    <xf numFmtId="0" fontId="117" fillId="0" borderId="0"/>
    <xf numFmtId="0" fontId="117" fillId="0" borderId="0"/>
    <xf numFmtId="0" fontId="44" fillId="0" borderId="0"/>
    <xf numFmtId="43" fontId="44" fillId="0" borderId="0"/>
    <xf numFmtId="43" fontId="1" fillId="0" borderId="0"/>
    <xf numFmtId="0" fontId="117" fillId="0" borderId="0"/>
    <xf numFmtId="0" fontId="53" fillId="0" borderId="0"/>
    <xf numFmtId="0" fontId="117" fillId="0" borderId="0"/>
    <xf numFmtId="0" fontId="117" fillId="0" borderId="0"/>
    <xf numFmtId="0" fontId="66" fillId="0" borderId="0"/>
    <xf numFmtId="0" fontId="117" fillId="0" borderId="0"/>
    <xf numFmtId="0" fontId="35" fillId="0" borderId="0"/>
    <xf numFmtId="0" fontId="117" fillId="0" borderId="0"/>
    <xf numFmtId="0" fontId="117" fillId="11" borderId="0" applyProtection="1">
      <protection locked="0" hidden="0"/>
    </xf>
    <xf numFmtId="0" fontId="117" fillId="11" borderId="0" applyProtection="1">
      <protection locked="0" hidden="0"/>
    </xf>
    <xf numFmtId="0" fontId="117" fillId="12" borderId="21" applyAlignment="1" applyProtection="1">
      <alignment horizontal="center" vertical="center"/>
      <protection locked="0" hidden="0"/>
    </xf>
    <xf numFmtId="0" fontId="117" fillId="12" borderId="21" applyAlignment="1" applyProtection="1">
      <alignment horizontal="center" vertical="center"/>
      <protection locked="0" hidden="0"/>
    </xf>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3" fontId="117" fillId="0" borderId="0"/>
    <xf numFmtId="3" fontId="117" fillId="0" borderId="0"/>
    <xf numFmtId="3" fontId="117" fillId="0" borderId="0"/>
    <xf numFmtId="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0" fontId="117" fillId="13" borderId="0" applyProtection="1">
      <protection locked="0" hidden="0"/>
    </xf>
    <xf numFmtId="0" fontId="117" fillId="13" borderId="0" applyProtection="1">
      <protection locked="0" hidden="0"/>
    </xf>
    <xf numFmtId="0" fontId="124" fillId="12" borderId="0" applyAlignment="1" applyProtection="1">
      <alignment vertical="center"/>
      <protection locked="0" hidden="0"/>
    </xf>
    <xf numFmtId="0" fontId="124" fillId="0" borderId="0" applyProtection="1">
      <protection locked="0" hidden="0"/>
    </xf>
    <xf numFmtId="0" fontId="54" fillId="0" borderId="0" applyProtection="1">
      <protection locked="0" hidden="0"/>
    </xf>
    <xf numFmtId="0" fontId="124" fillId="0" borderId="0"/>
    <xf numFmtId="0" fontId="124" fillId="0" borderId="0"/>
    <xf numFmtId="0" fontId="72" fillId="0" borderId="0" applyAlignment="1" applyProtection="1">
      <alignment vertical="top"/>
      <protection locked="0" hidden="0"/>
    </xf>
    <xf numFmtId="0" fontId="73" fillId="0" borderId="0" applyAlignment="1" applyProtection="1">
      <alignment vertical="top"/>
      <protection locked="0" hidden="0"/>
    </xf>
    <xf numFmtId="0" fontId="117" fillId="0" borderId="0"/>
    <xf numFmtId="0" fontId="117" fillId="0" borderId="0"/>
    <xf numFmtId="0" fontId="117" fillId="0" borderId="0"/>
    <xf numFmtId="0" fontId="117" fillId="0" borderId="0"/>
    <xf numFmtId="0" fontId="117" fillId="0" borderId="0"/>
    <xf numFmtId="0" fontId="117" fillId="0" borderId="0"/>
    <xf numFmtId="0" fontId="117" fillId="0" borderId="0"/>
    <xf numFmtId="0" fontId="117" fillId="0" borderId="0"/>
    <xf numFmtId="0" fontId="117" fillId="0" borderId="0"/>
    <xf numFmtId="0" fontId="35" fillId="0" borderId="0"/>
    <xf numFmtId="0" fontId="117" fillId="0" borderId="0"/>
    <xf numFmtId="0" fontId="117" fillId="0" borderId="0"/>
    <xf numFmtId="0" fontId="117" fillId="0" borderId="0"/>
    <xf numFmtId="0" fontId="117" fillId="0" borderId="0"/>
    <xf numFmtId="0" fontId="117" fillId="0" borderId="0"/>
    <xf numFmtId="0" fontId="117" fillId="0" borderId="0"/>
    <xf numFmtId="0" fontId="117" fillId="0" borderId="0"/>
    <xf numFmtId="0" fontId="117" fillId="0" borderId="0"/>
    <xf numFmtId="0" fontId="117" fillId="0" borderId="0"/>
    <xf numFmtId="0" fontId="1" fillId="10" borderId="31"/>
    <xf numFmtId="9" fontId="117" fillId="0" borderId="0"/>
    <xf numFmtId="9" fontId="117" fillId="0" borderId="0"/>
    <xf numFmtId="9" fontId="117" fillId="0" borderId="0"/>
    <xf numFmtId="0" fontId="117" fillId="0" borderId="0"/>
    <xf numFmtId="0" fontId="117" fillId="12" borderId="18" applyAlignment="1" applyProtection="1">
      <alignment vertical="center"/>
      <protection locked="0" hidden="0"/>
    </xf>
    <xf numFmtId="0" fontId="117" fillId="12" borderId="18" applyAlignment="1" applyProtection="1">
      <alignment vertical="center"/>
      <protection locked="0" hidden="0"/>
    </xf>
    <xf numFmtId="0" fontId="117" fillId="11" borderId="0" applyProtection="1">
      <protection locked="0" hidden="0"/>
    </xf>
    <xf numFmtId="0" fontId="117" fillId="11" borderId="0" applyProtection="1">
      <protection locked="0" hidden="0"/>
    </xf>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0" fontId="53" fillId="0" borderId="0"/>
    <xf numFmtId="0" fontId="1" fillId="0" borderId="0"/>
    <xf numFmtId="0" fontId="73" fillId="0" borderId="0"/>
    <xf numFmtId="0" fontId="25" fillId="0" borderId="0" applyAlignment="1" applyProtection="1">
      <alignment vertical="top"/>
      <protection locked="0" hidden="0"/>
    </xf>
    <xf numFmtId="0" fontId="74" fillId="0" borderId="33"/>
    <xf numFmtId="0" fontId="53" fillId="0" borderId="0"/>
    <xf numFmtId="0" fontId="23" fillId="0" borderId="32"/>
    <xf numFmtId="0" fontId="73" fillId="0" borderId="0"/>
    <xf numFmtId="0" fontId="75" fillId="0" borderId="0" applyAlignment="1" applyProtection="1">
      <alignment vertical="top"/>
      <protection locked="0" hidden="0"/>
    </xf>
    <xf numFmtId="0" fontId="75" fillId="0" borderId="0" applyAlignment="1" applyProtection="1">
      <alignment vertical="top"/>
      <protection locked="0" hidden="0"/>
    </xf>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0" fontId="76" fillId="0" borderId="0"/>
    <xf numFmtId="0" fontId="44" fillId="0" borderId="0"/>
    <xf numFmtId="0" fontId="66" fillId="0" borderId="0"/>
    <xf numFmtId="0" fontId="63" fillId="0" borderId="40"/>
    <xf numFmtId="9" fontId="1" fillId="0" borderId="0"/>
    <xf numFmtId="0" fontId="1" fillId="0" borderId="0"/>
    <xf numFmtId="0" fontId="6" fillId="0" borderId="0"/>
    <xf numFmtId="0" fontId="6" fillId="0" borderId="0"/>
    <xf numFmtId="9" fontId="6" fillId="0" borderId="0"/>
    <xf numFmtId="0" fontId="67" fillId="0" borderId="0"/>
    <xf numFmtId="0" fontId="67" fillId="0" borderId="0"/>
    <xf numFmtId="0" fontId="78" fillId="0" borderId="32"/>
    <xf numFmtId="0" fontId="79" fillId="0" borderId="33"/>
    <xf numFmtId="0" fontId="80" fillId="0" borderId="34"/>
    <xf numFmtId="0" fontId="80" fillId="0" borderId="0"/>
    <xf numFmtId="0" fontId="81" fillId="2" borderId="0"/>
    <xf numFmtId="0" fontId="82" fillId="3" borderId="0"/>
    <xf numFmtId="0" fontId="83" fillId="14" borderId="0"/>
    <xf numFmtId="0" fontId="84" fillId="15" borderId="35"/>
    <xf numFmtId="0" fontId="85" fillId="16" borderId="36"/>
    <xf numFmtId="0" fontId="86" fillId="16" borderId="35"/>
    <xf numFmtId="0" fontId="87" fillId="0" borderId="37"/>
    <xf numFmtId="0" fontId="88" fillId="17" borderId="38"/>
    <xf numFmtId="0" fontId="77" fillId="0" borderId="0"/>
    <xf numFmtId="0" fontId="44" fillId="10" borderId="31"/>
    <xf numFmtId="0" fontId="89" fillId="0" borderId="0"/>
    <xf numFmtId="0" fontId="32" fillId="0" borderId="39"/>
    <xf numFmtId="0" fontId="90" fillId="18" borderId="0"/>
    <xf numFmtId="0" fontId="44" fillId="19" borderId="0"/>
    <xf numFmtId="0" fontId="44" fillId="20" borderId="0"/>
    <xf numFmtId="0" fontId="44" fillId="21" borderId="0"/>
    <xf numFmtId="0" fontId="90" fillId="22" borderId="0"/>
    <xf numFmtId="0" fontId="44" fillId="23" borderId="0"/>
    <xf numFmtId="0" fontId="44" fillId="24" borderId="0"/>
    <xf numFmtId="0" fontId="44" fillId="25" borderId="0"/>
    <xf numFmtId="0" fontId="90" fillId="26" borderId="0"/>
    <xf numFmtId="0" fontId="44" fillId="27" borderId="0"/>
    <xf numFmtId="0" fontId="44" fillId="28" borderId="0"/>
    <xf numFmtId="0" fontId="44" fillId="29" borderId="0"/>
    <xf numFmtId="0" fontId="90" fillId="30" borderId="0"/>
    <xf numFmtId="0" fontId="44" fillId="31" borderId="0"/>
    <xf numFmtId="0" fontId="44" fillId="32" borderId="0"/>
    <xf numFmtId="0" fontId="44" fillId="33" borderId="0"/>
    <xf numFmtId="0" fontId="90" fillId="34" borderId="0"/>
    <xf numFmtId="0" fontId="44" fillId="35" borderId="0"/>
    <xf numFmtId="0" fontId="44" fillId="36" borderId="0"/>
    <xf numFmtId="0" fontId="44" fillId="37" borderId="0"/>
    <xf numFmtId="0" fontId="90" fillId="38" borderId="0"/>
    <xf numFmtId="0" fontId="44" fillId="39" borderId="0"/>
    <xf numFmtId="0" fontId="44" fillId="40" borderId="0"/>
    <xf numFmtId="0" fontId="44" fillId="41" borderId="0"/>
    <xf numFmtId="0" fontId="66"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9" fontId="20" fillId="0" borderId="0"/>
    <xf numFmtId="43" fontId="6"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0" fontId="95" fillId="0" borderId="0"/>
    <xf numFmtId="0" fontId="96" fillId="0" borderId="32"/>
    <xf numFmtId="0" fontId="74" fillId="0" borderId="33"/>
    <xf numFmtId="0" fontId="97" fillId="0" borderId="34"/>
    <xf numFmtId="0" fontId="97" fillId="0" borderId="0"/>
    <xf numFmtId="0" fontId="99" fillId="15" borderId="35"/>
    <xf numFmtId="0" fontId="100" fillId="16" borderId="36"/>
    <xf numFmtId="0" fontId="101" fillId="16" borderId="35"/>
    <xf numFmtId="0" fontId="102" fillId="0" borderId="37"/>
    <xf numFmtId="0" fontId="103" fillId="17" borderId="38"/>
    <xf numFmtId="0" fontId="49" fillId="0" borderId="0"/>
    <xf numFmtId="0" fontId="104" fillId="0" borderId="0"/>
    <xf numFmtId="0" fontId="4" fillId="0" borderId="39"/>
    <xf numFmtId="0" fontId="105" fillId="18" borderId="0"/>
    <xf numFmtId="0" fontId="1" fillId="19" borderId="0"/>
    <xf numFmtId="0" fontId="1" fillId="20" borderId="0"/>
    <xf numFmtId="0" fontId="105" fillId="22" borderId="0"/>
    <xf numFmtId="0" fontId="1" fillId="23" borderId="0"/>
    <xf numFmtId="0" fontId="1" fillId="24" borderId="0"/>
    <xf numFmtId="0" fontId="105" fillId="26" borderId="0"/>
    <xf numFmtId="0" fontId="1" fillId="27" borderId="0"/>
    <xf numFmtId="0" fontId="1" fillId="28" borderId="0"/>
    <xf numFmtId="0" fontId="105" fillId="30" borderId="0"/>
    <xf numFmtId="0" fontId="1" fillId="31" borderId="0"/>
    <xf numFmtId="0" fontId="1" fillId="32" borderId="0"/>
    <xf numFmtId="0" fontId="105" fillId="34" borderId="0"/>
    <xf numFmtId="0" fontId="1" fillId="35" borderId="0"/>
    <xf numFmtId="0" fontId="1" fillId="36" borderId="0"/>
    <xf numFmtId="0" fontId="105" fillId="38" borderId="0"/>
    <xf numFmtId="0" fontId="1" fillId="39" borderId="0"/>
    <xf numFmtId="0" fontId="1" fillId="4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0" fontId="1" fillId="21" borderId="0"/>
    <xf numFmtId="0" fontId="1" fillId="33" borderId="0"/>
    <xf numFmtId="0" fontId="1" fillId="37" borderId="0"/>
    <xf numFmtId="0" fontId="1" fillId="29" borderId="0"/>
    <xf numFmtId="0" fontId="117" fillId="0" borderId="0"/>
    <xf numFmtId="0" fontId="1" fillId="25" borderId="0"/>
    <xf numFmtId="0" fontId="1" fillId="41" borderId="0"/>
    <xf numFmtId="0" fontId="98" fillId="14" borderId="0"/>
    <xf numFmtId="0" fontId="76"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0" fontId="117" fillId="0" borderId="0"/>
    <xf numFmtId="0" fontId="117" fillId="0" borderId="0"/>
    <xf numFmtId="0" fontId="73"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0" fontId="25" fillId="0" borderId="0" applyAlignment="1" applyProtection="1">
      <alignment vertical="top"/>
      <protection locked="0" hidden="0"/>
    </xf>
    <xf numFmtId="0" fontId="73"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17"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cellStyleXfs>
  <cellXfs count="1167">
    <xf numFmtId="0" fontId="0" fillId="0" borderId="0" pivotButton="0" quotePrefix="0" xfId="0"/>
    <xf numFmtId="0" fontId="5" fillId="4" borderId="1" applyAlignment="1" pivotButton="0" quotePrefix="0" xfId="0">
      <alignment horizontal="center" vertical="center" wrapText="1"/>
    </xf>
    <xf numFmtId="0" fontId="6" fillId="0" borderId="0" applyAlignment="1" pivotButton="0" quotePrefix="0" xfId="0">
      <alignment horizontal="center"/>
    </xf>
    <xf numFmtId="0" fontId="6" fillId="0" borderId="0" pivotButton="0" quotePrefix="0" xfId="0"/>
    <xf numFmtId="0" fontId="7" fillId="0" borderId="0" pivotButton="0" quotePrefix="0" xfId="0"/>
    <xf numFmtId="0" fontId="8" fillId="0" borderId="0" pivotButton="0" quotePrefix="0" xfId="0"/>
    <xf numFmtId="0" fontId="11" fillId="0" borderId="5" applyAlignment="1" pivotButton="0" quotePrefix="0" xfId="0">
      <alignment vertical="center" wrapText="1"/>
    </xf>
    <xf numFmtId="164" fontId="13" fillId="0" borderId="4" pivotButton="0" quotePrefix="0" xfId="0"/>
    <xf numFmtId="164" fontId="0" fillId="0" borderId="0" pivotButton="0" quotePrefix="0" xfId="0"/>
    <xf numFmtId="165" fontId="13" fillId="0" borderId="4" pivotButton="0" quotePrefix="0" xfId="0"/>
    <xf numFmtId="166" fontId="0" fillId="0" borderId="0" pivotButton="0" quotePrefix="0" xfId="0"/>
    <xf numFmtId="0" fontId="23" fillId="0" borderId="0" pivotButton="0" quotePrefix="0" xfId="7"/>
    <xf numFmtId="0" fontId="24" fillId="0" borderId="0" pivotButton="0" quotePrefix="0" xfId="7"/>
    <xf numFmtId="0" fontId="23" fillId="0" borderId="0" pivotButton="0" quotePrefix="0" xfId="0"/>
    <xf numFmtId="0" fontId="0" fillId="0" borderId="0" applyAlignment="1" pivotButton="0" quotePrefix="0" xfId="0">
      <alignment horizontal="left" wrapText="1"/>
    </xf>
    <xf numFmtId="0" fontId="23" fillId="0" borderId="0" pivotButton="0" quotePrefix="0" xfId="8"/>
    <xf numFmtId="0" fontId="26" fillId="0" borderId="0" pivotButton="0" quotePrefix="0" xfId="0"/>
    <xf numFmtId="0" fontId="23" fillId="0" borderId="0" applyAlignment="1" pivotButton="0" quotePrefix="0" xfId="0">
      <alignment horizontal="right"/>
    </xf>
    <xf numFmtId="0" fontId="22" fillId="0" borderId="0" pivotButton="0" quotePrefix="0" xfId="0"/>
    <xf numFmtId="0" fontId="25" fillId="0" borderId="0" pivotButton="0" quotePrefix="0" xfId="9"/>
    <xf numFmtId="0" fontId="22" fillId="0" borderId="0" pivotButton="0" quotePrefix="0" xfId="7"/>
    <xf numFmtId="167" fontId="22" fillId="0" borderId="0" pivotButton="0" quotePrefix="0" xfId="0"/>
    <xf numFmtId="167" fontId="22" fillId="0" borderId="0" applyAlignment="1" pivotButton="0" quotePrefix="0" xfId="0">
      <alignment horizontal="right"/>
    </xf>
    <xf numFmtId="164" fontId="22" fillId="0" borderId="0" pivotButton="0" quotePrefix="0" xfId="0"/>
    <xf numFmtId="164" fontId="22" fillId="0" borderId="0" pivotButton="0" quotePrefix="0" xfId="7"/>
    <xf numFmtId="0" fontId="27" fillId="0" borderId="0" pivotButton="0" quotePrefix="0" xfId="0"/>
    <xf numFmtId="0" fontId="27" fillId="0" borderId="0" pivotButton="0" quotePrefix="0" xfId="7"/>
    <xf numFmtId="167" fontId="23" fillId="0" borderId="0" pivotButton="0" quotePrefix="0" xfId="7"/>
    <xf numFmtId="0" fontId="23" fillId="0" borderId="0" applyProtection="1" pivotButton="0" quotePrefix="0" xfId="7">
      <protection locked="0" hidden="0"/>
    </xf>
    <xf numFmtId="167" fontId="23" fillId="0" borderId="0" applyProtection="1" pivotButton="0" quotePrefix="0" xfId="7">
      <protection locked="0" hidden="0"/>
    </xf>
    <xf numFmtId="167" fontId="23" fillId="0" borderId="0" applyAlignment="1" applyProtection="1" pivotButton="0" quotePrefix="0" xfId="7">
      <alignment horizontal="right"/>
      <protection locked="0" hidden="0"/>
    </xf>
    <xf numFmtId="0" fontId="23" fillId="0" borderId="0" applyAlignment="1" applyProtection="1" pivotButton="0" quotePrefix="0" xfId="7">
      <alignment horizontal="left"/>
      <protection locked="0" hidden="0"/>
    </xf>
    <xf numFmtId="0" fontId="30" fillId="0" borderId="0" applyProtection="1" pivotButton="0" quotePrefix="0" xfId="7">
      <protection locked="0" hidden="0"/>
    </xf>
    <xf numFmtId="167" fontId="30" fillId="0" borderId="0" applyProtection="1" pivotButton="0" quotePrefix="0" xfId="7">
      <protection locked="0" hidden="0"/>
    </xf>
    <xf numFmtId="167" fontId="31" fillId="0" borderId="0" applyAlignment="1" applyProtection="1" pivotButton="0" quotePrefix="0" xfId="7">
      <alignment horizontal="right"/>
      <protection locked="0" hidden="0"/>
    </xf>
    <xf numFmtId="0" fontId="30" fillId="0" borderId="0" applyAlignment="1" applyProtection="1" pivotButton="0" quotePrefix="0" xfId="7">
      <alignment horizontal="left"/>
      <protection locked="0" hidden="0"/>
    </xf>
    <xf numFmtId="167" fontId="30" fillId="0" borderId="0" applyAlignment="1" applyProtection="1" pivotButton="0" quotePrefix="0" xfId="7">
      <alignment horizontal="left"/>
      <protection locked="0" hidden="0"/>
    </xf>
    <xf numFmtId="0" fontId="31" fillId="0" borderId="0" applyProtection="1" pivotButton="0" quotePrefix="0" xfId="7">
      <protection locked="0" hidden="0"/>
    </xf>
    <xf numFmtId="167" fontId="31" fillId="0" borderId="0" applyProtection="1" pivotButton="0" quotePrefix="0" xfId="7">
      <protection locked="0" hidden="0"/>
    </xf>
    <xf numFmtId="0" fontId="33" fillId="0" borderId="0" pivotButton="0" quotePrefix="0" xfId="7"/>
    <xf numFmtId="0" fontId="31" fillId="0" borderId="0" applyAlignment="1" applyProtection="1" pivotButton="0" quotePrefix="0" xfId="7">
      <alignment horizontal="left"/>
      <protection locked="0" hidden="0"/>
    </xf>
    <xf numFmtId="167" fontId="23" fillId="0" borderId="0" pivotButton="0" quotePrefix="0" xfId="0"/>
    <xf numFmtId="0" fontId="34" fillId="0" borderId="0" applyProtection="1" pivotButton="0" quotePrefix="0" xfId="7">
      <protection locked="0" hidden="0"/>
    </xf>
    <xf numFmtId="167" fontId="34" fillId="0" borderId="0" applyProtection="1" pivotButton="0" quotePrefix="0" xfId="7">
      <protection locked="0" hidden="0"/>
    </xf>
    <xf numFmtId="0" fontId="35" fillId="0" borderId="7" pivotButton="0" quotePrefix="0" xfId="0"/>
    <xf numFmtId="0" fontId="31" fillId="0" borderId="7" applyProtection="1" pivotButton="0" quotePrefix="0" xfId="0">
      <protection locked="0" hidden="0"/>
    </xf>
    <xf numFmtId="167" fontId="31" fillId="0" borderId="7" applyProtection="1" pivotButton="0" quotePrefix="0" xfId="0">
      <protection locked="0" hidden="0"/>
    </xf>
    <xf numFmtId="0" fontId="31" fillId="0" borderId="0" applyAlignment="1" applyProtection="1" pivotButton="0" quotePrefix="0" xfId="0">
      <alignment horizontal="center" vertical="center"/>
      <protection locked="0" hidden="0"/>
    </xf>
    <xf numFmtId="0" fontId="31" fillId="0" borderId="0" applyAlignment="1" applyProtection="1" pivotButton="0" quotePrefix="0" xfId="7">
      <alignment horizontal="center" vertical="center"/>
      <protection locked="0" hidden="0"/>
    </xf>
    <xf numFmtId="0" fontId="31" fillId="0" borderId="0" applyAlignment="1" applyProtection="1" pivotButton="0" quotePrefix="0" xfId="0">
      <alignment horizontal="right"/>
      <protection locked="0" hidden="0"/>
    </xf>
    <xf numFmtId="0" fontId="31" fillId="0" borderId="0" applyAlignment="1" applyProtection="1" pivotButton="0" quotePrefix="0" xfId="0">
      <alignment horizontal="right" wrapText="1"/>
      <protection locked="0" hidden="0"/>
    </xf>
    <xf numFmtId="0" fontId="35" fillId="0" borderId="13" applyAlignment="1" pivotButton="0" quotePrefix="0" xfId="0">
      <alignment horizontal="right" vertical="top" wrapText="1"/>
    </xf>
    <xf numFmtId="0" fontId="31" fillId="0" borderId="0" applyAlignment="1" applyProtection="1" pivotButton="0" quotePrefix="0" xfId="7">
      <alignment horizontal="center" wrapText="1"/>
      <protection locked="0" hidden="0"/>
    </xf>
    <xf numFmtId="0" fontId="31" fillId="0" borderId="0" applyAlignment="1" applyProtection="1" pivotButton="0" quotePrefix="0" xfId="0">
      <alignment horizontal="center" wrapText="1"/>
      <protection locked="0" hidden="0"/>
    </xf>
    <xf numFmtId="0" fontId="31" fillId="0" borderId="0" applyAlignment="1" applyProtection="1" pivotButton="0" quotePrefix="0" xfId="7">
      <alignment horizontal="right" wrapText="1"/>
      <protection locked="0" hidden="0"/>
    </xf>
    <xf numFmtId="1" fontId="0" fillId="0" borderId="0" pivotButton="0" quotePrefix="0" xfId="0"/>
    <xf numFmtId="167" fontId="0" fillId="0" borderId="0" pivotButton="0" quotePrefix="0" xfId="0"/>
    <xf numFmtId="167" fontId="27" fillId="0" borderId="0" pivotButton="0" quotePrefix="0" xfId="0"/>
    <xf numFmtId="0" fontId="36" fillId="0" borderId="0" applyAlignment="1" pivotButton="0" quotePrefix="1" xfId="0">
      <alignment horizontal="left" vertical="center" wrapText="1"/>
    </xf>
    <xf numFmtId="0" fontId="35" fillId="0" borderId="0" applyAlignment="1" pivotButton="0" quotePrefix="1" xfId="0">
      <alignment horizontal="left" vertical="center"/>
    </xf>
    <xf numFmtId="0" fontId="35" fillId="0" borderId="0" applyAlignment="1" pivotButton="0" quotePrefix="0" xfId="0">
      <alignment horizontal="left" vertical="center"/>
    </xf>
    <xf numFmtId="0" fontId="39" fillId="0" borderId="0" pivotButton="0" quotePrefix="0" xfId="0"/>
    <xf numFmtId="0" fontId="36" fillId="0" borderId="0" applyAlignment="1" pivotButton="0" quotePrefix="1" xfId="0">
      <alignment horizontal="left" vertical="center"/>
    </xf>
    <xf numFmtId="167" fontId="22" fillId="0" borderId="0" pivotButton="0" quotePrefix="0" xfId="7"/>
    <xf numFmtId="0" fontId="41" fillId="0" borderId="0" applyProtection="1" pivotButton="0" quotePrefix="0" xfId="7">
      <protection locked="0" hidden="0"/>
    </xf>
    <xf numFmtId="167" fontId="41" fillId="0" borderId="0" applyProtection="1" pivotButton="0" quotePrefix="0" xfId="7">
      <protection locked="0" hidden="0"/>
    </xf>
    <xf numFmtId="0" fontId="41" fillId="0" borderId="0" applyAlignment="1" applyProtection="1" pivotButton="0" quotePrefix="0" xfId="7">
      <alignment horizontal="left"/>
      <protection locked="0" hidden="0"/>
    </xf>
    <xf numFmtId="167" fontId="41" fillId="0" borderId="0" applyAlignment="1" applyProtection="1" pivotButton="0" quotePrefix="0" xfId="7">
      <alignment horizontal="left"/>
      <protection locked="0" hidden="0"/>
    </xf>
    <xf numFmtId="167" fontId="31" fillId="0" borderId="0" applyAlignment="1" applyProtection="1" pivotButton="0" quotePrefix="0" xfId="7">
      <alignment horizontal="left"/>
      <protection locked="0" hidden="0"/>
    </xf>
    <xf numFmtId="0" fontId="31" fillId="0" borderId="0" applyAlignment="1" pivotButton="0" quotePrefix="0" xfId="0">
      <alignment horizontal="center" wrapText="1"/>
    </xf>
    <xf numFmtId="167" fontId="31" fillId="0" borderId="0" pivotButton="0" quotePrefix="0" xfId="0"/>
    <xf numFmtId="0" fontId="31" fillId="0" borderId="0" pivotButton="0" quotePrefix="0" xfId="7"/>
    <xf numFmtId="0" fontId="1" fillId="0" borderId="0" pivotButton="0" quotePrefix="0" xfId="11"/>
    <xf numFmtId="167" fontId="1" fillId="0" borderId="0" pivotButton="0" quotePrefix="0" xfId="11"/>
    <xf numFmtId="0" fontId="35" fillId="0" borderId="0" applyAlignment="1" pivotButton="0" quotePrefix="0" xfId="14">
      <alignment horizontal="right"/>
    </xf>
    <xf numFmtId="0" fontId="23" fillId="0" borderId="0" applyAlignment="1" pivotButton="0" quotePrefix="0" xfId="0">
      <alignment horizontal="left"/>
    </xf>
    <xf numFmtId="0" fontId="0" fillId="0" borderId="0" applyAlignment="1" pivotButton="0" quotePrefix="0" xfId="0">
      <alignment horizontal="left"/>
    </xf>
    <xf numFmtId="0" fontId="23" fillId="0" borderId="0" pivotButton="0" quotePrefix="0" xfId="15"/>
    <xf numFmtId="0" fontId="39" fillId="0" borderId="0" pivotButton="0" quotePrefix="0" xfId="7"/>
    <xf numFmtId="168" fontId="26" fillId="0" borderId="0" pivotButton="0" quotePrefix="0" xfId="0"/>
    <xf numFmtId="0" fontId="23" fillId="0" borderId="0" applyAlignment="1" pivotButton="0" quotePrefix="0" xfId="0">
      <alignment horizontal="left" wrapText="1"/>
    </xf>
    <xf numFmtId="168" fontId="23" fillId="0" borderId="0" applyAlignment="1" pivotButton="0" quotePrefix="0" xfId="0">
      <alignment horizontal="right" wrapText="1"/>
    </xf>
    <xf numFmtId="169" fontId="26" fillId="0" borderId="0" applyAlignment="1" pivotButton="0" quotePrefix="0" xfId="16">
      <alignment wrapText="1"/>
    </xf>
    <xf numFmtId="168" fontId="26" fillId="0" borderId="0" applyAlignment="1" pivotButton="0" quotePrefix="0" xfId="0">
      <alignment horizontal="right" wrapText="1"/>
    </xf>
    <xf numFmtId="170" fontId="26" fillId="0" borderId="0" pivotButton="0" quotePrefix="0" xfId="0"/>
    <xf numFmtId="3" fontId="0" fillId="0" borderId="0" pivotButton="0" quotePrefix="0" xfId="0"/>
    <xf numFmtId="3" fontId="0" fillId="0" borderId="0" applyAlignment="1" pivotButton="0" quotePrefix="0" xfId="0">
      <alignment horizontal="right"/>
    </xf>
    <xf numFmtId="0" fontId="44" fillId="0" borderId="0" applyAlignment="1" pivotButton="0" quotePrefix="0" xfId="15">
      <alignment wrapText="1"/>
    </xf>
    <xf numFmtId="0" fontId="44" fillId="0" borderId="0" pivotButton="0" quotePrefix="0" xfId="0"/>
    <xf numFmtId="0" fontId="44" fillId="0" borderId="0" applyAlignment="1" pivotButton="0" quotePrefix="0" xfId="17">
      <alignment wrapText="1"/>
    </xf>
    <xf numFmtId="0" fontId="22" fillId="0" borderId="0" pivotButton="0" quotePrefix="0" xfId="18"/>
    <xf numFmtId="0" fontId="1" fillId="0" borderId="0" pivotButton="0" quotePrefix="0" xfId="19"/>
    <xf numFmtId="0" fontId="45" fillId="0" borderId="0" applyAlignment="1" pivotButton="0" quotePrefix="0" xfId="19">
      <alignment horizontal="left"/>
    </xf>
    <xf numFmtId="0" fontId="22" fillId="0" borderId="0" pivotButton="0" quotePrefix="0" xfId="19"/>
    <xf numFmtId="0" fontId="46" fillId="0" borderId="7" applyAlignment="1" pivotButton="0" quotePrefix="0" xfId="19">
      <alignment horizontal="left" vertical="top"/>
    </xf>
    <xf numFmtId="0" fontId="1" fillId="0" borderId="7" pivotButton="0" quotePrefix="0" xfId="19"/>
    <xf numFmtId="0" fontId="45" fillId="0" borderId="7" applyAlignment="1" pivotButton="0" quotePrefix="0" xfId="19">
      <alignment horizontal="left"/>
    </xf>
    <xf numFmtId="0" fontId="22" fillId="0" borderId="7" pivotButton="0" quotePrefix="0" xfId="19"/>
    <xf numFmtId="0" fontId="35" fillId="0" borderId="7" applyAlignment="1" pivotButton="0" quotePrefix="0" xfId="19">
      <alignment horizontal="right"/>
    </xf>
    <xf numFmtId="0" fontId="47" fillId="0" borderId="0" applyAlignment="1" pivotButton="0" quotePrefix="0" xfId="19">
      <alignment vertical="center"/>
    </xf>
    <xf numFmtId="0" fontId="35" fillId="0" borderId="13" applyAlignment="1" pivotButton="0" quotePrefix="0" xfId="19">
      <alignment vertical="center" wrapText="1"/>
    </xf>
    <xf numFmtId="0" fontId="35" fillId="0" borderId="0" applyAlignment="1" pivotButton="0" quotePrefix="0" xfId="19">
      <alignment vertical="center" wrapText="1"/>
    </xf>
    <xf numFmtId="0" fontId="35" fillId="0" borderId="0" applyAlignment="1" pivotButton="0" quotePrefix="0" xfId="19">
      <alignment horizontal="right" wrapText="1"/>
    </xf>
    <xf numFmtId="0" fontId="35" fillId="0" borderId="13" applyAlignment="1" pivotButton="0" quotePrefix="0" xfId="19">
      <alignment horizontal="right" wrapText="1"/>
    </xf>
    <xf numFmtId="16" fontId="35" fillId="0" borderId="13" applyAlignment="1" pivotButton="0" quotePrefix="0" xfId="19">
      <alignment horizontal="right" wrapText="1"/>
    </xf>
    <xf numFmtId="16" fontId="35" fillId="0" borderId="0" applyAlignment="1" pivotButton="0" quotePrefix="1" xfId="19">
      <alignment horizontal="right" wrapText="1"/>
    </xf>
    <xf numFmtId="0" fontId="35" fillId="0" borderId="0" applyAlignment="1" pivotButton="0" quotePrefix="0" xfId="19">
      <alignment horizontal="right"/>
    </xf>
    <xf numFmtId="0" fontId="35" fillId="0" borderId="17" applyAlignment="1" pivotButton="0" quotePrefix="0" xfId="19">
      <alignment horizontal="right"/>
    </xf>
    <xf numFmtId="167" fontId="47" fillId="0" borderId="0" pivotButton="0" quotePrefix="0" xfId="20"/>
    <xf numFmtId="167" fontId="47" fillId="0" borderId="0" pivotButton="0" quotePrefix="0" xfId="21"/>
    <xf numFmtId="0" fontId="27" fillId="0" borderId="0" pivotButton="0" quotePrefix="0" xfId="20"/>
    <xf numFmtId="0" fontId="27" fillId="0" borderId="0" pivotButton="0" quotePrefix="0" xfId="21"/>
    <xf numFmtId="0" fontId="27" fillId="0" borderId="0" pivotButton="0" quotePrefix="0" xfId="19"/>
    <xf numFmtId="167" fontId="1" fillId="0" borderId="0" pivotButton="0" quotePrefix="0" xfId="20"/>
    <xf numFmtId="167" fontId="1" fillId="0" borderId="0" pivotButton="0" quotePrefix="0" xfId="21"/>
    <xf numFmtId="0" fontId="22" fillId="0" borderId="0" pivotButton="0" quotePrefix="0" xfId="19"/>
    <xf numFmtId="0" fontId="27" fillId="0" borderId="0" applyAlignment="1" pivotButton="0" quotePrefix="0" xfId="9">
      <alignment vertical="center" wrapText="1"/>
    </xf>
    <xf numFmtId="0" fontId="27" fillId="0" borderId="0" pivotButton="0" quotePrefix="0" xfId="20"/>
    <xf numFmtId="0" fontId="35" fillId="0" borderId="8" applyAlignment="1" pivotButton="0" quotePrefix="0" xfId="20">
      <alignment horizontal="right" vertical="top"/>
    </xf>
    <xf numFmtId="0" fontId="35" fillId="0" borderId="0" applyAlignment="1" pivotButton="0" quotePrefix="0" xfId="20">
      <alignment horizontal="right" vertical="top"/>
    </xf>
    <xf numFmtId="0" fontId="22" fillId="0" borderId="0" applyAlignment="1" pivotButton="0" quotePrefix="0" xfId="20">
      <alignment vertical="top"/>
    </xf>
    <xf numFmtId="0" fontId="38" fillId="0" borderId="0" applyAlignment="1" pivotButton="0" quotePrefix="0" xfId="20">
      <alignment horizontal="right"/>
    </xf>
    <xf numFmtId="0" fontId="35" fillId="0" borderId="0" applyAlignment="1" pivotButton="0" quotePrefix="0" xfId="20">
      <alignment horizontal="left" vertical="center" wrapText="1"/>
    </xf>
    <xf numFmtId="0" fontId="22" fillId="0" borderId="0" pivotButton="0" quotePrefix="0" xfId="23"/>
    <xf numFmtId="0" fontId="44" fillId="0" borderId="0" pivotButton="0" quotePrefix="0" xfId="23"/>
    <xf numFmtId="0" fontId="22" fillId="0" borderId="0" applyAlignment="1" pivotButton="0" quotePrefix="0" xfId="23">
      <alignment horizontal="right" wrapText="1"/>
    </xf>
    <xf numFmtId="164" fontId="22" fillId="0" borderId="0" pivotButton="0" quotePrefix="0" xfId="23"/>
    <xf numFmtId="0" fontId="22" fillId="0" borderId="14" applyAlignment="1" pivotButton="0" quotePrefix="0" xfId="23">
      <alignment horizontal="right" wrapText="1"/>
    </xf>
    <xf numFmtId="0" fontId="22" fillId="0" borderId="13" applyAlignment="1" pivotButton="0" quotePrefix="0" xfId="23">
      <alignment horizontal="right" wrapText="1"/>
    </xf>
    <xf numFmtId="0" fontId="22" fillId="0" borderId="15" applyAlignment="1" pivotButton="0" quotePrefix="0" xfId="23">
      <alignment horizontal="right" wrapText="1"/>
    </xf>
    <xf numFmtId="0" fontId="23" fillId="0" borderId="0" pivotButton="0" quotePrefix="0" xfId="23"/>
    <xf numFmtId="164" fontId="3" fillId="3" borderId="4" pivotButton="0" quotePrefix="0" xfId="3"/>
    <xf numFmtId="164" fontId="2" fillId="2" borderId="4" pivotButton="0" quotePrefix="0" xfId="2"/>
    <xf numFmtId="167" fontId="3" fillId="3" borderId="4" pivotButton="0" quotePrefix="0" xfId="3"/>
    <xf numFmtId="167" fontId="2" fillId="2" borderId="4" pivotButton="0" quotePrefix="0" xfId="2"/>
    <xf numFmtId="164" fontId="27" fillId="0" borderId="0" pivotButton="0" quotePrefix="0" xfId="7"/>
    <xf numFmtId="0" fontId="22" fillId="0" borderId="0" applyAlignment="1" pivotButton="0" quotePrefix="0" xfId="7">
      <alignment horizontal="right"/>
    </xf>
    <xf numFmtId="0" fontId="22" fillId="0" borderId="0" applyAlignment="1" pivotButton="0" quotePrefix="0" xfId="0">
      <alignment horizontal="right"/>
    </xf>
    <xf numFmtId="0" fontId="22" fillId="0" borderId="12" pivotButton="0" quotePrefix="0" xfId="0"/>
    <xf numFmtId="169" fontId="22" fillId="0" borderId="0" applyAlignment="1" pivotButton="0" quotePrefix="0" xfId="0">
      <alignment horizontal="right"/>
    </xf>
    <xf numFmtId="0" fontId="22" fillId="0" borderId="0" applyAlignment="1" pivotButton="0" quotePrefix="0" xfId="0">
      <alignment horizontal="right" wrapText="1"/>
    </xf>
    <xf numFmtId="0" fontId="51" fillId="0" borderId="0" applyAlignment="1" pivotButton="0" quotePrefix="0" xfId="26">
      <alignment vertical="center"/>
    </xf>
    <xf numFmtId="0" fontId="52" fillId="8" borderId="0" applyAlignment="1" pivotButton="0" quotePrefix="0" xfId="26">
      <alignment vertical="center"/>
    </xf>
    <xf numFmtId="0" fontId="52" fillId="0" borderId="0" applyAlignment="1" pivotButton="0" quotePrefix="0" xfId="26">
      <alignment vertical="center"/>
    </xf>
    <xf numFmtId="0" fontId="22" fillId="7" borderId="0" pivotButton="0" quotePrefix="0" xfId="0"/>
    <xf numFmtId="0" fontId="26" fillId="0" borderId="0" pivotButton="0" quotePrefix="0" xfId="12"/>
    <xf numFmtId="3" fontId="23" fillId="0" borderId="0" pivotButton="0" quotePrefix="0" xfId="12"/>
    <xf numFmtId="0" fontId="23" fillId="0" borderId="0" pivotButton="0" quotePrefix="0" xfId="12"/>
    <xf numFmtId="167" fontId="23" fillId="0" borderId="0" pivotButton="0" quotePrefix="0" xfId="12"/>
    <xf numFmtId="0" fontId="23" fillId="0" borderId="0" applyAlignment="1" pivotButton="0" quotePrefix="0" xfId="12">
      <alignment horizontal="left"/>
    </xf>
    <xf numFmtId="168" fontId="26" fillId="0" borderId="0" pivotButton="0" quotePrefix="0" xfId="12"/>
    <xf numFmtId="167" fontId="55" fillId="0" borderId="0" pivotButton="0" quotePrefix="0" xfId="7"/>
    <xf numFmtId="167" fontId="28" fillId="0" borderId="0" pivotButton="0" quotePrefix="0" xfId="7"/>
    <xf numFmtId="0" fontId="31" fillId="0" borderId="0" pivotButton="0" quotePrefix="0" xfId="0"/>
    <xf numFmtId="167" fontId="55" fillId="0" borderId="0" pivotButton="0" quotePrefix="0" xfId="0"/>
    <xf numFmtId="167" fontId="28" fillId="0" borderId="0" pivotButton="0" quotePrefix="0" xfId="0"/>
    <xf numFmtId="0" fontId="33" fillId="0" borderId="0" pivotButton="0" quotePrefix="0" xfId="0"/>
    <xf numFmtId="1" fontId="33" fillId="0" borderId="0" pivotButton="0" quotePrefix="0" xfId="0"/>
    <xf numFmtId="167" fontId="27" fillId="0" borderId="0" applyAlignment="1" pivotButton="0" quotePrefix="0" xfId="0">
      <alignment horizontal="right"/>
    </xf>
    <xf numFmtId="169" fontId="27" fillId="0" borderId="0" pivotButton="0" quotePrefix="0" xfId="0"/>
    <xf numFmtId="169" fontId="27" fillId="0" borderId="0" applyAlignment="1" pivotButton="0" quotePrefix="0" xfId="0">
      <alignment horizontal="right"/>
    </xf>
    <xf numFmtId="169" fontId="22" fillId="0" borderId="0" pivotButton="0" quotePrefix="0" xfId="0"/>
    <xf numFmtId="0" fontId="22" fillId="0" borderId="11" pivotButton="0" quotePrefix="0" xfId="0"/>
    <xf numFmtId="0" fontId="27" fillId="0" borderId="0" applyAlignment="1" pivotButton="0" quotePrefix="0" xfId="7">
      <alignment horizontal="right"/>
    </xf>
    <xf numFmtId="0" fontId="27" fillId="0" borderId="0" applyAlignment="1" pivotButton="0" quotePrefix="0" xfId="0">
      <alignment horizontal="right"/>
    </xf>
    <xf numFmtId="167" fontId="27" fillId="0" borderId="11" applyAlignment="1" pivotButton="0" quotePrefix="0" xfId="0">
      <alignment horizontal="right"/>
    </xf>
    <xf numFmtId="169" fontId="27" fillId="0" borderId="0" pivotButton="0" quotePrefix="0" xfId="7"/>
    <xf numFmtId="0" fontId="22" fillId="0" borderId="14" applyAlignment="1" pivotButton="0" quotePrefix="0" xfId="0">
      <alignment horizontal="right" wrapText="1"/>
    </xf>
    <xf numFmtId="0" fontId="22" fillId="0" borderId="13" applyAlignment="1" pivotButton="0" quotePrefix="0" xfId="0">
      <alignment horizontal="right" wrapText="1"/>
    </xf>
    <xf numFmtId="0" fontId="22" fillId="0" borderId="11" applyAlignment="1" pivotButton="0" quotePrefix="0" xfId="0">
      <alignment horizontal="right" wrapText="1"/>
    </xf>
    <xf numFmtId="0" fontId="22" fillId="0" borderId="23" applyAlignment="1" pivotButton="0" quotePrefix="0" xfId="0">
      <alignment horizontal="right" vertical="center" wrapText="1"/>
    </xf>
    <xf numFmtId="0" fontId="22" fillId="0" borderId="16" applyAlignment="1" pivotButton="0" quotePrefix="0" xfId="0">
      <alignment horizontal="right" vertical="center" wrapText="1"/>
    </xf>
    <xf numFmtId="0" fontId="22" fillId="0" borderId="22" pivotButton="0" quotePrefix="0" xfId="0"/>
    <xf numFmtId="0" fontId="22" fillId="0" borderId="16" pivotButton="0" quotePrefix="0" xfId="0"/>
    <xf numFmtId="0" fontId="22" fillId="0" borderId="23" pivotButton="0" quotePrefix="0" xfId="0"/>
    <xf numFmtId="0" fontId="54" fillId="0" borderId="0" pivotButton="0" quotePrefix="0" xfId="0"/>
    <xf numFmtId="0" fontId="26" fillId="0" borderId="0" pivotButton="0" quotePrefix="0" xfId="7"/>
    <xf numFmtId="167" fontId="56" fillId="0" borderId="0" pivotButton="0" quotePrefix="0" xfId="0"/>
    <xf numFmtId="0" fontId="57" fillId="0" borderId="0" pivotButton="0" quotePrefix="0" xfId="9"/>
    <xf numFmtId="167" fontId="31" fillId="0" borderId="0" pivotButton="0" quotePrefix="0" xfId="7"/>
    <xf numFmtId="167" fontId="58" fillId="0" borderId="0" pivotButton="0" quotePrefix="0" xfId="7"/>
    <xf numFmtId="0" fontId="59" fillId="0" borderId="0" pivotButton="0" quotePrefix="0" xfId="15"/>
    <xf numFmtId="0" fontId="23" fillId="0" borderId="11" applyAlignment="1" pivotButton="0" quotePrefix="0" xfId="7">
      <alignment horizontal="left"/>
    </xf>
    <xf numFmtId="0" fontId="23" fillId="0" borderId="0" applyAlignment="1" pivotButton="0" quotePrefix="0" xfId="7">
      <alignment horizontal="left"/>
    </xf>
    <xf numFmtId="0" fontId="45" fillId="0" borderId="0" applyAlignment="1" pivotButton="0" quotePrefix="0" xfId="0">
      <alignment horizontal="center"/>
    </xf>
    <xf numFmtId="167" fontId="22" fillId="0" borderId="0" applyAlignment="1" pivotButton="0" quotePrefix="0" xfId="7">
      <alignment horizontal="right"/>
    </xf>
    <xf numFmtId="169" fontId="22" fillId="0" borderId="0" applyAlignment="1" pivotButton="0" quotePrefix="0" xfId="7">
      <alignment horizontal="right"/>
    </xf>
    <xf numFmtId="0" fontId="60" fillId="0" borderId="0" applyAlignment="1" pivotButton="0" quotePrefix="0" xfId="0">
      <alignment vertical="center" wrapText="1"/>
    </xf>
    <xf numFmtId="167" fontId="33" fillId="0" borderId="0" pivotButton="0" quotePrefix="0" xfId="0"/>
    <xf numFmtId="171" fontId="42" fillId="0" borderId="0" applyAlignment="1" applyProtection="1" pivotButton="0" quotePrefix="0" xfId="11">
      <alignment horizontal="center"/>
      <protection locked="0" hidden="0"/>
    </xf>
    <xf numFmtId="17" fontId="42" fillId="0" borderId="0" applyAlignment="1" applyProtection="1" pivotButton="0" quotePrefix="0" xfId="11">
      <alignment horizontal="center"/>
      <protection locked="0" hidden="0"/>
    </xf>
    <xf numFmtId="17" fontId="42" fillId="0" borderId="0" applyAlignment="1" pivotButton="0" quotePrefix="0" xfId="11">
      <alignment horizontal="center"/>
    </xf>
    <xf numFmtId="17" fontId="42" fillId="0" borderId="0" applyAlignment="1" pivotButton="0" quotePrefix="0" xfId="12">
      <alignment horizontal="center"/>
    </xf>
    <xf numFmtId="17" fontId="1" fillId="0" borderId="0" applyAlignment="1" pivotButton="0" quotePrefix="0" xfId="11">
      <alignment horizontal="center"/>
    </xf>
    <xf numFmtId="17" fontId="4" fillId="0" borderId="0" applyAlignment="1" pivotButton="0" quotePrefix="0" xfId="11">
      <alignment horizontal="center"/>
    </xf>
    <xf numFmtId="14" fontId="0" fillId="0" borderId="0" pivotButton="0" quotePrefix="0" xfId="0"/>
    <xf numFmtId="14" fontId="42" fillId="0" borderId="11" applyAlignment="1" applyProtection="1" pivotButton="0" quotePrefix="0" xfId="11">
      <alignment horizontal="center"/>
      <protection locked="0" hidden="0"/>
    </xf>
    <xf numFmtId="14" fontId="42" fillId="0" borderId="21" applyAlignment="1" applyProtection="1" pivotButton="0" quotePrefix="0" xfId="11">
      <alignment horizontal="center"/>
      <protection locked="0" hidden="0"/>
    </xf>
    <xf numFmtId="14" fontId="42" fillId="0" borderId="21" applyAlignment="1" pivotButton="0" quotePrefix="0" xfId="11">
      <alignment horizontal="center"/>
    </xf>
    <xf numFmtId="14" fontId="42" fillId="0" borderId="21" applyAlignment="1" pivotButton="0" quotePrefix="0" xfId="12">
      <alignment horizontal="center"/>
    </xf>
    <xf numFmtId="14" fontId="42" fillId="0" borderId="11" applyAlignment="1" pivotButton="0" quotePrefix="0" xfId="11">
      <alignment horizontal="center"/>
    </xf>
    <xf numFmtId="14" fontId="1" fillId="0" borderId="21" applyAlignment="1" pivotButton="0" quotePrefix="0" xfId="11">
      <alignment horizontal="center"/>
    </xf>
    <xf numFmtId="15" fontId="23" fillId="0" borderId="0" pivotButton="0" quotePrefix="0" xfId="0"/>
    <xf numFmtId="0" fontId="22" fillId="0" borderId="13" pivotButton="0" quotePrefix="0" xfId="0"/>
    <xf numFmtId="167" fontId="22" fillId="0" borderId="13" applyAlignment="1" pivotButton="0" quotePrefix="0" xfId="0">
      <alignment horizontal="right"/>
    </xf>
    <xf numFmtId="0" fontId="20" fillId="0" borderId="0" pivotButton="0" quotePrefix="0" xfId="6"/>
    <xf numFmtId="9" fontId="22" fillId="0" borderId="0" pivotButton="0" quotePrefix="0" xfId="1"/>
    <xf numFmtId="0" fontId="10" fillId="4" borderId="3" applyAlignment="1" pivotButton="0" quotePrefix="0" xfId="0">
      <alignment horizontal="center" vertical="center" wrapText="1"/>
    </xf>
    <xf numFmtId="172" fontId="12" fillId="0" borderId="24" pivotButton="0" quotePrefix="0" xfId="0"/>
    <xf numFmtId="164" fontId="12" fillId="0" borderId="24" pivotButton="0" quotePrefix="0" xfId="0"/>
    <xf numFmtId="172" fontId="12" fillId="0" borderId="24" pivotButton="0" quotePrefix="0" xfId="1"/>
    <xf numFmtId="173" fontId="12" fillId="0" borderId="24" pivotButton="0" quotePrefix="0" xfId="5"/>
    <xf numFmtId="172" fontId="12" fillId="0" borderId="24" pivotButton="0" quotePrefix="0" xfId="4"/>
    <xf numFmtId="0" fontId="11" fillId="0" borderId="0" applyAlignment="1" pivotButton="0" quotePrefix="0" xfId="0">
      <alignment vertical="center" wrapText="1"/>
    </xf>
    <xf numFmtId="0" fontId="18" fillId="0" borderId="0" applyAlignment="1" pivotButton="0" quotePrefix="0" xfId="0">
      <alignment horizontal="center" vertical="center" wrapText="1"/>
    </xf>
    <xf numFmtId="172" fontId="12" fillId="0" borderId="0" pivotButton="0" quotePrefix="0" xfId="4"/>
    <xf numFmtId="165" fontId="13" fillId="0" borderId="0" pivotButton="0" quotePrefix="0" xfId="0"/>
    <xf numFmtId="0" fontId="11" fillId="0" borderId="29" applyAlignment="1" pivotButton="0" quotePrefix="0" xfId="0">
      <alignment vertical="center" wrapText="1"/>
    </xf>
    <xf numFmtId="172" fontId="12" fillId="0" borderId="30" pivotButton="0" quotePrefix="0" xfId="4"/>
    <xf numFmtId="0" fontId="22" fillId="0" borderId="0" applyAlignment="1" pivotButton="0" quotePrefix="0" xfId="20">
      <alignment vertical="top"/>
    </xf>
    <xf numFmtId="0" fontId="22" fillId="9" borderId="0" pivotButton="0" quotePrefix="0" xfId="7"/>
    <xf numFmtId="0" fontId="22" fillId="9" borderId="0" pivotButton="0" quotePrefix="0" xfId="0"/>
    <xf numFmtId="0" fontId="27" fillId="9" borderId="0" pivotButton="0" quotePrefix="0" xfId="0"/>
    <xf numFmtId="167" fontId="22" fillId="9" borderId="0" pivotButton="0" quotePrefix="0" xfId="0"/>
    <xf numFmtId="0" fontId="62" fillId="9" borderId="0" pivotButton="0" quotePrefix="0" xfId="0"/>
    <xf numFmtId="0" fontId="27" fillId="9" borderId="0" pivotButton="0" quotePrefix="0" xfId="7"/>
    <xf numFmtId="0" fontId="0" fillId="9" borderId="0" pivotButton="0" quotePrefix="0" xfId="0"/>
    <xf numFmtId="3" fontId="0" fillId="9" borderId="0" applyAlignment="1" pivotButton="0" quotePrefix="0" xfId="0">
      <alignment horizontal="right"/>
    </xf>
    <xf numFmtId="0" fontId="27" fillId="9" borderId="0" pivotButton="0" quotePrefix="0" xfId="20"/>
    <xf numFmtId="0" fontId="27" fillId="9" borderId="0" pivotButton="0" quotePrefix="0" xfId="21"/>
    <xf numFmtId="0" fontId="22" fillId="9" borderId="0" pivotButton="0" quotePrefix="0" xfId="18"/>
    <xf numFmtId="0" fontId="22" fillId="9" borderId="0" applyAlignment="1" pivotButton="0" quotePrefix="0" xfId="21">
      <alignment horizontal="right" vertical="top"/>
    </xf>
    <xf numFmtId="0" fontId="22" fillId="9" borderId="0" applyAlignment="1" pivotButton="0" quotePrefix="0" xfId="21">
      <alignment vertical="top"/>
    </xf>
    <xf numFmtId="0" fontId="63" fillId="9" borderId="0" applyAlignment="1" pivotButton="0" quotePrefix="0" xfId="21">
      <alignment horizontal="right"/>
    </xf>
    <xf numFmtId="0" fontId="22" fillId="9" borderId="0" applyAlignment="1" pivotButton="0" quotePrefix="0" xfId="21">
      <alignment vertical="center" wrapText="1"/>
    </xf>
    <xf numFmtId="0" fontId="27" fillId="9" borderId="0" applyAlignment="1" pivotButton="0" quotePrefix="0" xfId="9">
      <alignment vertical="top" wrapText="1"/>
    </xf>
    <xf numFmtId="0" fontId="27" fillId="9" borderId="0" applyAlignment="1" pivotButton="0" quotePrefix="0" xfId="9">
      <alignment vertical="center" wrapText="1"/>
    </xf>
    <xf numFmtId="0" fontId="27" fillId="9" borderId="0" pivotButton="0" quotePrefix="0" xfId="20"/>
    <xf numFmtId="1" fontId="26" fillId="0" borderId="0" pivotButton="0" quotePrefix="0" xfId="0"/>
    <xf numFmtId="1" fontId="27" fillId="0" borderId="0" pivotButton="0" quotePrefix="0" xfId="20"/>
    <xf numFmtId="167" fontId="44" fillId="0" borderId="0" pivotButton="0" quotePrefix="0" xfId="23"/>
    <xf numFmtId="167" fontId="6" fillId="0" borderId="0" pivotButton="0" quotePrefix="0" xfId="0"/>
    <xf numFmtId="0" fontId="1" fillId="0" borderId="0" applyAlignment="1" pivotButton="0" quotePrefix="0" xfId="11">
      <alignment horizontal="center"/>
    </xf>
    <xf numFmtId="167" fontId="4" fillId="0" borderId="0" pivotButton="0" quotePrefix="0" xfId="11"/>
    <xf numFmtId="0" fontId="4" fillId="0" borderId="0" pivotButton="0" quotePrefix="0" xfId="11"/>
    <xf numFmtId="1" fontId="4" fillId="0" borderId="0" pivotButton="0" quotePrefix="0" xfId="11"/>
    <xf numFmtId="1" fontId="1" fillId="0" borderId="0" pivotButton="0" quotePrefix="0" xfId="11"/>
    <xf numFmtId="167" fontId="19" fillId="0" borderId="0" pivotButton="0" quotePrefix="0" xfId="23"/>
    <xf numFmtId="0" fontId="65" fillId="0" borderId="0" pivotButton="0" quotePrefix="0" xfId="11"/>
    <xf numFmtId="167" fontId="65" fillId="0" borderId="0" pivotButton="0" quotePrefix="0" xfId="11"/>
    <xf numFmtId="0" fontId="49" fillId="0" borderId="0" pivotButton="0" quotePrefix="0" xfId="0"/>
    <xf numFmtId="0" fontId="23" fillId="9" borderId="0" pivotButton="0" quotePrefix="0" xfId="7"/>
    <xf numFmtId="0" fontId="70" fillId="9" borderId="0" pivotButton="0" quotePrefix="0" xfId="0"/>
    <xf numFmtId="0" fontId="70" fillId="9" borderId="0" applyAlignment="1" pivotButton="0" quotePrefix="0" xfId="0">
      <alignment wrapText="1"/>
    </xf>
    <xf numFmtId="174" fontId="23" fillId="9" borderId="0" applyAlignment="1" pivotButton="0" quotePrefix="0" xfId="0">
      <alignment wrapText="1"/>
    </xf>
    <xf numFmtId="167" fontId="56" fillId="9" borderId="0" pivotButton="0" quotePrefix="0" xfId="0"/>
    <xf numFmtId="0" fontId="43" fillId="9" borderId="0" pivotButton="0" quotePrefix="0" xfId="0"/>
    <xf numFmtId="0" fontId="22" fillId="9" borderId="0" applyAlignment="1" pivotButton="0" quotePrefix="0" xfId="0">
      <alignment wrapText="1"/>
    </xf>
    <xf numFmtId="0" fontId="22" fillId="9" borderId="0" applyAlignment="1" pivotButton="0" quotePrefix="0" xfId="0">
      <alignment horizontal="right" wrapText="1"/>
    </xf>
    <xf numFmtId="0" fontId="43" fillId="9" borderId="0" applyAlignment="1" pivotButton="0" quotePrefix="0" xfId="0">
      <alignment wrapText="1"/>
    </xf>
    <xf numFmtId="3" fontId="22" fillId="9" borderId="0" applyAlignment="1" pivotButton="0" quotePrefix="1" xfId="0">
      <alignment horizontal="right"/>
    </xf>
    <xf numFmtId="3" fontId="27" fillId="9" borderId="0" pivotButton="0" quotePrefix="0" xfId="0"/>
    <xf numFmtId="3" fontId="43" fillId="9" borderId="0" pivotButton="0" quotePrefix="0" xfId="0"/>
    <xf numFmtId="3" fontId="27" fillId="9" borderId="0" applyAlignment="1" pivotButton="0" quotePrefix="1" xfId="0">
      <alignment horizontal="right"/>
    </xf>
    <xf numFmtId="0" fontId="43" fillId="9" borderId="0" applyAlignment="1" pivotButton="0" quotePrefix="0" xfId="0">
      <alignment vertical="top"/>
    </xf>
    <xf numFmtId="171" fontId="22" fillId="9" borderId="0" pivotButton="0" quotePrefix="0" xfId="0"/>
    <xf numFmtId="3" fontId="22" fillId="9" borderId="0" pivotButton="0" quotePrefix="0" xfId="0"/>
    <xf numFmtId="0" fontId="0" fillId="0" borderId="4" pivotButton="0" quotePrefix="0" xfId="0"/>
    <xf numFmtId="0" fontId="6" fillId="0" borderId="4" pivotButton="0" quotePrefix="0" xfId="0"/>
    <xf numFmtId="0" fontId="3" fillId="3" borderId="4" pivotButton="0" quotePrefix="1" xfId="3"/>
    <xf numFmtId="0" fontId="2" fillId="2" borderId="4" pivotButton="0" quotePrefix="0" xfId="2"/>
    <xf numFmtId="0" fontId="0" fillId="0" borderId="4" pivotButton="0" quotePrefix="1" xfId="0"/>
    <xf numFmtId="164" fontId="3" fillId="3" borderId="25" pivotButton="0" quotePrefix="0" xfId="3"/>
    <xf numFmtId="49" fontId="0" fillId="0" borderId="0" pivotButton="0" quotePrefix="0" xfId="0"/>
    <xf numFmtId="0" fontId="23" fillId="0" borderId="0" pivotButton="0" quotePrefix="0" xfId="117"/>
    <xf numFmtId="0" fontId="22" fillId="0" borderId="0" pivotButton="0" quotePrefix="0" xfId="117"/>
    <xf numFmtId="1" fontId="27" fillId="0" borderId="0" pivotButton="0" quotePrefix="0" xfId="21"/>
    <xf numFmtId="0" fontId="0" fillId="0" borderId="0" pivotButton="0" quotePrefix="0" xfId="11"/>
    <xf numFmtId="10" fontId="0" fillId="0" borderId="0" pivotButton="0" quotePrefix="0" xfId="1"/>
    <xf numFmtId="0" fontId="23" fillId="9" borderId="0" pivotButton="0" quotePrefix="0" xfId="0"/>
    <xf numFmtId="0" fontId="23" fillId="9" borderId="0" applyAlignment="1" pivotButton="0" quotePrefix="0" xfId="0">
      <alignment horizontal="right"/>
    </xf>
    <xf numFmtId="0" fontId="26" fillId="9" borderId="0" pivotButton="0" quotePrefix="0" xfId="0"/>
    <xf numFmtId="0" fontId="57" fillId="9" borderId="0" pivotButton="0" quotePrefix="0" xfId="9"/>
    <xf numFmtId="0" fontId="0" fillId="0" borderId="0" applyAlignment="1" pivotButton="0" quotePrefix="0" xfId="0">
      <alignment wrapText="1"/>
    </xf>
    <xf numFmtId="3" fontId="43" fillId="9" borderId="0" applyAlignment="1" pivotButton="0" quotePrefix="0" xfId="0">
      <alignment vertical="top"/>
    </xf>
    <xf numFmtId="1" fontId="27" fillId="0" borderId="0" pivotButton="0" quotePrefix="0" xfId="20"/>
    <xf numFmtId="172" fontId="0" fillId="0" borderId="0" pivotButton="0" quotePrefix="0" xfId="1"/>
    <xf numFmtId="172" fontId="27" fillId="0" borderId="0" pivotButton="0" quotePrefix="0" xfId="1"/>
    <xf numFmtId="174" fontId="23" fillId="0" borderId="0" pivotButton="0" quotePrefix="0" xfId="0"/>
    <xf numFmtId="0" fontId="31" fillId="0" borderId="0" applyProtection="1" pivotButton="0" quotePrefix="0" xfId="0">
      <protection locked="0" hidden="0"/>
    </xf>
    <xf numFmtId="1" fontId="22" fillId="0" borderId="0" pivotButton="0" quotePrefix="0" xfId="18"/>
    <xf numFmtId="0" fontId="26" fillId="0" borderId="0" pivotButton="0" quotePrefix="0" xfId="117"/>
    <xf numFmtId="0" fontId="54" fillId="0" borderId="0" applyAlignment="1" pivotButton="0" quotePrefix="0" xfId="117">
      <alignment vertical="top"/>
    </xf>
    <xf numFmtId="0" fontId="26" fillId="0" borderId="0" applyAlignment="1" pivotButton="0" quotePrefix="0" xfId="117">
      <alignment horizontal="right"/>
    </xf>
    <xf numFmtId="0" fontId="26" fillId="0" borderId="0" applyAlignment="1" pivotButton="0" quotePrefix="0" xfId="117">
      <alignment vertical="top" wrapText="1"/>
    </xf>
    <xf numFmtId="168" fontId="26" fillId="0" borderId="0" pivotButton="0" quotePrefix="0" xfId="117"/>
    <xf numFmtId="0" fontId="23" fillId="0" borderId="0" applyAlignment="1" pivotButton="0" quotePrefix="0" xfId="117">
      <alignment horizontal="left" wrapText="1"/>
    </xf>
    <xf numFmtId="168" fontId="23" fillId="0" borderId="0" applyAlignment="1" pivotButton="0" quotePrefix="0" xfId="117">
      <alignment horizontal="right" wrapText="1"/>
    </xf>
    <xf numFmtId="0" fontId="26" fillId="0" borderId="0" applyAlignment="1" pivotButton="0" quotePrefix="0" xfId="117">
      <alignment horizontal="left"/>
    </xf>
    <xf numFmtId="0" fontId="23" fillId="0" borderId="0" applyAlignment="1" pivotButton="0" quotePrefix="0" xfId="117">
      <alignment horizontal="left"/>
    </xf>
    <xf numFmtId="167" fontId="23" fillId="0" borderId="0" pivotButton="0" quotePrefix="0" xfId="117"/>
    <xf numFmtId="168" fontId="23" fillId="0" borderId="0" pivotButton="0" quotePrefix="0" xfId="117"/>
    <xf numFmtId="3" fontId="23" fillId="0" borderId="0" pivotButton="0" quotePrefix="0" xfId="117"/>
    <xf numFmtId="9" fontId="0" fillId="0" borderId="0" pivotButton="0" quotePrefix="0" xfId="1"/>
    <xf numFmtId="0" fontId="22" fillId="0" borderId="12" pivotButton="0" quotePrefix="0" xfId="7"/>
    <xf numFmtId="172" fontId="22" fillId="0" borderId="0" pivotButton="0" quotePrefix="0" xfId="1"/>
    <xf numFmtId="173" fontId="44" fillId="0" borderId="0" pivotButton="0" quotePrefix="0" xfId="25"/>
    <xf numFmtId="173" fontId="0" fillId="0" borderId="0" pivotButton="0" quotePrefix="0" xfId="25"/>
    <xf numFmtId="0" fontId="44" fillId="0" borderId="0" pivotButton="0" quotePrefix="0" xfId="354"/>
    <xf numFmtId="17" fontId="44" fillId="0" borderId="0" pivotButton="0" quotePrefix="0" xfId="354"/>
    <xf numFmtId="0" fontId="91" fillId="0" borderId="0" pivotButton="0" quotePrefix="0" xfId="354"/>
    <xf numFmtId="0" fontId="92" fillId="0" borderId="0" pivotButton="0" quotePrefix="0" xfId="364"/>
    <xf numFmtId="0" fontId="93" fillId="0" borderId="0" applyAlignment="1" pivotButton="0" quotePrefix="0" xfId="354">
      <alignment horizontal="right" wrapText="1"/>
    </xf>
    <xf numFmtId="0" fontId="26" fillId="0" borderId="0" pivotButton="0" quotePrefix="0" xfId="354"/>
    <xf numFmtId="1" fontId="0" fillId="0" borderId="0" pivotButton="0" quotePrefix="0" xfId="11"/>
    <xf numFmtId="0" fontId="34" fillId="0" borderId="0" applyProtection="1" pivotButton="0" quotePrefix="0" xfId="354">
      <protection locked="0" hidden="0"/>
    </xf>
    <xf numFmtId="167" fontId="44" fillId="0" borderId="0" pivotButton="0" quotePrefix="0" xfId="354"/>
    <xf numFmtId="0" fontId="94" fillId="0" borderId="0" pivotButton="0" quotePrefix="0" xfId="354"/>
    <xf numFmtId="167" fontId="56" fillId="0" borderId="0" pivotButton="0" quotePrefix="0" xfId="354"/>
    <xf numFmtId="0" fontId="23" fillId="0" borderId="0" applyAlignment="1" pivotButton="0" quotePrefix="0" xfId="354">
      <alignment horizontal="left"/>
    </xf>
    <xf numFmtId="0" fontId="31" fillId="0" borderId="0" applyProtection="1" pivotButton="0" quotePrefix="0" xfId="354">
      <protection locked="0" hidden="0"/>
    </xf>
    <xf numFmtId="0" fontId="23" fillId="0" borderId="0" pivotButton="0" quotePrefix="0" xfId="354"/>
    <xf numFmtId="174" fontId="23" fillId="0" borderId="0" pivotButton="0" quotePrefix="0" xfId="354"/>
    <xf numFmtId="167" fontId="31" fillId="0" borderId="0" applyAlignment="1" applyProtection="1" pivotButton="0" quotePrefix="0" xfId="354">
      <alignment horizontal="right"/>
      <protection locked="0" hidden="0"/>
    </xf>
    <xf numFmtId="167" fontId="30" fillId="0" borderId="0" applyProtection="1" pivotButton="0" quotePrefix="0" xfId="354">
      <protection locked="0" hidden="0"/>
    </xf>
    <xf numFmtId="0" fontId="30" fillId="0" borderId="0" applyAlignment="1" applyProtection="1" pivotButton="0" quotePrefix="0" xfId="354">
      <alignment horizontal="left"/>
      <protection locked="0" hidden="0"/>
    </xf>
    <xf numFmtId="0" fontId="30" fillId="0" borderId="0" applyProtection="1" pivotButton="0" quotePrefix="0" xfId="354">
      <protection locked="0" hidden="0"/>
    </xf>
    <xf numFmtId="167" fontId="22" fillId="8" borderId="0" applyAlignment="1" pivotButton="0" quotePrefix="0" xfId="0">
      <alignment horizontal="right"/>
    </xf>
    <xf numFmtId="0" fontId="95" fillId="0" borderId="0" pivotButton="0" quotePrefix="0" xfId="869"/>
    <xf numFmtId="169" fontId="22" fillId="8" borderId="0" applyAlignment="1" pivotButton="0" quotePrefix="0" xfId="0">
      <alignment horizontal="right"/>
    </xf>
    <xf numFmtId="174" fontId="44" fillId="0" borderId="0" pivotButton="0" quotePrefix="0" xfId="354"/>
    <xf numFmtId="0" fontId="44" fillId="9" borderId="0" applyAlignment="1" pivotButton="0" quotePrefix="0" xfId="0">
      <alignment wrapText="1"/>
    </xf>
    <xf numFmtId="0" fontId="23" fillId="9" borderId="0" applyAlignment="1" applyProtection="1" pivotButton="0" quotePrefix="0" xfId="7">
      <alignment horizontal="right"/>
      <protection locked="0" hidden="0"/>
    </xf>
    <xf numFmtId="0" fontId="26" fillId="9" borderId="0" pivotButton="0" quotePrefix="0" xfId="7"/>
    <xf numFmtId="0" fontId="44" fillId="9" borderId="0" pivotButton="0" quotePrefix="0" xfId="0"/>
    <xf numFmtId="0" fontId="26" fillId="9" borderId="0" pivotButton="0" quotePrefix="0" xfId="18"/>
    <xf numFmtId="0" fontId="35" fillId="9" borderId="0" applyAlignment="1" pivotButton="0" quotePrefix="0" xfId="21">
      <alignment horizontal="center"/>
    </xf>
    <xf numFmtId="0" fontId="47" fillId="9" borderId="0" applyAlignment="1" pivotButton="0" quotePrefix="0" xfId="21">
      <alignment horizontal="left"/>
    </xf>
    <xf numFmtId="0" fontId="45" fillId="9" borderId="0" applyAlignment="1" pivotButton="0" quotePrefix="0" xfId="21">
      <alignment horizontal="center"/>
    </xf>
    <xf numFmtId="0" fontId="35" fillId="9" borderId="0" applyAlignment="1" pivotButton="0" quotePrefix="0" xfId="21">
      <alignment horizontal="right"/>
    </xf>
    <xf numFmtId="0" fontId="27" fillId="9" borderId="0" pivotButton="0" quotePrefix="0" xfId="31"/>
    <xf numFmtId="0" fontId="14" fillId="9" borderId="0" pivotButton="0" quotePrefix="0" xfId="19"/>
    <xf numFmtId="0" fontId="28" fillId="9" borderId="0" pivotButton="0" quotePrefix="0" xfId="19"/>
    <xf numFmtId="0" fontId="27" fillId="9" borderId="0" pivotButton="0" quotePrefix="0" xfId="19"/>
    <xf numFmtId="0" fontId="35" fillId="9" borderId="0" pivotButton="0" quotePrefix="0" xfId="20"/>
    <xf numFmtId="0" fontId="27" fillId="9" borderId="0" applyAlignment="1" pivotButton="0" quotePrefix="0" xfId="21">
      <alignment horizontal="left"/>
    </xf>
    <xf numFmtId="0" fontId="47" fillId="9" borderId="8" applyAlignment="1" pivotButton="0" quotePrefix="0" xfId="31">
      <alignment vertical="center"/>
    </xf>
    <xf numFmtId="0" fontId="46" fillId="9" borderId="8" pivotButton="0" quotePrefix="0" xfId="31"/>
    <xf numFmtId="0" fontId="45" fillId="9" borderId="8" pivotButton="0" quotePrefix="0" xfId="31"/>
    <xf numFmtId="0" fontId="45" fillId="9" borderId="8" pivotButton="0" quotePrefix="0" xfId="31"/>
    <xf numFmtId="0" fontId="35" fillId="9" borderId="8" applyAlignment="1" pivotButton="0" quotePrefix="0" xfId="31">
      <alignment horizontal="left"/>
    </xf>
    <xf numFmtId="0" fontId="22" fillId="9" borderId="8" pivotButton="0" quotePrefix="0" xfId="18"/>
    <xf numFmtId="0" fontId="35" fillId="9" borderId="0" pivotButton="0" quotePrefix="0" xfId="20"/>
    <xf numFmtId="0" fontId="27" fillId="9" borderId="0" pivotButton="0" quotePrefix="0" xfId="18"/>
    <xf numFmtId="0" fontId="1" fillId="9" borderId="0" pivotButton="0" quotePrefix="0" xfId="20"/>
    <xf numFmtId="0" fontId="23" fillId="9" borderId="0" applyAlignment="1" pivotButton="0" quotePrefix="0" xfId="31">
      <alignment vertical="center"/>
    </xf>
    <xf numFmtId="0" fontId="26" fillId="9" borderId="0" pivotButton="0" quotePrefix="0" xfId="31"/>
    <xf numFmtId="0" fontId="26" fillId="9" borderId="0" pivotButton="0" quotePrefix="0" xfId="31"/>
    <xf numFmtId="0" fontId="26" fillId="9" borderId="0" applyAlignment="1" pivotButton="0" quotePrefix="0" xfId="31">
      <alignment horizontal="left"/>
    </xf>
    <xf numFmtId="0" fontId="44" fillId="9" borderId="0" pivotButton="0" quotePrefix="0" xfId="31"/>
    <xf numFmtId="174" fontId="23" fillId="9" borderId="0" applyAlignment="1" pivotButton="0" quotePrefix="0" xfId="0">
      <alignment horizontal="right"/>
    </xf>
    <xf numFmtId="0" fontId="94" fillId="0" borderId="0" pivotButton="0" quotePrefix="0" xfId="404"/>
    <xf numFmtId="0" fontId="4" fillId="0" borderId="0" applyAlignment="1" pivotButton="0" quotePrefix="0" xfId="11">
      <alignment horizontal="center" wrapText="1"/>
    </xf>
    <xf numFmtId="0" fontId="1" fillId="0" borderId="0" applyAlignment="1" pivotButton="0" quotePrefix="0" xfId="11">
      <alignment wrapText="1"/>
    </xf>
    <xf numFmtId="167" fontId="1" fillId="0" borderId="0" applyAlignment="1" pivotButton="0" quotePrefix="0" xfId="11">
      <alignment wrapText="1"/>
    </xf>
    <xf numFmtId="0" fontId="54" fillId="0" borderId="0" applyProtection="1" pivotButton="0" quotePrefix="0" xfId="354">
      <protection locked="0" hidden="0"/>
    </xf>
    <xf numFmtId="0" fontId="19" fillId="0" borderId="0" pivotButton="0" quotePrefix="0" xfId="6"/>
    <xf numFmtId="0" fontId="20" fillId="0" borderId="0" applyAlignment="1" pivotButton="0" quotePrefix="0" xfId="6">
      <alignment horizontal="right"/>
    </xf>
    <xf numFmtId="0" fontId="71" fillId="0" borderId="0" pivotButton="0" quotePrefix="0" xfId="6"/>
    <xf numFmtId="0" fontId="20" fillId="0" borderId="6" applyAlignment="1" pivotButton="0" quotePrefix="0" xfId="6">
      <alignment horizontal="left" wrapText="1"/>
    </xf>
    <xf numFmtId="0" fontId="20" fillId="0" borderId="6" applyAlignment="1" pivotButton="0" quotePrefix="0" xfId="6">
      <alignment horizontal="right" wrapText="1"/>
    </xf>
    <xf numFmtId="166" fontId="4" fillId="0" borderId="0" pivotButton="0" quotePrefix="0" xfId="0"/>
    <xf numFmtId="166" fontId="107" fillId="0" borderId="0" pivotButton="0" quotePrefix="0" xfId="6"/>
    <xf numFmtId="172" fontId="4" fillId="0" borderId="0" pivotButton="0" quotePrefix="0" xfId="1"/>
    <xf numFmtId="0" fontId="4" fillId="0" borderId="0" pivotButton="0" quotePrefix="0" xfId="0"/>
    <xf numFmtId="1" fontId="35" fillId="0" borderId="0" applyAlignment="1" pivotButton="0" quotePrefix="0" xfId="20">
      <alignment horizontal="left" vertical="center" wrapText="1"/>
    </xf>
    <xf numFmtId="0" fontId="23" fillId="9" borderId="0" pivotButton="0" quotePrefix="0" xfId="8"/>
    <xf numFmtId="0" fontId="22" fillId="9" borderId="13" applyAlignment="1" pivotButton="0" quotePrefix="0" xfId="21">
      <alignment wrapText="1"/>
    </xf>
    <xf numFmtId="0" fontId="22" fillId="9" borderId="13" applyAlignment="1" pivotButton="0" quotePrefix="0" xfId="21">
      <alignment horizontal="center"/>
    </xf>
    <xf numFmtId="0" fontId="22" fillId="9" borderId="13" applyAlignment="1" pivotButton="0" quotePrefix="0" xfId="21">
      <alignment horizontal="right" wrapText="1"/>
    </xf>
    <xf numFmtId="3" fontId="22" fillId="9" borderId="13" applyAlignment="1" pivotButton="0" quotePrefix="0" xfId="21">
      <alignment horizontal="right" wrapText="1"/>
    </xf>
    <xf numFmtId="1" fontId="22" fillId="9" borderId="0" pivotButton="0" quotePrefix="0" xfId="21"/>
    <xf numFmtId="0" fontId="22" fillId="9" borderId="0" applyAlignment="1" pivotButton="0" quotePrefix="0" xfId="21">
      <alignment horizontal="center"/>
    </xf>
    <xf numFmtId="0" fontId="22" fillId="9" borderId="0" applyAlignment="1" pivotButton="0" quotePrefix="0" xfId="21">
      <alignment wrapText="1"/>
    </xf>
    <xf numFmtId="0" fontId="22" fillId="9" borderId="0" applyAlignment="1" pivotButton="0" quotePrefix="0" xfId="21">
      <alignment horizontal="right"/>
    </xf>
    <xf numFmtId="0" fontId="22" fillId="9" borderId="0" pivotButton="0" quotePrefix="0" xfId="31"/>
    <xf numFmtId="0" fontId="22" fillId="9" borderId="0" pivotButton="0" quotePrefix="0" xfId="19"/>
    <xf numFmtId="172" fontId="0" fillId="0" borderId="0" pivotButton="0" quotePrefix="0" xfId="1"/>
    <xf numFmtId="0" fontId="4" fillId="0" borderId="4" pivotButton="0" quotePrefix="0" xfId="0"/>
    <xf numFmtId="0" fontId="103" fillId="42" borderId="4" pivotButton="0" quotePrefix="0" xfId="0"/>
    <xf numFmtId="0" fontId="4" fillId="0" borderId="4" applyAlignment="1" pivotButton="0" quotePrefix="0" xfId="0">
      <alignment wrapText="1"/>
    </xf>
    <xf numFmtId="0" fontId="95" fillId="0" borderId="4" applyAlignment="1" pivotButton="0" quotePrefix="0" xfId="869">
      <alignment wrapText="1"/>
    </xf>
    <xf numFmtId="0" fontId="95" fillId="0" borderId="4" pivotButton="0" quotePrefix="0" xfId="869"/>
    <xf numFmtId="0" fontId="103" fillId="42" borderId="4" pivotButton="0" quotePrefix="0" xfId="6"/>
    <xf numFmtId="0" fontId="103" fillId="42" borderId="0" pivotButton="0" quotePrefix="0" xfId="0"/>
    <xf numFmtId="166" fontId="0" fillId="0" borderId="4" pivotButton="0" quotePrefix="0" xfId="0"/>
    <xf numFmtId="166" fontId="20" fillId="0" borderId="4" pivotButton="0" quotePrefix="0" xfId="6"/>
    <xf numFmtId="172" fontId="20" fillId="0" borderId="4" pivotButton="0" quotePrefix="0" xfId="1"/>
    <xf numFmtId="10" fontId="0" fillId="0" borderId="4" pivotButton="0" quotePrefix="0" xfId="1"/>
    <xf numFmtId="0" fontId="109" fillId="42" borderId="0" pivotButton="0" quotePrefix="0" xfId="0"/>
    <xf numFmtId="167" fontId="109" fillId="42" borderId="0" pivotButton="0" quotePrefix="0" xfId="0"/>
    <xf numFmtId="3" fontId="22" fillId="0" borderId="30" pivotButton="0" quotePrefix="0" xfId="23"/>
    <xf numFmtId="3" fontId="22" fillId="0" borderId="4" pivotButton="0" quotePrefix="0" xfId="23"/>
    <xf numFmtId="3" fontId="22" fillId="0" borderId="44" pivotButton="0" quotePrefix="0" xfId="23"/>
    <xf numFmtId="3" fontId="22" fillId="0" borderId="45" pivotButton="0" quotePrefix="0" xfId="23"/>
    <xf numFmtId="3" fontId="22" fillId="0" borderId="46" pivotButton="0" quotePrefix="0" xfId="23"/>
    <xf numFmtId="3" fontId="22" fillId="0" borderId="47" pivotButton="0" quotePrefix="0" xfId="23"/>
    <xf numFmtId="0" fontId="110" fillId="42" borderId="4" pivotButton="0" quotePrefix="0" xfId="0"/>
    <xf numFmtId="0" fontId="110" fillId="42" borderId="4" applyAlignment="1" pivotButton="0" quotePrefix="0" xfId="0">
      <alignment wrapText="1"/>
    </xf>
    <xf numFmtId="3" fontId="43" fillId="9" borderId="4" pivotButton="0" quotePrefix="0" xfId="0"/>
    <xf numFmtId="0" fontId="108" fillId="42" borderId="4" applyAlignment="1" pivotButton="0" quotePrefix="0" xfId="0">
      <alignment horizontal="right"/>
    </xf>
    <xf numFmtId="0" fontId="108" fillId="42" borderId="4" applyAlignment="1" pivotButton="0" quotePrefix="0" xfId="0">
      <alignment horizontal="right" vertical="center" wrapText="1"/>
    </xf>
    <xf numFmtId="0" fontId="109" fillId="42" borderId="4" pivotButton="0" quotePrefix="0" xfId="7"/>
    <xf numFmtId="167" fontId="22" fillId="9" borderId="4" pivotButton="0" quotePrefix="0" xfId="0"/>
    <xf numFmtId="2" fontId="22" fillId="9" borderId="4" pivotButton="0" quotePrefix="0" xfId="0"/>
    <xf numFmtId="0" fontId="108" fillId="42" borderId="4" applyAlignment="1" pivotButton="0" quotePrefix="0" xfId="0">
      <alignment horizontal="right" wrapText="1"/>
    </xf>
    <xf numFmtId="0" fontId="109" fillId="42" borderId="4" pivotButton="0" quotePrefix="0" xfId="0"/>
    <xf numFmtId="0" fontId="109" fillId="42" borderId="4" applyAlignment="1" pivotButton="0" quotePrefix="0" xfId="0">
      <alignment horizontal="right" vertical="center" wrapText="1"/>
    </xf>
    <xf numFmtId="175" fontId="22" fillId="0" borderId="4" pivotButton="0" quotePrefix="0" xfId="0"/>
    <xf numFmtId="0" fontId="109" fillId="42" borderId="4" applyAlignment="1" pivotButton="0" quotePrefix="0" xfId="7">
      <alignment wrapText="1"/>
    </xf>
    <xf numFmtId="0" fontId="112" fillId="42" borderId="4" applyAlignment="1" pivotButton="0" quotePrefix="0" xfId="0">
      <alignment horizontal="right" vertical="top" wrapText="1"/>
    </xf>
    <xf numFmtId="165" fontId="22" fillId="0" borderId="4" applyAlignment="1" pivotButton="0" quotePrefix="0" xfId="0">
      <alignment horizontal="right"/>
    </xf>
    <xf numFmtId="167" fontId="22" fillId="0" borderId="4" applyAlignment="1" pivotButton="0" quotePrefix="0" xfId="0">
      <alignment horizontal="right"/>
    </xf>
    <xf numFmtId="165" fontId="27" fillId="0" borderId="4" applyAlignment="1" pivotButton="0" quotePrefix="0" xfId="0">
      <alignment horizontal="right"/>
    </xf>
    <xf numFmtId="167" fontId="27" fillId="0" borderId="4" applyAlignment="1" pivotButton="0" quotePrefix="0" xfId="0">
      <alignment horizontal="right"/>
    </xf>
    <xf numFmtId="3" fontId="0" fillId="0" borderId="4" pivotButton="0" quotePrefix="0" xfId="0"/>
    <xf numFmtId="168" fontId="0" fillId="0" borderId="4" pivotButton="0" quotePrefix="0" xfId="0"/>
    <xf numFmtId="0" fontId="22" fillId="6" borderId="4" pivotButton="0" quotePrefix="0" xfId="18"/>
    <xf numFmtId="167" fontId="22" fillId="6" borderId="4" pivotButton="0" quotePrefix="0" xfId="18"/>
    <xf numFmtId="0" fontId="22" fillId="6" borderId="0" pivotButton="0" quotePrefix="0" xfId="18"/>
    <xf numFmtId="0" fontId="27" fillId="6" borderId="0" pivotButton="0" quotePrefix="0" xfId="20"/>
    <xf numFmtId="0" fontId="109" fillId="42" borderId="4" pivotButton="0" quotePrefix="0" xfId="18"/>
    <xf numFmtId="9" fontId="22" fillId="9" borderId="4" pivotButton="0" quotePrefix="0" xfId="1"/>
    <xf numFmtId="167" fontId="1" fillId="0" borderId="48" pivotButton="0" quotePrefix="0" xfId="11"/>
    <xf numFmtId="0" fontId="109" fillId="42" borderId="49" applyAlignment="1" pivotButton="0" quotePrefix="0" xfId="7">
      <alignment wrapText="1"/>
    </xf>
    <xf numFmtId="167" fontId="1" fillId="0" borderId="18" pivotButton="0" quotePrefix="0" xfId="11"/>
    <xf numFmtId="165" fontId="13" fillId="0" borderId="48" pivotButton="0" quotePrefix="0" xfId="0"/>
    <xf numFmtId="165" fontId="13" fillId="0" borderId="24" pivotButton="0" quotePrefix="0" xfId="0"/>
    <xf numFmtId="165" fontId="13" fillId="0" borderId="18" pivotButton="0" quotePrefix="0" xfId="0"/>
    <xf numFmtId="172" fontId="1" fillId="0" borderId="25" pivotButton="0" quotePrefix="0" xfId="1"/>
    <xf numFmtId="167" fontId="1" fillId="43" borderId="4" pivotButton="0" quotePrefix="0" xfId="11"/>
    <xf numFmtId="167" fontId="1" fillId="43" borderId="49" pivotButton="0" quotePrefix="0" xfId="11"/>
    <xf numFmtId="0" fontId="103" fillId="42" borderId="4" applyAlignment="1" pivotButton="0" quotePrefix="0" xfId="6">
      <alignment wrapText="1"/>
    </xf>
    <xf numFmtId="0" fontId="109" fillId="42" borderId="48" applyAlignment="1" pivotButton="0" quotePrefix="0" xfId="7">
      <alignment wrapText="1"/>
    </xf>
    <xf numFmtId="173" fontId="0" fillId="0" borderId="4" pivotButton="0" quotePrefix="0" xfId="25"/>
    <xf numFmtId="173" fontId="103" fillId="42" borderId="49" pivotButton="0" quotePrefix="0" xfId="25"/>
    <xf numFmtId="9" fontId="0" fillId="0" borderId="4" pivotButton="0" quotePrefix="0" xfId="1"/>
    <xf numFmtId="173" fontId="0" fillId="0" borderId="48" pivotButton="0" quotePrefix="0" xfId="25"/>
    <xf numFmtId="9" fontId="0" fillId="0" borderId="48" pivotButton="0" quotePrefix="0" xfId="1"/>
    <xf numFmtId="167" fontId="22" fillId="0" borderId="48" applyAlignment="1" pivotButton="0" quotePrefix="0" xfId="0">
      <alignment horizontal="right"/>
    </xf>
    <xf numFmtId="165" fontId="22" fillId="0" borderId="24" applyAlignment="1" pivotButton="0" quotePrefix="0" xfId="0">
      <alignment horizontal="right"/>
    </xf>
    <xf numFmtId="0" fontId="112" fillId="42" borderId="49" applyAlignment="1" pivotButton="0" quotePrefix="0" xfId="0">
      <alignment horizontal="right" vertical="top" wrapText="1"/>
    </xf>
    <xf numFmtId="167" fontId="22" fillId="0" borderId="25" applyAlignment="1" pivotButton="0" quotePrefix="0" xfId="0">
      <alignment horizontal="right"/>
    </xf>
    <xf numFmtId="167" fontId="4" fillId="44" borderId="29" pivotButton="0" quotePrefix="0" xfId="11"/>
    <xf numFmtId="167" fontId="27" fillId="44" borderId="29" applyAlignment="1" pivotButton="0" quotePrefix="0" xfId="0">
      <alignment horizontal="right"/>
    </xf>
    <xf numFmtId="172" fontId="1" fillId="0" borderId="21" pivotButton="0" quotePrefix="0" xfId="1"/>
    <xf numFmtId="172" fontId="4" fillId="44" borderId="29" pivotButton="0" quotePrefix="0" xfId="1"/>
    <xf numFmtId="173" fontId="4" fillId="44" borderId="28" pivotButton="0" quotePrefix="0" xfId="25"/>
    <xf numFmtId="173" fontId="4" fillId="44" borderId="29" pivotButton="0" quotePrefix="0" xfId="25"/>
    <xf numFmtId="9" fontId="4" fillId="44" borderId="5" pivotButton="0" quotePrefix="0" xfId="1"/>
    <xf numFmtId="9" fontId="4" fillId="44" borderId="29" pivotButton="0" quotePrefix="0" xfId="1"/>
    <xf numFmtId="0" fontId="22" fillId="9" borderId="4" pivotButton="0" quotePrefix="0" xfId="18"/>
    <xf numFmtId="1" fontId="22" fillId="9" borderId="4" pivotButton="0" quotePrefix="0" xfId="18"/>
    <xf numFmtId="3" fontId="22" fillId="0" borderId="24" pivotButton="0" quotePrefix="0" xfId="23"/>
    <xf numFmtId="0" fontId="108" fillId="42" borderId="50" applyAlignment="1" pivotButton="0" quotePrefix="0" xfId="23">
      <alignment horizontal="right" wrapText="1"/>
    </xf>
    <xf numFmtId="0" fontId="108" fillId="42" borderId="49" applyAlignment="1" pivotButton="0" quotePrefix="0" xfId="23">
      <alignment horizontal="right" wrapText="1"/>
    </xf>
    <xf numFmtId="0" fontId="108" fillId="42" borderId="51" applyAlignment="1" pivotButton="0" quotePrefix="0" xfId="23">
      <alignment horizontal="right" wrapText="1"/>
    </xf>
    <xf numFmtId="3" fontId="22" fillId="0" borderId="41" pivotButton="0" quotePrefix="0" xfId="23"/>
    <xf numFmtId="3" fontId="22" fillId="0" borderId="42" pivotButton="0" quotePrefix="0" xfId="23"/>
    <xf numFmtId="3" fontId="22" fillId="0" borderId="43" pivotButton="0" quotePrefix="0" xfId="23"/>
    <xf numFmtId="3" fontId="22" fillId="0" borderId="23" pivotButton="0" quotePrefix="0" xfId="23"/>
    <xf numFmtId="3" fontId="22" fillId="0" borderId="48" pivotButton="0" quotePrefix="0" xfId="23"/>
    <xf numFmtId="3" fontId="22" fillId="0" borderId="52" pivotButton="0" quotePrefix="0" xfId="23"/>
    <xf numFmtId="3" fontId="22" fillId="0" borderId="53" pivotButton="0" quotePrefix="0" xfId="23"/>
    <xf numFmtId="3" fontId="22" fillId="0" borderId="22" pivotButton="0" quotePrefix="0" xfId="23"/>
    <xf numFmtId="168" fontId="27" fillId="44" borderId="29" pivotButton="0" quotePrefix="0" xfId="23"/>
    <xf numFmtId="3" fontId="22" fillId="0" borderId="54" pivotButton="0" quotePrefix="0" xfId="23"/>
    <xf numFmtId="168" fontId="22" fillId="0" borderId="55" pivotButton="0" quotePrefix="0" xfId="23"/>
    <xf numFmtId="166" fontId="20" fillId="0" borderId="24" pivotButton="0" quotePrefix="0" xfId="6"/>
    <xf numFmtId="0" fontId="103" fillId="42" borderId="49" pivotButton="0" quotePrefix="0" xfId="6"/>
    <xf numFmtId="0" fontId="0" fillId="43" borderId="25" applyAlignment="1" pivotButton="0" quotePrefix="0" xfId="0">
      <alignment horizontal="center"/>
    </xf>
    <xf numFmtId="166" fontId="107" fillId="44" borderId="29" pivotButton="0" quotePrefix="0" xfId="6"/>
    <xf numFmtId="0" fontId="103" fillId="42" borderId="21" pivotButton="0" quotePrefix="0" xfId="6"/>
    <xf numFmtId="166" fontId="20" fillId="0" borderId="48" pivotButton="0" quotePrefix="0" xfId="6"/>
    <xf numFmtId="172" fontId="20" fillId="43" borderId="25" pivotButton="0" quotePrefix="0" xfId="1"/>
    <xf numFmtId="172" fontId="20" fillId="0" borderId="25" pivotButton="0" quotePrefix="0" xfId="1"/>
    <xf numFmtId="166" fontId="20" fillId="0" borderId="18" pivotButton="0" quotePrefix="0" xfId="6"/>
    <xf numFmtId="3" fontId="22" fillId="0" borderId="56" pivotButton="0" quotePrefix="0" xfId="23"/>
    <xf numFmtId="3" fontId="22" fillId="0" borderId="55" pivotButton="0" quotePrefix="0" xfId="23"/>
    <xf numFmtId="0" fontId="0" fillId="0" borderId="24" pivotButton="0" quotePrefix="0" xfId="0"/>
    <xf numFmtId="0" fontId="103" fillId="42" borderId="49" pivotButton="0" quotePrefix="0" xfId="0"/>
    <xf numFmtId="168" fontId="0" fillId="0" borderId="25" pivotButton="0" quotePrefix="0" xfId="0"/>
    <xf numFmtId="3" fontId="0" fillId="0" borderId="24" pivotButton="0" quotePrefix="0" xfId="0"/>
    <xf numFmtId="168" fontId="0" fillId="0" borderId="49" pivotButton="0" quotePrefix="0" xfId="0"/>
    <xf numFmtId="168" fontId="4" fillId="44" borderId="29" pivotButton="0" quotePrefix="0" xfId="0"/>
    <xf numFmtId="0" fontId="22" fillId="6" borderId="24" pivotButton="0" quotePrefix="0" xfId="18"/>
    <xf numFmtId="167" fontId="22" fillId="6" borderId="24" pivotButton="0" quotePrefix="0" xfId="18"/>
    <xf numFmtId="167" fontId="22" fillId="0" borderId="25" pivotButton="0" quotePrefix="0" xfId="18"/>
    <xf numFmtId="167" fontId="27" fillId="44" borderId="5" pivotButton="0" quotePrefix="0" xfId="18"/>
    <xf numFmtId="0" fontId="27" fillId="44" borderId="29" pivotButton="0" quotePrefix="0" xfId="18"/>
    <xf numFmtId="167" fontId="22" fillId="0" borderId="21" pivotButton="0" quotePrefix="0" xfId="18"/>
    <xf numFmtId="167" fontId="27" fillId="44" borderId="29" pivotButton="0" quotePrefix="0" xfId="18"/>
    <xf numFmtId="167" fontId="22" fillId="9" borderId="48" pivotButton="0" quotePrefix="0" xfId="0"/>
    <xf numFmtId="167" fontId="22" fillId="9" borderId="24" pivotButton="0" quotePrefix="0" xfId="0"/>
    <xf numFmtId="0" fontId="108" fillId="42" borderId="49" applyAlignment="1" pivotButton="0" quotePrefix="0" xfId="0">
      <alignment horizontal="right" vertical="center" wrapText="1"/>
    </xf>
    <xf numFmtId="2" fontId="22" fillId="9" borderId="25" pivotButton="0" quotePrefix="0" xfId="0"/>
    <xf numFmtId="167" fontId="27" fillId="44" borderId="29" pivotButton="0" quotePrefix="0" xfId="0"/>
    <xf numFmtId="2" fontId="27" fillId="44" borderId="29" pivotButton="0" quotePrefix="0" xfId="0"/>
    <xf numFmtId="174" fontId="23" fillId="9" borderId="0" applyAlignment="1" pivotButton="0" quotePrefix="0" xfId="0">
      <alignment horizontal="left" wrapText="1"/>
    </xf>
    <xf numFmtId="166" fontId="20" fillId="0" borderId="0" pivotButton="0" quotePrefix="0" xfId="6"/>
    <xf numFmtId="0" fontId="22" fillId="0" borderId="13" applyAlignment="1" pivotButton="0" quotePrefix="0" xfId="0">
      <alignment horizontal="right"/>
    </xf>
    <xf numFmtId="0" fontId="22" fillId="0" borderId="13" applyAlignment="1" pivotButton="0" quotePrefix="0" xfId="0">
      <alignment horizontal="right" vertical="center" wrapText="1"/>
    </xf>
    <xf numFmtId="0" fontId="24" fillId="9" borderId="0" pivotButton="0" quotePrefix="0" xfId="7"/>
    <xf numFmtId="0" fontId="23" fillId="9" borderId="0" applyAlignment="1" pivotButton="0" quotePrefix="0" xfId="7">
      <alignment horizontal="right"/>
    </xf>
    <xf numFmtId="0" fontId="23" fillId="9" borderId="0" pivotButton="0" quotePrefix="0" xfId="15"/>
    <xf numFmtId="0" fontId="22" fillId="9" borderId="0" applyAlignment="1" pivotButton="0" quotePrefix="0" xfId="0">
      <alignment horizontal="right"/>
    </xf>
    <xf numFmtId="0" fontId="69" fillId="9" borderId="0" pivotButton="0" quotePrefix="0" xfId="0"/>
    <xf numFmtId="0" fontId="63" fillId="9" borderId="0" applyAlignment="1" pivotButton="0" quotePrefix="0" xfId="0">
      <alignment horizontal="right"/>
    </xf>
    <xf numFmtId="174" fontId="23" fillId="9" borderId="0" applyAlignment="1" pivotButton="0" quotePrefix="0" xfId="0">
      <alignment horizontal="right" wrapText="1"/>
    </xf>
    <xf numFmtId="0" fontId="117" fillId="0" borderId="0" pivotButton="0" quotePrefix="0" xfId="1173"/>
    <xf numFmtId="0" fontId="22" fillId="7" borderId="0" pivotButton="0" quotePrefix="0" xfId="1174"/>
    <xf numFmtId="0" fontId="53" fillId="0" borderId="0" applyAlignment="1" pivotButton="0" quotePrefix="0" xfId="26">
      <alignment vertical="center"/>
    </xf>
    <xf numFmtId="0" fontId="22" fillId="8" borderId="0" pivotButton="0" quotePrefix="0" xfId="7"/>
    <xf numFmtId="0" fontId="53" fillId="8" borderId="0" applyAlignment="1" pivotButton="0" quotePrefix="0" xfId="26">
      <alignment vertical="center"/>
    </xf>
    <xf numFmtId="0" fontId="73" fillId="0" borderId="0" applyAlignment="1" pivotButton="0" quotePrefix="0" xfId="1175">
      <alignment wrapText="1"/>
    </xf>
    <xf numFmtId="0" fontId="16" fillId="0" borderId="0" applyAlignment="1" pivotButton="0" quotePrefix="0" xfId="26">
      <alignment vertical="center"/>
    </xf>
    <xf numFmtId="0" fontId="117" fillId="9" borderId="0" pivotButton="0" quotePrefix="0" xfId="1173"/>
    <xf numFmtId="0" fontId="31" fillId="0" borderId="0" applyAlignment="1" pivotButton="0" quotePrefix="0" xfId="1173">
      <alignment horizontal="right"/>
    </xf>
    <xf numFmtId="169" fontId="22" fillId="0" borderId="0" applyAlignment="1" pivotButton="0" quotePrefix="1" xfId="1173">
      <alignment horizontal="right"/>
    </xf>
    <xf numFmtId="0" fontId="22" fillId="0" borderId="18" applyAlignment="1" pivotButton="0" quotePrefix="0" xfId="7">
      <alignment vertical="top" wrapText="1"/>
    </xf>
    <xf numFmtId="0" fontId="22" fillId="0" borderId="18" applyAlignment="1" pivotButton="0" quotePrefix="0" xfId="7">
      <alignment horizontal="right" wrapText="1"/>
    </xf>
    <xf numFmtId="0" fontId="22" fillId="0" borderId="18" applyAlignment="1" pivotButton="0" quotePrefix="0" xfId="1173">
      <alignment horizontal="right" wrapText="1"/>
    </xf>
    <xf numFmtId="0" fontId="22" fillId="0" borderId="13" applyAlignment="1" pivotButton="0" quotePrefix="0" xfId="7">
      <alignment horizontal="right" wrapText="1"/>
    </xf>
    <xf numFmtId="0" fontId="22" fillId="0" borderId="13" pivotButton="0" quotePrefix="0" xfId="7"/>
    <xf numFmtId="0" fontId="22" fillId="0" borderId="0" applyAlignment="1" pivotButton="0" quotePrefix="0" xfId="7">
      <alignment horizontal="center"/>
    </xf>
    <xf numFmtId="1" fontId="22" fillId="0" borderId="0" pivotButton="0" quotePrefix="0" xfId="7"/>
    <xf numFmtId="0" fontId="23" fillId="9" borderId="0" applyAlignment="1" pivotButton="0" quotePrefix="0" xfId="7">
      <alignment horizontal="left"/>
    </xf>
    <xf numFmtId="0" fontId="119" fillId="0" borderId="0" applyAlignment="1" pivotButton="0" quotePrefix="0" xfId="7">
      <alignment horizontal="left"/>
    </xf>
    <xf numFmtId="0" fontId="119" fillId="9" borderId="0" applyAlignment="1" pivotButton="0" quotePrefix="0" xfId="7">
      <alignment horizontal="left"/>
    </xf>
    <xf numFmtId="169" fontId="22" fillId="0" borderId="0" pivotButton="0" quotePrefix="0" xfId="7"/>
    <xf numFmtId="0" fontId="22" fillId="0" borderId="0" applyAlignment="1" pivotButton="0" quotePrefix="0" xfId="0">
      <alignment wrapText="1"/>
    </xf>
    <xf numFmtId="14" fontId="22" fillId="0" borderId="0" pivotButton="0" quotePrefix="0" xfId="7"/>
    <xf numFmtId="0" fontId="0" fillId="45" borderId="4" applyAlignment="1" pivotButton="0" quotePrefix="1" xfId="0">
      <alignment vertical="center"/>
    </xf>
    <xf numFmtId="0" fontId="0" fillId="0" borderId="4" applyAlignment="1" pivotButton="0" quotePrefix="0" xfId="0">
      <alignment vertical="top" wrapText="1"/>
    </xf>
    <xf numFmtId="0" fontId="0" fillId="0" borderId="4" applyAlignment="1" pivotButton="0" quotePrefix="0" xfId="0">
      <alignment wrapText="1"/>
    </xf>
    <xf numFmtId="0" fontId="42" fillId="6" borderId="0" pivotButton="0" quotePrefix="0" xfId="0"/>
    <xf numFmtId="167" fontId="22" fillId="8" borderId="4" applyAlignment="1" pivotButton="0" quotePrefix="0" xfId="0">
      <alignment horizontal="right"/>
    </xf>
    <xf numFmtId="169" fontId="22" fillId="0" borderId="4" pivotButton="0" quotePrefix="0" xfId="0"/>
    <xf numFmtId="167" fontId="22" fillId="0" borderId="14" applyAlignment="1" pivotButton="0" quotePrefix="0" xfId="0">
      <alignment horizontal="right"/>
    </xf>
    <xf numFmtId="167" fontId="22" fillId="8" borderId="13" applyAlignment="1" pivotButton="0" quotePrefix="0" xfId="0">
      <alignment horizontal="right"/>
    </xf>
    <xf numFmtId="164" fontId="121" fillId="0" borderId="14" pivotButton="0" quotePrefix="0" xfId="0"/>
    <xf numFmtId="172" fontId="121" fillId="0" borderId="24" pivotButton="0" quotePrefix="0" xfId="0"/>
    <xf numFmtId="165" fontId="122" fillId="0" borderId="4" pivotButton="0" quotePrefix="0" xfId="0"/>
    <xf numFmtId="3" fontId="122" fillId="0" borderId="4" pivotButton="0" quotePrefix="0" xfId="0"/>
    <xf numFmtId="164" fontId="122" fillId="0" borderId="4" pivotButton="0" quotePrefix="0" xfId="0"/>
    <xf numFmtId="164" fontId="122" fillId="0" borderId="25" pivotButton="0" quotePrefix="0" xfId="0"/>
    <xf numFmtId="165" fontId="117" fillId="0" borderId="4" applyAlignment="1" pivotButton="0" quotePrefix="0" xfId="0">
      <alignment horizontal="right"/>
    </xf>
    <xf numFmtId="168" fontId="22" fillId="0" borderId="4" pivotButton="0" quotePrefix="0" xfId="23"/>
    <xf numFmtId="168" fontId="22" fillId="0" borderId="46" pivotButton="0" quotePrefix="0" xfId="23"/>
    <xf numFmtId="168" fontId="22" fillId="0" borderId="23" pivotButton="0" quotePrefix="0" xfId="23"/>
    <xf numFmtId="168" fontId="22" fillId="0" borderId="48" pivotButton="0" quotePrefix="0" xfId="23"/>
    <xf numFmtId="168" fontId="22" fillId="0" borderId="52" pivotButton="0" quotePrefix="0" xfId="23"/>
    <xf numFmtId="3" fontId="44" fillId="0" borderId="0" pivotButton="0" quotePrefix="0" xfId="0"/>
    <xf numFmtId="4" fontId="26" fillId="0" borderId="0" pivotButton="0" quotePrefix="0" xfId="0"/>
    <xf numFmtId="0" fontId="123" fillId="42" borderId="49" applyAlignment="1" pivotButton="0" quotePrefix="0" xfId="7">
      <alignment wrapText="1"/>
    </xf>
    <xf numFmtId="0" fontId="123" fillId="42" borderId="4" applyAlignment="1" pivotButton="0" quotePrefix="0" xfId="7">
      <alignment wrapText="1"/>
    </xf>
    <xf numFmtId="0" fontId="123" fillId="42" borderId="48" applyAlignment="1" pivotButton="0" quotePrefix="0" xfId="7">
      <alignment wrapText="1"/>
    </xf>
    <xf numFmtId="0" fontId="124" fillId="44" borderId="29" pivotButton="0" quotePrefix="0" xfId="18"/>
    <xf numFmtId="0" fontId="117" fillId="6" borderId="24" pivotButton="0" quotePrefix="0" xfId="18"/>
    <xf numFmtId="0" fontId="117" fillId="6" borderId="4" pivotButton="0" quotePrefix="0" xfId="18"/>
    <xf numFmtId="172" fontId="124" fillId="44" borderId="29" pivotButton="0" quotePrefix="0" xfId="1"/>
    <xf numFmtId="172" fontId="117" fillId="6" borderId="24" pivotButton="0" quotePrefix="0" xfId="1"/>
    <xf numFmtId="172" fontId="117" fillId="6" borderId="4" pivotButton="0" quotePrefix="0" xfId="1"/>
    <xf numFmtId="172" fontId="124" fillId="44" borderId="5" pivotButton="0" quotePrefix="0" xfId="1"/>
    <xf numFmtId="172" fontId="117" fillId="0" borderId="21" pivotButton="0" quotePrefix="0" xfId="1"/>
    <xf numFmtId="172" fontId="117" fillId="0" borderId="25" pivotButton="0" quotePrefix="0" xfId="1"/>
    <xf numFmtId="1" fontId="22" fillId="0" borderId="0" applyAlignment="1" pivotButton="0" quotePrefix="0" xfId="20">
      <alignment vertical="top"/>
    </xf>
    <xf numFmtId="176" fontId="23" fillId="0" borderId="0" pivotButton="0" quotePrefix="0" xfId="0"/>
    <xf numFmtId="164" fontId="23" fillId="0" borderId="0" pivotButton="0" quotePrefix="0" xfId="0"/>
    <xf numFmtId="168" fontId="22" fillId="0" borderId="42" pivotButton="0" quotePrefix="0" xfId="23"/>
    <xf numFmtId="167" fontId="27" fillId="0" borderId="48" applyAlignment="1" pivotButton="0" quotePrefix="0" xfId="0">
      <alignment horizontal="right"/>
    </xf>
    <xf numFmtId="165" fontId="27" fillId="0" borderId="24" applyAlignment="1" pivotButton="0" quotePrefix="0" xfId="0">
      <alignment horizontal="right"/>
    </xf>
    <xf numFmtId="167" fontId="27" fillId="46" borderId="29" applyAlignment="1" pivotButton="0" quotePrefix="0" xfId="0">
      <alignment horizontal="right"/>
    </xf>
    <xf numFmtId="167" fontId="117" fillId="0" borderId="25" applyAlignment="1" pivotButton="0" quotePrefix="0" xfId="0">
      <alignment horizontal="right"/>
    </xf>
    <xf numFmtId="1" fontId="4" fillId="44" borderId="29" pivotButton="0" quotePrefix="0" xfId="0"/>
    <xf numFmtId="3" fontId="124" fillId="44" borderId="29" pivotButton="0" quotePrefix="0" xfId="23"/>
    <xf numFmtId="9" fontId="0" fillId="0" borderId="49" pivotButton="0" quotePrefix="0" xfId="1"/>
    <xf numFmtId="172" fontId="22" fillId="0" borderId="8" applyAlignment="1" pivotButton="0" quotePrefix="0" xfId="1">
      <alignment vertical="top"/>
    </xf>
    <xf numFmtId="3" fontId="117" fillId="0" borderId="46" pivotButton="0" quotePrefix="0" xfId="23"/>
    <xf numFmtId="3" fontId="117" fillId="0" borderId="4" pivotButton="0" quotePrefix="0" xfId="23"/>
    <xf numFmtId="3" fontId="117" fillId="0" borderId="42" pivotButton="0" quotePrefix="0" xfId="23"/>
    <xf numFmtId="4" fontId="117" fillId="0" borderId="46" pivotButton="0" quotePrefix="0" xfId="23"/>
    <xf numFmtId="4" fontId="117" fillId="0" borderId="4" pivotButton="0" quotePrefix="0" xfId="23"/>
    <xf numFmtId="4" fontId="117" fillId="0" borderId="42" pivotButton="0" quotePrefix="0" xfId="23"/>
    <xf numFmtId="3" fontId="22" fillId="9" borderId="0" applyAlignment="1" pivotButton="0" quotePrefix="0" xfId="0">
      <alignment wrapText="1"/>
    </xf>
    <xf numFmtId="0" fontId="1" fillId="0" borderId="0" applyAlignment="1" pivotButton="0" quotePrefix="0" xfId="11">
      <alignment horizontal="center" wrapText="1"/>
    </xf>
    <xf numFmtId="168" fontId="26" fillId="0" borderId="0" applyAlignment="1" pivotButton="0" quotePrefix="0" xfId="117">
      <alignment horizontal="right" wrapText="1"/>
    </xf>
    <xf numFmtId="169" fontId="26" fillId="0" borderId="0" applyAlignment="1" pivotButton="0" quotePrefix="0" xfId="27">
      <alignment wrapText="1"/>
    </xf>
    <xf numFmtId="0" fontId="103" fillId="42" borderId="48" pivotButton="0" quotePrefix="0" xfId="6"/>
    <xf numFmtId="17" fontId="22" fillId="0" borderId="0" pivotButton="0" quotePrefix="0" xfId="1173"/>
    <xf numFmtId="168" fontId="117" fillId="0" borderId="42" pivotButton="0" quotePrefix="0" xfId="23"/>
    <xf numFmtId="167" fontId="22" fillId="0" borderId="0" applyAlignment="1" pivotButton="0" quotePrefix="0" xfId="11">
      <alignment horizontal="center"/>
    </xf>
    <xf numFmtId="49" fontId="22" fillId="0" borderId="0" applyAlignment="1" pivotButton="0" quotePrefix="0" xfId="11">
      <alignment horizontal="center"/>
    </xf>
    <xf numFmtId="167" fontId="1" fillId="0" borderId="0" applyAlignment="1" pivotButton="0" quotePrefix="0" xfId="11">
      <alignment horizontal="center" wrapText="1"/>
    </xf>
    <xf numFmtId="171" fontId="42" fillId="0" borderId="11" applyAlignment="1" applyProtection="1" pivotButton="0" quotePrefix="0" xfId="11">
      <alignment horizontal="center"/>
      <protection locked="0" hidden="0"/>
    </xf>
    <xf numFmtId="1" fontId="42" fillId="0" borderId="19" pivotButton="0" quotePrefix="0" xfId="354"/>
    <xf numFmtId="171" fontId="42" fillId="0" borderId="21" applyAlignment="1" applyProtection="1" pivotButton="0" quotePrefix="0" xfId="11">
      <alignment horizontal="center"/>
      <protection locked="0" hidden="0"/>
    </xf>
    <xf numFmtId="17" fontId="42" fillId="0" borderId="21" applyAlignment="1" applyProtection="1" pivotButton="0" quotePrefix="0" xfId="11">
      <alignment horizontal="center"/>
      <protection locked="0" hidden="0"/>
    </xf>
    <xf numFmtId="17" fontId="42" fillId="0" borderId="21" applyAlignment="1" pivotButton="0" quotePrefix="0" xfId="11">
      <alignment horizontal="center"/>
    </xf>
    <xf numFmtId="17" fontId="42" fillId="0" borderId="21" applyAlignment="1" pivotButton="0" quotePrefix="0" xfId="12">
      <alignment horizontal="center"/>
    </xf>
    <xf numFmtId="17" fontId="42" fillId="0" borderId="11" applyAlignment="1" pivotButton="0" quotePrefix="0" xfId="11">
      <alignment horizontal="center"/>
    </xf>
    <xf numFmtId="17" fontId="4" fillId="0" borderId="21" applyAlignment="1" pivotButton="0" quotePrefix="0" xfId="11">
      <alignment horizontal="center"/>
    </xf>
    <xf numFmtId="0" fontId="35" fillId="0" borderId="0" applyAlignment="1" pivotButton="0" quotePrefix="0" xfId="354">
      <alignment horizontal="left" vertical="center"/>
    </xf>
    <xf numFmtId="0" fontId="35" fillId="0" borderId="0" applyAlignment="1" pivotButton="0" quotePrefix="0" xfId="354">
      <alignment vertical="center"/>
    </xf>
    <xf numFmtId="0" fontId="65" fillId="0" borderId="0" pivotButton="0" quotePrefix="0" xfId="354"/>
    <xf numFmtId="0" fontId="68" fillId="0" borderId="0" applyAlignment="1" pivotButton="0" quotePrefix="0" xfId="354">
      <alignment horizontal="left" vertical="center"/>
    </xf>
    <xf numFmtId="1" fontId="125" fillId="0" borderId="19" pivotButton="0" quotePrefix="0" xfId="354"/>
    <xf numFmtId="2" fontId="2" fillId="2" borderId="4" pivotButton="0" quotePrefix="0" xfId="2"/>
    <xf numFmtId="168" fontId="22" fillId="0" borderId="0" pivotButton="0" quotePrefix="0" xfId="1173"/>
    <xf numFmtId="173" fontId="22" fillId="0" borderId="0" pivotButton="0" quotePrefix="0" xfId="25"/>
    <xf numFmtId="10" fontId="0" fillId="0" borderId="49" pivotButton="0" quotePrefix="0" xfId="1"/>
    <xf numFmtId="169" fontId="22" fillId="0" borderId="0" pivotButton="0" quotePrefix="0" xfId="1173"/>
    <xf numFmtId="17" fontId="27" fillId="9" borderId="0" pivotButton="0" quotePrefix="0" xfId="20"/>
    <xf numFmtId="1" fontId="27" fillId="9" borderId="0" pivotButton="0" quotePrefix="0" xfId="20"/>
    <xf numFmtId="1" fontId="27" fillId="9" borderId="0" applyAlignment="1" pivotButton="0" quotePrefix="0" xfId="20">
      <alignment horizontal="right"/>
    </xf>
    <xf numFmtId="167" fontId="27" fillId="9" borderId="0" applyAlignment="1" pivotButton="0" quotePrefix="0" xfId="20">
      <alignment horizontal="right"/>
    </xf>
    <xf numFmtId="17" fontId="22" fillId="9" borderId="57" pivotButton="0" quotePrefix="0" xfId="1173"/>
    <xf numFmtId="17" fontId="22" fillId="9" borderId="0" pivotButton="0" quotePrefix="0" xfId="1173"/>
    <xf numFmtId="169" fontId="22" fillId="9" borderId="58" pivotButton="0" quotePrefix="0" xfId="1173"/>
    <xf numFmtId="167" fontId="22" fillId="9" borderId="58" pivotButton="0" quotePrefix="0" xfId="1173"/>
    <xf numFmtId="168" fontId="22" fillId="9" borderId="58" pivotButton="0" quotePrefix="0" xfId="1173"/>
    <xf numFmtId="0" fontId="22" fillId="0" borderId="0" pivotButton="0" quotePrefix="0" xfId="1173"/>
    <xf numFmtId="167" fontId="22" fillId="0" borderId="0" pivotButton="0" quotePrefix="0" xfId="1173"/>
    <xf numFmtId="169" fontId="22" fillId="9" borderId="0" pivotButton="0" quotePrefix="0" xfId="1173"/>
    <xf numFmtId="169" fontId="22" fillId="0" borderId="17" pivotButton="0" quotePrefix="0" xfId="1173"/>
    <xf numFmtId="168" fontId="22" fillId="0" borderId="17" pivotButton="0" quotePrefix="0" xfId="1173"/>
    <xf numFmtId="167" fontId="22" fillId="0" borderId="0" applyAlignment="1" pivotButton="0" quotePrefix="1" xfId="1173">
      <alignment horizontal="right"/>
    </xf>
    <xf numFmtId="17" fontId="22" fillId="9" borderId="17" pivotButton="0" quotePrefix="0" xfId="1173"/>
    <xf numFmtId="0" fontId="117" fillId="0" borderId="0" pivotButton="0" quotePrefix="0" xfId="0"/>
    <xf numFmtId="168" fontId="117" fillId="0" borderId="48" pivotButton="0" quotePrefix="0" xfId="23"/>
    <xf numFmtId="168" fontId="117" fillId="0" borderId="52" pivotButton="0" quotePrefix="0" xfId="23"/>
    <xf numFmtId="164" fontId="26" fillId="0" borderId="0" pivotButton="0" quotePrefix="0" xfId="0"/>
    <xf numFmtId="164" fontId="23" fillId="0" borderId="0" pivotButton="0" quotePrefix="0" xfId="7"/>
    <xf numFmtId="0" fontId="108" fillId="47" borderId="0" pivotButton="0" quotePrefix="0" xfId="7"/>
    <xf numFmtId="172" fontId="22" fillId="0" borderId="4" pivotButton="0" quotePrefix="0" xfId="7"/>
    <xf numFmtId="0" fontId="0" fillId="0" borderId="27" applyAlignment="1" pivotButton="0" quotePrefix="0" xfId="0">
      <alignment vertical="center"/>
    </xf>
    <xf numFmtId="0" fontId="126" fillId="47" borderId="3" applyAlignment="1" pivotButton="0" quotePrefix="0" xfId="0">
      <alignment horizontal="center" vertical="center" wrapText="1"/>
    </xf>
    <xf numFmtId="0" fontId="126" fillId="42" borderId="5" applyAlignment="1" pivotButton="0" quotePrefix="0" xfId="0">
      <alignment horizontal="center" vertical="center" wrapText="1"/>
    </xf>
    <xf numFmtId="0" fontId="19" fillId="0" borderId="0" applyAlignment="1" pivotButton="0" quotePrefix="0" xfId="0">
      <alignment horizontal="left" readingOrder="1"/>
    </xf>
    <xf numFmtId="0" fontId="67" fillId="0" borderId="0" applyAlignment="1" pivotButton="0" quotePrefix="0" xfId="0">
      <alignment horizontal="left" readingOrder="1"/>
    </xf>
    <xf numFmtId="0" fontId="129" fillId="48" borderId="4" applyAlignment="1" pivotButton="0" quotePrefix="0" xfId="0">
      <alignment horizontal="center" vertical="top" wrapText="1" readingOrder="1"/>
    </xf>
    <xf numFmtId="0" fontId="51" fillId="49" borderId="4" applyAlignment="1" pivotButton="0" quotePrefix="0" xfId="0">
      <alignment horizontal="left" vertical="top" wrapText="1" readingOrder="1"/>
    </xf>
    <xf numFmtId="0" fontId="67" fillId="50" borderId="4" applyAlignment="1" pivotButton="0" quotePrefix="0" xfId="0">
      <alignment horizontal="left" vertical="top" wrapText="1" readingOrder="1"/>
    </xf>
    <xf numFmtId="0" fontId="52" fillId="49" borderId="4" applyAlignment="1" pivotButton="0" quotePrefix="0" xfId="0">
      <alignment horizontal="left" vertical="top" wrapText="1" readingOrder="1"/>
    </xf>
    <xf numFmtId="0" fontId="67" fillId="50" borderId="4" applyAlignment="1" pivotButton="0" quotePrefix="0" xfId="0">
      <alignment horizontal="right" vertical="top" wrapText="1" readingOrder="1"/>
    </xf>
    <xf numFmtId="168" fontId="67" fillId="0" borderId="4" applyAlignment="1" pivotButton="0" quotePrefix="0" xfId="0">
      <alignment horizontal="right" wrapText="1" readingOrder="1"/>
    </xf>
    <xf numFmtId="0" fontId="67" fillId="0" borderId="4" applyAlignment="1" pivotButton="0" quotePrefix="0" xfId="0">
      <alignment horizontal="right" wrapText="1" readingOrder="1"/>
    </xf>
    <xf numFmtId="177" fontId="67" fillId="0" borderId="4" applyAlignment="1" pivotButton="0" quotePrefix="0" xfId="0">
      <alignment horizontal="right" wrapText="1" readingOrder="1"/>
    </xf>
    <xf numFmtId="0" fontId="130" fillId="0" borderId="0" applyAlignment="1" pivotButton="0" quotePrefix="0" xfId="0">
      <alignment readingOrder="1"/>
    </xf>
    <xf numFmtId="0" fontId="130" fillId="0" borderId="0" pivotButton="0" quotePrefix="0" xfId="0"/>
    <xf numFmtId="0" fontId="131" fillId="7" borderId="27" applyAlignment="1" pivotButton="0" quotePrefix="0" xfId="0">
      <alignment horizontal="center" vertical="center"/>
    </xf>
    <xf numFmtId="172" fontId="131" fillId="7" borderId="27" applyAlignment="1" pivotButton="0" quotePrefix="0" xfId="0">
      <alignment horizontal="center" vertical="center"/>
    </xf>
    <xf numFmtId="0" fontId="103" fillId="47" borderId="4" pivotButton="0" quotePrefix="0" xfId="0"/>
    <xf numFmtId="173" fontId="0" fillId="0" borderId="4" pivotButton="0" quotePrefix="0" xfId="0"/>
    <xf numFmtId="173" fontId="0" fillId="6" borderId="0" pivotButton="0" quotePrefix="0" xfId="25"/>
    <xf numFmtId="17" fontId="0" fillId="0" borderId="0" pivotButton="0" quotePrefix="0" xfId="0"/>
    <xf numFmtId="167" fontId="132" fillId="0" borderId="11" applyAlignment="1" pivotButton="0" quotePrefix="0" xfId="0">
      <alignment horizontal="right"/>
    </xf>
    <xf numFmtId="3" fontId="137" fillId="9" borderId="0" applyAlignment="1" pivotButton="0" quotePrefix="0" xfId="0">
      <alignment horizontal="right"/>
    </xf>
    <xf numFmtId="170" fontId="136" fillId="9" borderId="0" applyAlignment="1" pivotButton="0" quotePrefix="0" xfId="0">
      <alignment horizontal="right"/>
    </xf>
    <xf numFmtId="167" fontId="133" fillId="9" borderId="0" pivotButton="0" quotePrefix="0" xfId="0"/>
    <xf numFmtId="1" fontId="133" fillId="9" borderId="0" pivotButton="0" quotePrefix="0" xfId="0"/>
    <xf numFmtId="171" fontId="135" fillId="9" borderId="0" applyAlignment="1" applyProtection="1" pivotButton="0" quotePrefix="0" xfId="0">
      <alignment horizontal="right" wrapText="1"/>
      <protection locked="0" hidden="0"/>
    </xf>
    <xf numFmtId="0" fontId="133" fillId="9" borderId="0" pivotButton="0" quotePrefix="0" xfId="7"/>
    <xf numFmtId="167" fontId="132" fillId="9" borderId="0" pivotButton="0" quotePrefix="0" xfId="0"/>
    <xf numFmtId="1" fontId="132" fillId="9" borderId="0" pivotButton="0" quotePrefix="0" xfId="0"/>
    <xf numFmtId="171" fontId="134" fillId="9" borderId="0" applyAlignment="1" applyProtection="1" pivotButton="0" quotePrefix="0" xfId="0">
      <alignment horizontal="right" wrapText="1"/>
      <protection locked="0" hidden="0"/>
    </xf>
    <xf numFmtId="171" fontId="134" fillId="9" borderId="0" applyAlignment="1" applyProtection="1" pivotButton="0" quotePrefix="0" xfId="0">
      <alignment horizontal="right"/>
      <protection locked="0" hidden="0"/>
    </xf>
    <xf numFmtId="169" fontId="132" fillId="8" borderId="0" pivotButton="0" quotePrefix="0" xfId="0"/>
    <xf numFmtId="169" fontId="132" fillId="0" borderId="14" pivotButton="0" quotePrefix="0" xfId="0"/>
    <xf numFmtId="169" fontId="132" fillId="0" borderId="13" pivotButton="0" quotePrefix="0" xfId="0"/>
    <xf numFmtId="0" fontId="132" fillId="0" borderId="0" pivotButton="0" quotePrefix="0" xfId="7"/>
    <xf numFmtId="169" fontId="132" fillId="0" borderId="11" pivotButton="0" quotePrefix="0" xfId="0"/>
    <xf numFmtId="169" fontId="132" fillId="0" borderId="0" pivotButton="0" quotePrefix="0" xfId="0"/>
    <xf numFmtId="167" fontId="132" fillId="8" borderId="11" applyAlignment="1" pivotButton="0" quotePrefix="0" xfId="0">
      <alignment horizontal="right"/>
    </xf>
    <xf numFmtId="169" fontId="132" fillId="8" borderId="0" applyAlignment="1" pivotButton="0" quotePrefix="0" xfId="0">
      <alignment horizontal="right"/>
    </xf>
    <xf numFmtId="167" fontId="132" fillId="0" borderId="14" applyAlignment="1" pivotButton="0" quotePrefix="0" xfId="0">
      <alignment horizontal="right"/>
    </xf>
    <xf numFmtId="169" fontId="132" fillId="0" borderId="13" applyAlignment="1" pivotButton="0" quotePrefix="0" xfId="0">
      <alignment horizontal="right"/>
    </xf>
    <xf numFmtId="0" fontId="133" fillId="0" borderId="0" pivotButton="0" quotePrefix="0" xfId="7"/>
    <xf numFmtId="169" fontId="132" fillId="0" borderId="11" applyAlignment="1" pivotButton="0" quotePrefix="0" xfId="0">
      <alignment horizontal="right"/>
    </xf>
    <xf numFmtId="169" fontId="132" fillId="0" borderId="0" applyAlignment="1" pivotButton="0" quotePrefix="0" xfId="0">
      <alignment horizontal="right"/>
    </xf>
    <xf numFmtId="17" fontId="133" fillId="9" borderId="13" pivotButton="0" quotePrefix="1" xfId="0"/>
    <xf numFmtId="0" fontId="43" fillId="9" borderId="0" pivotButton="0" quotePrefix="1" xfId="0"/>
    <xf numFmtId="3" fontId="132" fillId="9" borderId="13" applyAlignment="1" pivotButton="0" quotePrefix="0" xfId="0">
      <alignment horizontal="right"/>
    </xf>
    <xf numFmtId="17" fontId="132" fillId="9" borderId="13" pivotButton="0" quotePrefix="1" xfId="0"/>
    <xf numFmtId="17" fontId="132" fillId="9" borderId="0" pivotButton="0" quotePrefix="1" xfId="0"/>
    <xf numFmtId="0" fontId="133" fillId="9" borderId="0" pivotButton="0" quotePrefix="0" xfId="0"/>
    <xf numFmtId="0" fontId="133" fillId="9" borderId="0" pivotButton="0" quotePrefix="1" xfId="0"/>
    <xf numFmtId="0" fontId="132" fillId="9" borderId="0" pivotButton="0" quotePrefix="0" xfId="0"/>
    <xf numFmtId="0" fontId="132" fillId="9" borderId="0" pivotButton="0" quotePrefix="1" xfId="0"/>
    <xf numFmtId="3" fontId="132" fillId="9" borderId="0" applyAlignment="1" pivotButton="0" quotePrefix="0" xfId="0">
      <alignment horizontal="right"/>
    </xf>
    <xf numFmtId="171" fontId="132" fillId="9" borderId="0" applyAlignment="1" pivotButton="0" quotePrefix="1" xfId="0">
      <alignment horizontal="left"/>
    </xf>
    <xf numFmtId="0" fontId="132" fillId="0" borderId="0" applyAlignment="1" pivotButton="0" quotePrefix="0" xfId="0">
      <alignment horizontal="right"/>
    </xf>
    <xf numFmtId="0" fontId="133" fillId="0" borderId="0" pivotButton="0" quotePrefix="0" xfId="0"/>
    <xf numFmtId="167" fontId="132" fillId="8" borderId="0" applyAlignment="1" pivotButton="0" quotePrefix="0" xfId="0">
      <alignment horizontal="right"/>
    </xf>
    <xf numFmtId="164" fontId="132" fillId="8" borderId="0" applyAlignment="1" pivotButton="0" quotePrefix="0" xfId="0">
      <alignment horizontal="right"/>
    </xf>
    <xf numFmtId="0" fontId="132" fillId="0" borderId="0" applyAlignment="1" pivotButton="0" quotePrefix="0" xfId="7">
      <alignment horizontal="right"/>
    </xf>
    <xf numFmtId="164" fontId="133" fillId="0" borderId="0" pivotButton="0" quotePrefix="0" xfId="7"/>
    <xf numFmtId="1" fontId="132" fillId="0" borderId="17" pivotButton="0" quotePrefix="0" xfId="0"/>
    <xf numFmtId="167" fontId="132" fillId="0" borderId="13" applyAlignment="1" pivotButton="0" quotePrefix="0" xfId="0">
      <alignment horizontal="right"/>
    </xf>
    <xf numFmtId="164" fontId="132" fillId="0" borderId="13" applyAlignment="1" pivotButton="0" quotePrefix="0" xfId="0">
      <alignment horizontal="right"/>
    </xf>
    <xf numFmtId="164" fontId="132" fillId="0" borderId="15" pivotButton="0" quotePrefix="0" xfId="0"/>
    <xf numFmtId="167" fontId="132" fillId="0" borderId="14" pivotButton="0" quotePrefix="0" xfId="0"/>
    <xf numFmtId="167" fontId="132" fillId="0" borderId="13" pivotButton="0" quotePrefix="0" xfId="0"/>
    <xf numFmtId="164" fontId="132" fillId="0" borderId="13" pivotButton="0" quotePrefix="0" xfId="0"/>
    <xf numFmtId="0" fontId="132" fillId="0" borderId="13" pivotButton="0" quotePrefix="0" xfId="0"/>
    <xf numFmtId="164" fontId="132" fillId="0" borderId="0" pivotButton="0" quotePrefix="0" xfId="7"/>
    <xf numFmtId="167" fontId="132" fillId="0" borderId="0" applyAlignment="1" pivotButton="0" quotePrefix="0" xfId="0">
      <alignment horizontal="right"/>
    </xf>
    <xf numFmtId="164" fontId="132" fillId="0" borderId="0" applyAlignment="1" pivotButton="0" quotePrefix="0" xfId="0">
      <alignment horizontal="right"/>
    </xf>
    <xf numFmtId="164" fontId="132" fillId="0" borderId="12" pivotButton="0" quotePrefix="0" xfId="0"/>
    <xf numFmtId="167" fontId="132" fillId="0" borderId="11" pivotButton="0" quotePrefix="0" xfId="0"/>
    <xf numFmtId="167" fontId="132" fillId="0" borderId="0" pivotButton="0" quotePrefix="0" xfId="0"/>
    <xf numFmtId="164" fontId="132" fillId="0" borderId="0" pivotButton="0" quotePrefix="0" xfId="0"/>
    <xf numFmtId="0" fontId="132" fillId="0" borderId="0" pivotButton="0" quotePrefix="0" xfId="0"/>
    <xf numFmtId="167" fontId="43" fillId="9" borderId="0" pivotButton="0" quotePrefix="0" xfId="0"/>
    <xf numFmtId="3" fontId="0" fillId="9" borderId="0" pivotButton="0" quotePrefix="0" xfId="0"/>
    <xf numFmtId="3" fontId="42" fillId="9" borderId="0" pivotButton="0" quotePrefix="0" xfId="0"/>
    <xf numFmtId="0" fontId="42" fillId="9" borderId="0" applyAlignment="1" pivotButton="0" quotePrefix="0" xfId="0">
      <alignment horizontal="right"/>
    </xf>
    <xf numFmtId="3" fontId="42" fillId="9" borderId="0" applyAlignment="1" pivotButton="0" quotePrefix="0" xfId="0">
      <alignment horizontal="right"/>
    </xf>
    <xf numFmtId="3" fontId="42" fillId="9" borderId="0" pivotButton="0" quotePrefix="0" xfId="1"/>
    <xf numFmtId="1" fontId="42" fillId="9" borderId="0" applyAlignment="1" pivotButton="0" quotePrefix="0" xfId="0">
      <alignment horizontal="right"/>
    </xf>
    <xf numFmtId="0" fontId="0" fillId="9" borderId="0" applyAlignment="1" pivotButton="0" quotePrefix="0" xfId="0">
      <alignment horizontal="right"/>
    </xf>
    <xf numFmtId="1" fontId="43" fillId="9" borderId="0" pivotButton="0" quotePrefix="0" xfId="0"/>
    <xf numFmtId="168" fontId="138" fillId="9" borderId="0" applyAlignment="1" pivotButton="0" quotePrefix="0" xfId="0">
      <alignment horizontal="right"/>
    </xf>
    <xf numFmtId="170" fontId="136" fillId="9" borderId="0" applyAlignment="1" pivotButton="0" quotePrefix="1" xfId="0">
      <alignment horizontal="right"/>
    </xf>
    <xf numFmtId="49" fontId="136" fillId="9" borderId="0" applyAlignment="1" pivotButton="0" quotePrefix="1" xfId="0">
      <alignment horizontal="right"/>
    </xf>
    <xf numFmtId="0" fontId="132" fillId="9" borderId="0" pivotButton="0" quotePrefix="0" xfId="20"/>
    <xf numFmtId="1" fontId="132" fillId="9" borderId="0" pivotButton="0" quotePrefix="0" xfId="20"/>
    <xf numFmtId="0" fontId="139" fillId="9" borderId="0" pivotButton="0" quotePrefix="0" xfId="19"/>
    <xf numFmtId="0" fontId="132" fillId="9" borderId="0" pivotButton="0" quotePrefix="0" xfId="22"/>
    <xf numFmtId="0" fontId="132" fillId="9" borderId="0" pivotButton="0" quotePrefix="0" xfId="31"/>
    <xf numFmtId="0" fontId="133" fillId="9" borderId="0" pivotButton="0" quotePrefix="0" xfId="31"/>
    <xf numFmtId="0" fontId="140" fillId="9" borderId="0" pivotButton="0" quotePrefix="0" xfId="19"/>
    <xf numFmtId="17" fontId="133" fillId="9" borderId="0" pivotButton="0" quotePrefix="0" xfId="20"/>
    <xf numFmtId="1" fontId="133" fillId="9" borderId="0" applyAlignment="1" pivotButton="0" quotePrefix="0" xfId="20">
      <alignment horizontal="right"/>
    </xf>
    <xf numFmtId="167" fontId="132" fillId="9" borderId="0" applyAlignment="1" pivotButton="0" quotePrefix="0" xfId="20">
      <alignment horizontal="right"/>
    </xf>
    <xf numFmtId="0" fontId="133" fillId="9" borderId="0" pivotButton="0" quotePrefix="0" xfId="22"/>
    <xf numFmtId="1" fontId="133" fillId="9" borderId="0" pivotButton="0" quotePrefix="0" xfId="20"/>
    <xf numFmtId="17" fontId="133" fillId="9" borderId="0" applyAlignment="1" pivotButton="0" quotePrefix="0" xfId="20">
      <alignment horizontal="left"/>
    </xf>
    <xf numFmtId="0" fontId="132" fillId="9" borderId="0" pivotButton="0" quotePrefix="0" xfId="18"/>
    <xf numFmtId="0" fontId="133" fillId="9" borderId="0" pivotButton="0" quotePrefix="0" xfId="19"/>
    <xf numFmtId="0" fontId="133" fillId="9" borderId="0" pivotButton="0" quotePrefix="0" xfId="18"/>
    <xf numFmtId="17" fontId="132" fillId="9" borderId="0" pivotButton="0" quotePrefix="0" xfId="20"/>
    <xf numFmtId="0" fontId="141" fillId="0" borderId="0" applyAlignment="1" pivotButton="0" quotePrefix="0" xfId="117">
      <alignment horizontal="right"/>
    </xf>
    <xf numFmtId="1" fontId="125" fillId="0" borderId="20" applyAlignment="1" pivotButton="0" quotePrefix="0" xfId="354">
      <alignment horizontal="right"/>
    </xf>
    <xf numFmtId="167" fontId="0" fillId="0" borderId="0" pivotButton="0" quotePrefix="0" xfId="11"/>
    <xf numFmtId="1" fontId="138" fillId="0" borderId="0" pivotButton="0" quotePrefix="0" xfId="117"/>
    <xf numFmtId="167" fontId="125" fillId="0" borderId="0" pivotButton="0" quotePrefix="0" xfId="354"/>
    <xf numFmtId="17" fontId="0" fillId="0" borderId="21" applyAlignment="1" pivotButton="0" quotePrefix="0" xfId="11">
      <alignment horizontal="center"/>
    </xf>
    <xf numFmtId="0" fontId="141" fillId="0" borderId="0" pivotButton="0" quotePrefix="0" xfId="117"/>
    <xf numFmtId="167" fontId="125" fillId="0" borderId="20" applyAlignment="1" pivotButton="0" quotePrefix="0" xfId="354">
      <alignment horizontal="right"/>
    </xf>
    <xf numFmtId="1" fontId="0" fillId="0" borderId="20" applyAlignment="1" pivotButton="0" quotePrefix="0" xfId="354">
      <alignment horizontal="right"/>
    </xf>
    <xf numFmtId="0" fontId="138" fillId="0" borderId="0" applyAlignment="1" pivotButton="0" quotePrefix="0" xfId="117">
      <alignment horizontal="left"/>
    </xf>
    <xf numFmtId="1" fontId="42" fillId="0" borderId="20" applyAlignment="1" pivotButton="0" quotePrefix="0" xfId="354">
      <alignment horizontal="right"/>
    </xf>
    <xf numFmtId="167" fontId="0" fillId="0" borderId="0" pivotButton="0" quotePrefix="0" xfId="354"/>
    <xf numFmtId="167" fontId="138" fillId="0" borderId="0" applyAlignment="1" pivotButton="0" quotePrefix="0" xfId="117">
      <alignment horizontal="right"/>
    </xf>
    <xf numFmtId="172" fontId="132" fillId="0" borderId="8" applyAlignment="1" pivotButton="0" quotePrefix="0" xfId="1">
      <alignment vertical="top"/>
    </xf>
    <xf numFmtId="167" fontId="42" fillId="0" borderId="0" pivotButton="0" quotePrefix="0" xfId="354"/>
    <xf numFmtId="167" fontId="0" fillId="0" borderId="20" applyAlignment="1" pivotButton="0" quotePrefix="0" xfId="354">
      <alignment horizontal="right"/>
    </xf>
    <xf numFmtId="168" fontId="138" fillId="0" borderId="0" applyAlignment="1" pivotButton="0" quotePrefix="0" xfId="117">
      <alignment horizontal="right"/>
    </xf>
    <xf numFmtId="2" fontId="3" fillId="3" borderId="4" pivotButton="0" quotePrefix="0" xfId="3"/>
    <xf numFmtId="167" fontId="42" fillId="0" borderId="20" applyAlignment="1" pivotButton="0" quotePrefix="0" xfId="354">
      <alignment horizontal="right"/>
    </xf>
    <xf numFmtId="0" fontId="133" fillId="9" borderId="0" pivotButton="0" quotePrefix="0" xfId="20"/>
    <xf numFmtId="167" fontId="133" fillId="9" borderId="0" applyAlignment="1" pivotButton="0" quotePrefix="0" xfId="20">
      <alignment horizontal="right"/>
    </xf>
    <xf numFmtId="17" fontId="132" fillId="9" borderId="0" applyAlignment="1" pivotButton="0" quotePrefix="0" xfId="20">
      <alignment horizontal="left"/>
    </xf>
    <xf numFmtId="1" fontId="132" fillId="9" borderId="0" applyAlignment="1" pivotButton="0" quotePrefix="0" xfId="20">
      <alignment horizontal="right"/>
    </xf>
    <xf numFmtId="0" fontId="132" fillId="9" borderId="0" pivotButton="0" quotePrefix="0" xfId="19"/>
    <xf numFmtId="0" fontId="138" fillId="0" borderId="0" pivotButton="0" quotePrefix="0" xfId="117"/>
    <xf numFmtId="4" fontId="27" fillId="44" borderId="29" pivotButton="0" quotePrefix="0" xfId="23"/>
    <xf numFmtId="1" fontId="38" fillId="0" borderId="0" applyAlignment="1" pivotButton="0" quotePrefix="0" xfId="20">
      <alignment horizontal="right"/>
    </xf>
    <xf numFmtId="178" fontId="0" fillId="0" borderId="0" pivotButton="0" quotePrefix="0" xfId="25"/>
    <xf numFmtId="17" fontId="142" fillId="0" borderId="0" pivotButton="0" quotePrefix="0" xfId="0"/>
    <xf numFmtId="0" fontId="142" fillId="0" borderId="0" pivotButton="0" quotePrefix="0" xfId="0"/>
    <xf numFmtId="17" fontId="142" fillId="0" borderId="0" applyAlignment="1" pivotButton="0" quotePrefix="1" xfId="0">
      <alignment horizontal="right"/>
    </xf>
    <xf numFmtId="17" fontId="142" fillId="0" borderId="0" pivotButton="0" quotePrefix="1" xfId="0"/>
    <xf numFmtId="3" fontId="132" fillId="0" borderId="45" pivotButton="0" quotePrefix="0" xfId="23"/>
    <xf numFmtId="168" fontId="132" fillId="0" borderId="45" pivotButton="0" quotePrefix="0" xfId="23"/>
    <xf numFmtId="4" fontId="132" fillId="0" borderId="45" pivotButton="0" quotePrefix="0" xfId="23"/>
    <xf numFmtId="4" fontId="22" fillId="0" borderId="48" pivotButton="0" quotePrefix="0" xfId="23"/>
    <xf numFmtId="176" fontId="132" fillId="0" borderId="0" pivotButton="0" quotePrefix="0" xfId="0"/>
    <xf numFmtId="176" fontId="132" fillId="0" borderId="13" pivotButton="0" quotePrefix="0" xfId="0"/>
    <xf numFmtId="0" fontId="103" fillId="42" borderId="4" applyAlignment="1" pivotButton="0" quotePrefix="0" xfId="0">
      <alignment horizontal="center"/>
    </xf>
    <xf numFmtId="0" fontId="95" fillId="0" borderId="49" applyAlignment="1" pivotButton="0" quotePrefix="0" xfId="869">
      <alignment horizontal="center" vertical="center" wrapText="1"/>
    </xf>
    <xf numFmtId="0" fontId="95" fillId="0" borderId="25" applyAlignment="1" pivotButton="0" quotePrefix="0" xfId="869">
      <alignment horizontal="center" vertical="center" wrapText="1"/>
    </xf>
    <xf numFmtId="0" fontId="6" fillId="0" borderId="20" applyAlignment="1" pivotButton="0" quotePrefix="0" xfId="0">
      <alignment horizontal="center" vertical="center"/>
    </xf>
    <xf numFmtId="0" fontId="16" fillId="0" borderId="2" applyAlignment="1" pivotButton="0" quotePrefix="0" xfId="0">
      <alignment vertical="center" wrapText="1"/>
    </xf>
    <xf numFmtId="0" fontId="16" fillId="0" borderId="3" applyAlignment="1" pivotButton="0" quotePrefix="0" xfId="0">
      <alignment vertical="center" wrapText="1"/>
    </xf>
    <xf numFmtId="0" fontId="18" fillId="0" borderId="28" applyAlignment="1" pivotButton="0" quotePrefix="0" xfId="0">
      <alignment horizontal="center" vertical="center" wrapText="1"/>
    </xf>
    <xf numFmtId="0" fontId="18" fillId="0" borderId="5" applyAlignment="1" pivotButton="0" quotePrefix="0" xfId="0">
      <alignment horizontal="center" vertical="center" wrapText="1"/>
    </xf>
    <xf numFmtId="0" fontId="11" fillId="0" borderId="2" applyAlignment="1" pivotButton="0" quotePrefix="0" xfId="0">
      <alignment vertical="center" wrapText="1"/>
    </xf>
    <xf numFmtId="0" fontId="11" fillId="0" borderId="3" applyAlignment="1" pivotButton="0" quotePrefix="0" xfId="0">
      <alignment vertical="center" wrapText="1"/>
    </xf>
    <xf numFmtId="0" fontId="15" fillId="0" borderId="2" applyAlignment="1" pivotButton="0" quotePrefix="0" xfId="0">
      <alignment horizontal="right" vertical="center" wrapText="1"/>
    </xf>
    <xf numFmtId="0" fontId="15" fillId="0" borderId="3" applyAlignment="1" pivotButton="0" quotePrefix="0" xfId="0">
      <alignment horizontal="right" vertical="center" wrapText="1"/>
    </xf>
    <xf numFmtId="0" fontId="9" fillId="5" borderId="2" applyAlignment="1" pivotButton="0" quotePrefix="0" xfId="0">
      <alignment horizontal="center" vertical="center" wrapText="1"/>
    </xf>
    <xf numFmtId="0" fontId="9" fillId="5" borderId="3" applyAlignment="1" pivotButton="0" quotePrefix="0" xfId="0">
      <alignment horizontal="center" vertical="center" wrapText="1"/>
    </xf>
    <xf numFmtId="0" fontId="11" fillId="0" borderId="26" applyAlignment="1" pivotButton="0" quotePrefix="0" xfId="0">
      <alignment vertical="center" wrapText="1"/>
    </xf>
    <xf numFmtId="0" fontId="11" fillId="0" borderId="27" applyAlignment="1" pivotButton="0" quotePrefix="0" xfId="0">
      <alignment vertical="center" wrapText="1"/>
    </xf>
    <xf numFmtId="0" fontId="14" fillId="0" borderId="2" applyAlignment="1" pivotButton="0" quotePrefix="0" xfId="0">
      <alignment vertical="center" wrapText="1"/>
    </xf>
    <xf numFmtId="0" fontId="14" fillId="0" borderId="3" applyAlignment="1" pivotButton="0" quotePrefix="0" xfId="0">
      <alignment vertical="center" wrapText="1"/>
    </xf>
    <xf numFmtId="0" fontId="108" fillId="42" borderId="30" applyAlignment="1" pivotButton="0" quotePrefix="0" xfId="23">
      <alignment horizontal="center"/>
    </xf>
    <xf numFmtId="0" fontId="108" fillId="42" borderId="4" applyAlignment="1" pivotButton="0" quotePrefix="0" xfId="23">
      <alignment horizontal="center"/>
    </xf>
    <xf numFmtId="0" fontId="108" fillId="42" borderId="44" applyAlignment="1" pivotButton="0" quotePrefix="0" xfId="23">
      <alignment horizontal="center"/>
    </xf>
    <xf numFmtId="0" fontId="109" fillId="42" borderId="41" applyAlignment="1" pivotButton="0" quotePrefix="0" xfId="23">
      <alignment horizontal="center"/>
    </xf>
    <xf numFmtId="0" fontId="109" fillId="42" borderId="42" applyAlignment="1" pivotButton="0" quotePrefix="0" xfId="23">
      <alignment horizontal="center"/>
    </xf>
    <xf numFmtId="0" fontId="109" fillId="42" borderId="43" applyAlignment="1" pivotButton="0" quotePrefix="0" xfId="23">
      <alignment horizontal="center"/>
    </xf>
    <xf numFmtId="0" fontId="109" fillId="42" borderId="42" pivotButton="0" quotePrefix="0" xfId="23"/>
    <xf numFmtId="0" fontId="109" fillId="42" borderId="43" pivotButton="0" quotePrefix="0" xfId="23"/>
    <xf numFmtId="174" fontId="23" fillId="0" borderId="0" applyAlignment="1" pivotButton="0" quotePrefix="0" xfId="0">
      <alignment horizontal="left" wrapText="1"/>
    </xf>
    <xf numFmtId="0" fontId="0" fillId="0" borderId="0" applyAlignment="1" pivotButton="0" quotePrefix="0" xfId="0">
      <alignment horizontal="left" wrapText="1"/>
    </xf>
    <xf numFmtId="0" fontId="23" fillId="0" borderId="7" applyAlignment="1" pivotButton="0" quotePrefix="0" xfId="23">
      <alignment horizontal="center" vertical="center"/>
    </xf>
    <xf numFmtId="0" fontId="26" fillId="0" borderId="7" applyAlignment="1" pivotButton="0" quotePrefix="0" xfId="23">
      <alignment horizontal="center" vertical="center"/>
    </xf>
    <xf numFmtId="0" fontId="26" fillId="0" borderId="7" pivotButton="0" quotePrefix="0" xfId="23"/>
    <xf numFmtId="0" fontId="22" fillId="0" borderId="8" applyAlignment="1" pivotButton="0" quotePrefix="0" xfId="23">
      <alignment horizontal="center"/>
    </xf>
    <xf numFmtId="0" fontId="22" fillId="0" borderId="9" applyAlignment="1" pivotButton="0" quotePrefix="0" xfId="23">
      <alignment horizontal="center"/>
    </xf>
    <xf numFmtId="0" fontId="22" fillId="0" borderId="10" applyAlignment="1" pivotButton="0" quotePrefix="0" xfId="23">
      <alignment horizontal="center"/>
    </xf>
    <xf numFmtId="0" fontId="22" fillId="0" borderId="8" pivotButton="0" quotePrefix="0" xfId="23"/>
    <xf numFmtId="0" fontId="22" fillId="0" borderId="9" pivotButton="0" quotePrefix="0" xfId="23"/>
    <xf numFmtId="174" fontId="23" fillId="0" borderId="0" applyAlignment="1" pivotButton="0" quotePrefix="0" xfId="0">
      <alignment horizontal="left" vertical="top"/>
    </xf>
    <xf numFmtId="0" fontId="0" fillId="0" borderId="0" applyAlignment="1" pivotButton="0" quotePrefix="0" xfId="0">
      <alignment horizontal="left" vertical="top"/>
    </xf>
    <xf numFmtId="0" fontId="0" fillId="0" borderId="0" pivotButton="0" quotePrefix="0" xfId="0"/>
    <xf numFmtId="0" fontId="22" fillId="0" borderId="0" applyAlignment="1" pivotButton="0" quotePrefix="0" xfId="23">
      <alignment horizontal="center"/>
    </xf>
    <xf numFmtId="0" fontId="22" fillId="0" borderId="11" applyAlignment="1" pivotButton="0" quotePrefix="0" xfId="23">
      <alignment horizontal="center"/>
    </xf>
    <xf numFmtId="0" fontId="22" fillId="0" borderId="12" applyAlignment="1" pivotButton="0" quotePrefix="0" xfId="23">
      <alignment horizontal="center"/>
    </xf>
    <xf numFmtId="0" fontId="61" fillId="9" borderId="7" applyAlignment="1" pivotButton="0" quotePrefix="0" xfId="0">
      <alignment horizontal="center"/>
    </xf>
    <xf numFmtId="0" fontId="22" fillId="9" borderId="0" applyAlignment="1" pivotButton="0" quotePrefix="0" xfId="0">
      <alignment wrapText="1"/>
    </xf>
    <xf numFmtId="174" fontId="27" fillId="9" borderId="0" pivotButton="0" quotePrefix="0" xfId="0"/>
    <xf numFmtId="0" fontId="43" fillId="9" borderId="0" pivotButton="0" quotePrefix="0" xfId="0"/>
    <xf numFmtId="0" fontId="109" fillId="42" borderId="4" applyAlignment="1" pivotButton="0" quotePrefix="0" xfId="0">
      <alignment horizontal="center" vertical="center" wrapText="1"/>
    </xf>
    <xf numFmtId="0" fontId="109" fillId="42" borderId="4" applyAlignment="1" pivotButton="0" quotePrefix="0" xfId="0">
      <alignment horizontal="center" vertical="center"/>
    </xf>
    <xf numFmtId="0" fontId="23" fillId="0" borderId="7" applyAlignment="1" pivotButton="0" quotePrefix="0" xfId="0">
      <alignment horizontal="center" vertical="center"/>
    </xf>
    <xf numFmtId="0" fontId="22" fillId="0" borderId="8" applyAlignment="1" pivotButton="0" quotePrefix="0" xfId="0">
      <alignment horizontal="center" vertical="center" wrapText="1"/>
    </xf>
    <xf numFmtId="0" fontId="109" fillId="42" borderId="4" applyAlignment="1" pivotButton="0" quotePrefix="0" xfId="0">
      <alignment horizontal="center"/>
    </xf>
    <xf numFmtId="0" fontId="22" fillId="0" borderId="16" applyAlignment="1" pivotButton="0" quotePrefix="0" xfId="0">
      <alignment horizontal="center" vertical="center"/>
    </xf>
    <xf numFmtId="0" fontId="22" fillId="0" borderId="22" applyAlignment="1" pivotButton="0" quotePrefix="0" xfId="0">
      <alignment horizontal="center" vertical="center"/>
    </xf>
    <xf numFmtId="0" fontId="22" fillId="0" borderId="16" applyAlignment="1" pivotButton="0" quotePrefix="0" xfId="0">
      <alignment horizontal="center" vertical="center" wrapText="1"/>
    </xf>
    <xf numFmtId="0" fontId="22" fillId="0" borderId="22" applyAlignment="1" pivotButton="0" quotePrefix="0" xfId="0">
      <alignment horizontal="center" vertical="center" wrapText="1"/>
    </xf>
    <xf numFmtId="0" fontId="22" fillId="0" borderId="16" applyAlignment="1" pivotButton="0" quotePrefix="0" xfId="0">
      <alignment horizontal="center"/>
    </xf>
    <xf numFmtId="0" fontId="22" fillId="0" borderId="22" applyAlignment="1" pivotButton="0" quotePrefix="0" xfId="0">
      <alignment horizontal="center"/>
    </xf>
    <xf numFmtId="0" fontId="112" fillId="42" borderId="4" applyAlignment="1" pivotButton="0" quotePrefix="0" xfId="0">
      <alignment horizontal="center"/>
    </xf>
    <xf numFmtId="0" fontId="112" fillId="42" borderId="4" applyAlignment="1" pivotButton="0" quotePrefix="0" xfId="0">
      <alignment horizontal="right" wrapText="1"/>
    </xf>
    <xf numFmtId="0" fontId="114" fillId="42" borderId="4" applyAlignment="1" pivotButton="0" quotePrefix="0" xfId="0">
      <alignment horizontal="center" vertical="center" wrapText="1"/>
    </xf>
    <xf numFmtId="0" fontId="116" fillId="42" borderId="4" applyAlignment="1" pivotButton="0" quotePrefix="0" xfId="0">
      <alignment horizontal="center" vertical="center"/>
    </xf>
    <xf numFmtId="0" fontId="114" fillId="42" borderId="4" applyAlignment="1" pivotButton="0" quotePrefix="0" xfId="0">
      <alignment horizontal="center" vertical="center"/>
    </xf>
    <xf numFmtId="174" fontId="23" fillId="9" borderId="0" applyAlignment="1" pivotButton="0" quotePrefix="0" xfId="0">
      <alignment horizontal="left" wrapText="1"/>
    </xf>
    <xf numFmtId="0" fontId="23" fillId="0" borderId="0" pivotButton="0" quotePrefix="0" xfId="0"/>
    <xf numFmtId="0" fontId="32" fillId="0" borderId="0" pivotButton="0" quotePrefix="0" xfId="0"/>
    <xf numFmtId="174" fontId="23" fillId="0" borderId="0" applyAlignment="1" pivotButton="0" quotePrefix="0" xfId="0">
      <alignment horizontal="left"/>
    </xf>
    <xf numFmtId="0" fontId="35" fillId="0" borderId="16" applyAlignment="1" pivotButton="0" quotePrefix="0" xfId="0">
      <alignment horizontal="center" vertical="center" wrapText="1"/>
    </xf>
    <xf numFmtId="0" fontId="35" fillId="0" borderId="16" applyAlignment="1" pivotButton="0" quotePrefix="0" xfId="0">
      <alignment horizontal="center" vertical="center"/>
    </xf>
    <xf numFmtId="0" fontId="35" fillId="0" borderId="13" applyAlignment="1" pivotButton="0" quotePrefix="0" xfId="0">
      <alignment horizontal="center" vertical="center" wrapText="1"/>
    </xf>
    <xf numFmtId="0" fontId="35" fillId="0" borderId="13" applyAlignment="1" pivotButton="0" quotePrefix="0" xfId="0">
      <alignment horizontal="center" vertical="center"/>
    </xf>
    <xf numFmtId="0" fontId="35" fillId="0" borderId="17" applyAlignment="1" pivotButton="0" quotePrefix="0" xfId="0">
      <alignment horizontal="right" wrapText="1"/>
    </xf>
    <xf numFmtId="0" fontId="35" fillId="0" borderId="13" applyAlignment="1" pivotButton="0" quotePrefix="0" xfId="0">
      <alignment horizontal="right" wrapText="1"/>
    </xf>
    <xf numFmtId="0" fontId="35" fillId="0" borderId="18" applyAlignment="1" pivotButton="0" quotePrefix="0" xfId="0">
      <alignment horizontal="center"/>
    </xf>
    <xf numFmtId="0" fontId="37" fillId="0" borderId="13" applyAlignment="1" pivotButton="0" quotePrefix="0" xfId="0">
      <alignment horizontal="center" vertical="center"/>
    </xf>
    <xf numFmtId="0" fontId="0" fillId="0" borderId="0" applyAlignment="1" pivotButton="0" quotePrefix="0" xfId="0">
      <alignment wrapText="1"/>
    </xf>
    <xf numFmtId="174" fontId="23" fillId="9" borderId="0" applyAlignment="1" pivotButton="0" quotePrefix="0" xfId="0">
      <alignment horizontal="left"/>
    </xf>
    <xf numFmtId="0" fontId="27" fillId="9" borderId="13" applyAlignment="1" pivotButton="0" quotePrefix="0" xfId="20">
      <alignment horizontal="center"/>
    </xf>
    <xf numFmtId="0" fontId="35" fillId="9" borderId="0" applyAlignment="1" pivotButton="0" quotePrefix="0" xfId="20">
      <alignment horizontal="left" wrapText="1"/>
    </xf>
    <xf numFmtId="0" fontId="35" fillId="9" borderId="0" applyAlignment="1" pivotButton="0" quotePrefix="0" xfId="20">
      <alignment horizontal="right"/>
    </xf>
    <xf numFmtId="0" fontId="1" fillId="0" borderId="7" applyAlignment="1" pivotButton="0" quotePrefix="0" xfId="11">
      <alignment horizontal="center" wrapText="1"/>
    </xf>
    <xf numFmtId="0" fontId="1" fillId="0" borderId="0" applyAlignment="1" pivotButton="0" quotePrefix="0" xfId="11">
      <alignment horizontal="center" wrapText="1"/>
    </xf>
    <xf numFmtId="0" fontId="1" fillId="0" borderId="0" applyAlignment="1" pivotButton="0" quotePrefix="0" xfId="11">
      <alignment horizontal="center"/>
    </xf>
    <xf numFmtId="0" fontId="73" fillId="9" borderId="0" applyAlignment="1" pivotButton="0" quotePrefix="0" xfId="213">
      <alignment horizontal="left"/>
    </xf>
    <xf numFmtId="0" fontId="27" fillId="9" borderId="0" applyAlignment="1" pivotButton="0" quotePrefix="0" xfId="7">
      <alignment horizontal="center"/>
    </xf>
    <xf numFmtId="0" fontId="128" fillId="48" borderId="4" applyAlignment="1" pivotButton="0" quotePrefix="0" xfId="0">
      <alignment horizontal="left" vertical="top" wrapText="1" readingOrder="1"/>
    </xf>
    <xf numFmtId="0" fontId="95" fillId="0" borderId="4" applyAlignment="1" pivotButton="0" quotePrefix="0" xfId="869">
      <alignment horizontal="center" vertical="center" wrapText="1"/>
    </xf>
    <xf numFmtId="0" fontId="0" fillId="0" borderId="25" pivotButton="0" quotePrefix="0" xfId="0"/>
    <xf numFmtId="167" fontId="6" fillId="0" borderId="0" pivotButton="0" quotePrefix="0" xfId="0"/>
    <xf numFmtId="0" fontId="143" fillId="51" borderId="29" applyAlignment="1" pivotButton="0" quotePrefix="0" xfId="0">
      <alignment horizontal="center" vertical="center" wrapText="1"/>
    </xf>
    <xf numFmtId="0" fontId="0" fillId="0" borderId="3" pivotButton="0" quotePrefix="0" xfId="0"/>
    <xf numFmtId="0" fontId="0" fillId="0" borderId="20" pivotButton="0" quotePrefix="0" xfId="0"/>
    <xf numFmtId="0" fontId="0" fillId="0" borderId="27" pivotButton="0" quotePrefix="0" xfId="0"/>
    <xf numFmtId="164" fontId="143" fillId="51" borderId="14" pivotButton="0" quotePrefix="0" xfId="0"/>
    <xf numFmtId="164" fontId="143" fillId="51" borderId="25" pivotButton="0" quotePrefix="0" xfId="0"/>
    <xf numFmtId="164" fontId="143" fillId="51" borderId="25" pivotButton="0" quotePrefix="0" xfId="3"/>
    <xf numFmtId="172" fontId="143" fillId="51" borderId="24" pivotButton="0" quotePrefix="0" xfId="0"/>
    <xf numFmtId="167" fontId="143" fillId="51" borderId="4" pivotButton="0" quotePrefix="0" xfId="3"/>
    <xf numFmtId="2" fontId="143" fillId="51" borderId="4" pivotButton="0" quotePrefix="0" xfId="2"/>
    <xf numFmtId="164" fontId="143" fillId="51" borderId="24" pivotButton="0" quotePrefix="0" xfId="0"/>
    <xf numFmtId="164" fontId="143" fillId="51" borderId="4" pivotButton="0" quotePrefix="0" xfId="3"/>
    <xf numFmtId="164" fontId="143" fillId="51" borderId="4" pivotButton="0" quotePrefix="0" xfId="2"/>
    <xf numFmtId="167" fontId="143" fillId="51" borderId="4" pivotButton="0" quotePrefix="0" xfId="2"/>
    <xf numFmtId="0" fontId="15" fillId="0" borderId="29" applyAlignment="1" pivotButton="0" quotePrefix="0" xfId="0">
      <alignment horizontal="right" vertical="center" wrapText="1"/>
    </xf>
    <xf numFmtId="172" fontId="143" fillId="51" borderId="24" pivotButton="0" quotePrefix="0" xfId="1"/>
    <xf numFmtId="2" fontId="143" fillId="51" borderId="4" pivotButton="0" quotePrefix="0" xfId="3"/>
    <xf numFmtId="0" fontId="14" fillId="0" borderId="29" applyAlignment="1" pivotButton="0" quotePrefix="0" xfId="0">
      <alignment vertical="center" wrapText="1"/>
    </xf>
    <xf numFmtId="164" fontId="143" fillId="51" borderId="4" pivotButton="0" quotePrefix="0" xfId="0"/>
    <xf numFmtId="0" fontId="16" fillId="0" borderId="29" applyAlignment="1" pivotButton="0" quotePrefix="0" xfId="0">
      <alignment vertical="center" wrapText="1"/>
    </xf>
    <xf numFmtId="173" fontId="143" fillId="51" borderId="24" pivotButton="0" quotePrefix="0" xfId="5"/>
    <xf numFmtId="3" fontId="143" fillId="51" borderId="4" pivotButton="0" quotePrefix="0" xfId="0"/>
    <xf numFmtId="0" fontId="18" fillId="0" borderId="29" applyAlignment="1" pivotButton="0" quotePrefix="0" xfId="0">
      <alignment horizontal="center" vertical="center" wrapText="1"/>
    </xf>
    <xf numFmtId="172" fontId="143" fillId="51" borderId="24" pivotButton="0" quotePrefix="0" xfId="4"/>
    <xf numFmtId="165" fontId="143" fillId="51" borderId="4" pivotButton="0" quotePrefix="0" xfId="0"/>
    <xf numFmtId="0" fontId="0" fillId="0" borderId="5" pivotButton="0" quotePrefix="0" xfId="0"/>
    <xf numFmtId="172" fontId="143" fillId="51" borderId="30" pivotButton="0" quotePrefix="0" xfId="4"/>
    <xf numFmtId="172" fontId="12" fillId="0" borderId="0" pivotButton="0" quotePrefix="0" xfId="4"/>
    <xf numFmtId="165" fontId="13" fillId="0" borderId="0" pivotButton="0" quotePrefix="0" xfId="0"/>
    <xf numFmtId="166" fontId="143" fillId="51" borderId="29" pivotButton="0" quotePrefix="0" xfId="6"/>
    <xf numFmtId="166" fontId="107" fillId="44" borderId="29" pivotButton="0" quotePrefix="0" xfId="6"/>
    <xf numFmtId="166" fontId="143" fillId="51" borderId="18" pivotButton="0" quotePrefix="0" xfId="6"/>
    <xf numFmtId="166" fontId="143" fillId="51" borderId="24" pivotButton="0" quotePrefix="0" xfId="6"/>
    <xf numFmtId="166" fontId="20" fillId="0" borderId="4" pivotButton="0" quotePrefix="0" xfId="6"/>
    <xf numFmtId="166" fontId="20" fillId="0" borderId="48" pivotButton="0" quotePrefix="0" xfId="6"/>
    <xf numFmtId="172" fontId="20" fillId="0" borderId="25" pivotButton="0" quotePrefix="0" xfId="1"/>
    <xf numFmtId="172" fontId="20" fillId="0" borderId="4" pivotButton="0" quotePrefix="0" xfId="1"/>
    <xf numFmtId="172" fontId="20" fillId="43" borderId="25" pivotButton="0" quotePrefix="0" xfId="1"/>
    <xf numFmtId="166" fontId="0" fillId="0" borderId="0" pivotButton="0" quotePrefix="0" xfId="0"/>
    <xf numFmtId="166" fontId="20" fillId="0" borderId="0" pivotButton="0" quotePrefix="0" xfId="6"/>
    <xf numFmtId="166" fontId="4" fillId="0" borderId="0" pivotButton="0" quotePrefix="0" xfId="0"/>
    <xf numFmtId="166" fontId="107" fillId="0" borderId="0" pivotButton="0" quotePrefix="0" xfId="6"/>
    <xf numFmtId="172" fontId="4" fillId="0" borderId="0" pivotButton="0" quotePrefix="0" xfId="1"/>
    <xf numFmtId="172" fontId="0" fillId="0" borderId="0" pivotButton="0" quotePrefix="0" xfId="1"/>
    <xf numFmtId="167" fontId="0" fillId="0" borderId="0" pivotButton="0" quotePrefix="0" xfId="0"/>
    <xf numFmtId="178" fontId="0" fillId="0" borderId="0" pivotButton="0" quotePrefix="0" xfId="25"/>
    <xf numFmtId="166" fontId="0" fillId="0" borderId="4" pivotButton="0" quotePrefix="0" xfId="0"/>
    <xf numFmtId="0" fontId="0" fillId="0" borderId="16" pivotButton="0" quotePrefix="0" xfId="0"/>
    <xf numFmtId="0" fontId="0" fillId="0" borderId="22" pivotButton="0" quotePrefix="0" xfId="0"/>
    <xf numFmtId="3" fontId="143" fillId="51" borderId="29" pivotButton="0" quotePrefix="0" xfId="23"/>
    <xf numFmtId="3" fontId="143" fillId="51" borderId="42" pivotButton="0" quotePrefix="0" xfId="23"/>
    <xf numFmtId="3" fontId="143" fillId="51" borderId="23" pivotButton="0" quotePrefix="0" xfId="23"/>
    <xf numFmtId="168" fontId="143" fillId="51" borderId="29" pivotButton="0" quotePrefix="0" xfId="23"/>
    <xf numFmtId="168" fontId="143" fillId="51" borderId="23" pivotButton="0" quotePrefix="0" xfId="23"/>
    <xf numFmtId="168" fontId="27" fillId="44" borderId="29" pivotButton="0" quotePrefix="0" xfId="23"/>
    <xf numFmtId="168" fontId="22" fillId="0" borderId="42" pivotButton="0" quotePrefix="0" xfId="23"/>
    <xf numFmtId="168" fontId="117" fillId="0" borderId="42" pivotButton="0" quotePrefix="0" xfId="23"/>
    <xf numFmtId="168" fontId="22" fillId="0" borderId="23" pivotButton="0" quotePrefix="0" xfId="23"/>
    <xf numFmtId="3" fontId="143" fillId="51" borderId="4" pivotButton="0" quotePrefix="0" xfId="23"/>
    <xf numFmtId="3" fontId="143" fillId="51" borderId="48" pivotButton="0" quotePrefix="0" xfId="23"/>
    <xf numFmtId="168" fontId="22" fillId="0" borderId="4" pivotButton="0" quotePrefix="0" xfId="23"/>
    <xf numFmtId="168" fontId="143" fillId="51" borderId="48" pivotButton="0" quotePrefix="0" xfId="23"/>
    <xf numFmtId="168" fontId="117" fillId="0" borderId="48" pivotButton="0" quotePrefix="0" xfId="23"/>
    <xf numFmtId="168" fontId="22" fillId="0" borderId="48" pivotButton="0" quotePrefix="0" xfId="23"/>
    <xf numFmtId="167" fontId="109" fillId="42" borderId="0" pivotButton="0" quotePrefix="0" xfId="0"/>
    <xf numFmtId="168" fontId="143" fillId="51" borderId="4" pivotButton="0" quotePrefix="0" xfId="23"/>
    <xf numFmtId="168" fontId="22" fillId="0" borderId="46" pivotButton="0" quotePrefix="0" xfId="23"/>
    <xf numFmtId="168" fontId="22" fillId="0" borderId="52" pivotButton="0" quotePrefix="0" xfId="23"/>
    <xf numFmtId="168" fontId="22" fillId="0" borderId="55" pivotButton="0" quotePrefix="0" xfId="23"/>
    <xf numFmtId="168" fontId="117" fillId="0" borderId="52" pivotButton="0" quotePrefix="0" xfId="23"/>
    <xf numFmtId="3" fontId="143" fillId="51" borderId="45" pivotButton="0" quotePrefix="0" xfId="23"/>
    <xf numFmtId="168" fontId="143" fillId="51" borderId="46" pivotButton="0" quotePrefix="0" xfId="23"/>
    <xf numFmtId="3" fontId="143" fillId="51" borderId="46" pivotButton="0" quotePrefix="0" xfId="23"/>
    <xf numFmtId="168" fontId="143" fillId="51" borderId="55" pivotButton="0" quotePrefix="0" xfId="23"/>
    <xf numFmtId="168" fontId="143" fillId="51" borderId="52" pivotButton="0" quotePrefix="0" xfId="23"/>
    <xf numFmtId="168" fontId="132" fillId="0" borderId="45" pivotButton="0" quotePrefix="0" xfId="23"/>
    <xf numFmtId="174" fontId="23" fillId="0" borderId="0" applyAlignment="1" pivotButton="0" quotePrefix="0" xfId="0">
      <alignment horizontal="left" wrapText="1"/>
    </xf>
    <xf numFmtId="174" fontId="23" fillId="0" borderId="0" applyAlignment="1" pivotButton="0" quotePrefix="0" xfId="0">
      <alignment horizontal="left" vertical="top"/>
    </xf>
    <xf numFmtId="0" fontId="0" fillId="0" borderId="7" pivotButton="0" quotePrefix="0" xfId="0"/>
    <xf numFmtId="0" fontId="0" fillId="0" borderId="8" pivotButton="0" quotePrefix="0" xfId="0"/>
    <xf numFmtId="0" fontId="0" fillId="0" borderId="9" pivotButton="0" quotePrefix="0" xfId="0"/>
    <xf numFmtId="0" fontId="22" fillId="0" borderId="61" applyAlignment="1" pivotButton="0" quotePrefix="0" xfId="23">
      <alignment horizontal="center"/>
    </xf>
    <xf numFmtId="0" fontId="0" fillId="0" borderId="11" pivotButton="0" quotePrefix="0" xfId="0"/>
    <xf numFmtId="167" fontId="132" fillId="0" borderId="0" pivotButton="0" quotePrefix="0" xfId="0"/>
    <xf numFmtId="167" fontId="132" fillId="0" borderId="11" pivotButton="0" quotePrefix="0" xfId="0"/>
    <xf numFmtId="167" fontId="132" fillId="0" borderId="0" applyAlignment="1" pivotButton="0" quotePrefix="0" xfId="0">
      <alignment horizontal="right"/>
    </xf>
    <xf numFmtId="167" fontId="132" fillId="0" borderId="13" pivotButton="0" quotePrefix="0" xfId="0"/>
    <xf numFmtId="167" fontId="132" fillId="0" borderId="14" pivotButton="0" quotePrefix="0" xfId="0"/>
    <xf numFmtId="167" fontId="132" fillId="0" borderId="13" applyAlignment="1" pivotButton="0" quotePrefix="0" xfId="0">
      <alignment horizontal="right"/>
    </xf>
    <xf numFmtId="167" fontId="132" fillId="8" borderId="0" applyAlignment="1" pivotButton="0" quotePrefix="0" xfId="0">
      <alignment horizontal="right"/>
    </xf>
    <xf numFmtId="167" fontId="22" fillId="0" borderId="0" pivotButton="0" quotePrefix="0" xfId="0"/>
    <xf numFmtId="174" fontId="23" fillId="9" borderId="0" applyAlignment="1" pivotButton="0" quotePrefix="0" xfId="0">
      <alignment horizontal="left" wrapText="1"/>
    </xf>
    <xf numFmtId="174" fontId="23" fillId="9" borderId="0" applyAlignment="1" pivotButton="0" quotePrefix="0" xfId="0">
      <alignment horizontal="right" wrapText="1"/>
    </xf>
    <xf numFmtId="174" fontId="23" fillId="9" borderId="0" applyAlignment="1" pivotButton="0" quotePrefix="0" xfId="0">
      <alignment wrapText="1"/>
    </xf>
    <xf numFmtId="167" fontId="56" fillId="9" borderId="0" pivotButton="0" quotePrefix="0" xfId="0"/>
    <xf numFmtId="174" fontId="27" fillId="9" borderId="0" pivotButton="0" quotePrefix="0" xfId="0"/>
    <xf numFmtId="171" fontId="132" fillId="9" borderId="0" applyAlignment="1" pivotButton="0" quotePrefix="1" xfId="0">
      <alignment horizontal="left"/>
    </xf>
    <xf numFmtId="171" fontId="22" fillId="9" borderId="0" pivotButton="0" quotePrefix="0" xfId="0"/>
    <xf numFmtId="167" fontId="22" fillId="9" borderId="0" pivotButton="0" quotePrefix="0" xfId="0"/>
    <xf numFmtId="167" fontId="28" fillId="0" borderId="0" pivotButton="0" quotePrefix="0" xfId="7"/>
    <xf numFmtId="167" fontId="22" fillId="0" borderId="0" pivotButton="0" quotePrefix="0" xfId="7"/>
    <xf numFmtId="167" fontId="22" fillId="9" borderId="48" pivotButton="0" quotePrefix="0" xfId="0"/>
    <xf numFmtId="167" fontId="27" fillId="44" borderId="29" pivotButton="0" quotePrefix="0" xfId="0"/>
    <xf numFmtId="167" fontId="22" fillId="9" borderId="24" pivotButton="0" quotePrefix="0" xfId="0"/>
    <xf numFmtId="167" fontId="22" fillId="9" borderId="4" pivotButton="0" quotePrefix="0" xfId="0"/>
    <xf numFmtId="167" fontId="56" fillId="0" borderId="0" pivotButton="0" quotePrefix="0" xfId="0"/>
    <xf numFmtId="167" fontId="22" fillId="0" borderId="0" applyAlignment="1" pivotButton="0" quotePrefix="0" xfId="7">
      <alignment horizontal="right"/>
    </xf>
    <xf numFmtId="169" fontId="27" fillId="0" borderId="0" pivotButton="0" quotePrefix="0" xfId="7"/>
    <xf numFmtId="167" fontId="27" fillId="0" borderId="0" applyAlignment="1" pivotButton="0" quotePrefix="0" xfId="0">
      <alignment horizontal="right"/>
    </xf>
    <xf numFmtId="169" fontId="22" fillId="0" borderId="0" pivotButton="0" quotePrefix="0" xfId="0"/>
    <xf numFmtId="167" fontId="22" fillId="0" borderId="0" applyAlignment="1" pivotButton="0" quotePrefix="0" xfId="0">
      <alignment horizontal="right"/>
    </xf>
    <xf numFmtId="169" fontId="132" fillId="0" borderId="0" applyAlignment="1" pivotButton="0" quotePrefix="0" xfId="0">
      <alignment horizontal="right"/>
    </xf>
    <xf numFmtId="169" fontId="132" fillId="0" borderId="11" applyAlignment="1" pivotButton="0" quotePrefix="0" xfId="0">
      <alignment horizontal="right"/>
    </xf>
    <xf numFmtId="167" fontId="132" fillId="0" borderId="11" applyAlignment="1" pivotButton="0" quotePrefix="0" xfId="0">
      <alignment horizontal="right"/>
    </xf>
    <xf numFmtId="169" fontId="22" fillId="0" borderId="0" applyAlignment="1" pivotButton="0" quotePrefix="0" xfId="7">
      <alignment horizontal="right"/>
    </xf>
    <xf numFmtId="169" fontId="132" fillId="0" borderId="13" applyAlignment="1" pivotButton="0" quotePrefix="0" xfId="0">
      <alignment horizontal="right"/>
    </xf>
    <xf numFmtId="167" fontId="132" fillId="0" borderId="14" applyAlignment="1" pivotButton="0" quotePrefix="0" xfId="0">
      <alignment horizontal="right"/>
    </xf>
    <xf numFmtId="169" fontId="27" fillId="0" borderId="0" pivotButton="0" quotePrefix="0" xfId="0"/>
    <xf numFmtId="167" fontId="27" fillId="0" borderId="0" pivotButton="0" quotePrefix="0" xfId="0"/>
    <xf numFmtId="169" fontId="132" fillId="8" borderId="0" applyAlignment="1" pivotButton="0" quotePrefix="0" xfId="0">
      <alignment horizontal="right"/>
    </xf>
    <xf numFmtId="167" fontId="132" fillId="8" borderId="11" applyAlignment="1" pivotButton="0" quotePrefix="0" xfId="0">
      <alignment horizontal="right"/>
    </xf>
    <xf numFmtId="172" fontId="22" fillId="0" borderId="0" pivotButton="0" quotePrefix="0" xfId="1"/>
    <xf numFmtId="173" fontId="22" fillId="0" borderId="0" pivotButton="0" quotePrefix="0" xfId="25"/>
    <xf numFmtId="167" fontId="33" fillId="0" borderId="0" pivotButton="0" quotePrefix="0" xfId="0"/>
    <xf numFmtId="167" fontId="28" fillId="0" borderId="0" pivotButton="0" quotePrefix="0" xfId="0"/>
    <xf numFmtId="167" fontId="55" fillId="0" borderId="0" pivotButton="0" quotePrefix="0" xfId="7"/>
    <xf numFmtId="0" fontId="0" fillId="0" borderId="18" pivotButton="0" quotePrefix="0" xfId="0"/>
    <xf numFmtId="169" fontId="22" fillId="0" borderId="4" pivotButton="0" quotePrefix="0" xfId="0"/>
    <xf numFmtId="167" fontId="22" fillId="0" borderId="4" applyAlignment="1" pivotButton="0" quotePrefix="0" xfId="0">
      <alignment horizontal="right"/>
    </xf>
    <xf numFmtId="167" fontId="22" fillId="8" borderId="4" applyAlignment="1" pivotButton="0" quotePrefix="0" xfId="0">
      <alignment horizontal="right"/>
    </xf>
    <xf numFmtId="175" fontId="22" fillId="0" borderId="4" pivotButton="0" quotePrefix="0" xfId="0"/>
    <xf numFmtId="167" fontId="22" fillId="0" borderId="13" applyAlignment="1" pivotButton="0" quotePrefix="0" xfId="0">
      <alignment horizontal="right"/>
    </xf>
    <xf numFmtId="167" fontId="22" fillId="8" borderId="13" applyAlignment="1" pivotButton="0" quotePrefix="0" xfId="0">
      <alignment horizontal="right"/>
    </xf>
    <xf numFmtId="167" fontId="22" fillId="0" borderId="14" applyAlignment="1" pivotButton="0" quotePrefix="0" xfId="0">
      <alignment horizontal="right"/>
    </xf>
    <xf numFmtId="169" fontId="22" fillId="8" borderId="0" applyAlignment="1" pivotButton="0" quotePrefix="0" xfId="0">
      <alignment horizontal="right"/>
    </xf>
    <xf numFmtId="167" fontId="22" fillId="8" borderId="0" applyAlignment="1" pivotButton="0" quotePrefix="0" xfId="0">
      <alignment horizontal="right"/>
    </xf>
    <xf numFmtId="167" fontId="58" fillId="0" borderId="0" pivotButton="0" quotePrefix="0" xfId="7"/>
    <xf numFmtId="167" fontId="31" fillId="0" borderId="0" pivotButton="0" quotePrefix="0" xfId="7"/>
    <xf numFmtId="167" fontId="55" fillId="0" borderId="0" pivotButton="0" quotePrefix="0" xfId="0"/>
    <xf numFmtId="167" fontId="31" fillId="0" borderId="0" pivotButton="0" quotePrefix="0" xfId="0"/>
    <xf numFmtId="169" fontId="27" fillId="0" borderId="0" applyAlignment="1" pivotButton="0" quotePrefix="0" xfId="0">
      <alignment horizontal="right"/>
    </xf>
    <xf numFmtId="167" fontId="27" fillId="0" borderId="11" applyAlignment="1" pivotButton="0" quotePrefix="0" xfId="0">
      <alignment horizontal="right"/>
    </xf>
    <xf numFmtId="169" fontId="22" fillId="0" borderId="0" applyAlignment="1" pivotButton="0" quotePrefix="0" xfId="0">
      <alignment horizontal="right"/>
    </xf>
    <xf numFmtId="169" fontId="132" fillId="0" borderId="0" pivotButton="0" quotePrefix="0" xfId="0"/>
    <xf numFmtId="169" fontId="132" fillId="0" borderId="11" pivotButton="0" quotePrefix="0" xfId="0"/>
    <xf numFmtId="169" fontId="132" fillId="0" borderId="13" pivotButton="0" quotePrefix="0" xfId="0"/>
    <xf numFmtId="169" fontId="132" fillId="0" borderId="14" pivotButton="0" quotePrefix="0" xfId="0"/>
    <xf numFmtId="169" fontId="132" fillId="8" borderId="0" pivotButton="0" quotePrefix="0" xfId="0"/>
    <xf numFmtId="165" fontId="27" fillId="0" borderId="4" applyAlignment="1" pivotButton="0" quotePrefix="0" xfId="0">
      <alignment horizontal="right"/>
    </xf>
    <xf numFmtId="167" fontId="27" fillId="0" borderId="48" applyAlignment="1" pivotButton="0" quotePrefix="0" xfId="0">
      <alignment horizontal="right"/>
    </xf>
    <xf numFmtId="167" fontId="27" fillId="46" borderId="29" applyAlignment="1" pivotButton="0" quotePrefix="0" xfId="0">
      <alignment horizontal="right"/>
    </xf>
    <xf numFmtId="165" fontId="27" fillId="0" borderId="24" applyAlignment="1" pivotButton="0" quotePrefix="0" xfId="0">
      <alignment horizontal="right"/>
    </xf>
    <xf numFmtId="167" fontId="27" fillId="0" borderId="4" applyAlignment="1" pivotButton="0" quotePrefix="0" xfId="0">
      <alignment horizontal="right"/>
    </xf>
    <xf numFmtId="165" fontId="22" fillId="0" borderId="4" applyAlignment="1" pivotButton="0" quotePrefix="0" xfId="0">
      <alignment horizontal="right"/>
    </xf>
    <xf numFmtId="167" fontId="22" fillId="0" borderId="48" applyAlignment="1" pivotButton="0" quotePrefix="0" xfId="0">
      <alignment horizontal="right"/>
    </xf>
    <xf numFmtId="167" fontId="117" fillId="0" borderId="25" applyAlignment="1" pivotButton="0" quotePrefix="0" xfId="0">
      <alignment horizontal="right"/>
    </xf>
    <xf numFmtId="165" fontId="22" fillId="0" borderId="24" applyAlignment="1" pivotButton="0" quotePrefix="0" xfId="0">
      <alignment horizontal="right"/>
    </xf>
    <xf numFmtId="167" fontId="22" fillId="0" borderId="25" applyAlignment="1" pivotButton="0" quotePrefix="0" xfId="0">
      <alignment horizontal="right"/>
    </xf>
    <xf numFmtId="167" fontId="23" fillId="0" borderId="0" pivotButton="0" quotePrefix="0" xfId="7"/>
    <xf numFmtId="167" fontId="23" fillId="0" borderId="0" applyProtection="1" pivotButton="0" quotePrefix="0" xfId="7">
      <protection locked="0" hidden="0"/>
    </xf>
    <xf numFmtId="167" fontId="23" fillId="0" borderId="0" applyAlignment="1" applyProtection="1" pivotButton="0" quotePrefix="0" xfId="7">
      <alignment horizontal="right"/>
      <protection locked="0" hidden="0"/>
    </xf>
    <xf numFmtId="167" fontId="30" fillId="0" borderId="0" applyProtection="1" pivotButton="0" quotePrefix="0" xfId="7">
      <protection locked="0" hidden="0"/>
    </xf>
    <xf numFmtId="167" fontId="31" fillId="0" borderId="0" applyAlignment="1" applyProtection="1" pivotButton="0" quotePrefix="0" xfId="7">
      <alignment horizontal="right"/>
      <protection locked="0" hidden="0"/>
    </xf>
    <xf numFmtId="167" fontId="30" fillId="0" borderId="0" applyAlignment="1" applyProtection="1" pivotButton="0" quotePrefix="0" xfId="7">
      <alignment horizontal="left"/>
      <protection locked="0" hidden="0"/>
    </xf>
    <xf numFmtId="167" fontId="31" fillId="0" borderId="0" applyProtection="1" pivotButton="0" quotePrefix="0" xfId="7">
      <protection locked="0" hidden="0"/>
    </xf>
    <xf numFmtId="167" fontId="23" fillId="0" borderId="0" pivotButton="0" quotePrefix="0" xfId="0"/>
    <xf numFmtId="174" fontId="23" fillId="0" borderId="0" applyAlignment="1" pivotButton="0" quotePrefix="0" xfId="0">
      <alignment horizontal="left"/>
    </xf>
    <xf numFmtId="167" fontId="34" fillId="0" borderId="0" applyProtection="1" pivotButton="0" quotePrefix="0" xfId="7">
      <protection locked="0" hidden="0"/>
    </xf>
    <xf numFmtId="167" fontId="31" fillId="0" borderId="7" applyProtection="1" pivotButton="0" quotePrefix="0" xfId="0">
      <protection locked="0" hidden="0"/>
    </xf>
    <xf numFmtId="0" fontId="0" fillId="0" borderId="13" pivotButton="0" quotePrefix="0" xfId="0"/>
    <xf numFmtId="0" fontId="35" fillId="0" borderId="18" applyAlignment="1" pivotButton="0" quotePrefix="0" xfId="0">
      <alignment horizontal="right" wrapText="1"/>
    </xf>
    <xf numFmtId="171" fontId="134" fillId="9" borderId="0" applyAlignment="1" applyProtection="1" pivotButton="0" quotePrefix="0" xfId="0">
      <alignment horizontal="right"/>
      <protection locked="0" hidden="0"/>
    </xf>
    <xf numFmtId="167" fontId="43" fillId="9" borderId="0" pivotButton="0" quotePrefix="0" xfId="0"/>
    <xf numFmtId="171" fontId="134" fillId="9" borderId="0" applyAlignment="1" applyProtection="1" pivotButton="0" quotePrefix="0" xfId="0">
      <alignment horizontal="right" wrapText="1"/>
      <protection locked="0" hidden="0"/>
    </xf>
    <xf numFmtId="167" fontId="132" fillId="9" borderId="0" pivotButton="0" quotePrefix="0" xfId="0"/>
    <xf numFmtId="171" fontId="135" fillId="9" borderId="0" applyAlignment="1" applyProtection="1" pivotButton="0" quotePrefix="0" xfId="0">
      <alignment horizontal="right" wrapText="1"/>
      <protection locked="0" hidden="0"/>
    </xf>
    <xf numFmtId="167" fontId="133" fillId="9" borderId="0" pivotButton="0" quotePrefix="0" xfId="0"/>
    <xf numFmtId="165" fontId="117" fillId="0" borderId="4" applyAlignment="1" pivotButton="0" quotePrefix="0" xfId="0">
      <alignment horizontal="right"/>
    </xf>
    <xf numFmtId="167" fontId="27" fillId="44" borderId="29" applyAlignment="1" pivotButton="0" quotePrefix="0" xfId="0">
      <alignment horizontal="right"/>
    </xf>
    <xf numFmtId="167" fontId="41" fillId="0" borderId="0" applyProtection="1" pivotButton="0" quotePrefix="0" xfId="7">
      <protection locked="0" hidden="0"/>
    </xf>
    <xf numFmtId="167" fontId="41" fillId="0" borderId="0" applyAlignment="1" applyProtection="1" pivotButton="0" quotePrefix="0" xfId="7">
      <alignment horizontal="left"/>
      <protection locked="0" hidden="0"/>
    </xf>
    <xf numFmtId="167" fontId="31" fillId="0" borderId="0" applyAlignment="1" applyProtection="1" pivotButton="0" quotePrefix="0" xfId="7">
      <alignment horizontal="left"/>
      <protection locked="0" hidden="0"/>
    </xf>
    <xf numFmtId="168" fontId="0" fillId="0" borderId="4" pivotButton="0" quotePrefix="0" xfId="0"/>
    <xf numFmtId="168" fontId="0" fillId="0" borderId="49" pivotButton="0" quotePrefix="0" xfId="0"/>
    <xf numFmtId="168" fontId="4" fillId="44" borderId="29" pivotButton="0" quotePrefix="0" xfId="0"/>
    <xf numFmtId="168" fontId="0" fillId="0" borderId="25" pivotButton="0" quotePrefix="0" xfId="0"/>
    <xf numFmtId="168" fontId="26" fillId="0" borderId="0" pivotButton="0" quotePrefix="0" xfId="0"/>
    <xf numFmtId="168" fontId="23" fillId="0" borderId="0" applyAlignment="1" pivotButton="0" quotePrefix="0" xfId="0">
      <alignment horizontal="right" wrapText="1"/>
    </xf>
    <xf numFmtId="169" fontId="26" fillId="0" borderId="0" applyAlignment="1" pivotButton="0" quotePrefix="0" xfId="16">
      <alignment wrapText="1"/>
    </xf>
    <xf numFmtId="168" fontId="26" fillId="0" borderId="0" applyAlignment="1" pivotButton="0" quotePrefix="0" xfId="0">
      <alignment horizontal="right" wrapText="1"/>
    </xf>
    <xf numFmtId="170" fontId="136" fillId="9" borderId="0" applyAlignment="1" pivotButton="0" quotePrefix="0" xfId="0">
      <alignment horizontal="right"/>
    </xf>
    <xf numFmtId="168" fontId="138" fillId="9" borderId="0" applyAlignment="1" pivotButton="0" quotePrefix="0" xfId="0">
      <alignment horizontal="right"/>
    </xf>
    <xf numFmtId="170" fontId="26" fillId="0" borderId="0" pivotButton="0" quotePrefix="0" xfId="0"/>
    <xf numFmtId="170" fontId="136" fillId="9" borderId="0" applyAlignment="1" pivotButton="0" quotePrefix="1" xfId="0">
      <alignment horizontal="right"/>
    </xf>
    <xf numFmtId="167" fontId="27" fillId="44" borderId="5" pivotButton="0" quotePrefix="0" xfId="18"/>
    <xf numFmtId="167" fontId="22" fillId="6" borderId="24" pivotButton="0" quotePrefix="0" xfId="18"/>
    <xf numFmtId="167" fontId="22" fillId="6" borderId="4" pivotButton="0" quotePrefix="0" xfId="18"/>
    <xf numFmtId="172" fontId="124" fillId="44" borderId="5" pivotButton="0" quotePrefix="0" xfId="1"/>
    <xf numFmtId="172" fontId="117" fillId="6" borderId="24" pivotButton="0" quotePrefix="0" xfId="1"/>
    <xf numFmtId="172" fontId="117" fillId="6" borderId="4" pivotButton="0" quotePrefix="0" xfId="1"/>
    <xf numFmtId="167" fontId="22" fillId="0" borderId="21" pivotButton="0" quotePrefix="0" xfId="18"/>
    <xf numFmtId="172" fontId="117" fillId="0" borderId="21" pivotButton="0" quotePrefix="0" xfId="1"/>
    <xf numFmtId="167" fontId="27" fillId="44" borderId="29" pivotButton="0" quotePrefix="0" xfId="18"/>
    <xf numFmtId="172" fontId="124" fillId="44" borderId="29" pivotButton="0" quotePrefix="0" xfId="1"/>
    <xf numFmtId="167" fontId="22" fillId="0" borderId="25" pivotButton="0" quotePrefix="0" xfId="18"/>
    <xf numFmtId="172" fontId="117" fillId="0" borderId="25" pivotButton="0" quotePrefix="0" xfId="1"/>
    <xf numFmtId="167" fontId="132" fillId="9" borderId="0" applyAlignment="1" pivotButton="0" quotePrefix="0" xfId="20">
      <alignment horizontal="right"/>
    </xf>
    <xf numFmtId="167" fontId="47" fillId="0" borderId="0" pivotButton="0" quotePrefix="0" xfId="20"/>
    <xf numFmtId="167" fontId="47" fillId="0" borderId="0" pivotButton="0" quotePrefix="0" xfId="21"/>
    <xf numFmtId="167" fontId="1" fillId="0" borderId="0" pivotButton="0" quotePrefix="0" xfId="20"/>
    <xf numFmtId="167" fontId="1" fillId="0" borderId="0" pivotButton="0" quotePrefix="0" xfId="21"/>
    <xf numFmtId="172" fontId="22" fillId="0" borderId="8" applyAlignment="1" pivotButton="0" quotePrefix="0" xfId="1">
      <alignment vertical="top"/>
    </xf>
    <xf numFmtId="172" fontId="132" fillId="0" borderId="8" applyAlignment="1" pivotButton="0" quotePrefix="0" xfId="1">
      <alignment vertical="top"/>
    </xf>
    <xf numFmtId="167" fontId="133" fillId="9" borderId="0" applyAlignment="1" pivotButton="0" quotePrefix="0" xfId="20">
      <alignment horizontal="right"/>
    </xf>
    <xf numFmtId="167" fontId="27" fillId="9" borderId="0" applyAlignment="1" pivotButton="0" quotePrefix="0" xfId="20">
      <alignment horizontal="right"/>
    </xf>
    <xf numFmtId="172" fontId="27" fillId="0" borderId="0" pivotButton="0" quotePrefix="0" xfId="1"/>
    <xf numFmtId="174" fontId="23" fillId="9" borderId="0" applyAlignment="1" pivotButton="0" quotePrefix="0" xfId="0">
      <alignment horizontal="left"/>
    </xf>
    <xf numFmtId="174" fontId="23" fillId="9" borderId="0" applyAlignment="1" pivotButton="0" quotePrefix="0" xfId="0">
      <alignment horizontal="right"/>
    </xf>
    <xf numFmtId="168" fontId="26" fillId="0" borderId="0" pivotButton="0" quotePrefix="0" xfId="117"/>
    <xf numFmtId="168" fontId="23" fillId="0" borderId="0" applyAlignment="1" pivotButton="0" quotePrefix="0" xfId="117">
      <alignment horizontal="right" wrapText="1"/>
    </xf>
    <xf numFmtId="169" fontId="26" fillId="0" borderId="0" applyAlignment="1" pivotButton="0" quotePrefix="0" xfId="27">
      <alignment wrapText="1"/>
    </xf>
    <xf numFmtId="168" fontId="26" fillId="0" borderId="0" applyAlignment="1" pivotButton="0" quotePrefix="0" xfId="117">
      <alignment horizontal="right" wrapText="1"/>
    </xf>
    <xf numFmtId="168" fontId="138" fillId="0" borderId="0" applyAlignment="1" pivotButton="0" quotePrefix="0" xfId="117">
      <alignment horizontal="right"/>
    </xf>
    <xf numFmtId="167" fontId="138" fillId="0" borderId="0" applyAlignment="1" pivotButton="0" quotePrefix="0" xfId="117">
      <alignment horizontal="right"/>
    </xf>
    <xf numFmtId="167" fontId="23" fillId="0" borderId="0" pivotButton="0" quotePrefix="0" xfId="117"/>
    <xf numFmtId="168" fontId="23" fillId="0" borderId="0" pivotButton="0" quotePrefix="0" xfId="117"/>
    <xf numFmtId="168" fontId="26" fillId="0" borderId="0" pivotButton="0" quotePrefix="0" xfId="12"/>
    <xf numFmtId="167" fontId="23" fillId="0" borderId="0" pivotButton="0" quotePrefix="0" xfId="12"/>
    <xf numFmtId="167" fontId="65" fillId="0" borderId="0" pivotButton="0" quotePrefix="0" xfId="11"/>
    <xf numFmtId="167" fontId="1" fillId="0" borderId="48" pivotButton="0" quotePrefix="0" xfId="11"/>
    <xf numFmtId="167" fontId="1" fillId="43" borderId="4" pivotButton="0" quotePrefix="0" xfId="11"/>
    <xf numFmtId="167" fontId="1" fillId="0" borderId="18" pivotButton="0" quotePrefix="0" xfId="11"/>
    <xf numFmtId="165" fontId="13" fillId="0" borderId="4" pivotButton="0" quotePrefix="0" xfId="0"/>
    <xf numFmtId="167" fontId="1" fillId="43" borderId="49" pivotButton="0" quotePrefix="0" xfId="11"/>
    <xf numFmtId="165" fontId="13" fillId="0" borderId="48" pivotButton="0" quotePrefix="0" xfId="0"/>
    <xf numFmtId="167" fontId="4" fillId="44" borderId="29" pivotButton="0" quotePrefix="0" xfId="11"/>
    <xf numFmtId="165" fontId="13" fillId="0" borderId="18" pivotButton="0" quotePrefix="0" xfId="0"/>
    <xf numFmtId="172" fontId="4" fillId="44" borderId="29" pivotButton="0" quotePrefix="0" xfId="1"/>
    <xf numFmtId="165" fontId="13" fillId="0" borderId="24" pivotButton="0" quotePrefix="0" xfId="0"/>
    <xf numFmtId="172" fontId="1" fillId="0" borderId="25" pivotButton="0" quotePrefix="0" xfId="1"/>
    <xf numFmtId="172" fontId="1" fillId="0" borderId="21" pivotButton="0" quotePrefix="0" xfId="1"/>
    <xf numFmtId="167" fontId="19" fillId="0" borderId="0" pivotButton="0" quotePrefix="0" xfId="23"/>
    <xf numFmtId="167" fontId="30" fillId="0" borderId="0" applyProtection="1" pivotButton="0" quotePrefix="0" xfId="354">
      <protection locked="0" hidden="0"/>
    </xf>
    <xf numFmtId="167" fontId="31" fillId="0" borderId="0" applyAlignment="1" applyProtection="1" pivotButton="0" quotePrefix="0" xfId="354">
      <alignment horizontal="right"/>
      <protection locked="0" hidden="0"/>
    </xf>
    <xf numFmtId="174" fontId="23" fillId="0" borderId="0" pivotButton="0" quotePrefix="0" xfId="0"/>
    <xf numFmtId="167" fontId="44" fillId="0" borderId="0" pivotButton="0" quotePrefix="0" xfId="23"/>
    <xf numFmtId="174" fontId="23" fillId="0" borderId="0" pivotButton="0" quotePrefix="0" xfId="354"/>
    <xf numFmtId="174" fontId="44" fillId="0" borderId="0" pivotButton="0" quotePrefix="0" xfId="354"/>
    <xf numFmtId="167" fontId="44" fillId="0" borderId="0" pivotButton="0" quotePrefix="0" xfId="354"/>
    <xf numFmtId="167" fontId="1" fillId="0" borderId="0" pivotButton="0" quotePrefix="0" xfId="11"/>
    <xf numFmtId="167" fontId="56" fillId="0" borderId="0" pivotButton="0" quotePrefix="0" xfId="354"/>
    <xf numFmtId="167" fontId="1" fillId="0" borderId="0" applyAlignment="1" pivotButton="0" quotePrefix="0" xfId="11">
      <alignment wrapText="1"/>
    </xf>
    <xf numFmtId="167" fontId="22" fillId="0" borderId="0" applyAlignment="1" pivotButton="0" quotePrefix="0" xfId="11">
      <alignment horizontal="center"/>
    </xf>
    <xf numFmtId="167" fontId="1" fillId="0" borderId="0" applyAlignment="1" pivotButton="0" quotePrefix="0" xfId="11">
      <alignment horizontal="center" wrapText="1"/>
    </xf>
    <xf numFmtId="171" fontId="42" fillId="0" borderId="11" applyAlignment="1" applyProtection="1" pivotButton="0" quotePrefix="0" xfId="11">
      <alignment horizontal="center"/>
      <protection locked="0" hidden="0"/>
    </xf>
    <xf numFmtId="167" fontId="0" fillId="0" borderId="20" applyAlignment="1" pivotButton="0" quotePrefix="0" xfId="354">
      <alignment horizontal="right"/>
    </xf>
    <xf numFmtId="167" fontId="0" fillId="0" borderId="0" pivotButton="0" quotePrefix="0" xfId="354"/>
    <xf numFmtId="171" fontId="42" fillId="0" borderId="21" applyAlignment="1" applyProtection="1" pivotButton="0" quotePrefix="0" xfId="11">
      <alignment horizontal="center"/>
      <protection locked="0" hidden="0"/>
    </xf>
    <xf numFmtId="167" fontId="0" fillId="0" borderId="0" pivotButton="0" quotePrefix="0" xfId="11"/>
    <xf numFmtId="167" fontId="4" fillId="0" borderId="0" pivotButton="0" quotePrefix="0" xfId="11"/>
    <xf numFmtId="167" fontId="42" fillId="0" borderId="20" applyAlignment="1" pivotButton="0" quotePrefix="0" xfId="354">
      <alignment horizontal="right"/>
    </xf>
    <xf numFmtId="167" fontId="42" fillId="0" borderId="0" pivotButton="0" quotePrefix="0" xfId="354"/>
    <xf numFmtId="167" fontId="125" fillId="0" borderId="20" applyAlignment="1" pivotButton="0" quotePrefix="0" xfId="354">
      <alignment horizontal="right"/>
    </xf>
    <xf numFmtId="167" fontId="125" fillId="0" borderId="0" pivotButton="0" quotePrefix="0" xfId="354"/>
    <xf numFmtId="173" fontId="0" fillId="0" borderId="0" pivotButton="0" quotePrefix="0" xfId="25"/>
    <xf numFmtId="173" fontId="103" fillId="42" borderId="49" pivotButton="0" quotePrefix="0" xfId="25"/>
    <xf numFmtId="173" fontId="0" fillId="0" borderId="4" pivotButton="0" quotePrefix="0" xfId="25"/>
    <xf numFmtId="173" fontId="0" fillId="0" borderId="48" pivotButton="0" quotePrefix="0" xfId="25"/>
    <xf numFmtId="173" fontId="4" fillId="44" borderId="28" pivotButton="0" quotePrefix="0" xfId="25"/>
    <xf numFmtId="173" fontId="4" fillId="44" borderId="29" pivotButton="0" quotePrefix="0" xfId="25"/>
    <xf numFmtId="173" fontId="44" fillId="0" borderId="0" pivotButton="0" quotePrefix="0" xfId="25"/>
    <xf numFmtId="169" fontId="22" fillId="0" borderId="0" pivotButton="0" quotePrefix="0" xfId="1173"/>
    <xf numFmtId="168" fontId="22" fillId="0" borderId="0" pivotButton="0" quotePrefix="0" xfId="1173"/>
    <xf numFmtId="169" fontId="22" fillId="0" borderId="0" pivotButton="0" quotePrefix="0" xfId="7"/>
    <xf numFmtId="169" fontId="22" fillId="9" borderId="58" pivotButton="0" quotePrefix="0" xfId="1173"/>
    <xf numFmtId="167" fontId="22" fillId="9" borderId="58" pivotButton="0" quotePrefix="0" xfId="1173"/>
    <xf numFmtId="168" fontId="22" fillId="9" borderId="58" pivotButton="0" quotePrefix="0" xfId="1173"/>
    <xf numFmtId="169" fontId="22" fillId="0" borderId="17" pivotButton="0" quotePrefix="0" xfId="1173"/>
    <xf numFmtId="168" fontId="22" fillId="0" borderId="17" pivotButton="0" quotePrefix="0" xfId="1173"/>
    <xf numFmtId="169" fontId="22" fillId="9" borderId="0" pivotButton="0" quotePrefix="0" xfId="1173"/>
    <xf numFmtId="167" fontId="22" fillId="0" borderId="0" pivotButton="0" quotePrefix="0" xfId="1173"/>
    <xf numFmtId="169" fontId="22" fillId="0" borderId="0" applyAlignment="1" pivotButton="0" quotePrefix="1" xfId="1173">
      <alignment horizontal="right"/>
    </xf>
    <xf numFmtId="167" fontId="22" fillId="0" borderId="0" applyAlignment="1" pivotButton="0" quotePrefix="1" xfId="1173">
      <alignment horizontal="right"/>
    </xf>
    <xf numFmtId="172" fontId="22" fillId="0" borderId="4" pivotButton="0" quotePrefix="0" xfId="7"/>
    <xf numFmtId="172" fontId="131" fillId="7" borderId="27" applyAlignment="1" pivotButton="0" quotePrefix="0" xfId="0">
      <alignment horizontal="center" vertical="center"/>
    </xf>
    <xf numFmtId="168" fontId="67" fillId="0" borderId="4" applyAlignment="1" pivotButton="0" quotePrefix="0" xfId="0">
      <alignment horizontal="right" wrapText="1" readingOrder="1"/>
    </xf>
    <xf numFmtId="171" fontId="42" fillId="0" borderId="0" applyAlignment="1" applyProtection="1" pivotButton="0" quotePrefix="0" xfId="11">
      <alignment horizontal="center"/>
      <protection locked="0" hidden="0"/>
    </xf>
    <xf numFmtId="173" fontId="0" fillId="0" borderId="4" pivotButton="0" quotePrefix="0" xfId="0"/>
    <xf numFmtId="173" fontId="0" fillId="6" borderId="0" pivotButton="0" quotePrefix="0" xfId="25"/>
  </cellXfs>
  <cellStyles count="1574">
    <cellStyle name="Normal" xfId="0" builtinId="0"/>
    <cellStyle name="Per cent" xfId="1" builtinId="5"/>
    <cellStyle name="Good" xfId="2" builtinId="26"/>
    <cellStyle name="Bad" xfId="3" builtinId="27"/>
    <cellStyle name="Percent 2" xfId="4"/>
    <cellStyle name="Comma 2" xfId="5"/>
    <cellStyle name="Normal 12" xfId="6"/>
    <cellStyle name="Normal 2" xfId="7"/>
    <cellStyle name="Normal 2 2" xfId="8"/>
    <cellStyle name="Hyperlink 2" xfId="9"/>
    <cellStyle name="Comma 2 2" xfId="10"/>
    <cellStyle name="Normal 3 4" xfId="11"/>
    <cellStyle name="Normal 16" xfId="12"/>
    <cellStyle name="Normal 3" xfId="13"/>
    <cellStyle name="Normal_Book1 2" xfId="14"/>
    <cellStyle name="Normal 2 2 2 2" xfId="15"/>
    <cellStyle name="Normal 2 3" xfId="16"/>
    <cellStyle name="Normal 2 4" xfId="17"/>
    <cellStyle name="Normal 5" xfId="18"/>
    <cellStyle name="ANCLAS,REZONES Y SUS PARTES,DE FUNDICION,DE HIERRO O DE ACERO 2 2" xfId="19"/>
    <cellStyle name="ANCLAS,REZONES Y SUS PARTES,DE FUNDICION,DE HIERRO O DE ACERO 2 2 2" xfId="20"/>
    <cellStyle name="ANCLAS,REZONES Y SUS PARTES,DE FUNDICION,DE HIERRO O DE ACERO 2 3" xfId="21"/>
    <cellStyle name="Normal_TTab21&amp;22 2" xfId="22"/>
    <cellStyle name="Normal 4" xfId="23"/>
    <cellStyle name="Comma 3" xfId="24"/>
    <cellStyle name="Comma" xfId="25" builtinId="3"/>
    <cellStyle name="Normal 76" xfId="26"/>
    <cellStyle name="Normal 2 3 2" xfId="27"/>
    <cellStyle name="Normal 6" xfId="28"/>
    <cellStyle name="Normal 7" xfId="29"/>
    <cellStyle name="Hyperlink 3" xfId="30"/>
    <cellStyle name="ANCLAS,REZONES Y SUS PARTES,DE FUNDICION,DE HIERRO O DE ACERO" xfId="31"/>
    <cellStyle name="ANCLAS,REZONES Y SUS PARTES,DE FUNDICION,DE HIERRO O DE ACERO 2" xfId="32"/>
    <cellStyle name="ANCLAS,REZONES Y SUS PARTES,DE FUNDICION,DE HIERRO O DE ACERO 3" xfId="33"/>
    <cellStyle name="cells" xfId="34"/>
    <cellStyle name="cells 2" xfId="35"/>
    <cellStyle name="column field" xfId="36"/>
    <cellStyle name="column field 2" xfId="37"/>
    <cellStyle name="Comma 14" xfId="38"/>
    <cellStyle name="Comma 10" xfId="39"/>
    <cellStyle name="Comma 10 2" xfId="40"/>
    <cellStyle name="Comma 11" xfId="41"/>
    <cellStyle name="Comma 11 2" xfId="42"/>
    <cellStyle name="Comma 12" xfId="43"/>
    <cellStyle name="Comma 12 2" xfId="44"/>
    <cellStyle name="Comma 13" xfId="45"/>
    <cellStyle name="Comma 2 8" xfId="46"/>
    <cellStyle name="Comma 2 2 5" xfId="47"/>
    <cellStyle name="Comma 2 2 2" xfId="48"/>
    <cellStyle name="Comma 2 2 2 2" xfId="49"/>
    <cellStyle name="Comma 2 2 3" xfId="50"/>
    <cellStyle name="Comma 2 2 3 2" xfId="51"/>
    <cellStyle name="Comma 2 2 4" xfId="52"/>
    <cellStyle name="Comma 2 3" xfId="53"/>
    <cellStyle name="Comma 2 3 2" xfId="54"/>
    <cellStyle name="Comma 2 3 2 2" xfId="55"/>
    <cellStyle name="Comma 2 3 3" xfId="56"/>
    <cellStyle name="Comma 2 3 3 2" xfId="57"/>
    <cellStyle name="Comma 2 3 4" xfId="58"/>
    <cellStyle name="Comma 2 4" xfId="59"/>
    <cellStyle name="Comma 2 4 2" xfId="60"/>
    <cellStyle name="Comma 2 4 2 2" xfId="61"/>
    <cellStyle name="Comma 2 4 3" xfId="62"/>
    <cellStyle name="Comma 2 5" xfId="63"/>
    <cellStyle name="Comma 2 5 2" xfId="64"/>
    <cellStyle name="Comma 2 6" xfId="65"/>
    <cellStyle name="Comma 2 6 2" xfId="66"/>
    <cellStyle name="Comma 2 7" xfId="67"/>
    <cellStyle name="Comma 3 3" xfId="68"/>
    <cellStyle name="Comma 3 2" xfId="69"/>
    <cellStyle name="Comma 4" xfId="70"/>
    <cellStyle name="Comma 4 2" xfId="71"/>
    <cellStyle name="Comma 5" xfId="72"/>
    <cellStyle name="Comma 5 2" xfId="73"/>
    <cellStyle name="Comma 5 2 2" xfId="74"/>
    <cellStyle name="Comma 5 2 2 2" xfId="75"/>
    <cellStyle name="Comma 5 2 3" xfId="76"/>
    <cellStyle name="Comma 5 2 3 2" xfId="77"/>
    <cellStyle name="Comma 5 2 4" xfId="78"/>
    <cellStyle name="Comma 5 3" xfId="79"/>
    <cellStyle name="Comma 5 3 2" xfId="80"/>
    <cellStyle name="Comma 5 3 2 2" xfId="81"/>
    <cellStyle name="Comma 5 3 3" xfId="82"/>
    <cellStyle name="Comma 5 4" xfId="83"/>
    <cellStyle name="Comma 5 4 2" xfId="84"/>
    <cellStyle name="Comma 5 5" xfId="85"/>
    <cellStyle name="Comma 5 5 2" xfId="86"/>
    <cellStyle name="Comma 5 6" xfId="87"/>
    <cellStyle name="Comma 6" xfId="88"/>
    <cellStyle name="Comma 6 2" xfId="89"/>
    <cellStyle name="Comma 6 2 2" xfId="90"/>
    <cellStyle name="Comma 6 3" xfId="91"/>
    <cellStyle name="Comma 6 3 2" xfId="92"/>
    <cellStyle name="Comma 6 4" xfId="93"/>
    <cellStyle name="Comma 7" xfId="94"/>
    <cellStyle name="Comma 7 2" xfId="95"/>
    <cellStyle name="Comma 7 2 2" xfId="96"/>
    <cellStyle name="Comma 7 3" xfId="97"/>
    <cellStyle name="Comma 7 3 2" xfId="98"/>
    <cellStyle name="Comma 7 4" xfId="99"/>
    <cellStyle name="Comma 8" xfId="100"/>
    <cellStyle name="Comma 8 2" xfId="101"/>
    <cellStyle name="Comma 8 2 2" xfId="102"/>
    <cellStyle name="Comma 8 3" xfId="103"/>
    <cellStyle name="Comma 9" xfId="104"/>
    <cellStyle name="Comma 9 2" xfId="105"/>
    <cellStyle name="Comma 9 2 2" xfId="106"/>
    <cellStyle name="Comma 9 3" xfId="107"/>
    <cellStyle name="field" xfId="108"/>
    <cellStyle name="field 2" xfId="109"/>
    <cellStyle name="field names" xfId="110"/>
    <cellStyle name="footer" xfId="111"/>
    <cellStyle name="heading" xfId="112"/>
    <cellStyle name="Headings" xfId="113"/>
    <cellStyle name="Headings 2" xfId="114"/>
    <cellStyle name="Hyperlink 2 2" xfId="115"/>
    <cellStyle name="Hyperlink 3 2" xfId="116"/>
    <cellStyle name="Normal 10" xfId="117"/>
    <cellStyle name="Normal 10 2" xfId="118"/>
    <cellStyle name="Normal 11" xfId="119"/>
    <cellStyle name="Normal 11 2" xfId="120"/>
    <cellStyle name="Normal 2 2 2" xfId="121"/>
    <cellStyle name="Normal 2 2 3" xfId="122"/>
    <cellStyle name="Normal 3 2" xfId="123"/>
    <cellStyle name="Normal 3 3" xfId="124"/>
    <cellStyle name="Normal 39" xfId="125"/>
    <cellStyle name="Normal 4 3" xfId="126"/>
    <cellStyle name="Normal 4 2" xfId="127"/>
    <cellStyle name="Normal 6 3" xfId="128"/>
    <cellStyle name="Normal 6 2" xfId="129"/>
    <cellStyle name="Normal 7 3" xfId="130"/>
    <cellStyle name="Normal 7 2" xfId="131"/>
    <cellStyle name="Normal 8" xfId="132"/>
    <cellStyle name="Normal 8 2" xfId="133"/>
    <cellStyle name="Normal 9" xfId="134"/>
    <cellStyle name="Normal 9 2" xfId="135"/>
    <cellStyle name="Note 2" xfId="136"/>
    <cellStyle name="Percent 2 2" xfId="137"/>
    <cellStyle name="Percent 3" xfId="138"/>
    <cellStyle name="Percent 3 2" xfId="139"/>
    <cellStyle name="Row_Headings" xfId="140"/>
    <cellStyle name="rowfield" xfId="141"/>
    <cellStyle name="rowfield 2" xfId="142"/>
    <cellStyle name="Test" xfId="143"/>
    <cellStyle name="Test 2" xfId="144"/>
    <cellStyle name="Comma 15" xfId="145"/>
    <cellStyle name="Comma 10 3" xfId="146"/>
    <cellStyle name="Comma 10 2 2" xfId="147"/>
    <cellStyle name="Comma 11 3" xfId="148"/>
    <cellStyle name="Comma 11 2 2" xfId="149"/>
    <cellStyle name="Comma 12 3" xfId="150"/>
    <cellStyle name="Comma 12 2 2" xfId="151"/>
    <cellStyle name="Comma 13 2" xfId="152"/>
    <cellStyle name="Comma 2 9" xfId="153"/>
    <cellStyle name="Comma 2 2 6" xfId="154"/>
    <cellStyle name="Comma 2 2 2 3" xfId="155"/>
    <cellStyle name="Comma 2 2 2 2 2" xfId="156"/>
    <cellStyle name="Comma 2 2 3 3" xfId="157"/>
    <cellStyle name="Comma 2 2 3 2 2" xfId="158"/>
    <cellStyle name="Comma 2 2 4 2" xfId="159"/>
    <cellStyle name="Comma 2 3 5" xfId="160"/>
    <cellStyle name="Comma 2 3 2 3" xfId="161"/>
    <cellStyle name="Comma 2 3 2 2 2" xfId="162"/>
    <cellStyle name="Comma 2 3 3 3" xfId="163"/>
    <cellStyle name="Comma 2 3 3 2 2" xfId="164"/>
    <cellStyle name="Comma 2 3 4 2" xfId="165"/>
    <cellStyle name="Comma 2 4 4" xfId="166"/>
    <cellStyle name="Comma 2 4 2 3" xfId="167"/>
    <cellStyle name="Comma 2 4 2 2 2" xfId="168"/>
    <cellStyle name="Comma 2 4 3 2" xfId="169"/>
    <cellStyle name="Comma 2 5 3" xfId="170"/>
    <cellStyle name="Comma 2 5 2 2" xfId="171"/>
    <cellStyle name="Comma 2 6 3" xfId="172"/>
    <cellStyle name="Comma 2 6 2 2" xfId="173"/>
    <cellStyle name="Comma 2 7 2" xfId="174"/>
    <cellStyle name="Comma 5 7" xfId="175"/>
    <cellStyle name="Comma 5 2 5" xfId="176"/>
    <cellStyle name="Comma 5 2 2 3" xfId="177"/>
    <cellStyle name="Comma 5 2 2 2 2" xfId="178"/>
    <cellStyle name="Comma 5 2 3 3" xfId="179"/>
    <cellStyle name="Comma 5 2 3 2 2" xfId="180"/>
    <cellStyle name="Comma 5 2 4 2" xfId="181"/>
    <cellStyle name="Comma 5 3 4" xfId="182"/>
    <cellStyle name="Comma 5 3 2 3" xfId="183"/>
    <cellStyle name="Comma 5 3 2 2 2" xfId="184"/>
    <cellStyle name="Comma 5 3 3 2" xfId="185"/>
    <cellStyle name="Comma 5 4 3" xfId="186"/>
    <cellStyle name="Comma 5 4 2 2" xfId="187"/>
    <cellStyle name="Comma 5 5 3" xfId="188"/>
    <cellStyle name="Comma 5 5 2 2" xfId="189"/>
    <cellStyle name="Comma 5 6 2" xfId="190"/>
    <cellStyle name="Comma 6 5" xfId="191"/>
    <cellStyle name="Comma 6 2 3" xfId="192"/>
    <cellStyle name="Comma 6 2 2 2" xfId="193"/>
    <cellStyle name="Comma 6 3 3" xfId="194"/>
    <cellStyle name="Comma 6 3 2 2" xfId="195"/>
    <cellStyle name="Comma 6 4 2" xfId="196"/>
    <cellStyle name="Comma 7 5" xfId="197"/>
    <cellStyle name="Comma 7 2 3" xfId="198"/>
    <cellStyle name="Comma 7 2 2 2" xfId="199"/>
    <cellStyle name="Comma 7 3 3" xfId="200"/>
    <cellStyle name="Comma 7 3 2 2" xfId="201"/>
    <cellStyle name="Comma 7 4 2" xfId="202"/>
    <cellStyle name="Comma 8 4" xfId="203"/>
    <cellStyle name="Comma 8 2 3" xfId="204"/>
    <cellStyle name="Comma 8 2 2 2" xfId="205"/>
    <cellStyle name="Comma 8 3 2" xfId="206"/>
    <cellStyle name="Comma 9 4" xfId="207"/>
    <cellStyle name="Comma 9 2 3" xfId="208"/>
    <cellStyle name="Comma 9 2 2 2" xfId="209"/>
    <cellStyle name="Comma 9 3 2" xfId="210"/>
    <cellStyle name="Normal 2 2 2 2 2" xfId="211"/>
    <cellStyle name="Normal 2 2 2 3" xfId="212"/>
    <cellStyle name="Hyperlink 2 2 2" xfId="213"/>
    <cellStyle name="Hyperlink 2 2 3" xfId="214"/>
    <cellStyle name="Heading 2 2" xfId="215"/>
    <cellStyle name="Paragraph Han" xfId="216"/>
    <cellStyle name="Heading 1 2" xfId="217"/>
    <cellStyle name="Hyperlink 4" xfId="218"/>
    <cellStyle name="Hyperlink 3 3" xfId="219"/>
    <cellStyle name="Hyperlink 2 3" xfId="220"/>
    <cellStyle name="Comma 16" xfId="221"/>
    <cellStyle name="Comma 10 4" xfId="222"/>
    <cellStyle name="Comma 10 2 3" xfId="223"/>
    <cellStyle name="Comma 11 4" xfId="224"/>
    <cellStyle name="Comma 11 2 3" xfId="225"/>
    <cellStyle name="Comma 12 4" xfId="226"/>
    <cellStyle name="Comma 12 2 3" xfId="227"/>
    <cellStyle name="Comma 13 3" xfId="228"/>
    <cellStyle name="Comma 2 10" xfId="229"/>
    <cellStyle name="Comma 2 2 7" xfId="230"/>
    <cellStyle name="Comma 2 2 2 4" xfId="231"/>
    <cellStyle name="Comma 2 2 2 2 3" xfId="232"/>
    <cellStyle name="Comma 2 2 3 4" xfId="233"/>
    <cellStyle name="Comma 2 2 3 2 3" xfId="234"/>
    <cellStyle name="Comma 2 2 4 3" xfId="235"/>
    <cellStyle name="Comma 2 3 6" xfId="236"/>
    <cellStyle name="Comma 2 3 2 4" xfId="237"/>
    <cellStyle name="Comma 2 3 2 2 3" xfId="238"/>
    <cellStyle name="Comma 2 3 3 4" xfId="239"/>
    <cellStyle name="Comma 2 3 3 2 3" xfId="240"/>
    <cellStyle name="Comma 2 3 4 3" xfId="241"/>
    <cellStyle name="Comma 2 4 5" xfId="242"/>
    <cellStyle name="Comma 2 4 2 4" xfId="243"/>
    <cellStyle name="Comma 2 4 2 2 3" xfId="244"/>
    <cellStyle name="Comma 2 4 3 3" xfId="245"/>
    <cellStyle name="Comma 2 5 4" xfId="246"/>
    <cellStyle name="Comma 2 5 2 3" xfId="247"/>
    <cellStyle name="Comma 2 6 4" xfId="248"/>
    <cellStyle name="Comma 2 6 2 3" xfId="249"/>
    <cellStyle name="Comma 2 7 3" xfId="250"/>
    <cellStyle name="Comma 5 8" xfId="251"/>
    <cellStyle name="Comma 5 2 6" xfId="252"/>
    <cellStyle name="Comma 5 2 2 4" xfId="253"/>
    <cellStyle name="Comma 5 2 2 2 3" xfId="254"/>
    <cellStyle name="Comma 5 2 3 4" xfId="255"/>
    <cellStyle name="Comma 5 2 3 2 3" xfId="256"/>
    <cellStyle name="Comma 5 2 4 3" xfId="257"/>
    <cellStyle name="Comma 5 3 5" xfId="258"/>
    <cellStyle name="Comma 5 3 2 4" xfId="259"/>
    <cellStyle name="Comma 5 3 2 2 3" xfId="260"/>
    <cellStyle name="Comma 5 3 3 3" xfId="261"/>
    <cellStyle name="Comma 5 4 4" xfId="262"/>
    <cellStyle name="Comma 5 4 2 3" xfId="263"/>
    <cellStyle name="Comma 5 5 4" xfId="264"/>
    <cellStyle name="Comma 5 5 2 3" xfId="265"/>
    <cellStyle name="Comma 5 6 3" xfId="266"/>
    <cellStyle name="Comma 6 6" xfId="267"/>
    <cellStyle name="Comma 6 2 4" xfId="268"/>
    <cellStyle name="Comma 6 2 2 3" xfId="269"/>
    <cellStyle name="Comma 6 3 4" xfId="270"/>
    <cellStyle name="Comma 6 3 2 3" xfId="271"/>
    <cellStyle name="Comma 6 4 3" xfId="272"/>
    <cellStyle name="Comma 7 6" xfId="273"/>
    <cellStyle name="Comma 7 2 4" xfId="274"/>
    <cellStyle name="Comma 7 2 2 3" xfId="275"/>
    <cellStyle name="Comma 7 3 4" xfId="276"/>
    <cellStyle name="Comma 7 3 2 3" xfId="277"/>
    <cellStyle name="Comma 7 4 3" xfId="278"/>
    <cellStyle name="Comma 8 5" xfId="279"/>
    <cellStyle name="Comma 8 2 4" xfId="280"/>
    <cellStyle name="Comma 8 2 2 3" xfId="281"/>
    <cellStyle name="Comma 8 3 3" xfId="282"/>
    <cellStyle name="Comma 9 5" xfId="283"/>
    <cellStyle name="Comma 9 2 4" xfId="284"/>
    <cellStyle name="Comma 9 2 2 3" xfId="285"/>
    <cellStyle name="Comma 9 3 3" xfId="286"/>
    <cellStyle name="Comma 17" xfId="287"/>
    <cellStyle name="Comma 10 5" xfId="288"/>
    <cellStyle name="Comma 10 2 4" xfId="289"/>
    <cellStyle name="Comma 11 5" xfId="290"/>
    <cellStyle name="Comma 11 2 4" xfId="291"/>
    <cellStyle name="Comma 12 5" xfId="292"/>
    <cellStyle name="Comma 12 2 4" xfId="293"/>
    <cellStyle name="Comma 13 4" xfId="294"/>
    <cellStyle name="Comma 2 11" xfId="295"/>
    <cellStyle name="Comma 2 2 8" xfId="296"/>
    <cellStyle name="Comma 2 2 2 5" xfId="297"/>
    <cellStyle name="Comma 2 2 2 2 4" xfId="298"/>
    <cellStyle name="Comma 2 2 3 5" xfId="299"/>
    <cellStyle name="Comma 2 2 3 2 4" xfId="300"/>
    <cellStyle name="Comma 2 2 4 4" xfId="301"/>
    <cellStyle name="Comma 2 3 7" xfId="302"/>
    <cellStyle name="Comma 2 3 2 5" xfId="303"/>
    <cellStyle name="Comma 2 3 2 2 4" xfId="304"/>
    <cellStyle name="Comma 2 3 3 5" xfId="305"/>
    <cellStyle name="Comma 2 3 3 2 4" xfId="306"/>
    <cellStyle name="Comma 2 3 4 4" xfId="307"/>
    <cellStyle name="Comma 2 4 6" xfId="308"/>
    <cellStyle name="Comma 2 4 2 5" xfId="309"/>
    <cellStyle name="Comma 2 4 2 2 4" xfId="310"/>
    <cellStyle name="Comma 2 4 3 4" xfId="311"/>
    <cellStyle name="Comma 2 5 5" xfId="312"/>
    <cellStyle name="Comma 2 5 2 4" xfId="313"/>
    <cellStyle name="Comma 2 6 5" xfId="314"/>
    <cellStyle name="Comma 2 6 2 4" xfId="315"/>
    <cellStyle name="Comma 2 7 4" xfId="316"/>
    <cellStyle name="Comma 5 9" xfId="317"/>
    <cellStyle name="Comma 5 2 7" xfId="318"/>
    <cellStyle name="Comma 5 2 2 5" xfId="319"/>
    <cellStyle name="Comma 5 2 2 2 4" xfId="320"/>
    <cellStyle name="Comma 5 2 3 5" xfId="321"/>
    <cellStyle name="Comma 5 2 3 2 4" xfId="322"/>
    <cellStyle name="Comma 5 2 4 4" xfId="323"/>
    <cellStyle name="Comma 5 3 6" xfId="324"/>
    <cellStyle name="Comma 5 3 2 5" xfId="325"/>
    <cellStyle name="Comma 5 3 2 2 4" xfId="326"/>
    <cellStyle name="Comma 5 3 3 4" xfId="327"/>
    <cellStyle name="Comma 5 4 5" xfId="328"/>
    <cellStyle name="Comma 5 4 2 4" xfId="329"/>
    <cellStyle name="Comma 5 5 5" xfId="330"/>
    <cellStyle name="Comma 5 5 2 4" xfId="331"/>
    <cellStyle name="Comma 5 6 4" xfId="332"/>
    <cellStyle name="Comma 6 7" xfId="333"/>
    <cellStyle name="Comma 6 2 5" xfId="334"/>
    <cellStyle name="Comma 6 2 2 4" xfId="335"/>
    <cellStyle name="Comma 6 3 5" xfId="336"/>
    <cellStyle name="Comma 6 3 2 4" xfId="337"/>
    <cellStyle name="Comma 6 4 4" xfId="338"/>
    <cellStyle name="Comma 7 7" xfId="339"/>
    <cellStyle name="Comma 7 2 5" xfId="340"/>
    <cellStyle name="Comma 7 2 2 4" xfId="341"/>
    <cellStyle name="Comma 7 3 5" xfId="342"/>
    <cellStyle name="Comma 7 3 2 4" xfId="343"/>
    <cellStyle name="Comma 7 4 4" xfId="344"/>
    <cellStyle name="Comma 8 6" xfId="345"/>
    <cellStyle name="Comma 8 2 5" xfId="346"/>
    <cellStyle name="Comma 8 2 2 4" xfId="347"/>
    <cellStyle name="Comma 8 3 4" xfId="348"/>
    <cellStyle name="Comma 9 6" xfId="349"/>
    <cellStyle name="Comma 9 2 5" xfId="350"/>
    <cellStyle name="Comma 9 2 2 4" xfId="351"/>
    <cellStyle name="Comma 9 3 4" xfId="352"/>
    <cellStyle name="Title" xfId="353" builtinId="15"/>
    <cellStyle name="Normal 2 5" xfId="354"/>
    <cellStyle name="Hyperlink 2 4" xfId="355"/>
    <cellStyle name="Normal 2 2 4" xfId="356"/>
    <cellStyle name="Per cent 2" xfId="357"/>
    <cellStyle name="Normal 4 4" xfId="358"/>
    <cellStyle name="Normal 11 3" xfId="359"/>
    <cellStyle name="Normal 2 3 3" xfId="360"/>
    <cellStyle name="Percent 2 2 2" xfId="361"/>
    <cellStyle name="Normal 2 4 2" xfId="362"/>
    <cellStyle name="Normal 3 5" xfId="363"/>
    <cellStyle name="Heading 1 3" xfId="364"/>
    <cellStyle name="Heading 2 3" xfId="365"/>
    <cellStyle name="Heading 3 2" xfId="366"/>
    <cellStyle name="Heading 4 2" xfId="367"/>
    <cellStyle name="Good 2" xfId="368"/>
    <cellStyle name="Bad 2" xfId="369"/>
    <cellStyle name="Neutral 2" xfId="370"/>
    <cellStyle name="Input 2" xfId="371"/>
    <cellStyle name="Output 2" xfId="372"/>
    <cellStyle name="Calculation 2" xfId="373"/>
    <cellStyle name="Linked Cell 2" xfId="374"/>
    <cellStyle name="Check Cell 2" xfId="375"/>
    <cellStyle name="Warning Text 2" xfId="376"/>
    <cellStyle name="Note 3" xfId="377"/>
    <cellStyle name="Explanatory Text 2" xfId="378"/>
    <cellStyle name="Total 2" xfId="379"/>
    <cellStyle name="Accent1 2" xfId="380"/>
    <cellStyle name="20% - Accent1 2" xfId="381"/>
    <cellStyle name="40% - Accent1 2" xfId="382"/>
    <cellStyle name="60% - Accent1 2" xfId="383"/>
    <cellStyle name="Accent2 2" xfId="384"/>
    <cellStyle name="20% - Accent2 2" xfId="385"/>
    <cellStyle name="40% - Accent2 2" xfId="386"/>
    <cellStyle name="60% - Accent2 2" xfId="387"/>
    <cellStyle name="Accent3 2" xfId="388"/>
    <cellStyle name="20% - Accent3 2" xfId="389"/>
    <cellStyle name="40% - Accent3 2" xfId="390"/>
    <cellStyle name="60% - Accent3 2" xfId="391"/>
    <cellStyle name="Accent4 2" xfId="392"/>
    <cellStyle name="20% - Accent4 2" xfId="393"/>
    <cellStyle name="40% - Accent4 2" xfId="394"/>
    <cellStyle name="60% - Accent4 2" xfId="395"/>
    <cellStyle name="Accent5 2" xfId="396"/>
    <cellStyle name="20% - Accent5 2" xfId="397"/>
    <cellStyle name="40% - Accent5 2" xfId="398"/>
    <cellStyle name="60% - Accent5 2" xfId="399"/>
    <cellStyle name="Accent6 2" xfId="400"/>
    <cellStyle name="20% - Accent6 2" xfId="401"/>
    <cellStyle name="40% - Accent6 2" xfId="402"/>
    <cellStyle name="60% - Accent6 2" xfId="403"/>
    <cellStyle name="Hyperlink 2 5" xfId="404"/>
    <cellStyle name="Comma 18" xfId="405"/>
    <cellStyle name="Comma 10 6" xfId="406"/>
    <cellStyle name="Comma 10 2 5" xfId="407"/>
    <cellStyle name="Comma 11 6" xfId="408"/>
    <cellStyle name="Comma 11 2 5" xfId="409"/>
    <cellStyle name="Comma 12 6" xfId="410"/>
    <cellStyle name="Comma 12 2 5" xfId="411"/>
    <cellStyle name="Comma 13 5" xfId="412"/>
    <cellStyle name="Comma 2 12" xfId="413"/>
    <cellStyle name="Comma 2 2 9" xfId="414"/>
    <cellStyle name="Comma 2 2 2 6" xfId="415"/>
    <cellStyle name="Comma 2 2 2 2 5" xfId="416"/>
    <cellStyle name="Comma 2 2 3 6" xfId="417"/>
    <cellStyle name="Comma 2 2 3 2 5" xfId="418"/>
    <cellStyle name="Comma 2 2 4 5" xfId="419"/>
    <cellStyle name="Comma 2 3 8" xfId="420"/>
    <cellStyle name="Comma 2 3 2 6" xfId="421"/>
    <cellStyle name="Comma 2 3 2 2 5" xfId="422"/>
    <cellStyle name="Comma 2 3 3 6" xfId="423"/>
    <cellStyle name="Comma 2 3 3 2 5" xfId="424"/>
    <cellStyle name="Comma 2 3 4 5" xfId="425"/>
    <cellStyle name="Comma 2 4 7" xfId="426"/>
    <cellStyle name="Comma 2 4 2 6" xfId="427"/>
    <cellStyle name="Comma 2 4 2 2 5" xfId="428"/>
    <cellStyle name="Comma 2 4 3 5" xfId="429"/>
    <cellStyle name="Comma 2 5 6" xfId="430"/>
    <cellStyle name="Comma 2 5 2 5" xfId="431"/>
    <cellStyle name="Comma 2 6 6" xfId="432"/>
    <cellStyle name="Comma 2 6 2 5" xfId="433"/>
    <cellStyle name="Comma 2 7 5" xfId="434"/>
    <cellStyle name="Comma 5 10" xfId="435"/>
    <cellStyle name="Comma 5 2 8" xfId="436"/>
    <cellStyle name="Comma 5 2 2 6" xfId="437"/>
    <cellStyle name="Comma 5 2 2 2 5" xfId="438"/>
    <cellStyle name="Comma 5 2 3 6" xfId="439"/>
    <cellStyle name="Comma 5 2 3 2 5" xfId="440"/>
    <cellStyle name="Comma 5 2 4 5" xfId="441"/>
    <cellStyle name="Comma 5 3 7" xfId="442"/>
    <cellStyle name="Comma 5 3 2 6" xfId="443"/>
    <cellStyle name="Comma 5 3 2 2 5" xfId="444"/>
    <cellStyle name="Comma 5 3 3 5" xfId="445"/>
    <cellStyle name="Comma 5 4 6" xfId="446"/>
    <cellStyle name="Comma 5 4 2 5" xfId="447"/>
    <cellStyle name="Comma 5 5 6" xfId="448"/>
    <cellStyle name="Comma 5 5 2 5" xfId="449"/>
    <cellStyle name="Comma 5 6 5" xfId="450"/>
    <cellStyle name="Comma 6 8" xfId="451"/>
    <cellStyle name="Comma 6 2 6" xfId="452"/>
    <cellStyle name="Comma 6 2 2 5" xfId="453"/>
    <cellStyle name="Comma 6 3 6" xfId="454"/>
    <cellStyle name="Comma 6 3 2 5" xfId="455"/>
    <cellStyle name="Comma 6 4 5" xfId="456"/>
    <cellStyle name="Comma 7 8" xfId="457"/>
    <cellStyle name="Comma 7 2 6" xfId="458"/>
    <cellStyle name="Comma 7 2 2 5" xfId="459"/>
    <cellStyle name="Comma 7 3 6" xfId="460"/>
    <cellStyle name="Comma 7 3 2 5" xfId="461"/>
    <cellStyle name="Comma 7 4 5" xfId="462"/>
    <cellStyle name="Comma 8 7" xfId="463"/>
    <cellStyle name="Comma 8 2 6" xfId="464"/>
    <cellStyle name="Comma 8 2 2 5" xfId="465"/>
    <cellStyle name="Comma 8 3 5" xfId="466"/>
    <cellStyle name="Comma 9 7" xfId="467"/>
    <cellStyle name="Comma 9 2 6" xfId="468"/>
    <cellStyle name="Comma 9 2 2 5" xfId="469"/>
    <cellStyle name="Comma 9 3 5" xfId="470"/>
    <cellStyle name="Comma 19" xfId="471"/>
    <cellStyle name="Comma 10 7" xfId="472"/>
    <cellStyle name="Comma 10 2 6" xfId="473"/>
    <cellStyle name="Comma 10 2 2 2" xfId="474"/>
    <cellStyle name="Comma 10 3 2" xfId="475"/>
    <cellStyle name="Comma 11 7" xfId="476"/>
    <cellStyle name="Comma 11 2 6" xfId="477"/>
    <cellStyle name="Comma 11 2 2 2" xfId="478"/>
    <cellStyle name="Comma 11 3 2" xfId="479"/>
    <cellStyle name="Comma 12 7" xfId="480"/>
    <cellStyle name="Comma 12 2 6" xfId="481"/>
    <cellStyle name="Comma 12 2 2 2" xfId="482"/>
    <cellStyle name="Comma 12 3 2" xfId="483"/>
    <cellStyle name="Comma 13 6" xfId="484"/>
    <cellStyle name="Comma 13 2 2" xfId="485"/>
    <cellStyle name="Comma 14 2" xfId="486"/>
    <cellStyle name="Comma 2 13" xfId="487"/>
    <cellStyle name="Comma 2 2 10" xfId="488"/>
    <cellStyle name="Comma 2 2 2 7" xfId="489"/>
    <cellStyle name="Comma 2 2 2 2 6" xfId="490"/>
    <cellStyle name="Comma 2 2 2 2 2 2" xfId="491"/>
    <cellStyle name="Comma 2 2 2 3 2" xfId="492"/>
    <cellStyle name="Comma 2 2 3 7" xfId="493"/>
    <cellStyle name="Comma 2 2 3 2 6" xfId="494"/>
    <cellStyle name="Comma 2 2 3 2 2 2" xfId="495"/>
    <cellStyle name="Comma 2 2 3 3 2" xfId="496"/>
    <cellStyle name="Comma 2 2 4 6" xfId="497"/>
    <cellStyle name="Comma 2 2 4 2 2" xfId="498"/>
    <cellStyle name="Comma 2 2 5 2" xfId="499"/>
    <cellStyle name="Comma 2 3 9" xfId="500"/>
    <cellStyle name="Comma 2 3 2 7" xfId="501"/>
    <cellStyle name="Comma 2 3 2 2 6" xfId="502"/>
    <cellStyle name="Comma 2 3 2 2 2 2" xfId="503"/>
    <cellStyle name="Comma 2 3 2 3 2" xfId="504"/>
    <cellStyle name="Comma 2 3 3 7" xfId="505"/>
    <cellStyle name="Comma 2 3 3 2 6" xfId="506"/>
    <cellStyle name="Comma 2 3 3 2 2 2" xfId="507"/>
    <cellStyle name="Comma 2 3 3 3 2" xfId="508"/>
    <cellStyle name="Comma 2 3 4 6" xfId="509"/>
    <cellStyle name="Comma 2 3 4 2 2" xfId="510"/>
    <cellStyle name="Comma 2 3 5 2" xfId="511"/>
    <cellStyle name="Comma 2 4 8" xfId="512"/>
    <cellStyle name="Comma 2 4 2 7" xfId="513"/>
    <cellStyle name="Comma 2 4 2 2 6" xfId="514"/>
    <cellStyle name="Comma 2 4 2 2 2 2" xfId="515"/>
    <cellStyle name="Comma 2 4 2 3 2" xfId="516"/>
    <cellStyle name="Comma 2 4 3 6" xfId="517"/>
    <cellStyle name="Comma 2 4 3 2 2" xfId="518"/>
    <cellStyle name="Comma 2 4 4 2" xfId="519"/>
    <cellStyle name="Comma 2 5 7" xfId="520"/>
    <cellStyle name="Comma 2 5 2 6" xfId="521"/>
    <cellStyle name="Comma 2 5 2 2 2" xfId="522"/>
    <cellStyle name="Comma 2 5 3 2" xfId="523"/>
    <cellStyle name="Comma 2 6 7" xfId="524"/>
    <cellStyle name="Comma 2 6 2 6" xfId="525"/>
    <cellStyle name="Comma 2 6 2 2 2" xfId="526"/>
    <cellStyle name="Comma 2 6 3 2" xfId="527"/>
    <cellStyle name="Comma 2 7 6" xfId="528"/>
    <cellStyle name="Comma 2 7 2 2" xfId="529"/>
    <cellStyle name="Comma 2 8 2" xfId="530"/>
    <cellStyle name="Comma 5 11" xfId="531"/>
    <cellStyle name="Comma 5 2 9" xfId="532"/>
    <cellStyle name="Comma 5 2 2 7" xfId="533"/>
    <cellStyle name="Comma 5 2 2 2 6" xfId="534"/>
    <cellStyle name="Comma 5 2 2 2 2 2" xfId="535"/>
    <cellStyle name="Comma 5 2 2 3 2" xfId="536"/>
    <cellStyle name="Comma 5 2 3 7" xfId="537"/>
    <cellStyle name="Comma 5 2 3 2 6" xfId="538"/>
    <cellStyle name="Comma 5 2 3 2 2 2" xfId="539"/>
    <cellStyle name="Comma 5 2 3 3 2" xfId="540"/>
    <cellStyle name="Comma 5 2 4 6" xfId="541"/>
    <cellStyle name="Comma 5 2 4 2 2" xfId="542"/>
    <cellStyle name="Comma 5 2 5 2" xfId="543"/>
    <cellStyle name="Comma 5 3 8" xfId="544"/>
    <cellStyle name="Comma 5 3 2 7" xfId="545"/>
    <cellStyle name="Comma 5 3 2 2 6" xfId="546"/>
    <cellStyle name="Comma 5 3 2 2 2 2" xfId="547"/>
    <cellStyle name="Comma 5 3 2 3 2" xfId="548"/>
    <cellStyle name="Comma 5 3 3 6" xfId="549"/>
    <cellStyle name="Comma 5 3 3 2 2" xfId="550"/>
    <cellStyle name="Comma 5 3 4 2" xfId="551"/>
    <cellStyle name="Comma 5 4 7" xfId="552"/>
    <cellStyle name="Comma 5 4 2 6" xfId="553"/>
    <cellStyle name="Comma 5 4 2 2 2" xfId="554"/>
    <cellStyle name="Comma 5 4 3 2" xfId="555"/>
    <cellStyle name="Comma 5 5 7" xfId="556"/>
    <cellStyle name="Comma 5 5 2 6" xfId="557"/>
    <cellStyle name="Comma 5 5 2 2 2" xfId="558"/>
    <cellStyle name="Comma 5 5 3 2" xfId="559"/>
    <cellStyle name="Comma 5 6 6" xfId="560"/>
    <cellStyle name="Comma 5 6 2 2" xfId="561"/>
    <cellStyle name="Comma 5 7 2" xfId="562"/>
    <cellStyle name="Comma 6 9" xfId="563"/>
    <cellStyle name="Comma 6 2 7" xfId="564"/>
    <cellStyle name="Comma 6 2 2 6" xfId="565"/>
    <cellStyle name="Comma 6 2 2 2 2" xfId="566"/>
    <cellStyle name="Comma 6 2 3 2" xfId="567"/>
    <cellStyle name="Comma 6 3 7" xfId="568"/>
    <cellStyle name="Comma 6 3 2 6" xfId="569"/>
    <cellStyle name="Comma 6 3 2 2 2" xfId="570"/>
    <cellStyle name="Comma 6 3 3 2" xfId="571"/>
    <cellStyle name="Comma 6 4 6" xfId="572"/>
    <cellStyle name="Comma 6 4 2 2" xfId="573"/>
    <cellStyle name="Comma 6 5 2" xfId="574"/>
    <cellStyle name="Comma 7 9" xfId="575"/>
    <cellStyle name="Comma 7 2 7" xfId="576"/>
    <cellStyle name="Comma 7 2 2 6" xfId="577"/>
    <cellStyle name="Comma 7 2 2 2 2" xfId="578"/>
    <cellStyle name="Comma 7 2 3 2" xfId="579"/>
    <cellStyle name="Comma 7 3 7" xfId="580"/>
    <cellStyle name="Comma 7 3 2 6" xfId="581"/>
    <cellStyle name="Comma 7 3 2 2 2" xfId="582"/>
    <cellStyle name="Comma 7 3 3 2" xfId="583"/>
    <cellStyle name="Comma 7 4 6" xfId="584"/>
    <cellStyle name="Comma 7 4 2 2" xfId="585"/>
    <cellStyle name="Comma 7 5 2" xfId="586"/>
    <cellStyle name="Comma 8 8" xfId="587"/>
    <cellStyle name="Comma 8 2 7" xfId="588"/>
    <cellStyle name="Comma 8 2 2 6" xfId="589"/>
    <cellStyle name="Comma 8 2 2 2 2" xfId="590"/>
    <cellStyle name="Comma 8 2 3 2" xfId="591"/>
    <cellStyle name="Comma 8 3 6" xfId="592"/>
    <cellStyle name="Comma 8 3 2 2" xfId="593"/>
    <cellStyle name="Comma 8 4 2" xfId="594"/>
    <cellStyle name="Comma 9 8" xfId="595"/>
    <cellStyle name="Comma 9 2 7" xfId="596"/>
    <cellStyle name="Comma 9 2 2 6" xfId="597"/>
    <cellStyle name="Comma 9 2 2 2 2" xfId="598"/>
    <cellStyle name="Comma 9 2 3 2" xfId="599"/>
    <cellStyle name="Comma 9 3 6" xfId="600"/>
    <cellStyle name="Comma 9 3 2 2" xfId="601"/>
    <cellStyle name="Comma 9 4 2" xfId="602"/>
    <cellStyle name="Comma 20" xfId="603"/>
    <cellStyle name="Comma 10 8" xfId="604"/>
    <cellStyle name="Comma 10 2 7" xfId="605"/>
    <cellStyle name="Comma 10 2 2 3" xfId="606"/>
    <cellStyle name="Comma 10 3 3" xfId="607"/>
    <cellStyle name="Comma 11 8" xfId="608"/>
    <cellStyle name="Comma 11 2 7" xfId="609"/>
    <cellStyle name="Comma 11 2 2 3" xfId="610"/>
    <cellStyle name="Comma 11 3 3" xfId="611"/>
    <cellStyle name="Comma 12 8" xfId="612"/>
    <cellStyle name="Comma 12 2 7" xfId="613"/>
    <cellStyle name="Comma 12 2 2 3" xfId="614"/>
    <cellStyle name="Comma 12 3 3" xfId="615"/>
    <cellStyle name="Comma 13 7" xfId="616"/>
    <cellStyle name="Comma 13 2 3" xfId="617"/>
    <cellStyle name="Comma 14 3" xfId="618"/>
    <cellStyle name="Comma 2 14" xfId="619"/>
    <cellStyle name="Comma 2 2 11" xfId="620"/>
    <cellStyle name="Comma 2 2 2 8" xfId="621"/>
    <cellStyle name="Comma 2 2 2 2 7" xfId="622"/>
    <cellStyle name="Comma 2 2 2 2 2 3" xfId="623"/>
    <cellStyle name="Comma 2 2 2 3 3" xfId="624"/>
    <cellStyle name="Comma 2 2 3 8" xfId="625"/>
    <cellStyle name="Comma 2 2 3 2 7" xfId="626"/>
    <cellStyle name="Comma 2 2 3 2 2 3" xfId="627"/>
    <cellStyle name="Comma 2 2 3 3 3" xfId="628"/>
    <cellStyle name="Comma 2 2 4 7" xfId="629"/>
    <cellStyle name="Comma 2 2 4 2 3" xfId="630"/>
    <cellStyle name="Comma 2 2 5 3" xfId="631"/>
    <cellStyle name="Comma 2 3 10" xfId="632"/>
    <cellStyle name="Comma 2 3 2 8" xfId="633"/>
    <cellStyle name="Comma 2 3 2 2 7" xfId="634"/>
    <cellStyle name="Comma 2 3 2 2 2 3" xfId="635"/>
    <cellStyle name="Comma 2 3 2 3 3" xfId="636"/>
    <cellStyle name="Comma 2 3 3 8" xfId="637"/>
    <cellStyle name="Comma 2 3 3 2 7" xfId="638"/>
    <cellStyle name="Comma 2 3 3 2 2 3" xfId="639"/>
    <cellStyle name="Comma 2 3 3 3 3" xfId="640"/>
    <cellStyle name="Comma 2 3 4 7" xfId="641"/>
    <cellStyle name="Comma 2 3 4 2 3" xfId="642"/>
    <cellStyle name="Comma 2 3 5 3" xfId="643"/>
    <cellStyle name="Comma 2 4 9" xfId="644"/>
    <cellStyle name="Comma 2 4 2 8" xfId="645"/>
    <cellStyle name="Comma 2 4 2 2 7" xfId="646"/>
    <cellStyle name="Comma 2 4 2 2 2 3" xfId="647"/>
    <cellStyle name="Comma 2 4 2 3 3" xfId="648"/>
    <cellStyle name="Comma 2 4 3 7" xfId="649"/>
    <cellStyle name="Comma 2 4 3 2 3" xfId="650"/>
    <cellStyle name="Comma 2 4 4 3" xfId="651"/>
    <cellStyle name="Comma 2 5 8" xfId="652"/>
    <cellStyle name="Comma 2 5 2 7" xfId="653"/>
    <cellStyle name="Comma 2 5 2 2 3" xfId="654"/>
    <cellStyle name="Comma 2 5 3 3" xfId="655"/>
    <cellStyle name="Comma 2 6 8" xfId="656"/>
    <cellStyle name="Comma 2 6 2 7" xfId="657"/>
    <cellStyle name="Comma 2 6 2 2 3" xfId="658"/>
    <cellStyle name="Comma 2 6 3 3" xfId="659"/>
    <cellStyle name="Comma 2 7 7" xfId="660"/>
    <cellStyle name="Comma 2 7 2 3" xfId="661"/>
    <cellStyle name="Comma 2 8 3" xfId="662"/>
    <cellStyle name="Comma 5 12" xfId="663"/>
    <cellStyle name="Comma 5 2 10" xfId="664"/>
    <cellStyle name="Comma 5 2 2 8" xfId="665"/>
    <cellStyle name="Comma 5 2 2 2 7" xfId="666"/>
    <cellStyle name="Comma 5 2 2 2 2 3" xfId="667"/>
    <cellStyle name="Comma 5 2 2 3 3" xfId="668"/>
    <cellStyle name="Comma 5 2 3 8" xfId="669"/>
    <cellStyle name="Comma 5 2 3 2 7" xfId="670"/>
    <cellStyle name="Comma 5 2 3 2 2 3" xfId="671"/>
    <cellStyle name="Comma 5 2 3 3 3" xfId="672"/>
    <cellStyle name="Comma 5 2 4 7" xfId="673"/>
    <cellStyle name="Comma 5 2 4 2 3" xfId="674"/>
    <cellStyle name="Comma 5 2 5 3" xfId="675"/>
    <cellStyle name="Comma 5 3 9" xfId="676"/>
    <cellStyle name="Comma 5 3 2 8" xfId="677"/>
    <cellStyle name="Comma 5 3 2 2 7" xfId="678"/>
    <cellStyle name="Comma 5 3 2 2 2 3" xfId="679"/>
    <cellStyle name="Comma 5 3 2 3 3" xfId="680"/>
    <cellStyle name="Comma 5 3 3 7" xfId="681"/>
    <cellStyle name="Comma 5 3 3 2 3" xfId="682"/>
    <cellStyle name="Comma 5 3 4 3" xfId="683"/>
    <cellStyle name="Comma 5 4 8" xfId="684"/>
    <cellStyle name="Comma 5 4 2 7" xfId="685"/>
    <cellStyle name="Comma 5 4 2 2 3" xfId="686"/>
    <cellStyle name="Comma 5 4 3 3" xfId="687"/>
    <cellStyle name="Comma 5 5 8" xfId="688"/>
    <cellStyle name="Comma 5 5 2 7" xfId="689"/>
    <cellStyle name="Comma 5 5 2 2 3" xfId="690"/>
    <cellStyle name="Comma 5 5 3 3" xfId="691"/>
    <cellStyle name="Comma 5 6 7" xfId="692"/>
    <cellStyle name="Comma 5 6 2 3" xfId="693"/>
    <cellStyle name="Comma 5 7 3" xfId="694"/>
    <cellStyle name="Comma 6 10" xfId="695"/>
    <cellStyle name="Comma 6 2 8" xfId="696"/>
    <cellStyle name="Comma 6 2 2 7" xfId="697"/>
    <cellStyle name="Comma 6 2 2 2 3" xfId="698"/>
    <cellStyle name="Comma 6 2 3 3" xfId="699"/>
    <cellStyle name="Comma 6 3 8" xfId="700"/>
    <cellStyle name="Comma 6 3 2 7" xfId="701"/>
    <cellStyle name="Comma 6 3 2 2 3" xfId="702"/>
    <cellStyle name="Comma 6 3 3 3" xfId="703"/>
    <cellStyle name="Comma 6 4 7" xfId="704"/>
    <cellStyle name="Comma 6 4 2 3" xfId="705"/>
    <cellStyle name="Comma 6 5 3" xfId="706"/>
    <cellStyle name="Comma 7 10" xfId="707"/>
    <cellStyle name="Comma 7 2 8" xfId="708"/>
    <cellStyle name="Comma 7 2 2 7" xfId="709"/>
    <cellStyle name="Comma 7 2 2 2 3" xfId="710"/>
    <cellStyle name="Comma 7 2 3 3" xfId="711"/>
    <cellStyle name="Comma 7 3 8" xfId="712"/>
    <cellStyle name="Comma 7 3 2 7" xfId="713"/>
    <cellStyle name="Comma 7 3 2 2 3" xfId="714"/>
    <cellStyle name="Comma 7 3 3 3" xfId="715"/>
    <cellStyle name="Comma 7 4 7" xfId="716"/>
    <cellStyle name="Comma 7 4 2 3" xfId="717"/>
    <cellStyle name="Comma 7 5 3" xfId="718"/>
    <cellStyle name="Comma 8 9" xfId="719"/>
    <cellStyle name="Comma 8 2 8" xfId="720"/>
    <cellStyle name="Comma 8 2 2 7" xfId="721"/>
    <cellStyle name="Comma 8 2 2 2 3" xfId="722"/>
    <cellStyle name="Comma 8 2 3 3" xfId="723"/>
    <cellStyle name="Comma 8 3 7" xfId="724"/>
    <cellStyle name="Comma 8 3 2 3" xfId="725"/>
    <cellStyle name="Comma 8 4 3" xfId="726"/>
    <cellStyle name="Comma 9 9" xfId="727"/>
    <cellStyle name="Comma 9 2 8" xfId="728"/>
    <cellStyle name="Comma 9 2 2 7" xfId="729"/>
    <cellStyle name="Comma 9 2 2 2 3" xfId="730"/>
    <cellStyle name="Comma 9 2 3 3" xfId="731"/>
    <cellStyle name="Comma 9 3 7" xfId="732"/>
    <cellStyle name="Comma 9 3 2 3" xfId="733"/>
    <cellStyle name="Comma 9 4 3" xfId="734"/>
    <cellStyle name="Per cent 3" xfId="735"/>
    <cellStyle name="Comma 21" xfId="736"/>
    <cellStyle name="Comma 22" xfId="737"/>
    <cellStyle name="Comma 10 9" xfId="738"/>
    <cellStyle name="Comma 10 2 8" xfId="739"/>
    <cellStyle name="Comma 10 2 2 4" xfId="740"/>
    <cellStyle name="Comma 10 3 4" xfId="741"/>
    <cellStyle name="Comma 11 9" xfId="742"/>
    <cellStyle name="Comma 11 2 8" xfId="743"/>
    <cellStyle name="Comma 11 2 2 4" xfId="744"/>
    <cellStyle name="Comma 11 3 4" xfId="745"/>
    <cellStyle name="Comma 12 9" xfId="746"/>
    <cellStyle name="Comma 12 2 8" xfId="747"/>
    <cellStyle name="Comma 12 2 2 4" xfId="748"/>
    <cellStyle name="Comma 12 3 4" xfId="749"/>
    <cellStyle name="Comma 13 8" xfId="750"/>
    <cellStyle name="Comma 13 2 4" xfId="751"/>
    <cellStyle name="Comma 14 4" xfId="752"/>
    <cellStyle name="Comma 2 15" xfId="753"/>
    <cellStyle name="Comma 2 2 12" xfId="754"/>
    <cellStyle name="Comma 2 2 2 9" xfId="755"/>
    <cellStyle name="Comma 2 2 2 2 8" xfId="756"/>
    <cellStyle name="Comma 2 2 2 2 2 4" xfId="757"/>
    <cellStyle name="Comma 2 2 2 3 4" xfId="758"/>
    <cellStyle name="Comma 2 2 3 9" xfId="759"/>
    <cellStyle name="Comma 2 2 3 2 8" xfId="760"/>
    <cellStyle name="Comma 2 2 3 2 2 4" xfId="761"/>
    <cellStyle name="Comma 2 2 3 3 4" xfId="762"/>
    <cellStyle name="Comma 2 2 4 8" xfId="763"/>
    <cellStyle name="Comma 2 2 4 2 4" xfId="764"/>
    <cellStyle name="Comma 2 2 5 4" xfId="765"/>
    <cellStyle name="Comma 2 3 11" xfId="766"/>
    <cellStyle name="Comma 2 3 2 9" xfId="767"/>
    <cellStyle name="Comma 2 3 2 2 8" xfId="768"/>
    <cellStyle name="Comma 2 3 2 2 2 4" xfId="769"/>
    <cellStyle name="Comma 2 3 2 3 4" xfId="770"/>
    <cellStyle name="Comma 2 3 3 9" xfId="771"/>
    <cellStyle name="Comma 2 3 3 2 8" xfId="772"/>
    <cellStyle name="Comma 2 3 3 2 2 4" xfId="773"/>
    <cellStyle name="Comma 2 3 3 3 4" xfId="774"/>
    <cellStyle name="Comma 2 3 4 8" xfId="775"/>
    <cellStyle name="Comma 2 3 4 2 4" xfId="776"/>
    <cellStyle name="Comma 2 3 5 4" xfId="777"/>
    <cellStyle name="Comma 2 4 10" xfId="778"/>
    <cellStyle name="Comma 2 4 2 9" xfId="779"/>
    <cellStyle name="Comma 2 4 2 2 8" xfId="780"/>
    <cellStyle name="Comma 2 4 2 2 2 4" xfId="781"/>
    <cellStyle name="Comma 2 4 2 3 4" xfId="782"/>
    <cellStyle name="Comma 2 4 3 8" xfId="783"/>
    <cellStyle name="Comma 2 4 3 2 4" xfId="784"/>
    <cellStyle name="Comma 2 4 4 4" xfId="785"/>
    <cellStyle name="Comma 2 5 9" xfId="786"/>
    <cellStyle name="Comma 2 5 2 8" xfId="787"/>
    <cellStyle name="Comma 2 5 2 2 4" xfId="788"/>
    <cellStyle name="Comma 2 5 3 4" xfId="789"/>
    <cellStyle name="Comma 2 6 9" xfId="790"/>
    <cellStyle name="Comma 2 6 2 8" xfId="791"/>
    <cellStyle name="Comma 2 6 2 2 4" xfId="792"/>
    <cellStyle name="Comma 2 6 3 4" xfId="793"/>
    <cellStyle name="Comma 2 7 8" xfId="794"/>
    <cellStyle name="Comma 2 7 2 4" xfId="795"/>
    <cellStyle name="Comma 2 8 4" xfId="796"/>
    <cellStyle name="Comma 5 13" xfId="797"/>
    <cellStyle name="Comma 5 2 11" xfId="798"/>
    <cellStyle name="Comma 5 2 2 9" xfId="799"/>
    <cellStyle name="Comma 5 2 2 2 8" xfId="800"/>
    <cellStyle name="Comma 5 2 2 2 2 4" xfId="801"/>
    <cellStyle name="Comma 5 2 2 3 4" xfId="802"/>
    <cellStyle name="Comma 5 2 3 9" xfId="803"/>
    <cellStyle name="Comma 5 2 3 2 8" xfId="804"/>
    <cellStyle name="Comma 5 2 3 2 2 4" xfId="805"/>
    <cellStyle name="Comma 5 2 3 3 4" xfId="806"/>
    <cellStyle name="Comma 5 2 4 8" xfId="807"/>
    <cellStyle name="Comma 5 2 4 2 4" xfId="808"/>
    <cellStyle name="Comma 5 2 5 4" xfId="809"/>
    <cellStyle name="Comma 5 3 10" xfId="810"/>
    <cellStyle name="Comma 5 3 2 9" xfId="811"/>
    <cellStyle name="Comma 5 3 2 2 8" xfId="812"/>
    <cellStyle name="Comma 5 3 2 2 2 4" xfId="813"/>
    <cellStyle name="Comma 5 3 2 3 4" xfId="814"/>
    <cellStyle name="Comma 5 3 3 8" xfId="815"/>
    <cellStyle name="Comma 5 3 3 2 4" xfId="816"/>
    <cellStyle name="Comma 5 3 4 4" xfId="817"/>
    <cellStyle name="Comma 5 4 9" xfId="818"/>
    <cellStyle name="Comma 5 4 2 8" xfId="819"/>
    <cellStyle name="Comma 5 4 2 2 4" xfId="820"/>
    <cellStyle name="Comma 5 4 3 4" xfId="821"/>
    <cellStyle name="Comma 5 5 9" xfId="822"/>
    <cellStyle name="Comma 5 5 2 8" xfId="823"/>
    <cellStyle name="Comma 5 5 2 2 4" xfId="824"/>
    <cellStyle name="Comma 5 5 3 4" xfId="825"/>
    <cellStyle name="Comma 5 6 8" xfId="826"/>
    <cellStyle name="Comma 5 6 2 4" xfId="827"/>
    <cellStyle name="Comma 5 7 4" xfId="828"/>
    <cellStyle name="Comma 6 11" xfId="829"/>
    <cellStyle name="Comma 6 2 9" xfId="830"/>
    <cellStyle name="Comma 6 2 2 8" xfId="831"/>
    <cellStyle name="Comma 6 2 2 2 4" xfId="832"/>
    <cellStyle name="Comma 6 2 3 4" xfId="833"/>
    <cellStyle name="Comma 6 3 9" xfId="834"/>
    <cellStyle name="Comma 6 3 2 8" xfId="835"/>
    <cellStyle name="Comma 6 3 2 2 4" xfId="836"/>
    <cellStyle name="Comma 6 3 3 4" xfId="837"/>
    <cellStyle name="Comma 6 4 8" xfId="838"/>
    <cellStyle name="Comma 6 4 2 4" xfId="839"/>
    <cellStyle name="Comma 6 5 4" xfId="840"/>
    <cellStyle name="Comma 7 11" xfId="841"/>
    <cellStyle name="Comma 7 2 9" xfId="842"/>
    <cellStyle name="Comma 7 2 2 8" xfId="843"/>
    <cellStyle name="Comma 7 2 2 2 4" xfId="844"/>
    <cellStyle name="Comma 7 2 3 4" xfId="845"/>
    <cellStyle name="Comma 7 3 9" xfId="846"/>
    <cellStyle name="Comma 7 3 2 8" xfId="847"/>
    <cellStyle name="Comma 7 3 2 2 4" xfId="848"/>
    <cellStyle name="Comma 7 3 3 4" xfId="849"/>
    <cellStyle name="Comma 7 4 8" xfId="850"/>
    <cellStyle name="Comma 7 4 2 4" xfId="851"/>
    <cellStyle name="Comma 7 5 4" xfId="852"/>
    <cellStyle name="Comma 8 10" xfId="853"/>
    <cellStyle name="Comma 8 2 9" xfId="854"/>
    <cellStyle name="Comma 8 2 2 8" xfId="855"/>
    <cellStyle name="Comma 8 2 2 2 4" xfId="856"/>
    <cellStyle name="Comma 8 2 3 4" xfId="857"/>
    <cellStyle name="Comma 8 3 8" xfId="858"/>
    <cellStyle name="Comma 8 3 2 4" xfId="859"/>
    <cellStyle name="Comma 8 4 4" xfId="860"/>
    <cellStyle name="Comma 9 10" xfId="861"/>
    <cellStyle name="Comma 9 2 9" xfId="862"/>
    <cellStyle name="Comma 9 2 2 8" xfId="863"/>
    <cellStyle name="Comma 9 2 2 2 4" xfId="864"/>
    <cellStyle name="Comma 9 2 3 4" xfId="865"/>
    <cellStyle name="Comma 9 3 8" xfId="866"/>
    <cellStyle name="Comma 9 3 2 4" xfId="867"/>
    <cellStyle name="Comma 9 4 4" xfId="868"/>
    <cellStyle name="Hyperlink" xfId="869" builtinId="8"/>
    <cellStyle name="Heading 1" xfId="870" builtinId="16"/>
    <cellStyle name="Heading 2" xfId="871" builtinId="17"/>
    <cellStyle name="Heading 3" xfId="872" builtinId="18"/>
    <cellStyle name="Heading 4" xfId="873" builtinId="19"/>
    <cellStyle name="Input" xfId="874" builtinId="20"/>
    <cellStyle name="Output" xfId="875" builtinId="21"/>
    <cellStyle name="Calculation" xfId="876" builtinId="22"/>
    <cellStyle name="Linked Cell" xfId="877" builtinId="24"/>
    <cellStyle name="Check Cell" xfId="878" builtinId="23"/>
    <cellStyle name="Warning Text" xfId="879" builtinId="11"/>
    <cellStyle name="Explanatory Text" xfId="880" builtinId="53"/>
    <cellStyle name="Total" xfId="881" builtinId="25"/>
    <cellStyle name="Accent1" xfId="882" builtinId="29"/>
    <cellStyle name="20% - Accent1" xfId="883" builtinId="30"/>
    <cellStyle name="40% - Accent1" xfId="884" builtinId="31"/>
    <cellStyle name="Accent2" xfId="885" builtinId="33"/>
    <cellStyle name="20% - Accent2" xfId="886" builtinId="34"/>
    <cellStyle name="40% - Accent2" xfId="887" builtinId="35"/>
    <cellStyle name="Accent3" xfId="888" builtinId="37"/>
    <cellStyle name="20% - Accent3" xfId="889" builtinId="38"/>
    <cellStyle name="40% - Accent3" xfId="890" builtinId="39"/>
    <cellStyle name="Accent4" xfId="891" builtinId="41"/>
    <cellStyle name="20% - Accent4" xfId="892" builtinId="42"/>
    <cellStyle name="40% - Accent4" xfId="893" builtinId="43"/>
    <cellStyle name="Accent5" xfId="894" builtinId="45"/>
    <cellStyle name="20% - Accent5" xfId="895" builtinId="46"/>
    <cellStyle name="40% - Accent5" xfId="896" builtinId="47"/>
    <cellStyle name="Accent6" xfId="897" builtinId="49"/>
    <cellStyle name="20% - Accent6" xfId="898" builtinId="50"/>
    <cellStyle name="40% - Accent6" xfId="899" builtinId="51"/>
    <cellStyle name="Comma 23" xfId="900"/>
    <cellStyle name="Comma 10 10" xfId="901"/>
    <cellStyle name="Comma 10 2 9" xfId="902"/>
    <cellStyle name="Comma 10 2 2 5" xfId="903"/>
    <cellStyle name="Comma 10 3 5" xfId="904"/>
    <cellStyle name="Comma 11 10" xfId="905"/>
    <cellStyle name="Comma 11 2 9" xfId="906"/>
    <cellStyle name="Comma 11 2 2 5" xfId="907"/>
    <cellStyle name="Comma 11 3 5" xfId="908"/>
    <cellStyle name="Comma 12 10" xfId="909"/>
    <cellStyle name="Comma 12 2 9" xfId="910"/>
    <cellStyle name="Comma 12 2 2 5" xfId="911"/>
    <cellStyle name="Comma 12 3 5" xfId="912"/>
    <cellStyle name="Comma 13 9" xfId="913"/>
    <cellStyle name="Comma 13 2 5" xfId="914"/>
    <cellStyle name="Comma 14 5" xfId="915"/>
    <cellStyle name="Comma 2 16" xfId="916"/>
    <cellStyle name="Comma 2 2 13" xfId="917"/>
    <cellStyle name="Comma 2 2 2 10" xfId="918"/>
    <cellStyle name="Comma 2 2 2 2 9" xfId="919"/>
    <cellStyle name="Comma 2 2 2 2 2 5" xfId="920"/>
    <cellStyle name="Comma 2 2 2 3 5" xfId="921"/>
    <cellStyle name="Comma 2 2 3 10" xfId="922"/>
    <cellStyle name="Comma 2 2 3 2 9" xfId="923"/>
    <cellStyle name="Comma 2 2 3 2 2 5" xfId="924"/>
    <cellStyle name="Comma 2 2 3 3 5" xfId="925"/>
    <cellStyle name="Comma 2 2 4 9" xfId="926"/>
    <cellStyle name="Comma 2 2 4 2 5" xfId="927"/>
    <cellStyle name="Comma 2 2 5 5" xfId="928"/>
    <cellStyle name="Comma 2 3 12" xfId="929"/>
    <cellStyle name="Comma 2 3 2 10" xfId="930"/>
    <cellStyle name="Comma 2 3 2 2 9" xfId="931"/>
    <cellStyle name="Comma 2 3 2 2 2 5" xfId="932"/>
    <cellStyle name="Comma 2 3 2 3 5" xfId="933"/>
    <cellStyle name="Comma 2 3 3 10" xfId="934"/>
    <cellStyle name="Comma 2 3 3 2 9" xfId="935"/>
    <cellStyle name="Comma 2 3 3 2 2 5" xfId="936"/>
    <cellStyle name="Comma 2 3 3 3 5" xfId="937"/>
    <cellStyle name="Comma 2 3 4 9" xfId="938"/>
    <cellStyle name="Comma 2 3 4 2 5" xfId="939"/>
    <cellStyle name="Comma 2 3 5 5" xfId="940"/>
    <cellStyle name="Comma 2 4 11" xfId="941"/>
    <cellStyle name="Comma 2 4 2 10" xfId="942"/>
    <cellStyle name="Comma 2 4 2 2 9" xfId="943"/>
    <cellStyle name="Comma 2 4 2 2 2 5" xfId="944"/>
    <cellStyle name="Comma 2 4 2 3 5" xfId="945"/>
    <cellStyle name="Comma 2 4 3 9" xfId="946"/>
    <cellStyle name="Comma 2 4 3 2 5" xfId="947"/>
    <cellStyle name="Comma 2 4 4 5" xfId="948"/>
    <cellStyle name="Comma 2 5 10" xfId="949"/>
    <cellStyle name="Comma 2 5 2 9" xfId="950"/>
    <cellStyle name="Comma 2 5 2 2 5" xfId="951"/>
    <cellStyle name="Comma 2 5 3 5" xfId="952"/>
    <cellStyle name="Comma 2 6 10" xfId="953"/>
    <cellStyle name="Comma 2 6 2 9" xfId="954"/>
    <cellStyle name="Comma 2 6 2 2 5" xfId="955"/>
    <cellStyle name="Comma 2 6 3 5" xfId="956"/>
    <cellStyle name="Comma 2 7 9" xfId="957"/>
    <cellStyle name="Comma 2 7 2 5" xfId="958"/>
    <cellStyle name="Comma 2 8 5" xfId="959"/>
    <cellStyle name="Comma 5 14" xfId="960"/>
    <cellStyle name="Comma 5 2 12" xfId="961"/>
    <cellStyle name="Comma 5 2 2 10" xfId="962"/>
    <cellStyle name="Comma 5 2 2 2 9" xfId="963"/>
    <cellStyle name="Comma 5 2 2 2 2 5" xfId="964"/>
    <cellStyle name="Comma 5 2 2 3 5" xfId="965"/>
    <cellStyle name="Comma 5 2 3 10" xfId="966"/>
    <cellStyle name="Comma 5 2 3 2 9" xfId="967"/>
    <cellStyle name="Comma 5 2 3 2 2 5" xfId="968"/>
    <cellStyle name="Comma 5 2 3 3 5" xfId="969"/>
    <cellStyle name="Comma 5 2 4 9" xfId="970"/>
    <cellStyle name="Comma 5 2 4 2 5" xfId="971"/>
    <cellStyle name="Comma 5 2 5 5" xfId="972"/>
    <cellStyle name="Comma 5 3 11" xfId="973"/>
    <cellStyle name="Comma 5 3 2 10" xfId="974"/>
    <cellStyle name="Comma 5 3 2 2 9" xfId="975"/>
    <cellStyle name="Comma 5 3 2 2 2 5" xfId="976"/>
    <cellStyle name="Comma 5 3 2 3 5" xfId="977"/>
    <cellStyle name="Comma 5 3 3 9" xfId="978"/>
    <cellStyle name="Comma 5 3 3 2 5" xfId="979"/>
    <cellStyle name="Comma 5 3 4 5" xfId="980"/>
    <cellStyle name="Comma 5 4 10" xfId="981"/>
    <cellStyle name="Comma 5 4 2 9" xfId="982"/>
    <cellStyle name="Comma 5 4 2 2 5" xfId="983"/>
    <cellStyle name="Comma 5 4 3 5" xfId="984"/>
    <cellStyle name="Comma 5 5 10" xfId="985"/>
    <cellStyle name="Comma 5 5 2 9" xfId="986"/>
    <cellStyle name="Comma 5 5 2 2 5" xfId="987"/>
    <cellStyle name="Comma 5 5 3 5" xfId="988"/>
    <cellStyle name="Comma 5 6 9" xfId="989"/>
    <cellStyle name="Comma 5 6 2 5" xfId="990"/>
    <cellStyle name="Comma 5 7 5" xfId="991"/>
    <cellStyle name="Comma 6 12" xfId="992"/>
    <cellStyle name="Comma 6 2 10" xfId="993"/>
    <cellStyle name="Comma 6 2 2 9" xfId="994"/>
    <cellStyle name="Comma 6 2 2 2 5" xfId="995"/>
    <cellStyle name="Comma 6 2 3 5" xfId="996"/>
    <cellStyle name="Comma 6 3 10" xfId="997"/>
    <cellStyle name="Comma 6 3 2 9" xfId="998"/>
    <cellStyle name="Comma 6 3 2 2 5" xfId="999"/>
    <cellStyle name="Comma 6 3 3 5" xfId="1000"/>
    <cellStyle name="Comma 6 4 9" xfId="1001"/>
    <cellStyle name="Comma 6 4 2 5" xfId="1002"/>
    <cellStyle name="Comma 6 5 5" xfId="1003"/>
    <cellStyle name="Comma 7 12" xfId="1004"/>
    <cellStyle name="Comma 7 2 10" xfId="1005"/>
    <cellStyle name="Comma 7 2 2 9" xfId="1006"/>
    <cellStyle name="Comma 7 2 2 2 5" xfId="1007"/>
    <cellStyle name="Comma 7 2 3 5" xfId="1008"/>
    <cellStyle name="Comma 7 3 10" xfId="1009"/>
    <cellStyle name="Comma 7 3 2 9" xfId="1010"/>
    <cellStyle name="Comma 7 3 2 2 5" xfId="1011"/>
    <cellStyle name="Comma 7 3 3 5" xfId="1012"/>
    <cellStyle name="Comma 7 4 9" xfId="1013"/>
    <cellStyle name="Comma 7 4 2 5" xfId="1014"/>
    <cellStyle name="Comma 7 5 5" xfId="1015"/>
    <cellStyle name="Comma 8 11" xfId="1016"/>
    <cellStyle name="Comma 8 2 10" xfId="1017"/>
    <cellStyle name="Comma 8 2 2 9" xfId="1018"/>
    <cellStyle name="Comma 8 2 2 2 5" xfId="1019"/>
    <cellStyle name="Comma 8 2 3 5" xfId="1020"/>
    <cellStyle name="Comma 8 3 9" xfId="1021"/>
    <cellStyle name="Comma 8 3 2 5" xfId="1022"/>
    <cellStyle name="Comma 8 4 5" xfId="1023"/>
    <cellStyle name="Comma 9 11" xfId="1024"/>
    <cellStyle name="Comma 9 2 10" xfId="1025"/>
    <cellStyle name="Comma 9 2 2 9" xfId="1026"/>
    <cellStyle name="Comma 9 2 2 2 5" xfId="1027"/>
    <cellStyle name="Comma 9 2 3 5" xfId="1028"/>
    <cellStyle name="Comma 9 3 9" xfId="1029"/>
    <cellStyle name="Comma 9 3 2 5" xfId="1030"/>
    <cellStyle name="Comma 9 4 5" xfId="1031"/>
    <cellStyle name="60% - Accent1 2 2" xfId="1032"/>
    <cellStyle name="60% - Accent4 2 2" xfId="1033"/>
    <cellStyle name="60% - Accent5 2 2" xfId="1034"/>
    <cellStyle name="60% - Accent3 2 2" xfId="1035"/>
    <cellStyle name="Normal 13" xfId="1036"/>
    <cellStyle name="60% - Accent2 2 2" xfId="1037"/>
    <cellStyle name="60% - Accent6 2 2" xfId="1038"/>
    <cellStyle name="Neutral 2 2" xfId="1039"/>
    <cellStyle name="Title 2" xfId="1040"/>
    <cellStyle name="Comma 24" xfId="1041"/>
    <cellStyle name="Comma 10 11" xfId="1042"/>
    <cellStyle name="Comma 10 2 10" xfId="1043"/>
    <cellStyle name="Comma 10 2 2 6" xfId="1044"/>
    <cellStyle name="Comma 10 3 6" xfId="1045"/>
    <cellStyle name="Comma 11 11" xfId="1046"/>
    <cellStyle name="Comma 11 2 10" xfId="1047"/>
    <cellStyle name="Comma 11 2 2 6" xfId="1048"/>
    <cellStyle name="Comma 11 3 6" xfId="1049"/>
    <cellStyle name="Comma 12 11" xfId="1050"/>
    <cellStyle name="Comma 12 2 10" xfId="1051"/>
    <cellStyle name="Comma 12 2 2 6" xfId="1052"/>
    <cellStyle name="Comma 12 3 6" xfId="1053"/>
    <cellStyle name="Comma 13 10" xfId="1054"/>
    <cellStyle name="Comma 13 2 6" xfId="1055"/>
    <cellStyle name="Comma 14 6" xfId="1056"/>
    <cellStyle name="Comma 2 17" xfId="1057"/>
    <cellStyle name="Comma 2 2 14" xfId="1058"/>
    <cellStyle name="Comma 2 2 2 11" xfId="1059"/>
    <cellStyle name="Comma 2 2 2 2 10" xfId="1060"/>
    <cellStyle name="Comma 2 2 2 2 2 6" xfId="1061"/>
    <cellStyle name="Comma 2 2 2 3 6" xfId="1062"/>
    <cellStyle name="Comma 2 2 3 11" xfId="1063"/>
    <cellStyle name="Comma 2 2 3 2 10" xfId="1064"/>
    <cellStyle name="Comma 2 2 3 2 2 6" xfId="1065"/>
    <cellStyle name="Comma 2 2 3 3 6" xfId="1066"/>
    <cellStyle name="Comma 2 2 4 10" xfId="1067"/>
    <cellStyle name="Comma 2 2 4 2 6" xfId="1068"/>
    <cellStyle name="Comma 2 2 5 6" xfId="1069"/>
    <cellStyle name="Comma 2 3 13" xfId="1070"/>
    <cellStyle name="Comma 2 3 2 11" xfId="1071"/>
    <cellStyle name="Comma 2 3 2 2 10" xfId="1072"/>
    <cellStyle name="Comma 2 3 2 2 2 6" xfId="1073"/>
    <cellStyle name="Comma 2 3 2 3 6" xfId="1074"/>
    <cellStyle name="Comma 2 3 3 11" xfId="1075"/>
    <cellStyle name="Comma 2 3 3 2 10" xfId="1076"/>
    <cellStyle name="Comma 2 3 3 2 2 6" xfId="1077"/>
    <cellStyle name="Comma 2 3 3 3 6" xfId="1078"/>
    <cellStyle name="Comma 2 3 4 10" xfId="1079"/>
    <cellStyle name="Comma 2 3 4 2 6" xfId="1080"/>
    <cellStyle name="Comma 2 3 5 6" xfId="1081"/>
    <cellStyle name="Comma 2 4 12" xfId="1082"/>
    <cellStyle name="Comma 2 4 2 11" xfId="1083"/>
    <cellStyle name="Comma 2 4 2 2 10" xfId="1084"/>
    <cellStyle name="Comma 2 4 2 2 2 6" xfId="1085"/>
    <cellStyle name="Comma 2 4 2 3 6" xfId="1086"/>
    <cellStyle name="Comma 2 4 3 10" xfId="1087"/>
    <cellStyle name="Comma 2 4 3 2 6" xfId="1088"/>
    <cellStyle name="Comma 2 4 4 6" xfId="1089"/>
    <cellStyle name="Comma 2 5 11" xfId="1090"/>
    <cellStyle name="Comma 2 5 2 10" xfId="1091"/>
    <cellStyle name="Comma 2 5 2 2 6" xfId="1092"/>
    <cellStyle name="Comma 2 5 3 6" xfId="1093"/>
    <cellStyle name="Comma 2 6 11" xfId="1094"/>
    <cellStyle name="Comma 2 6 2 10" xfId="1095"/>
    <cellStyle name="Comma 2 6 2 2 6" xfId="1096"/>
    <cellStyle name="Comma 2 6 3 6" xfId="1097"/>
    <cellStyle name="Comma 2 7 10" xfId="1098"/>
    <cellStyle name="Comma 2 7 2 6" xfId="1099"/>
    <cellStyle name="Comma 2 8 6" xfId="1100"/>
    <cellStyle name="Comma 5 15" xfId="1101"/>
    <cellStyle name="Comma 5 2 13" xfId="1102"/>
    <cellStyle name="Comma 5 2 2 11" xfId="1103"/>
    <cellStyle name="Comma 5 2 2 2 10" xfId="1104"/>
    <cellStyle name="Comma 5 2 2 2 2 6" xfId="1105"/>
    <cellStyle name="Comma 5 2 2 3 6" xfId="1106"/>
    <cellStyle name="Comma 5 2 3 11" xfId="1107"/>
    <cellStyle name="Comma 5 2 3 2 10" xfId="1108"/>
    <cellStyle name="Comma 5 2 3 2 2 6" xfId="1109"/>
    <cellStyle name="Comma 5 2 3 3 6" xfId="1110"/>
    <cellStyle name="Comma 5 2 4 10" xfId="1111"/>
    <cellStyle name="Comma 5 2 4 2 6" xfId="1112"/>
    <cellStyle name="Comma 5 2 5 6" xfId="1113"/>
    <cellStyle name="Comma 5 3 12" xfId="1114"/>
    <cellStyle name="Comma 5 3 2 11" xfId="1115"/>
    <cellStyle name="Comma 5 3 2 2 10" xfId="1116"/>
    <cellStyle name="Comma 5 3 2 2 2 6" xfId="1117"/>
    <cellStyle name="Comma 5 3 2 3 6" xfId="1118"/>
    <cellStyle name="Comma 5 3 3 10" xfId="1119"/>
    <cellStyle name="Comma 5 3 3 2 6" xfId="1120"/>
    <cellStyle name="Comma 5 3 4 6" xfId="1121"/>
    <cellStyle name="Comma 5 4 11" xfId="1122"/>
    <cellStyle name="Comma 5 4 2 10" xfId="1123"/>
    <cellStyle name="Comma 5 4 2 2 6" xfId="1124"/>
    <cellStyle name="Comma 5 4 3 6" xfId="1125"/>
    <cellStyle name="Comma 5 5 11" xfId="1126"/>
    <cellStyle name="Comma 5 5 2 10" xfId="1127"/>
    <cellStyle name="Comma 5 5 2 2 6" xfId="1128"/>
    <cellStyle name="Comma 5 5 3 6" xfId="1129"/>
    <cellStyle name="Comma 5 6 10" xfId="1130"/>
    <cellStyle name="Comma 5 6 2 6" xfId="1131"/>
    <cellStyle name="Comma 5 7 6" xfId="1132"/>
    <cellStyle name="Comma 6 13" xfId="1133"/>
    <cellStyle name="Comma 6 2 11" xfId="1134"/>
    <cellStyle name="Comma 6 2 2 10" xfId="1135"/>
    <cellStyle name="Comma 6 2 2 2 6" xfId="1136"/>
    <cellStyle name="Comma 6 2 3 6" xfId="1137"/>
    <cellStyle name="Comma 6 3 11" xfId="1138"/>
    <cellStyle name="Comma 6 3 2 10" xfId="1139"/>
    <cellStyle name="Comma 6 3 2 2 6" xfId="1140"/>
    <cellStyle name="Comma 6 3 3 6" xfId="1141"/>
    <cellStyle name="Comma 6 4 10" xfId="1142"/>
    <cellStyle name="Comma 6 4 2 6" xfId="1143"/>
    <cellStyle name="Comma 6 5 6" xfId="1144"/>
    <cellStyle name="Comma 7 13" xfId="1145"/>
    <cellStyle name="Comma 7 2 11" xfId="1146"/>
    <cellStyle name="Comma 7 2 2 10" xfId="1147"/>
    <cellStyle name="Comma 7 2 2 2 6" xfId="1148"/>
    <cellStyle name="Comma 7 2 3 6" xfId="1149"/>
    <cellStyle name="Comma 7 3 11" xfId="1150"/>
    <cellStyle name="Comma 7 3 2 10" xfId="1151"/>
    <cellStyle name="Comma 7 3 2 2 6" xfId="1152"/>
    <cellStyle name="Comma 7 3 3 6" xfId="1153"/>
    <cellStyle name="Comma 7 4 10" xfId="1154"/>
    <cellStyle name="Comma 7 4 2 6" xfId="1155"/>
    <cellStyle name="Comma 7 5 6" xfId="1156"/>
    <cellStyle name="Comma 8 12" xfId="1157"/>
    <cellStyle name="Comma 8 2 11" xfId="1158"/>
    <cellStyle name="Comma 8 2 2 10" xfId="1159"/>
    <cellStyle name="Comma 8 2 2 2 6" xfId="1160"/>
    <cellStyle name="Comma 8 2 3 6" xfId="1161"/>
    <cellStyle name="Comma 8 3 10" xfId="1162"/>
    <cellStyle name="Comma 8 3 2 6" xfId="1163"/>
    <cellStyle name="Comma 8 4 6" xfId="1164"/>
    <cellStyle name="Comma 9 12" xfId="1165"/>
    <cellStyle name="Comma 9 2 11" xfId="1166"/>
    <cellStyle name="Comma 9 2 2 10" xfId="1167"/>
    <cellStyle name="Comma 9 2 2 2 6" xfId="1168"/>
    <cellStyle name="Comma 9 2 3 6" xfId="1169"/>
    <cellStyle name="Comma 9 3 10" xfId="1170"/>
    <cellStyle name="Comma 9 3 2 6" xfId="1171"/>
    <cellStyle name="Comma 9 4 6" xfId="1172"/>
    <cellStyle name="Normal 14" xfId="1173"/>
    <cellStyle name="Normal 97" xfId="1174"/>
    <cellStyle name="Hyperlink 3 4" xfId="1175"/>
    <cellStyle name="Comma 25" xfId="1176"/>
    <cellStyle name="Comma 10 12" xfId="1177"/>
    <cellStyle name="Comma 10 2 11" xfId="1178"/>
    <cellStyle name="Comma 10 2 2 7" xfId="1179"/>
    <cellStyle name="Comma 10 3 7" xfId="1180"/>
    <cellStyle name="Comma 11 12" xfId="1181"/>
    <cellStyle name="Comma 11 2 11" xfId="1182"/>
    <cellStyle name="Comma 11 2 2 7" xfId="1183"/>
    <cellStyle name="Comma 11 3 7" xfId="1184"/>
    <cellStyle name="Comma 12 12" xfId="1185"/>
    <cellStyle name="Comma 12 2 11" xfId="1186"/>
    <cellStyle name="Comma 12 2 2 7" xfId="1187"/>
    <cellStyle name="Comma 12 3 7" xfId="1188"/>
    <cellStyle name="Comma 13 11" xfId="1189"/>
    <cellStyle name="Comma 13 2 7" xfId="1190"/>
    <cellStyle name="Comma 14 7" xfId="1191"/>
    <cellStyle name="Comma 2 18" xfId="1192"/>
    <cellStyle name="Comma 2 2 15" xfId="1193"/>
    <cellStyle name="Comma 2 2 2 12" xfId="1194"/>
    <cellStyle name="Comma 2 2 2 2 11" xfId="1195"/>
    <cellStyle name="Comma 2 2 2 2 2 7" xfId="1196"/>
    <cellStyle name="Comma 2 2 2 3 7" xfId="1197"/>
    <cellStyle name="Comma 2 2 3 12" xfId="1198"/>
    <cellStyle name="Comma 2 2 3 2 11" xfId="1199"/>
    <cellStyle name="Comma 2 2 3 2 2 7" xfId="1200"/>
    <cellStyle name="Comma 2 2 3 3 7" xfId="1201"/>
    <cellStyle name="Comma 2 2 4 11" xfId="1202"/>
    <cellStyle name="Comma 2 2 4 2 7" xfId="1203"/>
    <cellStyle name="Comma 2 2 5 7" xfId="1204"/>
    <cellStyle name="Comma 2 3 14" xfId="1205"/>
    <cellStyle name="Comma 2 3 2 12" xfId="1206"/>
    <cellStyle name="Comma 2 3 2 2 11" xfId="1207"/>
    <cellStyle name="Comma 2 3 2 2 2 7" xfId="1208"/>
    <cellStyle name="Comma 2 3 2 3 7" xfId="1209"/>
    <cellStyle name="Comma 2 3 3 12" xfId="1210"/>
    <cellStyle name="Comma 2 3 3 2 11" xfId="1211"/>
    <cellStyle name="Comma 2 3 3 2 2 7" xfId="1212"/>
    <cellStyle name="Comma 2 3 3 3 7" xfId="1213"/>
    <cellStyle name="Comma 2 3 4 11" xfId="1214"/>
    <cellStyle name="Comma 2 3 4 2 7" xfId="1215"/>
    <cellStyle name="Comma 2 3 5 7" xfId="1216"/>
    <cellStyle name="Comma 2 4 13" xfId="1217"/>
    <cellStyle name="Comma 2 4 2 12" xfId="1218"/>
    <cellStyle name="Comma 2 4 2 2 11" xfId="1219"/>
    <cellStyle name="Comma 2 4 2 2 2 7" xfId="1220"/>
    <cellStyle name="Comma 2 4 2 3 7" xfId="1221"/>
    <cellStyle name="Comma 2 4 3 11" xfId="1222"/>
    <cellStyle name="Comma 2 4 3 2 7" xfId="1223"/>
    <cellStyle name="Comma 2 4 4 7" xfId="1224"/>
    <cellStyle name="Comma 2 5 12" xfId="1225"/>
    <cellStyle name="Comma 2 5 2 11" xfId="1226"/>
    <cellStyle name="Comma 2 5 2 2 7" xfId="1227"/>
    <cellStyle name="Comma 2 5 3 7" xfId="1228"/>
    <cellStyle name="Comma 2 6 12" xfId="1229"/>
    <cellStyle name="Comma 2 6 2 11" xfId="1230"/>
    <cellStyle name="Comma 2 6 2 2 7" xfId="1231"/>
    <cellStyle name="Comma 2 6 3 7" xfId="1232"/>
    <cellStyle name="Comma 2 7 11" xfId="1233"/>
    <cellStyle name="Comma 2 7 2 7" xfId="1234"/>
    <cellStyle name="Comma 2 8 7" xfId="1235"/>
    <cellStyle name="Comma 5 16" xfId="1236"/>
    <cellStyle name="Comma 5 2 14" xfId="1237"/>
    <cellStyle name="Comma 5 2 2 12" xfId="1238"/>
    <cellStyle name="Comma 5 2 2 2 11" xfId="1239"/>
    <cellStyle name="Comma 5 2 2 2 2 7" xfId="1240"/>
    <cellStyle name="Comma 5 2 2 3 7" xfId="1241"/>
    <cellStyle name="Comma 5 2 3 12" xfId="1242"/>
    <cellStyle name="Comma 5 2 3 2 11" xfId="1243"/>
    <cellStyle name="Comma 5 2 3 2 2 7" xfId="1244"/>
    <cellStyle name="Comma 5 2 3 3 7" xfId="1245"/>
    <cellStyle name="Comma 5 2 4 11" xfId="1246"/>
    <cellStyle name="Comma 5 2 4 2 7" xfId="1247"/>
    <cellStyle name="Comma 5 2 5 7" xfId="1248"/>
    <cellStyle name="Comma 5 3 13" xfId="1249"/>
    <cellStyle name="Comma 5 3 2 12" xfId="1250"/>
    <cellStyle name="Comma 5 3 2 2 11" xfId="1251"/>
    <cellStyle name="Comma 5 3 2 2 2 7" xfId="1252"/>
    <cellStyle name="Comma 5 3 2 3 7" xfId="1253"/>
    <cellStyle name="Comma 5 3 3 11" xfId="1254"/>
    <cellStyle name="Comma 5 3 3 2 7" xfId="1255"/>
    <cellStyle name="Comma 5 3 4 7" xfId="1256"/>
    <cellStyle name="Comma 5 4 12" xfId="1257"/>
    <cellStyle name="Comma 5 4 2 11" xfId="1258"/>
    <cellStyle name="Comma 5 4 2 2 7" xfId="1259"/>
    <cellStyle name="Comma 5 4 3 7" xfId="1260"/>
    <cellStyle name="Comma 5 5 12" xfId="1261"/>
    <cellStyle name="Comma 5 5 2 11" xfId="1262"/>
    <cellStyle name="Comma 5 5 2 2 7" xfId="1263"/>
    <cellStyle name="Comma 5 5 3 7" xfId="1264"/>
    <cellStyle name="Comma 5 6 11" xfId="1265"/>
    <cellStyle name="Comma 5 6 2 7" xfId="1266"/>
    <cellStyle name="Comma 5 7 7" xfId="1267"/>
    <cellStyle name="Comma 6 14" xfId="1268"/>
    <cellStyle name="Comma 6 2 12" xfId="1269"/>
    <cellStyle name="Comma 6 2 2 11" xfId="1270"/>
    <cellStyle name="Comma 6 2 2 2 7" xfId="1271"/>
    <cellStyle name="Comma 6 2 3 7" xfId="1272"/>
    <cellStyle name="Comma 6 3 12" xfId="1273"/>
    <cellStyle name="Comma 6 3 2 11" xfId="1274"/>
    <cellStyle name="Comma 6 3 2 2 7" xfId="1275"/>
    <cellStyle name="Comma 6 3 3 7" xfId="1276"/>
    <cellStyle name="Comma 6 4 11" xfId="1277"/>
    <cellStyle name="Comma 6 4 2 7" xfId="1278"/>
    <cellStyle name="Comma 6 5 7" xfId="1279"/>
    <cellStyle name="Comma 7 14" xfId="1280"/>
    <cellStyle name="Comma 7 2 12" xfId="1281"/>
    <cellStyle name="Comma 7 2 2 11" xfId="1282"/>
    <cellStyle name="Comma 7 2 2 2 7" xfId="1283"/>
    <cellStyle name="Comma 7 2 3 7" xfId="1284"/>
    <cellStyle name="Comma 7 3 12" xfId="1285"/>
    <cellStyle name="Comma 7 3 2 11" xfId="1286"/>
    <cellStyle name="Comma 7 3 2 2 7" xfId="1287"/>
    <cellStyle name="Comma 7 3 3 7" xfId="1288"/>
    <cellStyle name="Comma 7 4 11" xfId="1289"/>
    <cellStyle name="Comma 7 4 2 7" xfId="1290"/>
    <cellStyle name="Comma 7 5 7" xfId="1291"/>
    <cellStyle name="Comma 8 13" xfId="1292"/>
    <cellStyle name="Comma 8 2 12" xfId="1293"/>
    <cellStyle name="Comma 8 2 2 11" xfId="1294"/>
    <cellStyle name="Comma 8 2 2 2 7" xfId="1295"/>
    <cellStyle name="Comma 8 2 3 7" xfId="1296"/>
    <cellStyle name="Comma 8 3 11" xfId="1297"/>
    <cellStyle name="Comma 8 3 2 7" xfId="1298"/>
    <cellStyle name="Comma 8 4 7" xfId="1299"/>
    <cellStyle name="Comma 9 13" xfId="1300"/>
    <cellStyle name="Comma 9 2 12" xfId="1301"/>
    <cellStyle name="Comma 9 2 2 11" xfId="1302"/>
    <cellStyle name="Comma 9 2 2 2 7" xfId="1303"/>
    <cellStyle name="Comma 9 2 3 7" xfId="1304"/>
    <cellStyle name="Comma 9 3 11" xfId="1305"/>
    <cellStyle name="Comma 9 3 2 7" xfId="1306"/>
    <cellStyle name="Comma 9 4 7" xfId="1307"/>
    <cellStyle name="Hyperlink 4 2" xfId="1308"/>
    <cellStyle name="Hyperlink 5" xfId="1309"/>
    <cellStyle name="Comma 26" xfId="1310"/>
    <cellStyle name="Comma 10 13" xfId="1311"/>
    <cellStyle name="Comma 10 2 12" xfId="1312"/>
    <cellStyle name="Comma 10 2 2 8" xfId="1313"/>
    <cellStyle name="Comma 10 3 8" xfId="1314"/>
    <cellStyle name="Comma 11 13" xfId="1315"/>
    <cellStyle name="Comma 11 2 12" xfId="1316"/>
    <cellStyle name="Comma 11 2 2 8" xfId="1317"/>
    <cellStyle name="Comma 11 3 8" xfId="1318"/>
    <cellStyle name="Comma 12 13" xfId="1319"/>
    <cellStyle name="Comma 12 2 12" xfId="1320"/>
    <cellStyle name="Comma 12 2 2 8" xfId="1321"/>
    <cellStyle name="Comma 12 3 8" xfId="1322"/>
    <cellStyle name="Comma 13 12" xfId="1323"/>
    <cellStyle name="Comma 13 2 8" xfId="1324"/>
    <cellStyle name="Comma 14 8" xfId="1325"/>
    <cellStyle name="Comma 2 19" xfId="1326"/>
    <cellStyle name="Comma 2 2 16" xfId="1327"/>
    <cellStyle name="Comma 2 2 2 13" xfId="1328"/>
    <cellStyle name="Comma 2 2 2 2 12" xfId="1329"/>
    <cellStyle name="Comma 2 2 2 2 2 8" xfId="1330"/>
    <cellStyle name="Comma 2 2 2 3 8" xfId="1331"/>
    <cellStyle name="Comma 2 2 3 13" xfId="1332"/>
    <cellStyle name="Comma 2 2 3 2 12" xfId="1333"/>
    <cellStyle name="Comma 2 2 3 2 2 8" xfId="1334"/>
    <cellStyle name="Comma 2 2 3 3 8" xfId="1335"/>
    <cellStyle name="Comma 2 2 4 12" xfId="1336"/>
    <cellStyle name="Comma 2 2 4 2 8" xfId="1337"/>
    <cellStyle name="Comma 2 2 5 8" xfId="1338"/>
    <cellStyle name="Comma 2 3 15" xfId="1339"/>
    <cellStyle name="Comma 2 3 2 13" xfId="1340"/>
    <cellStyle name="Comma 2 3 2 2 12" xfId="1341"/>
    <cellStyle name="Comma 2 3 2 2 2 8" xfId="1342"/>
    <cellStyle name="Comma 2 3 2 3 8" xfId="1343"/>
    <cellStyle name="Comma 2 3 3 13" xfId="1344"/>
    <cellStyle name="Comma 2 3 3 2 12" xfId="1345"/>
    <cellStyle name="Comma 2 3 3 2 2 8" xfId="1346"/>
    <cellStyle name="Comma 2 3 3 3 8" xfId="1347"/>
    <cellStyle name="Comma 2 3 4 12" xfId="1348"/>
    <cellStyle name="Comma 2 3 4 2 8" xfId="1349"/>
    <cellStyle name="Comma 2 3 5 8" xfId="1350"/>
    <cellStyle name="Comma 2 4 14" xfId="1351"/>
    <cellStyle name="Comma 2 4 2 13" xfId="1352"/>
    <cellStyle name="Comma 2 4 2 2 12" xfId="1353"/>
    <cellStyle name="Comma 2 4 2 2 2 8" xfId="1354"/>
    <cellStyle name="Comma 2 4 2 3 8" xfId="1355"/>
    <cellStyle name="Comma 2 4 3 12" xfId="1356"/>
    <cellStyle name="Comma 2 4 3 2 8" xfId="1357"/>
    <cellStyle name="Comma 2 4 4 8" xfId="1358"/>
    <cellStyle name="Comma 2 5 13" xfId="1359"/>
    <cellStyle name="Comma 2 5 2 12" xfId="1360"/>
    <cellStyle name="Comma 2 5 2 2 8" xfId="1361"/>
    <cellStyle name="Comma 2 5 3 8" xfId="1362"/>
    <cellStyle name="Comma 2 6 13" xfId="1363"/>
    <cellStyle name="Comma 2 6 2 12" xfId="1364"/>
    <cellStyle name="Comma 2 6 2 2 8" xfId="1365"/>
    <cellStyle name="Comma 2 6 3 8" xfId="1366"/>
    <cellStyle name="Comma 2 7 12" xfId="1367"/>
    <cellStyle name="Comma 2 7 2 8" xfId="1368"/>
    <cellStyle name="Comma 2 8 8" xfId="1369"/>
    <cellStyle name="Comma 5 17" xfId="1370"/>
    <cellStyle name="Comma 5 2 15" xfId="1371"/>
    <cellStyle name="Comma 5 2 2 13" xfId="1372"/>
    <cellStyle name="Comma 5 2 2 2 12" xfId="1373"/>
    <cellStyle name="Comma 5 2 2 2 2 8" xfId="1374"/>
    <cellStyle name="Comma 5 2 2 3 8" xfId="1375"/>
    <cellStyle name="Comma 5 2 3 13" xfId="1376"/>
    <cellStyle name="Comma 5 2 3 2 12" xfId="1377"/>
    <cellStyle name="Comma 5 2 3 2 2 8" xfId="1378"/>
    <cellStyle name="Comma 5 2 3 3 8" xfId="1379"/>
    <cellStyle name="Comma 5 2 4 12" xfId="1380"/>
    <cellStyle name="Comma 5 2 4 2 8" xfId="1381"/>
    <cellStyle name="Comma 5 2 5 8" xfId="1382"/>
    <cellStyle name="Comma 5 3 14" xfId="1383"/>
    <cellStyle name="Comma 5 3 2 13" xfId="1384"/>
    <cellStyle name="Comma 5 3 2 2 12" xfId="1385"/>
    <cellStyle name="Comma 5 3 2 2 2 8" xfId="1386"/>
    <cellStyle name="Comma 5 3 2 3 8" xfId="1387"/>
    <cellStyle name="Comma 5 3 3 12" xfId="1388"/>
    <cellStyle name="Comma 5 3 3 2 8" xfId="1389"/>
    <cellStyle name="Comma 5 3 4 8" xfId="1390"/>
    <cellStyle name="Comma 5 4 13" xfId="1391"/>
    <cellStyle name="Comma 5 4 2 12" xfId="1392"/>
    <cellStyle name="Comma 5 4 2 2 8" xfId="1393"/>
    <cellStyle name="Comma 5 4 3 8" xfId="1394"/>
    <cellStyle name="Comma 5 5 13" xfId="1395"/>
    <cellStyle name="Comma 5 5 2 12" xfId="1396"/>
    <cellStyle name="Comma 5 5 2 2 8" xfId="1397"/>
    <cellStyle name="Comma 5 5 3 8" xfId="1398"/>
    <cellStyle name="Comma 5 6 12" xfId="1399"/>
    <cellStyle name="Comma 5 6 2 8" xfId="1400"/>
    <cellStyle name="Comma 5 7 8" xfId="1401"/>
    <cellStyle name="Comma 6 15" xfId="1402"/>
    <cellStyle name="Comma 6 2 13" xfId="1403"/>
    <cellStyle name="Comma 6 2 2 12" xfId="1404"/>
    <cellStyle name="Comma 6 2 2 2 8" xfId="1405"/>
    <cellStyle name="Comma 6 2 3 8" xfId="1406"/>
    <cellStyle name="Comma 6 3 13" xfId="1407"/>
    <cellStyle name="Comma 6 3 2 12" xfId="1408"/>
    <cellStyle name="Comma 6 3 2 2 8" xfId="1409"/>
    <cellStyle name="Comma 6 3 3 8" xfId="1410"/>
    <cellStyle name="Comma 6 4 12" xfId="1411"/>
    <cellStyle name="Comma 6 4 2 8" xfId="1412"/>
    <cellStyle name="Comma 6 5 8" xfId="1413"/>
    <cellStyle name="Comma 7 15" xfId="1414"/>
    <cellStyle name="Comma 7 2 13" xfId="1415"/>
    <cellStyle name="Comma 7 2 2 12" xfId="1416"/>
    <cellStyle name="Comma 7 2 2 2 8" xfId="1417"/>
    <cellStyle name="Comma 7 2 3 8" xfId="1418"/>
    <cellStyle name="Comma 7 3 13" xfId="1419"/>
    <cellStyle name="Comma 7 3 2 12" xfId="1420"/>
    <cellStyle name="Comma 7 3 2 2 8" xfId="1421"/>
    <cellStyle name="Comma 7 3 3 8" xfId="1422"/>
    <cellStyle name="Comma 7 4 12" xfId="1423"/>
    <cellStyle name="Comma 7 4 2 8" xfId="1424"/>
    <cellStyle name="Comma 7 5 8" xfId="1425"/>
    <cellStyle name="Comma 8 14" xfId="1426"/>
    <cellStyle name="Comma 8 2 13" xfId="1427"/>
    <cellStyle name="Comma 8 2 2 12" xfId="1428"/>
    <cellStyle name="Comma 8 2 2 2 8" xfId="1429"/>
    <cellStyle name="Comma 8 2 3 8" xfId="1430"/>
    <cellStyle name="Comma 8 3 12" xfId="1431"/>
    <cellStyle name="Comma 8 3 2 8" xfId="1432"/>
    <cellStyle name="Comma 8 4 8" xfId="1433"/>
    <cellStyle name="Comma 9 14" xfId="1434"/>
    <cellStyle name="Comma 9 2 13" xfId="1435"/>
    <cellStyle name="Comma 9 2 2 12" xfId="1436"/>
    <cellStyle name="Comma 9 2 2 2 8" xfId="1437"/>
    <cellStyle name="Comma 9 2 3 8" xfId="1438"/>
    <cellStyle name="Comma 9 3 12" xfId="1439"/>
    <cellStyle name="Comma 9 3 2 8" xfId="1440"/>
    <cellStyle name="Comma 9 4 8" xfId="1441"/>
    <cellStyle name="Comma 27" xfId="1442"/>
    <cellStyle name="Comma 10 14" xfId="1443"/>
    <cellStyle name="Comma 10 2 13" xfId="1444"/>
    <cellStyle name="Comma 10 2 2 9" xfId="1445"/>
    <cellStyle name="Comma 10 3 9" xfId="1446"/>
    <cellStyle name="Comma 11 14" xfId="1447"/>
    <cellStyle name="Comma 11 2 13" xfId="1448"/>
    <cellStyle name="Comma 11 2 2 9" xfId="1449"/>
    <cellStyle name="Comma 11 3 9" xfId="1450"/>
    <cellStyle name="Comma 12 14" xfId="1451"/>
    <cellStyle name="Comma 12 2 13" xfId="1452"/>
    <cellStyle name="Comma 12 2 2 9" xfId="1453"/>
    <cellStyle name="Comma 12 3 9" xfId="1454"/>
    <cellStyle name="Comma 13 13" xfId="1455"/>
    <cellStyle name="Comma 13 2 9" xfId="1456"/>
    <cellStyle name="Comma 14 9" xfId="1457"/>
    <cellStyle name="Comma 2 20" xfId="1458"/>
    <cellStyle name="Comma 2 2 17" xfId="1459"/>
    <cellStyle name="Comma 2 2 2 14" xfId="1460"/>
    <cellStyle name="Comma 2 2 2 2 13" xfId="1461"/>
    <cellStyle name="Comma 2 2 2 2 2 9" xfId="1462"/>
    <cellStyle name="Comma 2 2 2 3 9" xfId="1463"/>
    <cellStyle name="Comma 2 2 3 14" xfId="1464"/>
    <cellStyle name="Comma 2 2 3 2 13" xfId="1465"/>
    <cellStyle name="Comma 2 2 3 2 2 9" xfId="1466"/>
    <cellStyle name="Comma 2 2 3 3 9" xfId="1467"/>
    <cellStyle name="Comma 2 2 4 13" xfId="1468"/>
    <cellStyle name="Comma 2 2 4 2 9" xfId="1469"/>
    <cellStyle name="Comma 2 2 5 9" xfId="1470"/>
    <cellStyle name="Comma 2 3 16" xfId="1471"/>
    <cellStyle name="Comma 2 3 2 14" xfId="1472"/>
    <cellStyle name="Comma 2 3 2 2 13" xfId="1473"/>
    <cellStyle name="Comma 2 3 2 2 2 9" xfId="1474"/>
    <cellStyle name="Comma 2 3 2 3 9" xfId="1475"/>
    <cellStyle name="Comma 2 3 3 14" xfId="1476"/>
    <cellStyle name="Comma 2 3 3 2 13" xfId="1477"/>
    <cellStyle name="Comma 2 3 3 2 2 9" xfId="1478"/>
    <cellStyle name="Comma 2 3 3 3 9" xfId="1479"/>
    <cellStyle name="Comma 2 3 4 13" xfId="1480"/>
    <cellStyle name="Comma 2 3 4 2 9" xfId="1481"/>
    <cellStyle name="Comma 2 3 5 9" xfId="1482"/>
    <cellStyle name="Comma 2 4 15" xfId="1483"/>
    <cellStyle name="Comma 2 4 2 14" xfId="1484"/>
    <cellStyle name="Comma 2 4 2 2 13" xfId="1485"/>
    <cellStyle name="Comma 2 4 2 2 2 9" xfId="1486"/>
    <cellStyle name="Comma 2 4 2 3 9" xfId="1487"/>
    <cellStyle name="Comma 2 4 3 13" xfId="1488"/>
    <cellStyle name="Comma 2 4 3 2 9" xfId="1489"/>
    <cellStyle name="Comma 2 4 4 9" xfId="1490"/>
    <cellStyle name="Comma 2 5 14" xfId="1491"/>
    <cellStyle name="Comma 2 5 2 13" xfId="1492"/>
    <cellStyle name="Comma 2 5 2 2 9" xfId="1493"/>
    <cellStyle name="Comma 2 5 3 9" xfId="1494"/>
    <cellStyle name="Comma 2 6 14" xfId="1495"/>
    <cellStyle name="Comma 2 6 2 13" xfId="1496"/>
    <cellStyle name="Comma 2 6 2 2 9" xfId="1497"/>
    <cellStyle name="Comma 2 6 3 9" xfId="1498"/>
    <cellStyle name="Comma 2 7 13" xfId="1499"/>
    <cellStyle name="Comma 2 7 2 9" xfId="1500"/>
    <cellStyle name="Comma 2 8 9" xfId="1501"/>
    <cellStyle name="Comma 5 18" xfId="1502"/>
    <cellStyle name="Comma 5 2 16" xfId="1503"/>
    <cellStyle name="Comma 5 2 2 14" xfId="1504"/>
    <cellStyle name="Comma 5 2 2 2 13" xfId="1505"/>
    <cellStyle name="Comma 5 2 2 2 2 9" xfId="1506"/>
    <cellStyle name="Comma 5 2 2 3 9" xfId="1507"/>
    <cellStyle name="Comma 5 2 3 14" xfId="1508"/>
    <cellStyle name="Comma 5 2 3 2 13" xfId="1509"/>
    <cellStyle name="Comma 5 2 3 2 2 9" xfId="1510"/>
    <cellStyle name="Comma 5 2 3 3 9" xfId="1511"/>
    <cellStyle name="Comma 5 2 4 13" xfId="1512"/>
    <cellStyle name="Comma 5 2 4 2 9" xfId="1513"/>
    <cellStyle name="Comma 5 2 5 9" xfId="1514"/>
    <cellStyle name="Comma 5 3 15" xfId="1515"/>
    <cellStyle name="Comma 5 3 2 14" xfId="1516"/>
    <cellStyle name="Comma 5 3 2 2 13" xfId="1517"/>
    <cellStyle name="Comma 5 3 2 2 2 9" xfId="1518"/>
    <cellStyle name="Comma 5 3 2 3 9" xfId="1519"/>
    <cellStyle name="Comma 5 3 3 13" xfId="1520"/>
    <cellStyle name="Comma 5 3 3 2 9" xfId="1521"/>
    <cellStyle name="Comma 5 3 4 9" xfId="1522"/>
    <cellStyle name="Comma 5 4 14" xfId="1523"/>
    <cellStyle name="Comma 5 4 2 13" xfId="1524"/>
    <cellStyle name="Comma 5 4 2 2 9" xfId="1525"/>
    <cellStyle name="Comma 5 4 3 9" xfId="1526"/>
    <cellStyle name="Comma 5 5 14" xfId="1527"/>
    <cellStyle name="Comma 5 5 2 13" xfId="1528"/>
    <cellStyle name="Comma 5 5 2 2 9" xfId="1529"/>
    <cellStyle name="Comma 5 5 3 9" xfId="1530"/>
    <cellStyle name="Comma 5 6 13" xfId="1531"/>
    <cellStyle name="Comma 5 6 2 9" xfId="1532"/>
    <cellStyle name="Comma 5 7 9" xfId="1533"/>
    <cellStyle name="Comma 6 16" xfId="1534"/>
    <cellStyle name="Comma 6 2 14" xfId="1535"/>
    <cellStyle name="Comma 6 2 2 13" xfId="1536"/>
    <cellStyle name="Comma 6 2 2 2 9" xfId="1537"/>
    <cellStyle name="Comma 6 2 3 9" xfId="1538"/>
    <cellStyle name="Comma 6 3 14" xfId="1539"/>
    <cellStyle name="Comma 6 3 2 13" xfId="1540"/>
    <cellStyle name="Comma 6 3 2 2 9" xfId="1541"/>
    <cellStyle name="Comma 6 3 3 9" xfId="1542"/>
    <cellStyle name="Comma 6 4 13" xfId="1543"/>
    <cellStyle name="Comma 6 4 2 9" xfId="1544"/>
    <cellStyle name="Comma 6 5 9" xfId="1545"/>
    <cellStyle name="Comma 7 16" xfId="1546"/>
    <cellStyle name="Comma 7 2 14" xfId="1547"/>
    <cellStyle name="Comma 7 2 2 13" xfId="1548"/>
    <cellStyle name="Comma 7 2 2 2 9" xfId="1549"/>
    <cellStyle name="Comma 7 2 3 9" xfId="1550"/>
    <cellStyle name="Comma 7 3 14" xfId="1551"/>
    <cellStyle name="Comma 7 3 2 13" xfId="1552"/>
    <cellStyle name="Comma 7 3 2 2 9" xfId="1553"/>
    <cellStyle name="Comma 7 3 3 9" xfId="1554"/>
    <cellStyle name="Comma 7 4 13" xfId="1555"/>
    <cellStyle name="Comma 7 4 2 9" xfId="1556"/>
    <cellStyle name="Comma 7 5 9" xfId="1557"/>
    <cellStyle name="Comma 8 15" xfId="1558"/>
    <cellStyle name="Comma 8 2 14" xfId="1559"/>
    <cellStyle name="Comma 8 2 2 13" xfId="1560"/>
    <cellStyle name="Comma 8 2 2 2 9" xfId="1561"/>
    <cellStyle name="Comma 8 2 3 9" xfId="1562"/>
    <cellStyle name="Comma 8 3 13" xfId="1563"/>
    <cellStyle name="Comma 8 3 2 9" xfId="1564"/>
    <cellStyle name="Comma 8 4 9" xfId="1565"/>
    <cellStyle name="Comma 9 15" xfId="1566"/>
    <cellStyle name="Comma 9 2 14" xfId="1567"/>
    <cellStyle name="Comma 9 2 2 13" xfId="1568"/>
    <cellStyle name="Comma 9 2 2 2 9" xfId="1569"/>
    <cellStyle name="Comma 9 2 3 9" xfId="1570"/>
    <cellStyle name="Comma 9 3 13" xfId="1571"/>
    <cellStyle name="Comma 9 3 2 9" xfId="1572"/>
    <cellStyle name="Comma 9 4 9" xfId="1573"/>
  </cellStyles>
  <dxfs count="24">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1"/>
        <condense val="0"/>
        <color indexed="13"/>
        <extend val="0"/>
      </font>
      <fill>
        <patternFill>
          <bgColor indexed="11"/>
        </patternFill>
      </fill>
    </dxf>
    <dxf>
      <font>
        <b val="1"/>
        <condense val="0"/>
        <color indexed="13"/>
        <extend val="0"/>
      </font>
      <fill>
        <patternFill>
          <bgColor indexed="10"/>
        </patternFill>
      </fill>
    </dxf>
    <dxf>
      <font>
        <b val="1"/>
        <condense val="0"/>
        <color indexed="13"/>
        <extend val="0"/>
      </font>
      <fill>
        <patternFill>
          <bgColor indexed="11"/>
        </patternFill>
      </fill>
    </dxf>
    <dxf>
      <font>
        <b val="1"/>
        <condense val="0"/>
        <color indexed="13"/>
        <extend val="0"/>
      </font>
      <fill>
        <patternFill>
          <bgColor indexed="10"/>
        </patternFill>
      </fill>
    </dxf>
    <dxf>
      <font>
        <b val="1"/>
        <condense val="0"/>
        <color indexed="13"/>
        <extend val="0"/>
      </font>
      <fill>
        <patternFill>
          <bgColor indexed="11"/>
        </patternFill>
      </fill>
    </dxf>
    <dxf>
      <font>
        <b val="1"/>
        <condense val="0"/>
        <color indexed="13"/>
        <extend val="0"/>
      </font>
      <fill>
        <patternFill>
          <bgColor indexed="10"/>
        </patternFill>
      </fill>
    </dxf>
    <dxf>
      <font>
        <b val="1"/>
        <condense val="0"/>
        <color indexed="13"/>
        <extend val="0"/>
      </font>
      <fill>
        <patternFill>
          <bgColor indexed="11"/>
        </patternFill>
      </fill>
    </dxf>
    <dxf>
      <font>
        <b val="1"/>
        <condense val="0"/>
        <color indexed="13"/>
        <extend val="0"/>
      </font>
      <fill>
        <patternFill>
          <bgColor indexed="10"/>
        </patternFill>
      </fill>
    </dxf>
    <dxf>
      <font>
        <b val="1"/>
        <condense val="0"/>
        <color indexed="13"/>
        <extend val="0"/>
      </font>
      <fill>
        <patternFill>
          <bgColor indexed="11"/>
        </patternFill>
      </fill>
    </dxf>
    <dxf>
      <font>
        <b val="1"/>
        <condense val="0"/>
        <color indexed="13"/>
        <extend val="0"/>
      </font>
      <fill>
        <patternFill>
          <bgColor indexed="10"/>
        </patternFill>
      </fill>
    </dxf>
    <dxf>
      <font>
        <b val="1"/>
        <condense val="0"/>
        <color indexed="13"/>
        <extend val="0"/>
      </font>
      <fill>
        <patternFill>
          <bgColor indexed="11"/>
        </patternFill>
      </fill>
    </dxf>
    <dxf>
      <font>
        <b val="1"/>
        <condense val="0"/>
        <color indexed="13"/>
        <extend val="0"/>
      </font>
      <fill>
        <patternFill>
          <bgColor indexed="1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Medium9"/>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externalLink" Target="/xl/externalLinks/externalLink1.xml" Id="rId34" /><Relationship Type="http://schemas.openxmlformats.org/officeDocument/2006/relationships/externalLink" Target="/xl/externalLinks/externalLink2.xml" Id="rId35" /><Relationship Type="http://schemas.openxmlformats.org/officeDocument/2006/relationships/externalLink" Target="/xl/externalLinks/externalLink3.xml" Id="rId36" /><Relationship Type="http://schemas.openxmlformats.org/officeDocument/2006/relationships/externalLink" Target="/xl/externalLinks/externalLink4.xml" Id="rId37" /><Relationship Type="http://schemas.openxmlformats.org/officeDocument/2006/relationships/externalLink" Target="/xl/externalLinks/externalLink5.xml" Id="rId38" /><Relationship Type="http://schemas.openxmlformats.org/officeDocument/2006/relationships/externalLink" Target="/xl/externalLinks/externalLink6.xml" Id="rId39" /><Relationship Type="http://schemas.openxmlformats.org/officeDocument/2006/relationships/externalLink" Target="/xl/externalLinks/externalLink7.xml" Id="rId40" /><Relationship Type="http://schemas.openxmlformats.org/officeDocument/2006/relationships/externalLink" Target="/xl/externalLinks/externalLink8.xml" Id="rId41" /><Relationship Type="http://schemas.openxmlformats.org/officeDocument/2006/relationships/externalLink" Target="/xl/externalLinks/externalLink9.xml" Id="rId42" /><Relationship Type="http://schemas.openxmlformats.org/officeDocument/2006/relationships/externalLink" Target="/xl/externalLinks/externalLink10.xml" Id="rId43" /><Relationship Type="http://schemas.openxmlformats.org/officeDocument/2006/relationships/externalLink" Target="/xl/externalLinks/externalLink11.xml" Id="rId44" /><Relationship Type="http://schemas.openxmlformats.org/officeDocument/2006/relationships/externalLink" Target="/xl/externalLinks/externalLink12.xml" Id="rId45" /><Relationship Type="http://schemas.openxmlformats.org/officeDocument/2006/relationships/styles" Target="styles.xml" Id="rId46" /><Relationship Type="http://schemas.openxmlformats.org/officeDocument/2006/relationships/theme" Target="theme/theme1.xml" Id="rId47" /></Relationships>
</file>

<file path=xl/charts/chart1.xml><?xml version="1.0" encoding="utf-8"?>
<chartSpace xmlns:a="http://schemas.openxmlformats.org/drawingml/2006/main" xmlns="http://schemas.openxmlformats.org/drawingml/2006/chart">
  <chart>
    <title>
      <tx>
        <rich>
          <a:bodyPr/>
          <a:p>
            <a:r>
              <a:t/>
            </a:r>
          </a:p>
        </rich>
      </tx>
      <overlay val="0"/>
      <spPr>
        <a:noFill/>
        <a:ln>
          <a:noFill/>
          <a:prstDash val="solid"/>
        </a:ln>
      </spPr>
      <txPr>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t/>
          </a:r>
          <a:endParaRPr lang="en-US"/>
        </a:p>
      </txPr>
    </title>
    <plotArea>
      <layout/>
      <lineChart>
        <grouping val="standard"/>
        <varyColors val="0"/>
        <ser>
          <idx val="0"/>
          <order val="0"/>
          <spPr>
            <a:ln w="28575" cap="rnd">
              <a:solidFill>
                <a:schemeClr val="accent1"/>
              </a:solidFill>
              <a:prstDash val="solid"/>
              <a:round/>
            </a:ln>
          </spPr>
          <marker>
            <symbol val="none"/>
            <spPr>
              <a:ln>
                <a:prstDash val="solid"/>
              </a:ln>
            </spPr>
          </marker>
          <cat>
            <strRef>
              <f>'1. Payrolled employees (UK)'!$A$126:$A$146</f>
              <strCache>
                <ptCount val="21"/>
                <pt idx="0">
                  <v>February 2024</v>
                </pt>
                <pt idx="1">
                  <v>March 2024</v>
                </pt>
                <pt idx="2">
                  <v>April 2024</v>
                </pt>
                <pt idx="3">
                  <v>May 2024</v>
                </pt>
                <pt idx="4">
                  <v>June 2024</v>
                </pt>
                <pt idx="5">
                  <v>July 2024</v>
                </pt>
                <pt idx="6">
                  <v>August 2024</v>
                </pt>
                <pt idx="7">
                  <v>September 2024</v>
                </pt>
                <pt idx="8">
                  <v>October 2024</v>
                </pt>
                <pt idx="9">
                  <v>November 2024</v>
                </pt>
                <pt idx="10">
                  <v>December 2024</v>
                </pt>
                <pt idx="11">
                  <v>January 2025</v>
                </pt>
                <pt idx="12">
                  <v>February 2025</v>
                </pt>
                <pt idx="13">
                  <v>March 2025</v>
                </pt>
                <pt idx="14">
                  <v>April 2025</v>
                </pt>
                <pt idx="15">
                  <v>May 2025</v>
                </pt>
                <pt idx="16">
                  <v>June 2025</v>
                </pt>
                <pt idx="17">
                  <v>July 2025</v>
                </pt>
                <pt idx="18">
                  <v>August 2025</v>
                </pt>
                <pt idx="19">
                  <v>September 2025</v>
                </pt>
                <pt idx="20">
                  <v>October 2025</v>
                </pt>
              </strCache>
            </strRef>
          </cat>
          <val>
            <numRef>
              <f>'1. Payrolled employees (UK)'!$B$126:$B$146</f>
              <numCache>
                <formatCode>#,###</formatCode>
                <ptCount val="21"/>
                <pt idx="0">
                  <v>30374926</v>
                </pt>
                <pt idx="1">
                  <v>30400655</v>
                </pt>
                <pt idx="2">
                  <v>30399922</v>
                </pt>
                <pt idx="3">
                  <v>30441102</v>
                </pt>
                <pt idx="4">
                  <v>30443913</v>
                </pt>
                <pt idx="5">
                  <v>30450219</v>
                </pt>
                <pt idx="6">
                  <v>30424845</v>
                </pt>
                <pt idx="7">
                  <v>30424465</v>
                </pt>
                <pt idx="8">
                  <v>30443578</v>
                </pt>
                <pt idx="9">
                  <v>30427167</v>
                </pt>
                <pt idx="10">
                  <v>30410459</v>
                </pt>
                <pt idx="11">
                  <v>30411382</v>
                </pt>
                <pt idx="12">
                  <v>30388501</v>
                </pt>
                <pt idx="13">
                  <v>30370994</v>
                </pt>
                <pt idx="14">
                  <v>30371269</v>
                </pt>
                <pt idx="15">
                  <v>30357171</v>
                </pt>
                <pt idx="16">
                  <v>30335268</v>
                </pt>
                <pt idx="17">
                  <v>30335167</v>
                </pt>
                <pt idx="18">
                  <v>30344181</v>
                </pt>
                <pt idx="19">
                  <v>30316369</v>
                </pt>
                <pt idx="20">
                  <v>30294478</v>
                </pt>
              </numCache>
            </numRef>
          </val>
          <smooth val="0"/>
        </ser>
        <dLbls>
          <showLegendKey val="0"/>
          <showVal val="0"/>
          <showCatName val="0"/>
          <showSerName val="0"/>
          <showPercent val="0"/>
          <showBubbleSize val="0"/>
        </dLbls>
        <smooth val="0"/>
        <axId val="1023021824"/>
        <axId val="1023004544"/>
      </lineChart>
      <catAx>
        <axId val="1023021824"/>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023004544"/>
        <crosses val="autoZero"/>
        <auto val="1"/>
        <lblAlgn val="ctr"/>
        <lblOffset val="100"/>
        <noMultiLvlLbl val="0"/>
      </catAx>
      <valAx>
        <axId val="1023004544"/>
        <scaling>
          <orientation val="minMax"/>
        </scaling>
        <delete val="0"/>
        <axPos val="l"/>
        <majorGridlines>
          <spPr>
            <a:ln w="9525" cap="flat" cmpd="sng" algn="ctr">
              <a:solidFill>
                <a:schemeClr val="tx1">
                  <a:lumMod val="15000"/>
                  <a:lumOff val="85000"/>
                </a:schemeClr>
              </a:solidFill>
              <a:prstDash val="solid"/>
              <a:round/>
            </a:ln>
          </spPr>
        </majorGridlines>
        <numFmt formatCode="#,###"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023021824"/>
        <crosses val="autoZero"/>
        <crossBetween val="between"/>
      </valAx>
    </plotArea>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2.xml><?xml version="1.0" encoding="utf-8"?>
<chartSpace xmlns:a="http://schemas.openxmlformats.org/drawingml/2006/main" xmlns="http://schemas.openxmlformats.org/drawingml/2006/chart">
  <chart>
    <title>
      <tx>
        <rich>
          <a:bodyPr/>
          <a:p>
            <a:r>
              <a:t/>
            </a:r>
          </a:p>
        </rich>
      </tx>
      <overlay val="0"/>
      <spPr>
        <a:noFill/>
        <a:ln>
          <a:noFill/>
          <a:prstDash val="solid"/>
        </a:ln>
      </spPr>
      <txPr>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t/>
          </a:r>
          <a:endParaRPr lang="en-US"/>
        </a:p>
      </txPr>
    </title>
    <plotArea>
      <layout/>
      <barChart>
        <barDir val="col"/>
        <grouping val="clustered"/>
        <varyColors val="0"/>
        <ser>
          <idx val="0"/>
          <order val="0"/>
          <spPr>
            <a:solidFill>
              <a:schemeClr val="accent1"/>
            </a:solidFill>
            <a:ln>
              <a:noFill/>
              <a:prstDash val="solid"/>
            </a:ln>
          </spPr>
          <invertIfNegative val="0"/>
          <val>
            <numRef>
              <f>'1. Payrolled employees (UK)'!$C$126:$C$146</f>
              <numCache>
                <formatCode>#,###</formatCode>
                <ptCount val="21"/>
                <pt idx="0">
                  <v>6575</v>
                </pt>
                <pt idx="1">
                  <v>25729</v>
                </pt>
                <pt idx="2">
                  <v>-733</v>
                </pt>
                <pt idx="3">
                  <v>41180</v>
                </pt>
                <pt idx="4">
                  <v>2811</v>
                </pt>
                <pt idx="5">
                  <v>6306</v>
                </pt>
                <pt idx="6">
                  <v>-25374</v>
                </pt>
                <pt idx="7">
                  <v>-380</v>
                </pt>
                <pt idx="8">
                  <v>19113</v>
                </pt>
                <pt idx="9">
                  <v>-16411</v>
                </pt>
                <pt idx="10">
                  <v>-16708</v>
                </pt>
                <pt idx="11">
                  <v>923</v>
                </pt>
                <pt idx="12">
                  <v>-22881</v>
                </pt>
                <pt idx="13">
                  <v>-17507</v>
                </pt>
                <pt idx="14">
                  <v>275</v>
                </pt>
                <pt idx="15">
                  <v>-14098</v>
                </pt>
                <pt idx="16">
                  <v>-21903</v>
                </pt>
                <pt idx="17">
                  <v>-101</v>
                </pt>
                <pt idx="18">
                  <v>9014</v>
                </pt>
                <pt idx="19">
                  <v>-27812</v>
                </pt>
                <pt idx="20">
                  <v>-21891</v>
                </pt>
              </numCache>
            </numRef>
          </val>
        </ser>
        <dLbls>
          <showLegendKey val="0"/>
          <showVal val="0"/>
          <showCatName val="0"/>
          <showSerName val="0"/>
          <showPercent val="0"/>
          <showBubbleSize val="0"/>
        </dLbls>
        <gapWidth val="219"/>
        <overlap val="-27"/>
        <axId val="1311552816"/>
        <axId val="1275590687"/>
      </barChart>
      <catAx>
        <axId val="1311552816"/>
        <scaling>
          <orientation val="minMax"/>
        </scaling>
        <delete val="0"/>
        <axPos val="b"/>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275590687"/>
        <crosses val="autoZero"/>
        <auto val="1"/>
        <lblAlgn val="ctr"/>
        <lblOffset val="100"/>
        <noMultiLvlLbl val="0"/>
      </catAx>
      <valAx>
        <axId val="1275590687"/>
        <scaling>
          <orientation val="minMax"/>
        </scaling>
        <delete val="0"/>
        <axPos val="l"/>
        <majorGridlines>
          <spPr>
            <a:ln w="9525" cap="flat" cmpd="sng" algn="ctr">
              <a:solidFill>
                <a:schemeClr val="tx1">
                  <a:lumMod val="15000"/>
                  <a:lumOff val="85000"/>
                </a:schemeClr>
              </a:solidFill>
              <a:prstDash val="solid"/>
              <a:round/>
            </a:ln>
          </spPr>
        </majorGridlines>
        <numFmt formatCode="#,###"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311552816"/>
        <crosses val="autoZero"/>
        <crossBetween val="between"/>
      </valAx>
    </plotArea>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3.xml><?xml version="1.0" encoding="utf-8"?>
<chartSpace xmlns:a="http://schemas.openxmlformats.org/drawingml/2006/main" xmlns="http://schemas.openxmlformats.org/drawingml/2006/chart">
  <chart>
    <plotArea>
      <layout>
        <manualLayout>
          <layoutTarget val="inner"/>
          <xMode val="edge"/>
          <yMode val="edge"/>
          <wMode val="factor"/>
          <hMode val="factor"/>
          <x val="0.07021326994616553"/>
          <y val="0.04356435643564356"/>
          <w val="0.90608482219734"/>
          <h val="0.6898205348093863"/>
        </manualLayout>
      </layout>
      <barChart>
        <barDir val="col"/>
        <grouping val="clustered"/>
        <varyColors val="0"/>
        <ser>
          <idx val="1"/>
          <order val="0"/>
          <tx>
            <v>2025 increase to NMW</v>
          </tx>
          <spPr>
            <a:solidFill>
              <a:srgbClr val="A3ABCC"/>
            </a:solidFill>
            <a:ln>
              <a:noFill/>
              <a:prstDash val="solid"/>
            </a:ln>
          </spPr>
          <invertIfNegative val="0"/>
          <dPt>
            <idx val="44"/>
            <invertIfNegative val="0"/>
            <bubble3D val="0"/>
            <spPr>
              <a:solidFill>
                <a:srgbClr val="A3ABCC"/>
              </a:solidFill>
              <a:ln>
                <a:noFill/>
                <a:prstDash val="solid"/>
              </a:ln>
            </spPr>
          </dPt>
          <dPt>
            <idx val="45"/>
            <invertIfNegative val="0"/>
            <bubble3D val="0"/>
            <spPr>
              <a:solidFill>
                <a:srgbClr val="A3ABCC"/>
              </a:solidFill>
              <a:ln>
                <a:noFill/>
                <a:prstDash val="solid"/>
              </a:ln>
            </spPr>
          </dPt>
          <val>
            <numRef>
              <f>'5'!$G$231:$G$280</f>
              <numCache>
                <formatCode>#,##0</formatCode>
                <ptCount val="50"/>
                <pt idx="44">
                  <v>1</v>
                </pt>
                <pt idx="45">
                  <v>1</v>
                </pt>
              </numCache>
            </numRef>
          </val>
        </ser>
        <dLbls>
          <showLegendKey val="0"/>
          <showVal val="0"/>
          <showCatName val="0"/>
          <showSerName val="0"/>
          <showPercent val="0"/>
          <showBubbleSize val="0"/>
        </dLbls>
        <gapWidth val="0"/>
        <axId val="773098799"/>
        <axId val="773092079"/>
      </barChart>
      <lineChart>
        <grouping val="standard"/>
        <varyColors val="0"/>
        <ser>
          <idx val="2"/>
          <order val="2"/>
          <spPr>
            <a:ln w="28575" cap="rnd">
              <a:solidFill>
                <a:srgbClr val="00285F"/>
              </a:solidFill>
              <a:prstDash val="solid"/>
              <a:round/>
            </a:ln>
          </spPr>
          <marker>
            <symbol val="none"/>
            <spPr>
              <a:ln>
                <a:prstDash val="solid"/>
              </a:ln>
            </spPr>
          </marker>
          <cat>
            <strRef>
              <f>'5'!$A$231:$A$280</f>
              <strCache>
                <ptCount val="50"/>
                <pt idx="0">
                  <v>Mar 13 (r)</v>
                </pt>
                <pt idx="1">
                  <v>Jun 13 (r)</v>
                </pt>
                <pt idx="2">
                  <v>Sep 13 (r)</v>
                </pt>
                <pt idx="3">
                  <v>Dec 13 (r)</v>
                </pt>
                <pt idx="4">
                  <v>Mar 14 (r)</v>
                </pt>
                <pt idx="5">
                  <v>Jun 14 (r)</v>
                </pt>
                <pt idx="6">
                  <v>Sep 14 (r)</v>
                </pt>
                <pt idx="7">
                  <v xml:space="preserve">Dec 14 (r) </v>
                </pt>
                <pt idx="8">
                  <v>Mar 15 (r)</v>
                </pt>
                <pt idx="9">
                  <v xml:space="preserve">Jun 15 (r) </v>
                </pt>
                <pt idx="10">
                  <v>Sep 15 (r)</v>
                </pt>
                <pt idx="11">
                  <v>Dec 15 (r)</v>
                </pt>
                <pt idx="12">
                  <v xml:space="preserve">Mar 16 (r) </v>
                </pt>
                <pt idx="13">
                  <v>Jun 16 (r)</v>
                </pt>
                <pt idx="14">
                  <v>Sep 16 (r)</v>
                </pt>
                <pt idx="15">
                  <v>Dec 16 (r)</v>
                </pt>
                <pt idx="16">
                  <v>Mar 17 (r)</v>
                </pt>
                <pt idx="17">
                  <v xml:space="preserve">Jun 17 (r) </v>
                </pt>
                <pt idx="18">
                  <v>Sep 17 (r)</v>
                </pt>
                <pt idx="19">
                  <v>Dec 17 (r)</v>
                </pt>
                <pt idx="20">
                  <v>Mar 18 (r)</v>
                </pt>
                <pt idx="21">
                  <v>Jun 18 (r)</v>
                </pt>
                <pt idx="22">
                  <v>Sep 18 (r)</v>
                </pt>
                <pt idx="23">
                  <v>Dec 18 (r)</v>
                </pt>
                <pt idx="24">
                  <v>Mar 195 (r)</v>
                </pt>
                <pt idx="25">
                  <v>Jun 19 (r)</v>
                </pt>
                <pt idx="26">
                  <v>Sep 19 (r)</v>
                </pt>
                <pt idx="27">
                  <v>Dec 19 (r)</v>
                </pt>
                <pt idx="28">
                  <v>Mar 204 (r)</v>
                </pt>
                <pt idx="29">
                  <v>Jun 20 (r)</v>
                </pt>
                <pt idx="30">
                  <v>Sep 20 (r)</v>
                </pt>
                <pt idx="31">
                  <v>Dec 20 (r)</v>
                </pt>
                <pt idx="32">
                  <v>Mar 21 (r)</v>
                </pt>
                <pt idx="33">
                  <v>Jun 21 (r)</v>
                </pt>
                <pt idx="34">
                  <v>Sep 21 (r)</v>
                </pt>
                <pt idx="35">
                  <v xml:space="preserve">Dec 21 (r) </v>
                </pt>
                <pt idx="36">
                  <v>Mar 22 (r)</v>
                </pt>
                <pt idx="37">
                  <v>Jun 22 (r)</v>
                </pt>
                <pt idx="38">
                  <v xml:space="preserve">Sep 22 (r) </v>
                </pt>
                <pt idx="39">
                  <v>Dec 22 (r)</v>
                </pt>
                <pt idx="40">
                  <v xml:space="preserve">Mar 23 (r) </v>
                </pt>
                <pt idx="41">
                  <v>Jun 23 (r)</v>
                </pt>
                <pt idx="42">
                  <v>Sep 23 (r)</v>
                </pt>
                <pt idx="43">
                  <v>Dec 23 (r)</v>
                </pt>
                <pt idx="44">
                  <v xml:space="preserve">Mar 24 (r) </v>
                </pt>
                <pt idx="45">
                  <v>Jun 24 (r)</v>
                </pt>
                <pt idx="46">
                  <v>Sep 24 (r)</v>
                </pt>
                <pt idx="47">
                  <v xml:space="preserve">Dec 24 (r) </v>
                </pt>
                <pt idx="48">
                  <v>Mar 25 (r)</v>
                </pt>
                <pt idx="49">
                  <v>Jun 25 (r)</v>
                </pt>
              </strCache>
            </strRef>
          </cat>
          <val>
            <numRef>
              <f>'5'!$D$231:$D$280</f>
              <numCache>
                <formatCode>General</formatCode>
                <ptCount val="50"/>
                <pt idx="0">
                  <v>4190</v>
                </pt>
                <pt idx="1">
                  <v>4156</v>
                </pt>
                <pt idx="2">
                  <v>4265</v>
                </pt>
                <pt idx="3">
                  <v>4455</v>
                </pt>
                <pt idx="4">
                  <v>4547</v>
                </pt>
                <pt idx="5">
                  <v>4541</v>
                </pt>
                <pt idx="6">
                  <v>4524</v>
                </pt>
                <pt idx="7">
                  <v>4484</v>
                </pt>
                <pt idx="8">
                  <v>4378</v>
                </pt>
                <pt idx="9">
                  <v>4382</v>
                </pt>
                <pt idx="10">
                  <v>4462</v>
                </pt>
                <pt idx="11">
                  <formatCode>#,##0</formatCode>
                  <v>4428</v>
                </pt>
                <pt idx="12">
                  <formatCode>#,##0</formatCode>
                  <v>4433</v>
                </pt>
                <pt idx="13">
                  <formatCode>#,##0</formatCode>
                  <v>4519</v>
                </pt>
                <pt idx="14">
                  <formatCode>#,##0</formatCode>
                  <v>4494</v>
                </pt>
                <pt idx="15">
                  <formatCode>#,##0</formatCode>
                  <v>4541</v>
                </pt>
                <pt idx="16">
                  <formatCode>#,##0</formatCode>
                  <v>4505</v>
                </pt>
                <pt idx="17">
                  <formatCode>#,##0</formatCode>
                  <v>4539</v>
                </pt>
                <pt idx="18">
                  <formatCode>#,##0</formatCode>
                  <v>4527</v>
                </pt>
                <pt idx="19">
                  <formatCode>#,##0</formatCode>
                  <v>4487</v>
                </pt>
                <pt idx="20">
                  <formatCode>#,##0</formatCode>
                  <v>4500</v>
                </pt>
                <pt idx="21">
                  <formatCode>#,##0</formatCode>
                  <v>4526</v>
                </pt>
                <pt idx="22">
                  <formatCode>#,##0</formatCode>
                  <v>4479</v>
                </pt>
                <pt idx="23">
                  <formatCode>#,##0</formatCode>
                  <v>4591</v>
                </pt>
                <pt idx="24">
                  <formatCode>#,##0</formatCode>
                  <v>4642</v>
                </pt>
                <pt idx="25">
                  <formatCode>#,##0</formatCode>
                  <v>4661</v>
                </pt>
                <pt idx="26">
                  <formatCode>#,##0</formatCode>
                  <v>4615</v>
                </pt>
                <pt idx="27">
                  <formatCode>#,##0</formatCode>
                  <v>4693</v>
                </pt>
                <pt idx="28">
                  <formatCode>#,##0</formatCode>
                  <v>4493</v>
                </pt>
                <pt idx="29">
                  <formatCode>#,##0</formatCode>
                  <v>4317</v>
                </pt>
                <pt idx="30">
                  <formatCode>#,##0</formatCode>
                  <v>4187</v>
                </pt>
                <pt idx="31">
                  <formatCode>#,##0</formatCode>
                  <v>4113</v>
                </pt>
                <pt idx="32">
                  <formatCode>#,##0</formatCode>
                  <v>4137</v>
                </pt>
                <pt idx="33">
                  <formatCode>#,##0</formatCode>
                  <v>4205</v>
                </pt>
                <pt idx="34">
                  <formatCode>#,##0</formatCode>
                  <v>4089</v>
                </pt>
                <pt idx="35">
                  <formatCode>#,##0</formatCode>
                  <v>3991</v>
                </pt>
                <pt idx="36">
                  <formatCode>#,##0</formatCode>
                  <v>4088</v>
                </pt>
                <pt idx="37">
                  <formatCode>#,##0</formatCode>
                  <v>4115</v>
                </pt>
                <pt idx="38">
                  <formatCode>#,##0</formatCode>
                  <v>4084</v>
                </pt>
                <pt idx="39">
                  <formatCode>#,##0</formatCode>
                  <v>4147</v>
                </pt>
                <pt idx="40">
                  <formatCode>#,##0</formatCode>
                  <v>4261</v>
                </pt>
                <pt idx="41">
                  <formatCode>#,##0</formatCode>
                  <v>4093</v>
                </pt>
                <pt idx="42">
                  <formatCode>#,##0</formatCode>
                  <v>4106</v>
                </pt>
                <pt idx="43">
                  <formatCode>#,##0</formatCode>
                  <v>4137</v>
                </pt>
                <pt idx="44">
                  <formatCode>#,##0</formatCode>
                  <v>4329</v>
                </pt>
                <pt idx="45">
                  <formatCode>#,##0</formatCode>
                  <v>4236</v>
                </pt>
                <pt idx="46">
                  <v>4266</v>
                </pt>
                <pt idx="47">
                  <v>4279</v>
                </pt>
                <pt idx="48">
                  <v>4342</v>
                </pt>
                <pt idx="49">
                  <v>4186</v>
                </pt>
              </numCache>
            </numRef>
          </val>
          <smooth val="0"/>
        </ser>
        <dLbls>
          <showLegendKey val="0"/>
          <showVal val="0"/>
          <showCatName val="0"/>
          <showSerName val="0"/>
          <showPercent val="0"/>
          <showBubbleSize val="0"/>
        </dLbls>
        <marker val="1"/>
        <smooth val="0"/>
        <axId val="80530911"/>
        <axId val="80529951"/>
      </lineChart>
      <catAx>
        <axId val="773098799"/>
        <scaling>
          <orientation val="minMax"/>
        </scaling>
        <delete val="1"/>
        <axPos val="b"/>
        <majorTickMark val="out"/>
        <minorTickMark val="none"/>
        <tickLblPos val="nextTo"/>
        <crossAx val="773092079"/>
        <crosses val="autoZero"/>
        <auto val="1"/>
        <lblAlgn val="ctr"/>
        <lblOffset val="100"/>
        <noMultiLvlLbl val="0"/>
      </catAx>
      <valAx>
        <axId val="773092079"/>
        <scaling>
          <orientation val="minMax"/>
          <max val="1"/>
        </scaling>
        <delete val="0"/>
        <axPos val="r"/>
        <numFmt formatCode="#,##0" sourceLinked="1"/>
        <majorTickMark val="out"/>
        <minorTickMark val="none"/>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773098799"/>
        <crosses val="max"/>
        <crossBetween val="between"/>
      </valAx>
      <catAx>
        <axId val="80530911"/>
        <scaling>
          <orientation val="minMax"/>
        </scaling>
        <delete val="0"/>
        <axPos val="b"/>
        <numFmt formatCode="General" sourceLinked="1"/>
        <majorTickMark val="out"/>
        <minorTickMark val="none"/>
        <tickLblPos val="nextTo"/>
        <spPr>
          <a:noFill/>
          <a:ln w="9525" cap="flat" cmpd="sng" algn="ctr">
            <a:solidFill>
              <a:schemeClr val="tx1"/>
            </a:solidFill>
            <a:prstDash val="solid"/>
            <a:round/>
          </a:ln>
        </spPr>
        <txPr>
          <a:bodyPr rot="-60000000" spcFirstLastPara="1" vertOverflow="ellipsis" vert="horz" wrap="square" anchor="ctr" anchorCtr="1"/>
          <a:lstStyle/>
          <a:p>
            <a:pPr>
              <a:defRPr sz="900" b="0" i="0" strike="noStrike" kern="1200" baseline="0">
                <a:solidFill>
                  <a:schemeClr val="tx1"/>
                </a:solidFill>
                <a:latin typeface="Arial" panose="020B0604020202020204" pitchFamily="34" charset="0"/>
                <a:ea typeface="+mn-ea"/>
                <a:cs typeface="Arial" panose="020B0604020202020204" pitchFamily="34" charset="0"/>
              </a:defRPr>
            </a:pPr>
            <a:r>
              <a:t/>
            </a:r>
            <a:endParaRPr lang="en-US"/>
          </a:p>
        </txPr>
        <crossAx val="80529951"/>
        <crosses val="autoZero"/>
        <auto val="1"/>
        <lblAlgn val="ctr"/>
        <lblOffset val="100"/>
        <tickLblSkip val="1"/>
        <noMultiLvlLbl val="0"/>
      </catAx>
      <valAx>
        <axId val="80529951"/>
        <scaling>
          <orientation val="minMax"/>
        </scaling>
        <delete val="0"/>
        <axPos val="l"/>
        <majorGridlines>
          <spPr>
            <a:l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solidFill>
                <a:latin typeface="Arial" panose="020B0604020202020204" pitchFamily="34" charset="0"/>
                <a:ea typeface="+mn-ea"/>
                <a:cs typeface="Arial" panose="020B0604020202020204" pitchFamily="34" charset="0"/>
              </a:defRPr>
            </a:pPr>
            <a:r>
              <a:t/>
            </a:r>
            <a:endParaRPr lang="en-US"/>
          </a:p>
        </txPr>
        <crossAx val="80530911"/>
        <crosses val="autoZero"/>
        <crossBetween val="between"/>
      </valAx>
    </plotArea>
    <legend>
      <legendPos val="b"/>
      <legendEntry>
        <idx val="1"/>
        <delete val="1"/>
      </legendEntry>
      <layout>
        <manualLayout>
          <xMode val="edge"/>
          <yMode val="edge"/>
          <wMode val="factor"/>
          <hMode val="factor"/>
          <x val="0.3105986763592284"/>
          <y val="0.9014846807515398"/>
          <w val="0.3912487206886361"/>
          <h val="0.0668321509316286"/>
        </manualLayout>
      </layout>
      <overlay val="0"/>
      <spPr>
        <a:noFill/>
        <a:ln>
          <a:noFill/>
          <a:prstDash val="solid"/>
        </a:ln>
      </spPr>
      <txPr>
        <a:bodyPr rot="0" spcFirstLastPara="1" vertOverflow="ellipsis" vert="horz" wrap="square" anchor="ctr" anchorCtr="1"/>
        <a:lstStyle/>
        <a:p>
          <a:pPr>
            <a:defRPr sz="1200" b="0" i="0" strike="noStrike" kern="1200" baseline="0">
              <a:solidFill>
                <a:schemeClr val="tx1"/>
              </a:solidFill>
              <a:latin typeface="+mn-lt"/>
              <a:ea typeface="+mn-ea"/>
              <a:cs typeface="+mn-cs"/>
            </a:defRPr>
          </a:pPr>
          <a:r>
            <a:t/>
          </a:r>
          <a:endParaRPr lang="en-US"/>
        </a:p>
      </txPr>
    </legend>
    <plotVisOnly val="1"/>
    <dispBlanksAs val="gap"/>
  </chart>
  <spPr>
    <a:solidFill>
      <a:schemeClr val="bg1"/>
    </a:solidFill>
    <a:ln w="9525" cap="flat" cmpd="sng" algn="ctr">
      <a:noFill/>
      <a:prstDash val="solid"/>
      <a:round/>
    </a:ln>
  </spPr>
</chartSpace>
</file>

<file path=xl/charts/chart4.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0" i="0" strike="noStrike" kern="1200" spc="0" baseline="0">
                <a:solidFill>
                  <a:sysClr val="windowText" lastClr="000000"/>
                </a:solidFill>
                <a:latin typeface="+mn-lt"/>
                <a:ea typeface="+mn-ea"/>
                <a:cs typeface="+mn-cs"/>
              </a:defRPr>
            </a:pPr>
            <a:r>
              <a:rPr lang="en-GB">
                <a:solidFill>
                  <a:sysClr val="windowText" lastClr="000000"/>
                </a:solidFill>
              </a:rPr>
              <a:t>Number of Vacancies (thousands)</a:t>
            </a:r>
          </a:p>
        </rich>
      </tx>
      <overlay val="0"/>
      <spPr>
        <a:noFill/>
        <a:ln>
          <a:noFill/>
          <a:prstDash val="solid"/>
        </a:ln>
      </spPr>
      <txPr>
        <a:bodyPr rot="0" spcFirstLastPara="1" vertOverflow="ellipsis" vert="horz" wrap="square" anchor="ctr" anchorCtr="1"/>
        <a:lstStyle/>
        <a:p>
          <a:pPr>
            <a:defRPr sz="1400" b="0" i="0" strike="noStrike" kern="1200" spc="0" baseline="0">
              <a:solidFill>
                <a:sysClr val="windowText" lastClr="000000"/>
              </a:solidFill>
              <a:latin typeface="+mn-lt"/>
              <a:ea typeface="+mn-ea"/>
              <a:cs typeface="+mn-cs"/>
            </a:defRPr>
          </a:pPr>
          <a:r>
            <a:t/>
          </a:r>
          <a:endParaRPr lang="en-US"/>
        </a:p>
      </txPr>
    </title>
    <plotArea>
      <layout>
        <manualLayout>
          <layoutTarget val="inner"/>
          <xMode val="edge"/>
          <yMode val="edge"/>
          <wMode val="factor"/>
          <hMode val="factor"/>
          <x val="0.07668397186157061"/>
          <y val="0.1381377620968747"/>
          <w val="0.8978235600040145"/>
          <h val="0.5776971575251374"/>
        </manualLayout>
      </layout>
      <lineChart>
        <grouping val="standard"/>
        <varyColors val="0"/>
        <ser>
          <idx val="0"/>
          <order val="0"/>
          <spPr>
            <a:ln w="28575" cap="rnd">
              <a:solidFill>
                <a:schemeClr val="accent1"/>
              </a:solidFill>
              <a:prstDash val="solid"/>
              <a:round/>
            </a:ln>
          </spPr>
          <marker>
            <symbol val="none"/>
            <spPr>
              <a:ln>
                <a:prstDash val="solid"/>
              </a:ln>
            </spPr>
          </marker>
          <cat>
            <strRef>
              <f>'20'!$A$17:$A$309</f>
              <strCache>
                <ptCount val="293"/>
                <pt idx="0">
                  <v>Apr-Jun 2001</v>
                </pt>
                <pt idx="1">
                  <v>May-Jul 2001</v>
                </pt>
                <pt idx="2">
                  <v>Jun-Aug 2001</v>
                </pt>
                <pt idx="3">
                  <v>Jul-Sep 2001</v>
                </pt>
                <pt idx="4">
                  <v>Aug-Oct 2001</v>
                </pt>
                <pt idx="5">
                  <v>Sep-Nov 2001</v>
                </pt>
                <pt idx="6">
                  <v>Oct-Dec 2001</v>
                </pt>
                <pt idx="7">
                  <v>Nov- Jan 2002</v>
                </pt>
                <pt idx="8">
                  <v>Dec-Feb 2002</v>
                </pt>
                <pt idx="9">
                  <v>Jan-Mar 2002</v>
                </pt>
                <pt idx="10">
                  <v>Feb-Apr 2002</v>
                </pt>
                <pt idx="11">
                  <v>Mar-May 2002</v>
                </pt>
                <pt idx="12">
                  <v>Apr-Jun 2002</v>
                </pt>
                <pt idx="13">
                  <v>May-Jul 2002</v>
                </pt>
                <pt idx="14">
                  <v>Jun-Aug 2002</v>
                </pt>
                <pt idx="15">
                  <v>Jul-Sep 2002</v>
                </pt>
                <pt idx="16">
                  <v>Aug-Oct 2002</v>
                </pt>
                <pt idx="17">
                  <v>Sep-Nov 2002</v>
                </pt>
                <pt idx="18">
                  <v>Oct-Dec 2002</v>
                </pt>
                <pt idx="19">
                  <v>Nov-Jan 2003</v>
                </pt>
                <pt idx="20">
                  <v>Dec-Feb 2003</v>
                </pt>
                <pt idx="21">
                  <v>Jan-Mar 2003</v>
                </pt>
                <pt idx="22">
                  <v>Feb-Apr 2003</v>
                </pt>
                <pt idx="23">
                  <v>Mar-May 2003</v>
                </pt>
                <pt idx="24">
                  <v>Apr-Jun 2003</v>
                </pt>
                <pt idx="25">
                  <v>May-Jul 2003</v>
                </pt>
                <pt idx="26">
                  <v>Jun-Aug 2003</v>
                </pt>
                <pt idx="27">
                  <v>Jul-Sep 2003</v>
                </pt>
                <pt idx="28">
                  <v>Aug-Oct 2003</v>
                </pt>
                <pt idx="29">
                  <v>Sep-Nov 2003</v>
                </pt>
                <pt idx="30">
                  <v>Oct-Dec 2003</v>
                </pt>
                <pt idx="31">
                  <v>Nov-Jan 2004</v>
                </pt>
                <pt idx="32">
                  <v>Dec-Feb 2004</v>
                </pt>
                <pt idx="33">
                  <v>Jan-Mar 2004</v>
                </pt>
                <pt idx="34">
                  <v>Feb-Apr 2004</v>
                </pt>
                <pt idx="35">
                  <v>Mar-May 2004</v>
                </pt>
                <pt idx="36">
                  <v>Apr-Jun 2004</v>
                </pt>
                <pt idx="37">
                  <v>May-Jul 2004</v>
                </pt>
                <pt idx="38">
                  <v>Jun-Aug 2004</v>
                </pt>
                <pt idx="39">
                  <v>Jul-Sep 2004</v>
                </pt>
                <pt idx="40">
                  <v>Aug-Oct 2004</v>
                </pt>
                <pt idx="41">
                  <v>Sep-Nov 2004</v>
                </pt>
                <pt idx="42">
                  <v>Oct-Dec 2004</v>
                </pt>
                <pt idx="43">
                  <v>Nov-Jan 2005</v>
                </pt>
                <pt idx="44">
                  <v>Dec-Feb 2005</v>
                </pt>
                <pt idx="45">
                  <v>Jan-Mar 2005</v>
                </pt>
                <pt idx="46">
                  <v>Feb-Apr 2005</v>
                </pt>
                <pt idx="47">
                  <v>Mar-May 2005</v>
                </pt>
                <pt idx="48">
                  <v>Apr-Jun 2005</v>
                </pt>
                <pt idx="49">
                  <v>May-Jul 2005</v>
                </pt>
                <pt idx="50">
                  <v>Jun-Aug 2005</v>
                </pt>
                <pt idx="51">
                  <v>Jul-Sep 2005</v>
                </pt>
                <pt idx="52">
                  <v>Aug-Oct 2005</v>
                </pt>
                <pt idx="53">
                  <v>Sep-Nov 2005</v>
                </pt>
                <pt idx="54">
                  <v>Oct-Dec 2005</v>
                </pt>
                <pt idx="55">
                  <v>Nov-Jan 2006</v>
                </pt>
                <pt idx="56">
                  <v>Dec-Feb 2006</v>
                </pt>
                <pt idx="57">
                  <v>Jan-Mar 2006</v>
                </pt>
                <pt idx="58">
                  <v>Feb-Apr 2006</v>
                </pt>
                <pt idx="59">
                  <v>Mar-May 2006</v>
                </pt>
                <pt idx="60">
                  <v>Apr-Jun 2006</v>
                </pt>
                <pt idx="61">
                  <v>May-Jul 2006</v>
                </pt>
                <pt idx="62">
                  <v>Jun-Aug 2006</v>
                </pt>
                <pt idx="63">
                  <v>Jul-Sep 2006</v>
                </pt>
                <pt idx="64">
                  <v>Aug-Oct 2006</v>
                </pt>
                <pt idx="65">
                  <v>Sep-Nov 2006</v>
                </pt>
                <pt idx="66">
                  <v>Oct-Dec 2006</v>
                </pt>
                <pt idx="67">
                  <v>Nov-Jan 2007</v>
                </pt>
                <pt idx="68">
                  <v>Dec-Feb 2007</v>
                </pt>
                <pt idx="69">
                  <v>Jan-Mar 2007</v>
                </pt>
                <pt idx="70">
                  <v>Feb-Apr 2007</v>
                </pt>
                <pt idx="71">
                  <v>Mar-May 2007</v>
                </pt>
                <pt idx="72">
                  <v>Apr-Jun 2007</v>
                </pt>
                <pt idx="73">
                  <v>May-Jul 2007</v>
                </pt>
                <pt idx="74">
                  <v>Jun-Aug 2007</v>
                </pt>
                <pt idx="75">
                  <v>Jul-Sep 2007</v>
                </pt>
                <pt idx="76">
                  <v>Aug-Oct 2007</v>
                </pt>
                <pt idx="77">
                  <v>Sep-Nov 2007</v>
                </pt>
                <pt idx="78">
                  <v>Oct-Dec 2007</v>
                </pt>
                <pt idx="79">
                  <v>Nov-Jan 2008</v>
                </pt>
                <pt idx="80">
                  <v>Dec-Feb 2008</v>
                </pt>
                <pt idx="81">
                  <v>Jan-Mar 2008</v>
                </pt>
                <pt idx="82">
                  <v>Feb-Apr 2008</v>
                </pt>
                <pt idx="83">
                  <v>Mar-May 2008</v>
                </pt>
                <pt idx="84">
                  <v>Apr-Jun 2008</v>
                </pt>
                <pt idx="85">
                  <v>May-Jul 2008</v>
                </pt>
                <pt idx="86">
                  <v>Jun-Aug 2008</v>
                </pt>
                <pt idx="87">
                  <v>Jul-Sep 2008</v>
                </pt>
                <pt idx="88">
                  <v>Aug-Oct 2008</v>
                </pt>
                <pt idx="89">
                  <v>Sep-Nov 2008</v>
                </pt>
                <pt idx="90">
                  <v>Oct-Dec 2008</v>
                </pt>
                <pt idx="91">
                  <v>Nov-Jan 2009</v>
                </pt>
                <pt idx="92">
                  <v>Dec-Feb 2009</v>
                </pt>
                <pt idx="93">
                  <v>Jan-Mar 2009</v>
                </pt>
                <pt idx="94">
                  <v>Feb-Apr 2009</v>
                </pt>
                <pt idx="95">
                  <v>Mar-May 2009</v>
                </pt>
                <pt idx="96">
                  <v>Apr-Jun 2009</v>
                </pt>
                <pt idx="97">
                  <v>May-Jul 2009</v>
                </pt>
                <pt idx="98">
                  <v>Jun-Aug 2009</v>
                </pt>
                <pt idx="99">
                  <v>Jul-Sep 2009</v>
                </pt>
                <pt idx="100">
                  <v>Aug-Oct 2009</v>
                </pt>
                <pt idx="101">
                  <v>Sep-Nov 2009</v>
                </pt>
                <pt idx="102">
                  <v>Oct-Dec 2009</v>
                </pt>
                <pt idx="103">
                  <v>Nov-Jan 2010</v>
                </pt>
                <pt idx="104">
                  <v>Dec-Feb 2010</v>
                </pt>
                <pt idx="105">
                  <v>Jan-Mar 2010</v>
                </pt>
                <pt idx="106">
                  <v>Feb-Apr 2010</v>
                </pt>
                <pt idx="107">
                  <v>Mar-May 2010</v>
                </pt>
                <pt idx="108">
                  <v>Apr-Jun 2010</v>
                </pt>
                <pt idx="109">
                  <v>May-Jul 2010</v>
                </pt>
                <pt idx="110">
                  <v>Jun-Aug 2010</v>
                </pt>
                <pt idx="111">
                  <v>Jul-Sep 2010</v>
                </pt>
                <pt idx="112">
                  <v>Aug-Oct 2010</v>
                </pt>
                <pt idx="113">
                  <v>Sep-Nov 2010</v>
                </pt>
                <pt idx="114">
                  <v>Oct-Dec 2010</v>
                </pt>
                <pt idx="115">
                  <v>Nov-Jan 2011</v>
                </pt>
                <pt idx="116">
                  <v>Dec-Feb 2011</v>
                </pt>
                <pt idx="117">
                  <v>Jan-Mar 2011</v>
                </pt>
                <pt idx="118">
                  <v>Feb-Apr 2011</v>
                </pt>
                <pt idx="119">
                  <v>Mar-May 2011</v>
                </pt>
                <pt idx="120">
                  <v>Apr-Jun 2011</v>
                </pt>
                <pt idx="121">
                  <v>May-Jul 2011</v>
                </pt>
                <pt idx="122">
                  <v>Jun-Aug 2011</v>
                </pt>
                <pt idx="123">
                  <v>Jul-Sep 2011</v>
                </pt>
                <pt idx="124">
                  <v>Aug-Oct 2011</v>
                </pt>
                <pt idx="125">
                  <v>Sep-Nov 2011</v>
                </pt>
                <pt idx="126">
                  <v>Oct-Dec 2011</v>
                </pt>
                <pt idx="127">
                  <v>Nov-Jan 2012</v>
                </pt>
                <pt idx="128">
                  <v>Dec-Feb 2012</v>
                </pt>
                <pt idx="129">
                  <v>Jan-Mar 2012</v>
                </pt>
                <pt idx="130">
                  <v>Feb-Apr 2012</v>
                </pt>
                <pt idx="131">
                  <v>Mar-May 2012</v>
                </pt>
                <pt idx="132">
                  <v>Apr-Jun 2012</v>
                </pt>
                <pt idx="133">
                  <v>May-Jul 2012</v>
                </pt>
                <pt idx="134">
                  <v>Jun-Aug 2012</v>
                </pt>
                <pt idx="135">
                  <v>Jul-Sep 2012</v>
                </pt>
                <pt idx="136">
                  <v>Aug-Oct 2012</v>
                </pt>
                <pt idx="137">
                  <v>Sep-Nov 2012</v>
                </pt>
                <pt idx="138">
                  <v>Oct-Dec 2012</v>
                </pt>
                <pt idx="139">
                  <v>Nov-Jan 2013</v>
                </pt>
                <pt idx="140">
                  <v>Dec-Feb 2013</v>
                </pt>
                <pt idx="141">
                  <v>Jan-Mar 2013</v>
                </pt>
                <pt idx="142">
                  <v>Feb-Apr 2013</v>
                </pt>
                <pt idx="143">
                  <v>Mar-May 2013</v>
                </pt>
                <pt idx="144">
                  <v>Apr-Jun 2013</v>
                </pt>
                <pt idx="145">
                  <v>May-Jul 2013</v>
                </pt>
                <pt idx="146">
                  <v>Jun-Aug 2013</v>
                </pt>
                <pt idx="147">
                  <v>Jul-Sep 2013</v>
                </pt>
                <pt idx="148">
                  <v>Aug-Oct 2013</v>
                </pt>
                <pt idx="149">
                  <v>Sep-Nov 2013</v>
                </pt>
                <pt idx="150">
                  <v>Oct-Dec 2013</v>
                </pt>
                <pt idx="151">
                  <v>Nov-Jan 2014</v>
                </pt>
                <pt idx="152">
                  <v>Dec-Feb 2014</v>
                </pt>
                <pt idx="153">
                  <v>Jan-Mar 2014</v>
                </pt>
                <pt idx="154">
                  <v>Feb-Apr 2014</v>
                </pt>
                <pt idx="155">
                  <v>Mar-May 2014</v>
                </pt>
                <pt idx="156">
                  <v>Apr-Jun 2014</v>
                </pt>
                <pt idx="157">
                  <v>May-Jul 2014</v>
                </pt>
                <pt idx="158">
                  <v>Jun-Aug 2014</v>
                </pt>
                <pt idx="159">
                  <v>Jul-Sep 2014</v>
                </pt>
                <pt idx="160">
                  <v>Aug-Oct 2014</v>
                </pt>
                <pt idx="161">
                  <v>Sep-Nov 2014</v>
                </pt>
                <pt idx="162">
                  <v>Oct-Dec 2014</v>
                </pt>
                <pt idx="163">
                  <v>Nov-Jan 2015</v>
                </pt>
                <pt idx="164">
                  <v>Dec-Feb 2015</v>
                </pt>
                <pt idx="165">
                  <v>Jan-Mar 2015</v>
                </pt>
                <pt idx="166">
                  <v>Feb-Apr 2015</v>
                </pt>
                <pt idx="167">
                  <v>Mar-May 2015</v>
                </pt>
                <pt idx="168">
                  <v>Apr-Jun 2015</v>
                </pt>
                <pt idx="169">
                  <v>May-Jul 2015</v>
                </pt>
                <pt idx="170">
                  <v>Jun-Aug 2015</v>
                </pt>
                <pt idx="171">
                  <v>Jul-Sep 2015</v>
                </pt>
                <pt idx="172">
                  <v>Aug-Oct 2015</v>
                </pt>
                <pt idx="173">
                  <v>Sep-Nov 2015</v>
                </pt>
                <pt idx="174">
                  <v>Oct-Dec 2015</v>
                </pt>
                <pt idx="175">
                  <v>Nov-Jan 2016</v>
                </pt>
                <pt idx="176">
                  <v>Dec-Feb 2016</v>
                </pt>
                <pt idx="177">
                  <v>Jan-Mar 2016</v>
                </pt>
                <pt idx="178">
                  <v>Feb-Apr 2016</v>
                </pt>
                <pt idx="179">
                  <v>Mar-May 2016</v>
                </pt>
                <pt idx="180">
                  <v>Apr-Jun 2016</v>
                </pt>
                <pt idx="181">
                  <v>May-Jul 2016</v>
                </pt>
                <pt idx="182">
                  <v>Jun-Aug 2016</v>
                </pt>
                <pt idx="183">
                  <v>Jul-Sep 2016</v>
                </pt>
                <pt idx="184">
                  <v>Aug-Oct 2016</v>
                </pt>
                <pt idx="185">
                  <v>Sep-Nov 2016</v>
                </pt>
                <pt idx="186">
                  <v>Oct-Dec 2016</v>
                </pt>
                <pt idx="187">
                  <v>Nov-Jan 2017</v>
                </pt>
                <pt idx="188">
                  <v>Dec-Feb 2017</v>
                </pt>
                <pt idx="189">
                  <v>Jan-Mar 2017</v>
                </pt>
                <pt idx="190">
                  <v>Feb-Apr 2017</v>
                </pt>
                <pt idx="191">
                  <v>Mar-May 2017</v>
                </pt>
                <pt idx="192">
                  <v>Apr-Jun 2017</v>
                </pt>
                <pt idx="193">
                  <v>May-Jul 2017</v>
                </pt>
                <pt idx="194">
                  <v>Jun-Aug 2017</v>
                </pt>
                <pt idx="195">
                  <v>Jul-Sep 2017</v>
                </pt>
                <pt idx="196">
                  <v>Aug-Oct 2017</v>
                </pt>
                <pt idx="197">
                  <v>Sep-Nov 2017</v>
                </pt>
                <pt idx="198">
                  <v>Oct-Dec 2017</v>
                </pt>
                <pt idx="199">
                  <v>Nov-Jan 2018</v>
                </pt>
                <pt idx="200">
                  <v>Dec-Feb 2018</v>
                </pt>
                <pt idx="201">
                  <v>Jan-Mar 2018</v>
                </pt>
                <pt idx="202">
                  <v>Feb-Apr 2018</v>
                </pt>
                <pt idx="203">
                  <v>Mar-May 2018</v>
                </pt>
                <pt idx="204">
                  <v>Apr-Jun 2018</v>
                </pt>
                <pt idx="205">
                  <v>May-Jul 2018</v>
                </pt>
                <pt idx="206">
                  <v>Jun-Aug 2018</v>
                </pt>
                <pt idx="207">
                  <v>Jul-Sep 2018</v>
                </pt>
                <pt idx="208">
                  <v>Aug-Oct 2018</v>
                </pt>
                <pt idx="209">
                  <v>Sep-Nov 2018</v>
                </pt>
                <pt idx="210">
                  <v>Oct-Dec 2018</v>
                </pt>
                <pt idx="211">
                  <v>Nov-Jan 2019</v>
                </pt>
                <pt idx="212">
                  <v>Dec-Feb 2019</v>
                </pt>
                <pt idx="213">
                  <v>Jan-Mar 2019</v>
                </pt>
                <pt idx="214">
                  <v>Feb-Apr 2019</v>
                </pt>
                <pt idx="215">
                  <v>Mar-May 2019</v>
                </pt>
                <pt idx="216">
                  <v>Apr-Jun 2019</v>
                </pt>
                <pt idx="217">
                  <v>May-Jul 2019</v>
                </pt>
                <pt idx="218">
                  <v>Jun-Aug 2019</v>
                </pt>
                <pt idx="219">
                  <v>Jul-Sep 2019</v>
                </pt>
                <pt idx="220">
                  <v>Aug-Oct 2019</v>
                </pt>
                <pt idx="221">
                  <v>Sep-Nov 2019</v>
                </pt>
                <pt idx="222">
                  <v>Oct-Dec 2019</v>
                </pt>
                <pt idx="223">
                  <v>Nov-Jan 2020</v>
                </pt>
                <pt idx="224">
                  <v>Dec-Feb 2020</v>
                </pt>
                <pt idx="225">
                  <v>Jan-Mar 2020</v>
                </pt>
                <pt idx="226">
                  <v>Feb-Apr 2020</v>
                </pt>
                <pt idx="227">
                  <v>Mar-May 2020</v>
                </pt>
                <pt idx="228">
                  <v>Apr-Jun 2020</v>
                </pt>
                <pt idx="229">
                  <v>May-Jul 2020</v>
                </pt>
                <pt idx="230">
                  <v>Jun-Aug 2020</v>
                </pt>
                <pt idx="231">
                  <v>Jul-Sep 2020</v>
                </pt>
                <pt idx="232">
                  <v>Aug-Oct 2020</v>
                </pt>
                <pt idx="233">
                  <v>Sep-Nov 2020</v>
                </pt>
                <pt idx="234">
                  <v>Oct-Dec 2020</v>
                </pt>
                <pt idx="235">
                  <v>Nov-Jan 2021</v>
                </pt>
                <pt idx="236">
                  <v>Dec-Feb 2021</v>
                </pt>
                <pt idx="237">
                  <v>Jan-Mar 2021</v>
                </pt>
                <pt idx="238">
                  <v>Feb-Apr 2021</v>
                </pt>
                <pt idx="239">
                  <v>Mar-May 2021</v>
                </pt>
                <pt idx="240">
                  <v>Apr-Jun 2021</v>
                </pt>
                <pt idx="241">
                  <v>May-Jul 2021</v>
                </pt>
                <pt idx="242">
                  <v>Jun-Aug 2021</v>
                </pt>
                <pt idx="243">
                  <v>Jul-Sep 2021</v>
                </pt>
                <pt idx="244">
                  <v>Aug-Oct 2021</v>
                </pt>
                <pt idx="245">
                  <v>Sep-Nov 2021</v>
                </pt>
                <pt idx="246">
                  <v>Oct-Dec 2021</v>
                </pt>
                <pt idx="247">
                  <v>Nov-Jan 2022</v>
                </pt>
                <pt idx="248">
                  <v>Dec-Feb 2022</v>
                </pt>
                <pt idx="249">
                  <v>Jan-Mar 2022</v>
                </pt>
                <pt idx="250">
                  <v>Feb-Apr 2022</v>
                </pt>
                <pt idx="251">
                  <v>Mar-May 2022</v>
                </pt>
                <pt idx="252">
                  <v>Apr-Jun 2022</v>
                </pt>
                <pt idx="253">
                  <v>May-Jul 2022</v>
                </pt>
                <pt idx="254">
                  <v>Jun-Aug 2022</v>
                </pt>
                <pt idx="255">
                  <v>Jul-Sep 2022</v>
                </pt>
                <pt idx="256">
                  <v>Aug-Oct 2022</v>
                </pt>
                <pt idx="257">
                  <v>Sep-Nov 2022</v>
                </pt>
                <pt idx="258">
                  <v>Oct-Dec 2022</v>
                </pt>
                <pt idx="259">
                  <v>Nov-Jan 2023</v>
                </pt>
                <pt idx="260">
                  <v>Dec-Feb 2023</v>
                </pt>
                <pt idx="261">
                  <v>Jan-Mar 2023</v>
                </pt>
                <pt idx="262">
                  <v>Feb-Apr 2023</v>
                </pt>
                <pt idx="263">
                  <v>Mar-May 2023</v>
                </pt>
                <pt idx="264">
                  <v>Apr-Jun 2023</v>
                </pt>
                <pt idx="265">
                  <v>May-Jul 2023</v>
                </pt>
                <pt idx="266">
                  <v>Jun-Aug 2023</v>
                </pt>
                <pt idx="267">
                  <v>Jul-Sep 2023</v>
                </pt>
                <pt idx="268">
                  <v>Aug-Oct 2023</v>
                </pt>
                <pt idx="269">
                  <v>Sep-Nov 2023</v>
                </pt>
                <pt idx="270">
                  <v>Oct-Dec 2023</v>
                </pt>
                <pt idx="271">
                  <v>Nov-Jan 2024</v>
                </pt>
                <pt idx="272">
                  <v>Dec-Feb 2024</v>
                </pt>
                <pt idx="273">
                  <v>Jan-Mar 2024</v>
                </pt>
                <pt idx="274">
                  <v>Feb-Apr 2024</v>
                </pt>
                <pt idx="275">
                  <v>Mar-May 2024</v>
                </pt>
                <pt idx="276">
                  <v>Apr-Jun 2024</v>
                </pt>
                <pt idx="277">
                  <v>May-Jul 2024</v>
                </pt>
                <pt idx="278">
                  <v>Jun-Aug 2024</v>
                </pt>
                <pt idx="279">
                  <v>Jul-Sep 2024</v>
                </pt>
                <pt idx="280">
                  <v>Aug-Oct 2024</v>
                </pt>
                <pt idx="281">
                  <v>Sep-Nov 2024</v>
                </pt>
                <pt idx="282">
                  <v>Oct-Dec 2024</v>
                </pt>
                <pt idx="283">
                  <v>Nov-Jan 2025</v>
                </pt>
                <pt idx="284">
                  <v>Dec-Feb 2025</v>
                </pt>
                <pt idx="285">
                  <v>Jan-Mar 2025</v>
                </pt>
                <pt idx="286">
                  <v>Feb-Apr 2025</v>
                </pt>
                <pt idx="287">
                  <v>Mar-May 2025</v>
                </pt>
                <pt idx="288">
                  <v>Apr-Jun 2025</v>
                </pt>
                <pt idx="289">
                  <v>May-Jul 2025</v>
                </pt>
                <pt idx="290">
                  <v>Jun-Aug 2025</v>
                </pt>
                <pt idx="291">
                  <v>Jul-Sep 2025</v>
                </pt>
                <pt idx="292">
                  <v>Aug-Oct 2025</v>
                </pt>
              </strCache>
            </strRef>
          </cat>
          <val>
            <numRef>
              <f>'20'!$C$17:$C$309</f>
              <numCache>
                <formatCode>0</formatCode>
                <ptCount val="293"/>
                <pt idx="0">
                  <v>680</v>
                </pt>
                <pt idx="1">
                  <v>674</v>
                </pt>
                <pt idx="2">
                  <v>663</v>
                </pt>
                <pt idx="3">
                  <v>663</v>
                </pt>
                <pt idx="4">
                  <v>639</v>
                </pt>
                <pt idx="5">
                  <v>626</v>
                </pt>
                <pt idx="6">
                  <v>601</v>
                </pt>
                <pt idx="7">
                  <v>606</v>
                </pt>
                <pt idx="8">
                  <v>616</v>
                </pt>
                <pt idx="9">
                  <v>619</v>
                </pt>
                <pt idx="10">
                  <v>619</v>
                </pt>
                <pt idx="11">
                  <v>613</v>
                </pt>
                <pt idx="12">
                  <v>616</v>
                </pt>
                <pt idx="13">
                  <v>611</v>
                </pt>
                <pt idx="14">
                  <v>613</v>
                </pt>
                <pt idx="15">
                  <v>609</v>
                </pt>
                <pt idx="16">
                  <v>609</v>
                </pt>
                <pt idx="17">
                  <v>608</v>
                </pt>
                <pt idx="18">
                  <v>603</v>
                </pt>
                <pt idx="19">
                  <v>602</v>
                </pt>
                <pt idx="20">
                  <v>596</v>
                </pt>
                <pt idx="21">
                  <v>593</v>
                </pt>
                <pt idx="22">
                  <v>585</v>
                </pt>
                <pt idx="23">
                  <v>589</v>
                </pt>
                <pt idx="24">
                  <v>579</v>
                </pt>
                <pt idx="25">
                  <v>574</v>
                </pt>
                <pt idx="26">
                  <v>576</v>
                </pt>
                <pt idx="27">
                  <formatCode>General</formatCode>
                  <v>592</v>
                </pt>
                <pt idx="28">
                  <formatCode>General</formatCode>
                  <v>604</v>
                </pt>
                <pt idx="29">
                  <formatCode>General</formatCode>
                  <v>610</v>
                </pt>
                <pt idx="30">
                  <v>614</v>
                </pt>
                <pt idx="31">
                  <formatCode>General</formatCode>
                  <v>613</v>
                </pt>
                <pt idx="32">
                  <formatCode>General</formatCode>
                  <v>617</v>
                </pt>
                <pt idx="33">
                  <formatCode>General</formatCode>
                  <v>624</v>
                </pt>
                <pt idx="34">
                  <formatCode>General</formatCode>
                  <v>630</v>
                </pt>
                <pt idx="35">
                  <formatCode>General</formatCode>
                  <v>637</v>
                </pt>
                <pt idx="36">
                  <formatCode>General</formatCode>
                  <v>641</v>
                </pt>
                <pt idx="37">
                  <formatCode>General</formatCode>
                  <v>652</v>
                </pt>
                <pt idx="38">
                  <formatCode>General</formatCode>
                  <v>654</v>
                </pt>
                <pt idx="39">
                  <formatCode>General</formatCode>
                  <v>654</v>
                </pt>
                <pt idx="40">
                  <formatCode>General</formatCode>
                  <v>655</v>
                </pt>
                <pt idx="41">
                  <formatCode>General</formatCode>
                  <v>658</v>
                </pt>
                <pt idx="42">
                  <formatCode>General</formatCode>
                  <v>662</v>
                </pt>
                <pt idx="43">
                  <formatCode>General</formatCode>
                  <v>661</v>
                </pt>
                <pt idx="44">
                  <formatCode>General</formatCode>
                  <v>655</v>
                </pt>
                <pt idx="45">
                  <formatCode>General</formatCode>
                  <v>644</v>
                </pt>
                <pt idx="46">
                  <formatCode>General</formatCode>
                  <v>636</v>
                </pt>
                <pt idx="47">
                  <formatCode>General</formatCode>
                  <v>642</v>
                </pt>
                <pt idx="48">
                  <formatCode>General</formatCode>
                  <v>642</v>
                </pt>
                <pt idx="49">
                  <formatCode>General</formatCode>
                  <v>633</v>
                </pt>
                <pt idx="50">
                  <formatCode>General</formatCode>
                  <v>624</v>
                </pt>
                <pt idx="51">
                  <formatCode>General</formatCode>
                  <v>622</v>
                </pt>
                <pt idx="52">
                  <formatCode>General</formatCode>
                  <v>608</v>
                </pt>
                <pt idx="53">
                  <formatCode>General</formatCode>
                  <v>606</v>
                </pt>
                <pt idx="54">
                  <formatCode>General</formatCode>
                  <v>609</v>
                </pt>
                <pt idx="55">
                  <formatCode>General</formatCode>
                  <v>615</v>
                </pt>
                <pt idx="56">
                  <formatCode>General</formatCode>
                  <v>612</v>
                </pt>
                <pt idx="57">
                  <formatCode>General</formatCode>
                  <v>600</v>
                </pt>
                <pt idx="58">
                  <formatCode>General</formatCode>
                  <v>597</v>
                </pt>
                <pt idx="59">
                  <formatCode>General</formatCode>
                  <v>597</v>
                </pt>
                <pt idx="60">
                  <formatCode>General</formatCode>
                  <v>604</v>
                </pt>
                <pt idx="61">
                  <formatCode>General</formatCode>
                  <v>607</v>
                </pt>
                <pt idx="62">
                  <formatCode>General</formatCode>
                  <v>610</v>
                </pt>
                <pt idx="63">
                  <formatCode>General</formatCode>
                  <v>611</v>
                </pt>
                <pt idx="64">
                  <formatCode>General</formatCode>
                  <v>618</v>
                </pt>
                <pt idx="65">
                  <formatCode>General</formatCode>
                  <v>620</v>
                </pt>
                <pt idx="66">
                  <formatCode>General</formatCode>
                  <v>620</v>
                </pt>
                <pt idx="67">
                  <formatCode>General</formatCode>
                  <v>619</v>
                </pt>
                <pt idx="68">
                  <formatCode>General</formatCode>
                  <v>629</v>
                </pt>
                <pt idx="69">
                  <formatCode>General</formatCode>
                  <v>642</v>
                </pt>
                <pt idx="70">
                  <formatCode>General</formatCode>
                  <v>647</v>
                </pt>
                <pt idx="71">
                  <formatCode>General</formatCode>
                  <v>651</v>
                </pt>
                <pt idx="72">
                  <formatCode>General</formatCode>
                  <v>659</v>
                </pt>
                <pt idx="73">
                  <formatCode>General</formatCode>
                  <v>670</v>
                </pt>
                <pt idx="74">
                  <formatCode>General</formatCode>
                  <v>681</v>
                </pt>
                <pt idx="75">
                  <formatCode>General</formatCode>
                  <v>684</v>
                </pt>
                <pt idx="76">
                  <formatCode>General</formatCode>
                  <v>686</v>
                </pt>
                <pt idx="77">
                  <formatCode>General</formatCode>
                  <v>691</v>
                </pt>
                <pt idx="78">
                  <formatCode>General</formatCode>
                  <v>687</v>
                </pt>
                <pt idx="79">
                  <formatCode>General</formatCode>
                  <v>679</v>
                </pt>
                <pt idx="80">
                  <formatCode>General</formatCode>
                  <v>687</v>
                </pt>
                <pt idx="81">
                  <formatCode>General</formatCode>
                  <v>698</v>
                </pt>
                <pt idx="82">
                  <formatCode>General</formatCode>
                  <v>694</v>
                </pt>
                <pt idx="83">
                  <formatCode>General</formatCode>
                  <v>679</v>
                </pt>
                <pt idx="84">
                  <formatCode>General</formatCode>
                  <v>657</v>
                </pt>
                <pt idx="85">
                  <formatCode>General</formatCode>
                  <v>643</v>
                </pt>
                <pt idx="86">
                  <formatCode>General</formatCode>
                  <v>624</v>
                </pt>
                <pt idx="87">
                  <formatCode>General</formatCode>
                  <v>615</v>
                </pt>
                <pt idx="88">
                  <formatCode>General</formatCode>
                  <v>596</v>
                </pt>
                <pt idx="89">
                  <formatCode>General</formatCode>
                  <v>562</v>
                </pt>
                <pt idx="90">
                  <formatCode>General</formatCode>
                  <v>527</v>
                </pt>
                <pt idx="91">
                  <formatCode>General</formatCode>
                  <v>498</v>
                </pt>
                <pt idx="92">
                  <formatCode>General</formatCode>
                  <v>478</v>
                </pt>
                <pt idx="93">
                  <formatCode>General</formatCode>
                  <v>464</v>
                </pt>
                <pt idx="94">
                  <formatCode>General</formatCode>
                  <v>454</v>
                </pt>
                <pt idx="95">
                  <formatCode>General</formatCode>
                  <v>444</v>
                </pt>
                <pt idx="96">
                  <formatCode>General</formatCode>
                  <v>431</v>
                </pt>
                <pt idx="97">
                  <formatCode>General</formatCode>
                  <v>429</v>
                </pt>
                <pt idx="98">
                  <formatCode>General</formatCode>
                  <v>438</v>
                </pt>
                <pt idx="99">
                  <formatCode>General</formatCode>
                  <v>436</v>
                </pt>
                <pt idx="100">
                  <formatCode>General</formatCode>
                  <v>432</v>
                </pt>
                <pt idx="101">
                  <formatCode>General</formatCode>
                  <v>437</v>
                </pt>
                <pt idx="102">
                  <formatCode>General</formatCode>
                  <v>454</v>
                </pt>
                <pt idx="103">
                  <formatCode>General</formatCode>
                  <v>464</v>
                </pt>
                <pt idx="104">
                  <formatCode>General</formatCode>
                  <v>467</v>
                </pt>
                <pt idx="105">
                  <formatCode>General</formatCode>
                  <v>465</v>
                </pt>
                <pt idx="106">
                  <formatCode>General</formatCode>
                  <v>467</v>
                </pt>
                <pt idx="107">
                  <formatCode>General</formatCode>
                  <v>479</v>
                </pt>
                <pt idx="108">
                  <formatCode>General</formatCode>
                  <v>484</v>
                </pt>
                <pt idx="109">
                  <formatCode>General</formatCode>
                  <v>479</v>
                </pt>
                <pt idx="110">
                  <formatCode>General</formatCode>
                  <v>461</v>
                </pt>
                <pt idx="111">
                  <formatCode>General</formatCode>
                  <v>455</v>
                </pt>
                <pt idx="112">
                  <formatCode>General</formatCode>
                  <v>455</v>
                </pt>
                <pt idx="113">
                  <formatCode>General</formatCode>
                  <v>474</v>
                </pt>
                <pt idx="114">
                  <formatCode>General</formatCode>
                  <v>483</v>
                </pt>
                <pt idx="115">
                  <formatCode>General</formatCode>
                  <v>495</v>
                </pt>
                <pt idx="116">
                  <formatCode>General</formatCode>
                  <v>490</v>
                </pt>
                <pt idx="117">
                  <formatCode>General</formatCode>
                  <v>483</v>
                </pt>
                <pt idx="118">
                  <formatCode>General</formatCode>
                  <v>472</v>
                </pt>
                <pt idx="119">
                  <formatCode>General</formatCode>
                  <v>461</v>
                </pt>
                <pt idx="120">
                  <formatCode>General</formatCode>
                  <v>460</v>
                </pt>
                <pt idx="121">
                  <formatCode>General</formatCode>
                  <v>457</v>
                </pt>
                <pt idx="122">
                  <formatCode>General</formatCode>
                  <v>462</v>
                </pt>
                <pt idx="123">
                  <formatCode>General</formatCode>
                  <v>464</v>
                </pt>
                <pt idx="124">
                  <formatCode>General</formatCode>
                  <v>467</v>
                </pt>
                <pt idx="125">
                  <formatCode>General</formatCode>
                  <v>462</v>
                </pt>
                <pt idx="126">
                  <formatCode>General</formatCode>
                  <v>465</v>
                </pt>
                <pt idx="127">
                  <formatCode>General</formatCode>
                  <v>476</v>
                </pt>
                <pt idx="128">
                  <formatCode>General</formatCode>
                  <v>473</v>
                </pt>
                <pt idx="129">
                  <formatCode>General</formatCode>
                  <v>467</v>
                </pt>
                <pt idx="130">
                  <formatCode>General</formatCode>
                  <v>465</v>
                </pt>
                <pt idx="131">
                  <formatCode>General</formatCode>
                  <v>470</v>
                </pt>
                <pt idx="132">
                  <formatCode>General</formatCode>
                  <v>474</v>
                </pt>
                <pt idx="133">
                  <formatCode>General</formatCode>
                  <v>479</v>
                </pt>
                <pt idx="134">
                  <formatCode>General</formatCode>
                  <v>483</v>
                </pt>
                <pt idx="135">
                  <formatCode>General</formatCode>
                  <v>487</v>
                </pt>
                <pt idx="136">
                  <formatCode>General</formatCode>
                  <v>490</v>
                </pt>
                <pt idx="137">
                  <formatCode>General</formatCode>
                  <v>493</v>
                </pt>
                <pt idx="138">
                  <formatCode>General</formatCode>
                  <v>501</v>
                </pt>
                <pt idx="139">
                  <formatCode>General</formatCode>
                  <v>503</v>
                </pt>
                <pt idx="140">
                  <formatCode>General</formatCode>
                  <v>505</v>
                </pt>
                <pt idx="141">
                  <formatCode>General</formatCode>
                  <v>506</v>
                </pt>
                <pt idx="142">
                  <formatCode>General</formatCode>
                  <v>515</v>
                </pt>
                <pt idx="143">
                  <formatCode>General</formatCode>
                  <v>522</v>
                </pt>
                <pt idx="144">
                  <formatCode>General</formatCode>
                  <v>533</v>
                </pt>
                <pt idx="145">
                  <formatCode>General</formatCode>
                  <v>539</v>
                </pt>
                <pt idx="146">
                  <formatCode>General</formatCode>
                  <v>536</v>
                </pt>
                <pt idx="147">
                  <formatCode>General</formatCode>
                  <v>547</v>
                </pt>
                <pt idx="148">
                  <formatCode>General</formatCode>
                  <v>552</v>
                </pt>
                <pt idx="149">
                  <formatCode>General</formatCode>
                  <v>567</v>
                </pt>
                <pt idx="150">
                  <formatCode>General</formatCode>
                  <v>573</v>
                </pt>
                <pt idx="151">
                  <formatCode>General</formatCode>
                  <v>584</v>
                </pt>
                <pt idx="152">
                  <formatCode>General</formatCode>
                  <v>596</v>
                </pt>
                <pt idx="153">
                  <formatCode>General</formatCode>
                  <v>616</v>
                </pt>
                <pt idx="154">
                  <formatCode>General</formatCode>
                  <v>639</v>
                </pt>
                <pt idx="155">
                  <formatCode>General</formatCode>
                  <v>653</v>
                </pt>
                <pt idx="156">
                  <formatCode>General</formatCode>
                  <v>661</v>
                </pt>
                <pt idx="157">
                  <formatCode>General</formatCode>
                  <v>669</v>
                </pt>
                <pt idx="158">
                  <formatCode>General</formatCode>
                  <v>681</v>
                </pt>
                <pt idx="159">
                  <formatCode>General</formatCode>
                  <v>686</v>
                </pt>
                <pt idx="160">
                  <formatCode>General</formatCode>
                  <v>702</v>
                </pt>
                <pt idx="161">
                  <formatCode>General</formatCode>
                  <v>702</v>
                </pt>
                <pt idx="162">
                  <formatCode>General</formatCode>
                  <v>708</v>
                </pt>
                <pt idx="163">
                  <formatCode>General</formatCode>
                  <v>712</v>
                </pt>
                <pt idx="164">
                  <formatCode>General</formatCode>
                  <v>722</v>
                </pt>
                <pt idx="165">
                  <formatCode>General</formatCode>
                  <v>730</v>
                </pt>
                <pt idx="166">
                  <formatCode>General</formatCode>
                  <v>726</v>
                </pt>
                <pt idx="167">
                  <formatCode>General</formatCode>
                  <v>727</v>
                </pt>
                <pt idx="168">
                  <formatCode>General</formatCode>
                  <v>730</v>
                </pt>
                <pt idx="169">
                  <formatCode>General</formatCode>
                  <v>741</v>
                </pt>
                <pt idx="170">
                  <formatCode>General</formatCode>
                  <v>742</v>
                </pt>
                <pt idx="171">
                  <formatCode>General</formatCode>
                  <v>741</v>
                </pt>
                <pt idx="172">
                  <formatCode>General</formatCode>
                  <v>741</v>
                </pt>
                <pt idx="173">
                  <formatCode>General</formatCode>
                  <v>741</v>
                </pt>
                <pt idx="174">
                  <formatCode>General</formatCode>
                  <v>746</v>
                </pt>
                <pt idx="175">
                  <formatCode>General</formatCode>
                  <v>750</v>
                </pt>
                <pt idx="176">
                  <formatCode>General</formatCode>
                  <v>748</v>
                </pt>
                <pt idx="177">
                  <formatCode>General</formatCode>
                  <v>748</v>
                </pt>
                <pt idx="178">
                  <formatCode>General</formatCode>
                  <v>742</v>
                </pt>
                <pt idx="179">
                  <formatCode>General</formatCode>
                  <v>745</v>
                </pt>
                <pt idx="180">
                  <formatCode>General</formatCode>
                  <v>746</v>
                </pt>
                <pt idx="181">
                  <formatCode>General</formatCode>
                  <v>747</v>
                </pt>
                <pt idx="182">
                  <formatCode>General</formatCode>
                  <v>752</v>
                </pt>
                <pt idx="183">
                  <formatCode>General</formatCode>
                  <v>753</v>
                </pt>
                <pt idx="184">
                  <formatCode>General</formatCode>
                  <v>765</v>
                </pt>
                <pt idx="185">
                  <formatCode>General</formatCode>
                  <v>758</v>
                </pt>
                <pt idx="186">
                  <formatCode>General</formatCode>
                  <v>755</v>
                </pt>
                <pt idx="187">
                  <formatCode>General</formatCode>
                  <v>748</v>
                </pt>
                <pt idx="188">
                  <formatCode>General</formatCode>
                  <v>764</v>
                </pt>
                <pt idx="189">
                  <formatCode>General</formatCode>
                  <v>771</v>
                </pt>
                <pt idx="190">
                  <formatCode>General</formatCode>
                  <v>791</v>
                </pt>
                <pt idx="191">
                  <formatCode>General</formatCode>
                  <v>786</v>
                </pt>
                <pt idx="192">
                  <formatCode>General</formatCode>
                  <v>786</v>
                </pt>
                <pt idx="193">
                  <formatCode>General</formatCode>
                  <v>784</v>
                </pt>
                <pt idx="194">
                  <formatCode>General</formatCode>
                  <v>793</v>
                </pt>
                <pt idx="195">
                  <formatCode>General</formatCode>
                  <v>800</v>
                </pt>
                <pt idx="196">
                  <formatCode>General</formatCode>
                  <v>812</v>
                </pt>
                <pt idx="197">
                  <formatCode>General</formatCode>
                  <v>819</v>
                </pt>
                <pt idx="198">
                  <formatCode>General</formatCode>
                  <v>820</v>
                </pt>
                <pt idx="199">
                  <formatCode>General</formatCode>
                  <v>817</v>
                </pt>
                <pt idx="200">
                  <formatCode>General</formatCode>
                  <v>814</v>
                </pt>
                <pt idx="201">
                  <formatCode>General</formatCode>
                  <v>815</v>
                </pt>
                <pt idx="202">
                  <formatCode>General</formatCode>
                  <v>811</v>
                </pt>
                <pt idx="203">
                  <formatCode>General</formatCode>
                  <v>821</v>
                </pt>
                <pt idx="204">
                  <formatCode>General</formatCode>
                  <v>832</v>
                </pt>
                <pt idx="205">
                  <formatCode>General</formatCode>
                  <v>837</v>
                </pt>
                <pt idx="206">
                  <formatCode>General</formatCode>
                  <v>842</v>
                </pt>
                <pt idx="207">
                  <formatCode>General</formatCode>
                  <v>846</v>
                </pt>
                <pt idx="208">
                  <formatCode>General</formatCode>
                  <v>864</v>
                </pt>
                <pt idx="209">
                  <formatCode>General</formatCode>
                  <v>862</v>
                </pt>
                <pt idx="210">
                  <formatCode>General</formatCode>
                  <v>856</v>
                </pt>
                <pt idx="211">
                  <formatCode>General</formatCode>
                  <v>855</v>
                </pt>
                <pt idx="212">
                  <formatCode>General</formatCode>
                  <v>847</v>
                </pt>
                <pt idx="213">
                  <formatCode>General</formatCode>
                  <v>845</v>
                </pt>
                <pt idx="214">
                  <formatCode>General</formatCode>
                  <v>840</v>
                </pt>
                <pt idx="215">
                  <formatCode>General</formatCode>
                  <v>835</v>
                </pt>
                <pt idx="216">
                  <formatCode>General</formatCode>
                  <v>822</v>
                </pt>
                <pt idx="217">
                  <formatCode>General</formatCode>
                  <v>821</v>
                </pt>
                <pt idx="218">
                  <formatCode>General</formatCode>
                  <v>815</v>
                </pt>
                <pt idx="219">
                  <formatCode>General</formatCode>
                  <v>818</v>
                </pt>
                <pt idx="220">
                  <formatCode>General</formatCode>
                  <v>813</v>
                </pt>
                <pt idx="221">
                  <formatCode>General</formatCode>
                  <v>809</v>
                </pt>
                <pt idx="222">
                  <formatCode>General</formatCode>
                  <v>811</v>
                </pt>
                <pt idx="223">
                  <formatCode>General</formatCode>
                  <v>812</v>
                </pt>
                <pt idx="224">
                  <v>819</v>
                </pt>
                <pt idx="225">
                  <v>795</v>
                </pt>
                <pt idx="226">
                  <v>637</v>
                </pt>
                <pt idx="227">
                  <v>471</v>
                </pt>
                <pt idx="228">
                  <v>328</v>
                </pt>
                <pt idx="229">
                  <v>369</v>
                </pt>
                <pt idx="230">
                  <v>428</v>
                </pt>
                <pt idx="231">
                  <v>490</v>
                </pt>
                <pt idx="232">
                  <v>535</v>
                </pt>
                <pt idx="233">
                  <v>560</v>
                </pt>
                <pt idx="234">
                  <v>602</v>
                </pt>
                <pt idx="235">
                  <v>617</v>
                </pt>
                <pt idx="236">
                  <v>621</v>
                </pt>
                <pt idx="237">
                  <v>626</v>
                </pt>
                <pt idx="238">
                  <v>659</v>
                </pt>
                <pt idx="239">
                  <v>764</v>
                </pt>
                <pt idx="240">
                  <v>867</v>
                </pt>
                <pt idx="241">
                  <v>968</v>
                </pt>
                <pt idx="242">
                  <v>1052</v>
                </pt>
                <pt idx="243">
                  <v>1125</v>
                </pt>
                <pt idx="244">
                  <v>1198</v>
                </pt>
                <pt idx="245">
                  <v>1223</v>
                </pt>
                <pt idx="246">
                  <v>1243</v>
                </pt>
                <pt idx="247">
                  <v>1250</v>
                </pt>
                <pt idx="248">
                  <v>1267</v>
                </pt>
                <pt idx="249">
                  <v>1276</v>
                </pt>
                <pt idx="250">
                  <v>1291</v>
                </pt>
                <pt idx="251">
                  <v>1300</v>
                </pt>
                <pt idx="252">
                  <v>1290</v>
                </pt>
                <pt idx="253">
                  <v>1263</v>
                </pt>
                <pt idx="254">
                  <v>1244</v>
                </pt>
                <pt idx="255">
                  <v>1222</v>
                </pt>
                <pt idx="256">
                  <v>1208</v>
                </pt>
                <pt idx="257">
                  <v>1167</v>
                </pt>
                <pt idx="258">
                  <v>1138</v>
                </pt>
                <pt idx="259">
                  <v>1114</v>
                </pt>
                <pt idx="260">
                  <v>1112</v>
                </pt>
                <pt idx="261">
                  <v>1104</v>
                </pt>
                <pt idx="262">
                  <v>1075</v>
                </pt>
                <pt idx="263">
                  <v>1043</v>
                </pt>
                <pt idx="264">
                  <v>1025</v>
                </pt>
                <pt idx="265">
                  <v>1010</v>
                </pt>
                <pt idx="266">
                  <v>988</v>
                </pt>
                <pt idx="267">
                  <v>973</v>
                </pt>
                <pt idx="268">
                  <v>952</v>
                </pt>
                <pt idx="269">
                  <v>948</v>
                </pt>
                <pt idx="270">
                  <v>924</v>
                </pt>
                <pt idx="271">
                  <v>916</v>
                </pt>
                <pt idx="272">
                  <v>904</v>
                </pt>
                <pt idx="273">
                  <v>905</v>
                </pt>
                <pt idx="274">
                  <v>892</v>
                </pt>
                <pt idx="275">
                  <v>886</v>
                </pt>
                <pt idx="276">
                  <v>870</v>
                </pt>
                <pt idx="277">
                  <v>863</v>
                </pt>
                <pt idx="278">
                  <v>847</v>
                </pt>
                <pt idx="279">
                  <v>832</v>
                </pt>
                <pt idx="280">
                  <v>822</v>
                </pt>
                <pt idx="281">
                  <v>807</v>
                </pt>
                <pt idx="282">
                  <formatCode>General</formatCode>
                  <v>806</v>
                </pt>
                <pt idx="283">
                  <formatCode>General</formatCode>
                  <v>804</v>
                </pt>
                <pt idx="284">
                  <formatCode>General</formatCode>
                  <v>799</v>
                </pt>
                <pt idx="285">
                  <formatCode>General</formatCode>
                  <v>783</v>
                </pt>
                <pt idx="286">
                  <formatCode>General</formatCode>
                  <v>762</v>
                </pt>
                <pt idx="287">
                  <formatCode>General</formatCode>
                  <v>739</v>
                </pt>
                <pt idx="288">
                  <formatCode>General</formatCode>
                  <v>726</v>
                </pt>
                <pt idx="289">
                  <formatCode>General</formatCode>
                  <v>722</v>
                </pt>
                <pt idx="290">
                  <formatCode>General</formatCode>
                  <v>731</v>
                </pt>
                <pt idx="291">
                  <formatCode>General</formatCode>
                  <v>725</v>
                </pt>
                <pt idx="292">
                  <formatCode>General</formatCode>
                  <v>725</v>
                </pt>
              </numCache>
            </numRef>
          </val>
          <smooth val="0"/>
        </ser>
        <dLbls>
          <showLegendKey val="0"/>
          <showVal val="0"/>
          <showCatName val="0"/>
          <showSerName val="0"/>
          <showPercent val="0"/>
          <showBubbleSize val="0"/>
        </dLbls>
        <smooth val="0"/>
        <axId val="1685189407"/>
        <axId val="1685191327"/>
      </lineChart>
      <catAx>
        <axId val="1685189407"/>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ysClr val="windowText" lastClr="000000"/>
                </a:solidFill>
                <a:latin typeface="+mn-lt"/>
                <a:ea typeface="+mn-ea"/>
                <a:cs typeface="+mn-cs"/>
              </a:defRPr>
            </a:pPr>
            <a:r>
              <a:t/>
            </a:r>
            <a:endParaRPr lang="en-US"/>
          </a:p>
        </txPr>
        <crossAx val="1685191327"/>
        <crosses val="autoZero"/>
        <auto val="1"/>
        <lblAlgn val="ctr"/>
        <lblOffset val="100"/>
        <noMultiLvlLbl val="0"/>
      </catAx>
      <valAx>
        <axId val="1685191327"/>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ysClr val="windowText" lastClr="000000"/>
                </a:solidFill>
                <a:latin typeface="+mn-lt"/>
                <a:ea typeface="+mn-ea"/>
                <a:cs typeface="+mn-cs"/>
              </a:defRPr>
            </a:pPr>
            <a:r>
              <a:t/>
            </a:r>
            <a:endParaRPr lang="en-US"/>
          </a:p>
        </txPr>
        <crossAx val="1685189407"/>
        <crosses val="autoZero"/>
        <crossBetween val="between"/>
      </valAx>
    </plotArea>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5.xml><?xml version="1.0" encoding="utf-8"?>
<chartSpace xmlns:a="http://schemas.openxmlformats.org/drawingml/2006/main" xmlns="http://schemas.openxmlformats.org/drawingml/2006/chart">
  <chart>
    <title>
      <tx>
        <rich>
          <a:bodyPr/>
          <a:p>
            <a:r>
              <a:t/>
            </a:r>
          </a:p>
        </rich>
      </tx>
      <overlay val="0"/>
      <spPr>
        <a:noFill/>
        <a:ln>
          <a:noFill/>
          <a:prstDash val="solid"/>
        </a:ln>
      </spPr>
      <txPr>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t/>
          </a:r>
          <a:endParaRPr lang="en-US"/>
        </a:p>
      </txPr>
    </title>
    <plotArea>
      <layout/>
      <lineChart>
        <grouping val="standard"/>
        <varyColors val="0"/>
        <ser>
          <idx val="0"/>
          <order val="0"/>
          <spPr>
            <a:ln w="28575" cap="rnd">
              <a:solidFill>
                <a:schemeClr val="accent1"/>
              </a:solidFill>
              <a:prstDash val="solid"/>
              <a:round/>
            </a:ln>
          </spPr>
          <marker>
            <symbol val="none"/>
            <spPr>
              <a:ln>
                <a:prstDash val="solid"/>
              </a:ln>
            </spPr>
          </marker>
          <cat>
            <strRef>
              <f>'20'!$A$17:$A$308</f>
              <strCache>
                <ptCount val="292"/>
                <pt idx="0">
                  <v>Apr-Jun 2001</v>
                </pt>
                <pt idx="1">
                  <v>May-Jul 2001</v>
                </pt>
                <pt idx="2">
                  <v>Jun-Aug 2001</v>
                </pt>
                <pt idx="3">
                  <v>Jul-Sep 2001</v>
                </pt>
                <pt idx="4">
                  <v>Aug-Oct 2001</v>
                </pt>
                <pt idx="5">
                  <v>Sep-Nov 2001</v>
                </pt>
                <pt idx="6">
                  <v>Oct-Dec 2001</v>
                </pt>
                <pt idx="7">
                  <v>Nov- Jan 2002</v>
                </pt>
                <pt idx="8">
                  <v>Dec-Feb 2002</v>
                </pt>
                <pt idx="9">
                  <v>Jan-Mar 2002</v>
                </pt>
                <pt idx="10">
                  <v>Feb-Apr 2002</v>
                </pt>
                <pt idx="11">
                  <v>Mar-May 2002</v>
                </pt>
                <pt idx="12">
                  <v>Apr-Jun 2002</v>
                </pt>
                <pt idx="13">
                  <v>May-Jul 2002</v>
                </pt>
                <pt idx="14">
                  <v>Jun-Aug 2002</v>
                </pt>
                <pt idx="15">
                  <v>Jul-Sep 2002</v>
                </pt>
                <pt idx="16">
                  <v>Aug-Oct 2002</v>
                </pt>
                <pt idx="17">
                  <v>Sep-Nov 2002</v>
                </pt>
                <pt idx="18">
                  <v>Oct-Dec 2002</v>
                </pt>
                <pt idx="19">
                  <v>Nov-Jan 2003</v>
                </pt>
                <pt idx="20">
                  <v>Dec-Feb 2003</v>
                </pt>
                <pt idx="21">
                  <v>Jan-Mar 2003</v>
                </pt>
                <pt idx="22">
                  <v>Feb-Apr 2003</v>
                </pt>
                <pt idx="23">
                  <v>Mar-May 2003</v>
                </pt>
                <pt idx="24">
                  <v>Apr-Jun 2003</v>
                </pt>
                <pt idx="25">
                  <v>May-Jul 2003</v>
                </pt>
                <pt idx="26">
                  <v>Jun-Aug 2003</v>
                </pt>
                <pt idx="27">
                  <v>Jul-Sep 2003</v>
                </pt>
                <pt idx="28">
                  <v>Aug-Oct 2003</v>
                </pt>
                <pt idx="29">
                  <v>Sep-Nov 2003</v>
                </pt>
                <pt idx="30">
                  <v>Oct-Dec 2003</v>
                </pt>
                <pt idx="31">
                  <v>Nov-Jan 2004</v>
                </pt>
                <pt idx="32">
                  <v>Dec-Feb 2004</v>
                </pt>
                <pt idx="33">
                  <v>Jan-Mar 2004</v>
                </pt>
                <pt idx="34">
                  <v>Feb-Apr 2004</v>
                </pt>
                <pt idx="35">
                  <v>Mar-May 2004</v>
                </pt>
                <pt idx="36">
                  <v>Apr-Jun 2004</v>
                </pt>
                <pt idx="37">
                  <v>May-Jul 2004</v>
                </pt>
                <pt idx="38">
                  <v>Jun-Aug 2004</v>
                </pt>
                <pt idx="39">
                  <v>Jul-Sep 2004</v>
                </pt>
                <pt idx="40">
                  <v>Aug-Oct 2004</v>
                </pt>
                <pt idx="41">
                  <v>Sep-Nov 2004</v>
                </pt>
                <pt idx="42">
                  <v>Oct-Dec 2004</v>
                </pt>
                <pt idx="43">
                  <v>Nov-Jan 2005</v>
                </pt>
                <pt idx="44">
                  <v>Dec-Feb 2005</v>
                </pt>
                <pt idx="45">
                  <v>Jan-Mar 2005</v>
                </pt>
                <pt idx="46">
                  <v>Feb-Apr 2005</v>
                </pt>
                <pt idx="47">
                  <v>Mar-May 2005</v>
                </pt>
                <pt idx="48">
                  <v>Apr-Jun 2005</v>
                </pt>
                <pt idx="49">
                  <v>May-Jul 2005</v>
                </pt>
                <pt idx="50">
                  <v>Jun-Aug 2005</v>
                </pt>
                <pt idx="51">
                  <v>Jul-Sep 2005</v>
                </pt>
                <pt idx="52">
                  <v>Aug-Oct 2005</v>
                </pt>
                <pt idx="53">
                  <v>Sep-Nov 2005</v>
                </pt>
                <pt idx="54">
                  <v>Oct-Dec 2005</v>
                </pt>
                <pt idx="55">
                  <v>Nov-Jan 2006</v>
                </pt>
                <pt idx="56">
                  <v>Dec-Feb 2006</v>
                </pt>
                <pt idx="57">
                  <v>Jan-Mar 2006</v>
                </pt>
                <pt idx="58">
                  <v>Feb-Apr 2006</v>
                </pt>
                <pt idx="59">
                  <v>Mar-May 2006</v>
                </pt>
                <pt idx="60">
                  <v>Apr-Jun 2006</v>
                </pt>
                <pt idx="61">
                  <v>May-Jul 2006</v>
                </pt>
                <pt idx="62">
                  <v>Jun-Aug 2006</v>
                </pt>
                <pt idx="63">
                  <v>Jul-Sep 2006</v>
                </pt>
                <pt idx="64">
                  <v>Aug-Oct 2006</v>
                </pt>
                <pt idx="65">
                  <v>Sep-Nov 2006</v>
                </pt>
                <pt idx="66">
                  <v>Oct-Dec 2006</v>
                </pt>
                <pt idx="67">
                  <v>Nov-Jan 2007</v>
                </pt>
                <pt idx="68">
                  <v>Dec-Feb 2007</v>
                </pt>
                <pt idx="69">
                  <v>Jan-Mar 2007</v>
                </pt>
                <pt idx="70">
                  <v>Feb-Apr 2007</v>
                </pt>
                <pt idx="71">
                  <v>Mar-May 2007</v>
                </pt>
                <pt idx="72">
                  <v>Apr-Jun 2007</v>
                </pt>
                <pt idx="73">
                  <v>May-Jul 2007</v>
                </pt>
                <pt idx="74">
                  <v>Jun-Aug 2007</v>
                </pt>
                <pt idx="75">
                  <v>Jul-Sep 2007</v>
                </pt>
                <pt idx="76">
                  <v>Aug-Oct 2007</v>
                </pt>
                <pt idx="77">
                  <v>Sep-Nov 2007</v>
                </pt>
                <pt idx="78">
                  <v>Oct-Dec 2007</v>
                </pt>
                <pt idx="79">
                  <v>Nov-Jan 2008</v>
                </pt>
                <pt idx="80">
                  <v>Dec-Feb 2008</v>
                </pt>
                <pt idx="81">
                  <v>Jan-Mar 2008</v>
                </pt>
                <pt idx="82">
                  <v>Feb-Apr 2008</v>
                </pt>
                <pt idx="83">
                  <v>Mar-May 2008</v>
                </pt>
                <pt idx="84">
                  <v>Apr-Jun 2008</v>
                </pt>
                <pt idx="85">
                  <v>May-Jul 2008</v>
                </pt>
                <pt idx="86">
                  <v>Jun-Aug 2008</v>
                </pt>
                <pt idx="87">
                  <v>Jul-Sep 2008</v>
                </pt>
                <pt idx="88">
                  <v>Aug-Oct 2008</v>
                </pt>
                <pt idx="89">
                  <v>Sep-Nov 2008</v>
                </pt>
                <pt idx="90">
                  <v>Oct-Dec 2008</v>
                </pt>
                <pt idx="91">
                  <v>Nov-Jan 2009</v>
                </pt>
                <pt idx="92">
                  <v>Dec-Feb 2009</v>
                </pt>
                <pt idx="93">
                  <v>Jan-Mar 2009</v>
                </pt>
                <pt idx="94">
                  <v>Feb-Apr 2009</v>
                </pt>
                <pt idx="95">
                  <v>Mar-May 2009</v>
                </pt>
                <pt idx="96">
                  <v>Apr-Jun 2009</v>
                </pt>
                <pt idx="97">
                  <v>May-Jul 2009</v>
                </pt>
                <pt idx="98">
                  <v>Jun-Aug 2009</v>
                </pt>
                <pt idx="99">
                  <v>Jul-Sep 2009</v>
                </pt>
                <pt idx="100">
                  <v>Aug-Oct 2009</v>
                </pt>
                <pt idx="101">
                  <v>Sep-Nov 2009</v>
                </pt>
                <pt idx="102">
                  <v>Oct-Dec 2009</v>
                </pt>
                <pt idx="103">
                  <v>Nov-Jan 2010</v>
                </pt>
                <pt idx="104">
                  <v>Dec-Feb 2010</v>
                </pt>
                <pt idx="105">
                  <v>Jan-Mar 2010</v>
                </pt>
                <pt idx="106">
                  <v>Feb-Apr 2010</v>
                </pt>
                <pt idx="107">
                  <v>Mar-May 2010</v>
                </pt>
                <pt idx="108">
                  <v>Apr-Jun 2010</v>
                </pt>
                <pt idx="109">
                  <v>May-Jul 2010</v>
                </pt>
                <pt idx="110">
                  <v>Jun-Aug 2010</v>
                </pt>
                <pt idx="111">
                  <v>Jul-Sep 2010</v>
                </pt>
                <pt idx="112">
                  <v>Aug-Oct 2010</v>
                </pt>
                <pt idx="113">
                  <v>Sep-Nov 2010</v>
                </pt>
                <pt idx="114">
                  <v>Oct-Dec 2010</v>
                </pt>
                <pt idx="115">
                  <v>Nov-Jan 2011</v>
                </pt>
                <pt idx="116">
                  <v>Dec-Feb 2011</v>
                </pt>
                <pt idx="117">
                  <v>Jan-Mar 2011</v>
                </pt>
                <pt idx="118">
                  <v>Feb-Apr 2011</v>
                </pt>
                <pt idx="119">
                  <v>Mar-May 2011</v>
                </pt>
                <pt idx="120">
                  <v>Apr-Jun 2011</v>
                </pt>
                <pt idx="121">
                  <v>May-Jul 2011</v>
                </pt>
                <pt idx="122">
                  <v>Jun-Aug 2011</v>
                </pt>
                <pt idx="123">
                  <v>Jul-Sep 2011</v>
                </pt>
                <pt idx="124">
                  <v>Aug-Oct 2011</v>
                </pt>
                <pt idx="125">
                  <v>Sep-Nov 2011</v>
                </pt>
                <pt idx="126">
                  <v>Oct-Dec 2011</v>
                </pt>
                <pt idx="127">
                  <v>Nov-Jan 2012</v>
                </pt>
                <pt idx="128">
                  <v>Dec-Feb 2012</v>
                </pt>
                <pt idx="129">
                  <v>Jan-Mar 2012</v>
                </pt>
                <pt idx="130">
                  <v>Feb-Apr 2012</v>
                </pt>
                <pt idx="131">
                  <v>Mar-May 2012</v>
                </pt>
                <pt idx="132">
                  <v>Apr-Jun 2012</v>
                </pt>
                <pt idx="133">
                  <v>May-Jul 2012</v>
                </pt>
                <pt idx="134">
                  <v>Jun-Aug 2012</v>
                </pt>
                <pt idx="135">
                  <v>Jul-Sep 2012</v>
                </pt>
                <pt idx="136">
                  <v>Aug-Oct 2012</v>
                </pt>
                <pt idx="137">
                  <v>Sep-Nov 2012</v>
                </pt>
                <pt idx="138">
                  <v>Oct-Dec 2012</v>
                </pt>
                <pt idx="139">
                  <v>Nov-Jan 2013</v>
                </pt>
                <pt idx="140">
                  <v>Dec-Feb 2013</v>
                </pt>
                <pt idx="141">
                  <v>Jan-Mar 2013</v>
                </pt>
                <pt idx="142">
                  <v>Feb-Apr 2013</v>
                </pt>
                <pt idx="143">
                  <v>Mar-May 2013</v>
                </pt>
                <pt idx="144">
                  <v>Apr-Jun 2013</v>
                </pt>
                <pt idx="145">
                  <v>May-Jul 2013</v>
                </pt>
                <pt idx="146">
                  <v>Jun-Aug 2013</v>
                </pt>
                <pt idx="147">
                  <v>Jul-Sep 2013</v>
                </pt>
                <pt idx="148">
                  <v>Aug-Oct 2013</v>
                </pt>
                <pt idx="149">
                  <v>Sep-Nov 2013</v>
                </pt>
                <pt idx="150">
                  <v>Oct-Dec 2013</v>
                </pt>
                <pt idx="151">
                  <v>Nov-Jan 2014</v>
                </pt>
                <pt idx="152">
                  <v>Dec-Feb 2014</v>
                </pt>
                <pt idx="153">
                  <v>Jan-Mar 2014</v>
                </pt>
                <pt idx="154">
                  <v>Feb-Apr 2014</v>
                </pt>
                <pt idx="155">
                  <v>Mar-May 2014</v>
                </pt>
                <pt idx="156">
                  <v>Apr-Jun 2014</v>
                </pt>
                <pt idx="157">
                  <v>May-Jul 2014</v>
                </pt>
                <pt idx="158">
                  <v>Jun-Aug 2014</v>
                </pt>
                <pt idx="159">
                  <v>Jul-Sep 2014</v>
                </pt>
                <pt idx="160">
                  <v>Aug-Oct 2014</v>
                </pt>
                <pt idx="161">
                  <v>Sep-Nov 2014</v>
                </pt>
                <pt idx="162">
                  <v>Oct-Dec 2014</v>
                </pt>
                <pt idx="163">
                  <v>Nov-Jan 2015</v>
                </pt>
                <pt idx="164">
                  <v>Dec-Feb 2015</v>
                </pt>
                <pt idx="165">
                  <v>Jan-Mar 2015</v>
                </pt>
                <pt idx="166">
                  <v>Feb-Apr 2015</v>
                </pt>
                <pt idx="167">
                  <v>Mar-May 2015</v>
                </pt>
                <pt idx="168">
                  <v>Apr-Jun 2015</v>
                </pt>
                <pt idx="169">
                  <v>May-Jul 2015</v>
                </pt>
                <pt idx="170">
                  <v>Jun-Aug 2015</v>
                </pt>
                <pt idx="171">
                  <v>Jul-Sep 2015</v>
                </pt>
                <pt idx="172">
                  <v>Aug-Oct 2015</v>
                </pt>
                <pt idx="173">
                  <v>Sep-Nov 2015</v>
                </pt>
                <pt idx="174">
                  <v>Oct-Dec 2015</v>
                </pt>
                <pt idx="175">
                  <v>Nov-Jan 2016</v>
                </pt>
                <pt idx="176">
                  <v>Dec-Feb 2016</v>
                </pt>
                <pt idx="177">
                  <v>Jan-Mar 2016</v>
                </pt>
                <pt idx="178">
                  <v>Feb-Apr 2016</v>
                </pt>
                <pt idx="179">
                  <v>Mar-May 2016</v>
                </pt>
                <pt idx="180">
                  <v>Apr-Jun 2016</v>
                </pt>
                <pt idx="181">
                  <v>May-Jul 2016</v>
                </pt>
                <pt idx="182">
                  <v>Jun-Aug 2016</v>
                </pt>
                <pt idx="183">
                  <v>Jul-Sep 2016</v>
                </pt>
                <pt idx="184">
                  <v>Aug-Oct 2016</v>
                </pt>
                <pt idx="185">
                  <v>Sep-Nov 2016</v>
                </pt>
                <pt idx="186">
                  <v>Oct-Dec 2016</v>
                </pt>
                <pt idx="187">
                  <v>Nov-Jan 2017</v>
                </pt>
                <pt idx="188">
                  <v>Dec-Feb 2017</v>
                </pt>
                <pt idx="189">
                  <v>Jan-Mar 2017</v>
                </pt>
                <pt idx="190">
                  <v>Feb-Apr 2017</v>
                </pt>
                <pt idx="191">
                  <v>Mar-May 2017</v>
                </pt>
                <pt idx="192">
                  <v>Apr-Jun 2017</v>
                </pt>
                <pt idx="193">
                  <v>May-Jul 2017</v>
                </pt>
                <pt idx="194">
                  <v>Jun-Aug 2017</v>
                </pt>
                <pt idx="195">
                  <v>Jul-Sep 2017</v>
                </pt>
                <pt idx="196">
                  <v>Aug-Oct 2017</v>
                </pt>
                <pt idx="197">
                  <v>Sep-Nov 2017</v>
                </pt>
                <pt idx="198">
                  <v>Oct-Dec 2017</v>
                </pt>
                <pt idx="199">
                  <v>Nov-Jan 2018</v>
                </pt>
                <pt idx="200">
                  <v>Dec-Feb 2018</v>
                </pt>
                <pt idx="201">
                  <v>Jan-Mar 2018</v>
                </pt>
                <pt idx="202">
                  <v>Feb-Apr 2018</v>
                </pt>
                <pt idx="203">
                  <v>Mar-May 2018</v>
                </pt>
                <pt idx="204">
                  <v>Apr-Jun 2018</v>
                </pt>
                <pt idx="205">
                  <v>May-Jul 2018</v>
                </pt>
                <pt idx="206">
                  <v>Jun-Aug 2018</v>
                </pt>
                <pt idx="207">
                  <v>Jul-Sep 2018</v>
                </pt>
                <pt idx="208">
                  <v>Aug-Oct 2018</v>
                </pt>
                <pt idx="209">
                  <v>Sep-Nov 2018</v>
                </pt>
                <pt idx="210">
                  <v>Oct-Dec 2018</v>
                </pt>
                <pt idx="211">
                  <v>Nov-Jan 2019</v>
                </pt>
                <pt idx="212">
                  <v>Dec-Feb 2019</v>
                </pt>
                <pt idx="213">
                  <v>Jan-Mar 2019</v>
                </pt>
                <pt idx="214">
                  <v>Feb-Apr 2019</v>
                </pt>
                <pt idx="215">
                  <v>Mar-May 2019</v>
                </pt>
                <pt idx="216">
                  <v>Apr-Jun 2019</v>
                </pt>
                <pt idx="217">
                  <v>May-Jul 2019</v>
                </pt>
                <pt idx="218">
                  <v>Jun-Aug 2019</v>
                </pt>
                <pt idx="219">
                  <v>Jul-Sep 2019</v>
                </pt>
                <pt idx="220">
                  <v>Aug-Oct 2019</v>
                </pt>
                <pt idx="221">
                  <v>Sep-Nov 2019</v>
                </pt>
                <pt idx="222">
                  <v>Oct-Dec 2019</v>
                </pt>
                <pt idx="223">
                  <v>Nov-Jan 2020</v>
                </pt>
                <pt idx="224">
                  <v>Dec-Feb 2020</v>
                </pt>
                <pt idx="225">
                  <v>Jan-Mar 2020</v>
                </pt>
                <pt idx="226">
                  <v>Feb-Apr 2020</v>
                </pt>
                <pt idx="227">
                  <v>Mar-May 2020</v>
                </pt>
                <pt idx="228">
                  <v>Apr-Jun 2020</v>
                </pt>
                <pt idx="229">
                  <v>May-Jul 2020</v>
                </pt>
                <pt idx="230">
                  <v>Jun-Aug 2020</v>
                </pt>
                <pt idx="231">
                  <v>Jul-Sep 2020</v>
                </pt>
                <pt idx="232">
                  <v>Aug-Oct 2020</v>
                </pt>
                <pt idx="233">
                  <v>Sep-Nov 2020</v>
                </pt>
                <pt idx="234">
                  <v>Oct-Dec 2020</v>
                </pt>
                <pt idx="235">
                  <v>Nov-Jan 2021</v>
                </pt>
                <pt idx="236">
                  <v>Dec-Feb 2021</v>
                </pt>
                <pt idx="237">
                  <v>Jan-Mar 2021</v>
                </pt>
                <pt idx="238">
                  <v>Feb-Apr 2021</v>
                </pt>
                <pt idx="239">
                  <v>Mar-May 2021</v>
                </pt>
                <pt idx="240">
                  <v>Apr-Jun 2021</v>
                </pt>
                <pt idx="241">
                  <v>May-Jul 2021</v>
                </pt>
                <pt idx="242">
                  <v>Jun-Aug 2021</v>
                </pt>
                <pt idx="243">
                  <v>Jul-Sep 2021</v>
                </pt>
                <pt idx="244">
                  <v>Aug-Oct 2021</v>
                </pt>
                <pt idx="245">
                  <v>Sep-Nov 2021</v>
                </pt>
                <pt idx="246">
                  <v>Oct-Dec 2021</v>
                </pt>
                <pt idx="247">
                  <v>Nov-Jan 2022</v>
                </pt>
                <pt idx="248">
                  <v>Dec-Feb 2022</v>
                </pt>
                <pt idx="249">
                  <v>Jan-Mar 2022</v>
                </pt>
                <pt idx="250">
                  <v>Feb-Apr 2022</v>
                </pt>
                <pt idx="251">
                  <v>Mar-May 2022</v>
                </pt>
                <pt idx="252">
                  <v>Apr-Jun 2022</v>
                </pt>
                <pt idx="253">
                  <v>May-Jul 2022</v>
                </pt>
                <pt idx="254">
                  <v>Jun-Aug 2022</v>
                </pt>
                <pt idx="255">
                  <v>Jul-Sep 2022</v>
                </pt>
                <pt idx="256">
                  <v>Aug-Oct 2022</v>
                </pt>
                <pt idx="257">
                  <v>Sep-Nov 2022</v>
                </pt>
                <pt idx="258">
                  <v>Oct-Dec 2022</v>
                </pt>
                <pt idx="259">
                  <v>Nov-Jan 2023</v>
                </pt>
                <pt idx="260">
                  <v>Dec-Feb 2023</v>
                </pt>
                <pt idx="261">
                  <v>Jan-Mar 2023</v>
                </pt>
                <pt idx="262">
                  <v>Feb-Apr 2023</v>
                </pt>
                <pt idx="263">
                  <v>Mar-May 2023</v>
                </pt>
                <pt idx="264">
                  <v>Apr-Jun 2023</v>
                </pt>
                <pt idx="265">
                  <v>May-Jul 2023</v>
                </pt>
                <pt idx="266">
                  <v>Jun-Aug 2023</v>
                </pt>
                <pt idx="267">
                  <v>Jul-Sep 2023</v>
                </pt>
                <pt idx="268">
                  <v>Aug-Oct 2023</v>
                </pt>
                <pt idx="269">
                  <v>Sep-Nov 2023</v>
                </pt>
                <pt idx="270">
                  <v>Oct-Dec 2023</v>
                </pt>
                <pt idx="271">
                  <v>Nov-Jan 2024</v>
                </pt>
                <pt idx="272">
                  <v>Dec-Feb 2024</v>
                </pt>
                <pt idx="273">
                  <v>Jan-Mar 2024</v>
                </pt>
                <pt idx="274">
                  <v>Feb-Apr 2024</v>
                </pt>
                <pt idx="275">
                  <v>Mar-May 2024</v>
                </pt>
                <pt idx="276">
                  <v>Apr-Jun 2024</v>
                </pt>
                <pt idx="277">
                  <v>May-Jul 2024</v>
                </pt>
                <pt idx="278">
                  <v>Jun-Aug 2024</v>
                </pt>
                <pt idx="279">
                  <v>Jul-Sep 2024</v>
                </pt>
                <pt idx="280">
                  <v>Aug-Oct 2024</v>
                </pt>
                <pt idx="281">
                  <v>Sep-Nov 2024</v>
                </pt>
                <pt idx="282">
                  <v>Oct-Dec 2024</v>
                </pt>
                <pt idx="283">
                  <v>Nov-Jan 2025</v>
                </pt>
                <pt idx="284">
                  <v>Dec-Feb 2025</v>
                </pt>
                <pt idx="285">
                  <v>Jan-Mar 2025</v>
                </pt>
                <pt idx="286">
                  <v>Feb-Apr 2025</v>
                </pt>
                <pt idx="287">
                  <v>Mar-May 2025</v>
                </pt>
                <pt idx="288">
                  <v>Apr-Jun 2025</v>
                </pt>
                <pt idx="289">
                  <v>May-Jul 2025</v>
                </pt>
                <pt idx="290">
                  <v>Jun-Aug 2025</v>
                </pt>
                <pt idx="291">
                  <v>Jul-Sep 2025</v>
                </pt>
              </strCache>
            </strRef>
          </cat>
          <val>
            <numRef>
              <f>'20'!$J$17:$J$308</f>
              <numCache>
                <formatCode>General</formatCode>
                <ptCount val="292"/>
                <pt idx="0">
                  <v>0.4545454545454545</v>
                </pt>
                <pt idx="1">
                  <v>0.4545454545454545</v>
                </pt>
                <pt idx="2">
                  <v>0.4545454545454545</v>
                </pt>
                <pt idx="3">
                  <v>0.4545454545454545</v>
                </pt>
                <pt idx="4">
                  <v>0.4347826086956522</v>
                </pt>
                <pt idx="5">
                  <v>0.4166666666666667</v>
                </pt>
                <pt idx="6">
                  <v>0.4</v>
                </pt>
                <pt idx="7">
                  <v>0.4</v>
                </pt>
                <pt idx="8">
                  <v>0.4166666666666667</v>
                </pt>
                <pt idx="9">
                  <v>0.4166666666666667</v>
                </pt>
                <pt idx="10">
                  <v>0.4</v>
                </pt>
                <pt idx="11">
                  <v>0.4</v>
                </pt>
                <pt idx="12">
                  <v>0.4</v>
                </pt>
                <pt idx="13">
                  <v>0.4</v>
                </pt>
                <pt idx="14">
                  <v>0.4</v>
                </pt>
                <pt idx="15">
                  <v>0.3846153846153846</v>
                </pt>
                <pt idx="16">
                  <v>0.4</v>
                </pt>
                <pt idx="17">
                  <v>0.4</v>
                </pt>
                <pt idx="18">
                  <v>0.4</v>
                </pt>
                <pt idx="19">
                  <v>0.4</v>
                </pt>
                <pt idx="20">
                  <v>0.4</v>
                </pt>
                <pt idx="21">
                  <v>0.3846153846153846</v>
                </pt>
                <pt idx="22">
                  <v>0.3846153846153846</v>
                </pt>
                <pt idx="23">
                  <v>0.4</v>
                </pt>
                <pt idx="24">
                  <v>0.4</v>
                </pt>
                <pt idx="25">
                  <v>0.3846153846153846</v>
                </pt>
                <pt idx="26">
                  <v>0.3846153846153846</v>
                </pt>
                <pt idx="27">
                  <v>0.4</v>
                </pt>
                <pt idx="28">
                  <v>0.4166666666666667</v>
                </pt>
                <pt idx="29">
                  <v>0.4166666666666667</v>
                </pt>
                <pt idx="30">
                  <v>0.4166666666666667</v>
                </pt>
                <pt idx="31">
                  <v>0.4166666666666667</v>
                </pt>
                <pt idx="32">
                  <v>0.4347826086956522</v>
                </pt>
                <pt idx="33">
                  <v>0.4347826086956522</v>
                </pt>
                <pt idx="34">
                  <v>0.4347826086956522</v>
                </pt>
                <pt idx="35">
                  <v>0.4347826086956522</v>
                </pt>
                <pt idx="36">
                  <v>0.4545454545454545</v>
                </pt>
                <pt idx="37">
                  <v>0.4545454545454545</v>
                </pt>
                <pt idx="38">
                  <v>0.4761904761904762</v>
                </pt>
                <pt idx="39">
                  <v>0.4761904761904762</v>
                </pt>
                <pt idx="40">
                  <v>0.4761904761904762</v>
                </pt>
                <pt idx="41">
                  <v>0.4761904761904762</v>
                </pt>
                <pt idx="42">
                  <v>0.4545454545454545</v>
                </pt>
                <pt idx="43">
                  <v>0.4545454545454545</v>
                </pt>
                <pt idx="44">
                  <v>0.4545454545454545</v>
                </pt>
                <pt idx="45">
                  <v>0.4545454545454545</v>
                </pt>
                <pt idx="46">
                  <v>0.4545454545454545</v>
                </pt>
                <pt idx="47">
                  <v>0.4545454545454545</v>
                </pt>
                <pt idx="48">
                  <v>0.4545454545454545</v>
                </pt>
                <pt idx="49">
                  <v>0.4545454545454545</v>
                </pt>
                <pt idx="50">
                  <v>0.4347826086956522</v>
                </pt>
                <pt idx="51">
                  <v>0.4347826086956522</v>
                </pt>
                <pt idx="52">
                  <v>0.4</v>
                </pt>
                <pt idx="53">
                  <v>0.4</v>
                </pt>
                <pt idx="54">
                  <v>0.3846153846153846</v>
                </pt>
                <pt idx="55">
                  <v>0.4</v>
                </pt>
                <pt idx="56">
                  <v>0.3846153846153846</v>
                </pt>
                <pt idx="57">
                  <v>0.3703703703703703</v>
                </pt>
                <pt idx="58">
                  <v>0.3703703703703703</v>
                </pt>
                <pt idx="59">
                  <v>0.3571428571428572</v>
                </pt>
                <pt idx="60">
                  <v>0.3571428571428572</v>
                </pt>
                <pt idx="61">
                  <v>0.3571428571428572</v>
                </pt>
                <pt idx="62">
                  <v>0.3571428571428572</v>
                </pt>
                <pt idx="63">
                  <v>0.3571428571428572</v>
                </pt>
                <pt idx="64">
                  <v>0.3703703703703703</v>
                </pt>
                <pt idx="65">
                  <v>0.3703703703703703</v>
                </pt>
                <pt idx="66">
                  <v>0.3703703703703703</v>
                </pt>
                <pt idx="67">
                  <v>0.3571428571428572</v>
                </pt>
                <pt idx="68">
                  <v>0.3703703703703703</v>
                </pt>
                <pt idx="69">
                  <v>0.3703703703703703</v>
                </pt>
                <pt idx="70">
                  <v>0.3846153846153846</v>
                </pt>
                <pt idx="71">
                  <v>0.3846153846153846</v>
                </pt>
                <pt idx="72">
                  <v>0.4</v>
                </pt>
                <pt idx="73">
                  <v>0.4</v>
                </pt>
                <pt idx="74">
                  <v>0.4166666666666667</v>
                </pt>
                <pt idx="75">
                  <v>0.4166666666666667</v>
                </pt>
                <pt idx="76">
                  <v>0.4166666666666667</v>
                </pt>
                <pt idx="77">
                  <v>0.4166666666666667</v>
                </pt>
                <pt idx="78">
                  <v>0.4347826086956522</v>
                </pt>
                <pt idx="79">
                  <v>0.4166666666666667</v>
                </pt>
                <pt idx="80">
                  <v>0.4166666666666667</v>
                </pt>
                <pt idx="81">
                  <v>0.4347826086956522</v>
                </pt>
                <pt idx="82">
                  <v>0.4166666666666667</v>
                </pt>
                <pt idx="83">
                  <v>0.4166666666666667</v>
                </pt>
                <pt idx="84">
                  <v>0.3846153846153846</v>
                </pt>
                <pt idx="85">
                  <v>0.3703703703703703</v>
                </pt>
                <pt idx="86">
                  <v>0.3448275862068966</v>
                </pt>
                <pt idx="87">
                  <v>0.3333333333333333</v>
                </pt>
                <pt idx="88">
                  <v>0.3225806451612903</v>
                </pt>
                <pt idx="89">
                  <v>0.2857142857142857</v>
                </pt>
                <pt idx="90">
                  <v>0.2631578947368421</v>
                </pt>
                <pt idx="91">
                  <v>0.2439024390243903</v>
                </pt>
                <pt idx="92">
                  <v>0.2222222222222222</v>
                </pt>
                <pt idx="93">
                  <v>0.2083333333333333</v>
                </pt>
                <pt idx="94">
                  <v>0.196078431372549</v>
                </pt>
                <pt idx="95">
                  <v>0.1851851851851852</v>
                </pt>
                <pt idx="96">
                  <v>0.1754385964912281</v>
                </pt>
                <pt idx="97">
                  <v>0.1724137931034483</v>
                </pt>
                <pt idx="98">
                  <v>0.1754385964912281</v>
                </pt>
                <pt idx="99">
                  <v>0.1754385964912281</v>
                </pt>
                <pt idx="100">
                  <v>0.1724137931034483</v>
                </pt>
                <pt idx="101">
                  <v>0.1785714285714286</v>
                </pt>
                <pt idx="102">
                  <v>0.1851851851851852</v>
                </pt>
                <pt idx="103">
                  <v>0.1923076923076923</v>
                </pt>
                <pt idx="104">
                  <v>0.1886792452830189</v>
                </pt>
                <pt idx="105">
                  <v>0.1851851851851852</v>
                </pt>
                <pt idx="106">
                  <v>0.1851851851851852</v>
                </pt>
                <pt idx="107">
                  <v>0.1923076923076923</v>
                </pt>
                <pt idx="108">
                  <v>0.196078431372549</v>
                </pt>
                <pt idx="109">
                  <v>0.1923076923076923</v>
                </pt>
                <pt idx="110">
                  <v>0.1851851851851852</v>
                </pt>
                <pt idx="111">
                  <v>0.1851851851851852</v>
                </pt>
                <pt idx="112">
                  <v>0.1818181818181818</v>
                </pt>
                <pt idx="113">
                  <v>0.1886792452830189</v>
                </pt>
                <pt idx="114">
                  <v>0.1923076923076923</v>
                </pt>
                <pt idx="115">
                  <v>0.196078431372549</v>
                </pt>
                <pt idx="116">
                  <v>0.196078431372549</v>
                </pt>
                <pt idx="117">
                  <v>0.196078431372549</v>
                </pt>
                <pt idx="118">
                  <v>0.1923076923076923</v>
                </pt>
                <pt idx="119">
                  <v>0.1851851851851852</v>
                </pt>
                <pt idx="120">
                  <v>0.1818181818181818</v>
                </pt>
                <pt idx="121">
                  <v>0.1785714285714286</v>
                </pt>
                <pt idx="122">
                  <v>0.1754385964912281</v>
                </pt>
                <pt idx="123">
                  <v>0.1754385964912281</v>
                </pt>
                <pt idx="124">
                  <v>0.1754385964912281</v>
                </pt>
                <pt idx="125">
                  <v>0.1694915254237288</v>
                </pt>
                <pt idx="126">
                  <v>0.1724137931034483</v>
                </pt>
                <pt idx="127">
                  <v>0.1785714285714286</v>
                </pt>
                <pt idx="128">
                  <v>0.1785714285714286</v>
                </pt>
                <pt idx="129">
                  <v>0.1785714285714286</v>
                </pt>
                <pt idx="130">
                  <v>0.1785714285714286</v>
                </pt>
                <pt idx="131">
                  <v>0.1818181818181818</v>
                </pt>
                <pt idx="132">
                  <v>0.1851851851851852</v>
                </pt>
                <pt idx="133">
                  <v>0.1851851851851852</v>
                </pt>
                <pt idx="134">
                  <v>0.1886792452830189</v>
                </pt>
                <pt idx="135">
                  <v>0.1923076923076923</v>
                </pt>
                <pt idx="136">
                  <v>0.1923076923076923</v>
                </pt>
                <pt idx="137">
                  <v>0.196078431372549</v>
                </pt>
                <pt idx="138">
                  <v>0.196078431372549</v>
                </pt>
                <pt idx="139">
                  <v>0.2</v>
                </pt>
                <pt idx="140">
                  <v>0.196078431372549</v>
                </pt>
                <pt idx="141">
                  <v>0.2</v>
                </pt>
                <pt idx="142">
                  <v>0.2040816326530612</v>
                </pt>
                <pt idx="143">
                  <v>0.2083333333333333</v>
                </pt>
                <pt idx="144">
                  <v>0.2127659574468085</v>
                </pt>
                <pt idx="145">
                  <v>0.2173913043478261</v>
                </pt>
                <pt idx="146">
                  <v>0.2127659574468085</v>
                </pt>
                <pt idx="147">
                  <v>0.2222222222222222</v>
                </pt>
                <pt idx="148">
                  <v>0.2272727272727273</v>
                </pt>
                <pt idx="149">
                  <v>0.2439024390243903</v>
                </pt>
                <pt idx="150">
                  <v>0.2439024390243903</v>
                </pt>
                <pt idx="151">
                  <v>0.25</v>
                </pt>
                <pt idx="152">
                  <v>0.2631578947368421</v>
                </pt>
                <pt idx="153">
                  <v>0.2777777777777778</v>
                </pt>
                <pt idx="154">
                  <v>0.2941176470588235</v>
                </pt>
                <pt idx="155">
                  <v>0.3125</v>
                </pt>
                <pt idx="156">
                  <v>0.3225806451612903</v>
                </pt>
                <pt idx="157">
                  <v>0.3333333333333333</v>
                </pt>
                <pt idx="158">
                  <v>0.3448275862068966</v>
                </pt>
                <pt idx="159">
                  <v>0.3448275862068966</v>
                </pt>
                <pt idx="160">
                  <v>0.3571428571428572</v>
                </pt>
                <pt idx="161">
                  <v>0.3703703703703703</v>
                </pt>
                <pt idx="162">
                  <v>0.3846153846153846</v>
                </pt>
                <pt idx="163">
                  <v>0.3846153846153846</v>
                </pt>
                <pt idx="164">
                  <v>0.4</v>
                </pt>
                <pt idx="165">
                  <v>0.4</v>
                </pt>
                <pt idx="166">
                  <v>0.4</v>
                </pt>
                <pt idx="167">
                  <v>0.4</v>
                </pt>
                <pt idx="168">
                  <v>0.4</v>
                </pt>
                <pt idx="169">
                  <v>0.4</v>
                </pt>
                <pt idx="170">
                  <v>0.4166666666666667</v>
                </pt>
                <pt idx="171">
                  <v>0.4166666666666667</v>
                </pt>
                <pt idx="172">
                  <v>0.4347826086956522</v>
                </pt>
                <pt idx="173">
                  <v>0.4347826086956522</v>
                </pt>
                <pt idx="174">
                  <v>0.4347826086956522</v>
                </pt>
                <pt idx="175">
                  <v>0.4545454545454545</v>
                </pt>
                <pt idx="176">
                  <v>0.4347826086956522</v>
                </pt>
                <pt idx="177">
                  <v>0.4347826086956522</v>
                </pt>
                <pt idx="178">
                  <v>0.4545454545454545</v>
                </pt>
                <pt idx="179">
                  <v>0.4545454545454545</v>
                </pt>
                <pt idx="180">
                  <v>0.4545454545454545</v>
                </pt>
                <pt idx="181">
                  <v>0.4545454545454545</v>
                </pt>
                <pt idx="182">
                  <v>0.4545454545454545</v>
                </pt>
                <pt idx="183">
                  <v>0.4761904761904762</v>
                </pt>
                <pt idx="184">
                  <v>0.4761904761904762</v>
                </pt>
                <pt idx="185">
                  <v>0.4761904761904762</v>
                </pt>
                <pt idx="186">
                  <v>0.4761904761904762</v>
                </pt>
                <pt idx="187">
                  <v>0.4761904761904762</v>
                </pt>
                <pt idx="188">
                  <v>0.5</v>
                </pt>
                <pt idx="189">
                  <v>0.5</v>
                </pt>
                <pt idx="190">
                  <v>0.5263157894736842</v>
                </pt>
                <pt idx="191">
                  <v>0.5263157894736842</v>
                </pt>
                <pt idx="192">
                  <v>0.5263157894736842</v>
                </pt>
                <pt idx="193">
                  <v>0.5263157894736842</v>
                </pt>
                <pt idx="194">
                  <v>0.5555555555555556</v>
                </pt>
                <pt idx="195">
                  <v>0.5555555555555556</v>
                </pt>
                <pt idx="196">
                  <v>0.5555555555555556</v>
                </pt>
                <pt idx="197">
                  <v>0.5555555555555556</v>
                </pt>
                <pt idx="198">
                  <v>0.5555555555555556</v>
                </pt>
                <pt idx="199">
                  <v>0.5555555555555556</v>
                </pt>
                <pt idx="200">
                  <v>0.5882352941176471</v>
                </pt>
                <pt idx="201">
                  <v>0.5882352941176471</v>
                </pt>
                <pt idx="202">
                  <v>0.5882352941176471</v>
                </pt>
                <pt idx="203">
                  <v>0.5882352941176471</v>
                </pt>
                <pt idx="204">
                  <v>0.625</v>
                </pt>
                <pt idx="205">
                  <v>0.625</v>
                </pt>
                <pt idx="206">
                  <v>0.625</v>
                </pt>
                <pt idx="207">
                  <v>0.625</v>
                </pt>
                <pt idx="208">
                  <v>0.625</v>
                </pt>
                <pt idx="209">
                  <v>0.625</v>
                </pt>
                <pt idx="210">
                  <v>0.625</v>
                </pt>
                <pt idx="211">
                  <v>0.625</v>
                </pt>
                <pt idx="212">
                  <v>0.625</v>
                </pt>
                <pt idx="213">
                  <v>0.6666666666666666</v>
                </pt>
                <pt idx="214">
                  <v>0.625</v>
                </pt>
                <pt idx="215">
                  <v>0.625</v>
                </pt>
                <pt idx="216">
                  <v>0.625</v>
                </pt>
                <pt idx="217">
                  <v>0.625</v>
                </pt>
                <pt idx="218">
                  <v>0.625</v>
                </pt>
                <pt idx="219">
                  <v>0.625</v>
                </pt>
                <pt idx="220">
                  <v>0.625</v>
                </pt>
                <pt idx="221">
                  <v>0.625</v>
                </pt>
                <pt idx="222">
                  <v>0.625</v>
                </pt>
                <pt idx="223">
                  <v>0.5882352941176471</v>
                </pt>
                <pt idx="224">
                  <v>0.5882352941176471</v>
                </pt>
                <pt idx="225">
                  <v>0.5555555555555556</v>
                </pt>
                <pt idx="226">
                  <v>0.4545454545454545</v>
                </pt>
                <pt idx="227">
                  <v>0.3333333333333333</v>
                </pt>
                <pt idx="228">
                  <v>0.2380952380952381</v>
                </pt>
                <pt idx="229">
                  <v>0.25</v>
                </pt>
                <pt idx="230">
                  <v>0.2702702702702702</v>
                </pt>
                <pt idx="231">
                  <v>0.2941176470588235</v>
                </pt>
                <pt idx="232">
                  <v>0.303030303030303</v>
                </pt>
                <pt idx="233">
                  <v>0.3125</v>
                </pt>
                <pt idx="234">
                  <v>0.3333333333333333</v>
                </pt>
                <pt idx="235">
                  <v>0.3448275862068966</v>
                </pt>
                <pt idx="236">
                  <v>0.3571428571428572</v>
                </pt>
                <pt idx="237">
                  <v>0.3703703703703703</v>
                </pt>
                <pt idx="238">
                  <v>0.4</v>
                </pt>
                <pt idx="239">
                  <v>0.4761904761904762</v>
                </pt>
                <pt idx="240">
                  <v>0.5555555555555556</v>
                </pt>
                <pt idx="241">
                  <v>0.625</v>
                </pt>
                <pt idx="242">
                  <v>0.6666666666666666</v>
                </pt>
                <pt idx="243">
                  <v>0.7692307692307692</v>
                </pt>
                <pt idx="244">
                  <v>0.8333333333333334</v>
                </pt>
                <pt idx="245">
                  <v>0.8333333333333334</v>
                </pt>
                <pt idx="246">
                  <v>0.9090909090909091</v>
                </pt>
                <pt idx="247">
                  <v>0.9090909090909091</v>
                </pt>
                <pt idx="248">
                  <v>0.9090909090909091</v>
                </pt>
                <pt idx="249">
                  <v>1</v>
                </pt>
                <pt idx="250">
                  <v>1</v>
                </pt>
                <pt idx="251">
                  <v>1</v>
                </pt>
                <pt idx="252">
                  <v>1</v>
                </pt>
                <pt idx="253">
                  <v>1</v>
                </pt>
                <pt idx="254">
                  <v>1</v>
                </pt>
                <pt idx="255">
                  <v>1</v>
                </pt>
                <pt idx="256">
                  <v>0.9090909090909091</v>
                </pt>
                <pt idx="257">
                  <v>0.9090909090909091</v>
                </pt>
                <pt idx="258">
                  <v>0.8333333333333334</v>
                </pt>
                <pt idx="259">
                  <v>0.8333333333333334</v>
                </pt>
                <pt idx="260">
                  <v>0.8333333333333334</v>
                </pt>
                <pt idx="261">
                  <v>0.7692307692307692</v>
                </pt>
                <pt idx="262">
                  <v>0.7692307692307692</v>
                </pt>
                <pt idx="263">
                  <v>0.7692307692307692</v>
                </pt>
                <pt idx="264">
                  <v>0.7142857142857143</v>
                </pt>
                <pt idx="265">
                  <v>0.6666666666666666</v>
                </pt>
                <pt idx="266">
                  <v>0.6666666666666666</v>
                </pt>
                <pt idx="267">
                  <v>0.6666666666666666</v>
                </pt>
                <pt idx="268">
                  <v>0.6666666666666666</v>
                </pt>
                <pt idx="269">
                  <v>0.7142857142857143</v>
                </pt>
                <pt idx="270">
                  <v>0.7142857142857143</v>
                </pt>
                <pt idx="271">
                  <v>0.6666666666666666</v>
                </pt>
                <pt idx="272">
                  <v>0.625</v>
                </pt>
                <pt idx="273">
                  <v>0.5882352941176471</v>
                </pt>
                <pt idx="274">
                  <v>0.5882352941176471</v>
                </pt>
                <pt idx="275">
                  <v>0.5882352941176471</v>
                </pt>
                <pt idx="276">
                  <v>0.5882352941176471</v>
                </pt>
                <pt idx="277">
                  <v>0.5882352941176471</v>
                </pt>
                <pt idx="278">
                  <v>0.5882352941176471</v>
                </pt>
                <pt idx="279">
                  <v>0.5555555555555556</v>
                </pt>
                <pt idx="280">
                  <v>0.5555555555555556</v>
                </pt>
                <pt idx="281">
                  <v>0.5263157894736842</v>
                </pt>
                <pt idx="282">
                  <v>0.5263157894736842</v>
                </pt>
                <pt idx="283">
                  <v>0.5263157894736842</v>
                </pt>
                <pt idx="284">
                  <v>0.5</v>
                </pt>
                <pt idx="285">
                  <v>0.4761904761904762</v>
                </pt>
                <pt idx="286">
                  <v>0.4545454545454545</v>
                </pt>
                <pt idx="287">
                  <v>0.4347826086956522</v>
                </pt>
                <pt idx="288">
                  <v>0.4347826086956522</v>
                </pt>
                <pt idx="289">
                  <v>0.4347826086956522</v>
                </pt>
                <pt idx="290">
                  <v>0.4166666666666667</v>
                </pt>
                <pt idx="291">
                  <v>0.4</v>
                </pt>
              </numCache>
            </numRef>
          </val>
          <smooth val="0"/>
        </ser>
        <dLbls>
          <showLegendKey val="0"/>
          <showVal val="0"/>
          <showCatName val="0"/>
          <showSerName val="0"/>
          <showPercent val="0"/>
          <showBubbleSize val="0"/>
        </dLbls>
        <smooth val="0"/>
        <axId val="986707216"/>
        <axId val="986717296"/>
      </lineChart>
      <catAx>
        <axId val="986707216"/>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986717296"/>
        <crosses val="autoZero"/>
        <auto val="1"/>
        <lblAlgn val="ctr"/>
        <lblOffset val="100"/>
        <noMultiLvlLbl val="0"/>
      </catAx>
      <valAx>
        <axId val="986717296"/>
        <scaling>
          <orientation val="minMax"/>
        </scaling>
        <delete val="0"/>
        <axPos val="l"/>
        <majorGridlines>
          <spPr>
            <a:l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986707216"/>
        <crosses val="autoZero"/>
        <crossBetween val="between"/>
      </valAx>
    </plotArea>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6.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0" i="0" strike="noStrike" kern="1200" spc="0" baseline="0">
                <a:solidFill>
                  <a:schemeClr val="tx1"/>
                </a:solidFill>
                <a:latin typeface="+mn-lt"/>
                <a:ea typeface="+mn-ea"/>
                <a:cs typeface="+mn-cs"/>
              </a:defRPr>
            </a:pPr>
            <a:r>
              <a:rPr lang="en-GB">
                <a:solidFill>
                  <a:schemeClr val="tx1"/>
                </a:solidFill>
              </a:rPr>
              <a:t>Labour Market Flows</a:t>
            </a:r>
            <a:r>
              <a:rPr lang="en-GB" baseline="0">
                <a:solidFill>
                  <a:schemeClr val="tx1"/>
                </a:solidFill>
              </a:rPr>
              <a:t xml:space="preserve"> (Calendar Years)</a:t>
            </a:r>
            <a:endParaRPr lang="en-GB">
              <a:solidFill>
                <a:schemeClr val="tx1"/>
              </a:solidFill>
            </a:endParaRPr>
          </a:p>
        </rich>
      </tx>
      <overlay val="0"/>
      <spPr>
        <a:noFill/>
        <a:ln w="25400">
          <a:noFill/>
          <a:prstDash val="solid"/>
        </a:ln>
      </spPr>
    </title>
    <plotArea>
      <layout/>
      <barChart>
        <barDir val="col"/>
        <grouping val="clustered"/>
        <varyColors val="0"/>
        <ser>
          <idx val="1"/>
          <order val="0"/>
          <tx>
            <strRef>
              <f>'Labour market flows SA'!$AV$20</f>
              <strCache>
                <ptCount val="1"/>
                <pt idx="0">
                  <v>2020</v>
                </pt>
              </strCache>
            </strRef>
          </tx>
          <spPr>
            <a:solidFill>
              <a:srgbClr val="7B005B"/>
            </a:solidFill>
            <a:ln w="25400">
              <a:noFill/>
              <a:prstDash val="solid"/>
            </a:ln>
          </spPr>
          <invertIfNegative val="0"/>
          <cat>
            <strRef>
              <f>'Labour market flows SA'!$AW$18:$BC$18</f>
              <strCache>
                <ptCount val="7"/>
                <pt idx="0">
                  <v>Employment to Unemployment</v>
                </pt>
                <pt idx="1">
                  <v>Employment to Economic Inactivity</v>
                </pt>
                <pt idx="2">
                  <v>Unemployment to Employment</v>
                </pt>
                <pt idx="3">
                  <v>Unemployment to Economic Inactivity</v>
                </pt>
                <pt idx="4">
                  <v>Economic Inactivity to Employment</v>
                </pt>
                <pt idx="5">
                  <v>Economic Inactivity to Unemployment</v>
                </pt>
                <pt idx="6">
                  <v>Job to job changes</v>
                </pt>
              </strCache>
            </strRef>
          </cat>
          <val>
            <numRef>
              <f>'Labour market flows SA'!$AW$20:$BC$20</f>
              <numCache>
                <formatCode>#,##0,</formatCode>
                <ptCount val="7"/>
                <pt idx="0">
                  <v>390784.2592037733</v>
                </pt>
                <pt idx="1">
                  <v>664050.4056036402</v>
                </pt>
                <pt idx="2">
                  <v>395023.6424079112</v>
                </pt>
                <pt idx="3">
                  <v>317001.6164967908</v>
                </pt>
                <pt idx="4">
                  <v>514205.3334943135</v>
                </pt>
                <pt idx="5">
                  <v>443392.446282278</v>
                </pt>
                <pt idx="6">
                  <v>627658.5414618435</v>
                </pt>
              </numCache>
            </numRef>
          </val>
        </ser>
        <ser>
          <idx val="2"/>
          <order val="1"/>
          <tx>
            <strRef>
              <f>'Labour market flows SA'!$AV$21</f>
              <strCache>
                <ptCount val="1"/>
                <pt idx="0">
                  <v>2021</v>
                </pt>
              </strCache>
            </strRef>
          </tx>
          <spPr>
            <a:solidFill>
              <a:srgbClr val="A90083"/>
            </a:solidFill>
            <a:ln w="25400">
              <a:noFill/>
              <a:prstDash val="solid"/>
            </a:ln>
          </spPr>
          <invertIfNegative val="0"/>
          <cat>
            <strRef>
              <f>'Labour market flows SA'!$AW$18:$BC$18</f>
              <strCache>
                <ptCount val="7"/>
                <pt idx="0">
                  <v>Employment to Unemployment</v>
                </pt>
                <pt idx="1">
                  <v>Employment to Economic Inactivity</v>
                </pt>
                <pt idx="2">
                  <v>Unemployment to Employment</v>
                </pt>
                <pt idx="3">
                  <v>Unemployment to Economic Inactivity</v>
                </pt>
                <pt idx="4">
                  <v>Economic Inactivity to Employment</v>
                </pt>
                <pt idx="5">
                  <v>Economic Inactivity to Unemployment</v>
                </pt>
                <pt idx="6">
                  <v>Job to job changes</v>
                </pt>
              </strCache>
            </strRef>
          </cat>
          <val>
            <numRef>
              <f>'Labour market flows SA'!$AW$21:$BC$21</f>
              <numCache>
                <formatCode>#,##0,</formatCode>
                <ptCount val="7"/>
                <pt idx="0">
                  <v>287868.514723348</v>
                </pt>
                <pt idx="1">
                  <v>619081.1519650818</v>
                </pt>
                <pt idx="2">
                  <v>522839.9222808322</v>
                </pt>
                <pt idx="3">
                  <v>321353.0816516128</v>
                </pt>
                <pt idx="4">
                  <v>602302.1793959253</v>
                </pt>
                <pt idx="5">
                  <v>458427.6303398128</v>
                </pt>
                <pt idx="6">
                  <v>885266.1540201732</v>
                </pt>
              </numCache>
            </numRef>
          </val>
        </ser>
        <ser>
          <idx val="3"/>
          <order val="2"/>
          <tx>
            <strRef>
              <f>'Labour market flows SA'!$AV$22</f>
              <strCache>
                <ptCount val="1"/>
                <pt idx="0">
                  <v>2022</v>
                </pt>
              </strCache>
            </strRef>
          </tx>
          <spPr>
            <a:solidFill>
              <a:srgbClr val="D9DDEA"/>
            </a:solidFill>
            <a:ln w="25400">
              <a:noFill/>
              <a:prstDash val="solid"/>
            </a:ln>
          </spPr>
          <invertIfNegative val="0"/>
          <cat>
            <strRef>
              <f>'Labour market flows SA'!$AW$18:$BC$18</f>
              <strCache>
                <ptCount val="7"/>
                <pt idx="0">
                  <v>Employment to Unemployment</v>
                </pt>
                <pt idx="1">
                  <v>Employment to Economic Inactivity</v>
                </pt>
                <pt idx="2">
                  <v>Unemployment to Employment</v>
                </pt>
                <pt idx="3">
                  <v>Unemployment to Economic Inactivity</v>
                </pt>
                <pt idx="4">
                  <v>Economic Inactivity to Employment</v>
                </pt>
                <pt idx="5">
                  <v>Economic Inactivity to Unemployment</v>
                </pt>
                <pt idx="6">
                  <v>Job to job changes</v>
                </pt>
              </strCache>
            </strRef>
          </cat>
          <val>
            <numRef>
              <f>'Labour market flows SA'!$AW$22:$BC$22</f>
              <numCache>
                <formatCode>#,##0,</formatCode>
                <ptCount val="7"/>
                <pt idx="0">
                  <v>260801.7608843963</v>
                </pt>
                <pt idx="1">
                  <v>619821.9584544485</v>
                </pt>
                <pt idx="2">
                  <v>414329.3365831287</v>
                </pt>
                <pt idx="3">
                  <v>301263.7013907595</v>
                </pt>
                <pt idx="4">
                  <v>635579.0067757037</v>
                </pt>
                <pt idx="5">
                  <v>423293.31434841</v>
                </pt>
                <pt idx="6">
                  <v>951869.528746978</v>
                </pt>
              </numCache>
            </numRef>
          </val>
        </ser>
        <ser>
          <idx val="4"/>
          <order val="3"/>
          <tx>
            <strRef>
              <f>'Labour market flows SA'!$AV$23</f>
              <strCache>
                <ptCount val="1"/>
                <pt idx="0">
                  <v>2023</v>
                </pt>
              </strCache>
            </strRef>
          </tx>
          <spPr>
            <a:solidFill>
              <a:srgbClr val="777D96"/>
            </a:solidFill>
            <a:ln w="25400">
              <a:noFill/>
              <a:prstDash val="solid"/>
            </a:ln>
          </spPr>
          <invertIfNegative val="0"/>
          <cat>
            <strRef>
              <f>'Labour market flows SA'!$AW$18:$BC$18</f>
              <strCache>
                <ptCount val="7"/>
                <pt idx="0">
                  <v>Employment to Unemployment</v>
                </pt>
                <pt idx="1">
                  <v>Employment to Economic Inactivity</v>
                </pt>
                <pt idx="2">
                  <v>Unemployment to Employment</v>
                </pt>
                <pt idx="3">
                  <v>Unemployment to Economic Inactivity</v>
                </pt>
                <pt idx="4">
                  <v>Economic Inactivity to Employment</v>
                </pt>
                <pt idx="5">
                  <v>Economic Inactivity to Unemployment</v>
                </pt>
                <pt idx="6">
                  <v>Job to job changes</v>
                </pt>
              </strCache>
            </strRef>
          </cat>
          <val>
            <numRef>
              <f>'Labour market flows SA'!$AW$23:$BC$23</f>
              <numCache>
                <formatCode>#,##0,</formatCode>
                <ptCount val="7"/>
                <pt idx="0">
                  <v>301266.596230866</v>
                </pt>
                <pt idx="1">
                  <v>608864.8012123945</v>
                </pt>
                <pt idx="2">
                  <v>475838.2268470692</v>
                </pt>
                <pt idx="3">
                  <v>315024.0119901458</v>
                </pt>
                <pt idx="4">
                  <v>565562.7838756291</v>
                </pt>
                <pt idx="5">
                  <v>479756.135852002</v>
                </pt>
                <pt idx="6">
                  <v>835585.6304969733</v>
                </pt>
              </numCache>
            </numRef>
          </val>
        </ser>
        <ser>
          <idx val="5"/>
          <order val="4"/>
          <tx>
            <strRef>
              <f>'Labour market flows SA'!$AV$24</f>
              <strCache>
                <ptCount val="1"/>
                <pt idx="0">
                  <v>2024</v>
                </pt>
              </strCache>
            </strRef>
          </tx>
          <spPr>
            <a:solidFill>
              <a:srgbClr val="A3ABCC"/>
            </a:solidFill>
            <a:ln w="28575" cap="rnd">
              <a:noFill/>
              <a:prstDash val="solid"/>
              <a:round/>
            </a:ln>
          </spPr>
          <invertIfNegative val="0"/>
          <cat>
            <strRef>
              <f>'Labour market flows SA'!$AW$18:$BC$18</f>
              <strCache>
                <ptCount val="7"/>
                <pt idx="0">
                  <v>Employment to Unemployment</v>
                </pt>
                <pt idx="1">
                  <v>Employment to Economic Inactivity</v>
                </pt>
                <pt idx="2">
                  <v>Unemployment to Employment</v>
                </pt>
                <pt idx="3">
                  <v>Unemployment to Economic Inactivity</v>
                </pt>
                <pt idx="4">
                  <v>Economic Inactivity to Employment</v>
                </pt>
                <pt idx="5">
                  <v>Economic Inactivity to Unemployment</v>
                </pt>
                <pt idx="6">
                  <v>Job to job changes</v>
                </pt>
              </strCache>
            </strRef>
          </cat>
          <val>
            <numRef>
              <f>'Labour market flows SA'!$AW$24:$BC$24</f>
              <numCache>
                <formatCode>#,##0,</formatCode>
                <ptCount val="7"/>
                <pt idx="0">
                  <v>301828.1985093447</v>
                </pt>
                <pt idx="1">
                  <v>593297.2161595348</v>
                </pt>
                <pt idx="2">
                  <v>427283.612977945</v>
                </pt>
                <pt idx="3">
                  <v>339064.4125623539</v>
                </pt>
                <pt idx="4">
                  <v>650903.364829571</v>
                </pt>
                <pt idx="5">
                  <v>502658.6659048371</v>
                </pt>
                <pt idx="6">
                  <v>695822.8083927811</v>
                </pt>
              </numCache>
            </numRef>
          </val>
        </ser>
        <ser>
          <idx val="6"/>
          <order val="5"/>
          <tx>
            <strRef>
              <f>'Labour market flows SA'!$AV$25</f>
              <strCache>
                <ptCount val="1"/>
                <pt idx="0">
                  <v>Q1, Q2 and Q3 2025</v>
                </pt>
              </strCache>
            </strRef>
          </tx>
          <spPr>
            <a:solidFill>
              <a:srgbClr val="00285F"/>
            </a:solidFill>
            <a:ln>
              <a:prstDash val="solid"/>
            </a:ln>
          </spPr>
          <invertIfNegative val="0"/>
          <cat>
            <strRef>
              <f>'Labour market flows SA'!$AW$18:$BC$18</f>
              <strCache>
                <ptCount val="7"/>
                <pt idx="0">
                  <v>Employment to Unemployment</v>
                </pt>
                <pt idx="1">
                  <v>Employment to Economic Inactivity</v>
                </pt>
                <pt idx="2">
                  <v>Unemployment to Employment</v>
                </pt>
                <pt idx="3">
                  <v>Unemployment to Economic Inactivity</v>
                </pt>
                <pt idx="4">
                  <v>Economic Inactivity to Employment</v>
                </pt>
                <pt idx="5">
                  <v>Economic Inactivity to Unemployment</v>
                </pt>
                <pt idx="6">
                  <v>Job to job changes</v>
                </pt>
              </strCache>
            </strRef>
          </cat>
          <val>
            <numRef>
              <f>'Labour market flows SA'!$AW$25:$BC$25</f>
              <numCache>
                <formatCode>#,##0,</formatCode>
                <ptCount val="7"/>
                <pt idx="0">
                  <v>328359.5883560273</v>
                </pt>
                <pt idx="1">
                  <v>573277.4586744556</v>
                </pt>
                <pt idx="2">
                  <v>464918.0265440017</v>
                </pt>
                <pt idx="3">
                  <v>313340.465944694</v>
                </pt>
                <pt idx="4">
                  <v>624566.6606628597</v>
                </pt>
                <pt idx="5">
                  <v>512679.4254138283</v>
                </pt>
                <pt idx="6">
                  <v>720861.5117009786</v>
                </pt>
              </numCache>
            </numRef>
          </val>
        </ser>
        <dLbls>
          <showLegendKey val="0"/>
          <showVal val="0"/>
          <showCatName val="0"/>
          <showSerName val="0"/>
          <showPercent val="0"/>
          <showBubbleSize val="0"/>
        </dLbls>
        <gapWidth val="150"/>
        <axId val="1253552912"/>
        <axId val="1"/>
      </barChart>
      <lineChart>
        <grouping val="stacked"/>
        <varyColors val="0"/>
        <ser>
          <idx val="7"/>
          <order val="7"/>
          <tx>
            <strRef>
              <f>'Labour market flows SA'!$AV$19</f>
              <strCache>
                <ptCount val="1"/>
                <pt idx="0">
                  <v>Avg 2015-2019</v>
                </pt>
              </strCache>
            </strRef>
          </tx>
          <spPr>
            <a:ln>
              <a:noFill/>
              <a:prstDash val="solid"/>
            </a:ln>
          </spPr>
          <marker>
            <symbol val="diamond"/>
            <size val="13"/>
            <spPr>
              <a:solidFill>
                <a:srgbClr val="550137"/>
              </a:solidFill>
              <a:ln>
                <a:noFill/>
                <a:prstDash val="solid"/>
              </a:ln>
            </spPr>
          </marker>
          <cat>
            <strRef>
              <f>'Labour market flows SA'!$AW$18:$BC$18</f>
              <strCache>
                <ptCount val="7"/>
                <pt idx="0">
                  <v>Employment to Unemployment</v>
                </pt>
                <pt idx="1">
                  <v>Employment to Economic Inactivity</v>
                </pt>
                <pt idx="2">
                  <v>Unemployment to Employment</v>
                </pt>
                <pt idx="3">
                  <v>Unemployment to Economic Inactivity</v>
                </pt>
                <pt idx="4">
                  <v>Economic Inactivity to Employment</v>
                </pt>
                <pt idx="5">
                  <v>Economic Inactivity to Unemployment</v>
                </pt>
                <pt idx="6">
                  <v>Job to job changes</v>
                </pt>
              </strCache>
            </strRef>
          </cat>
          <val>
            <numRef>
              <f>'Labour market flows SA'!$AW$19:$BC$19</f>
              <numCache>
                <formatCode>#,##0,</formatCode>
                <ptCount val="7"/>
                <pt idx="0">
                  <v>298472.0948235284</v>
                </pt>
                <pt idx="1">
                  <v>552261.6385973971</v>
                </pt>
                <pt idx="2">
                  <v>436321.8396061474</v>
                </pt>
                <pt idx="3">
                  <v>295547.4062376772</v>
                </pt>
                <pt idx="4">
                  <v>565870.3086221502</v>
                </pt>
                <pt idx="5">
                  <v>394717.2177730337</v>
                </pt>
                <pt idx="6">
                  <v>756743.2880754734</v>
                </pt>
              </numCache>
            </numRef>
          </val>
          <smooth val="0"/>
        </ser>
        <dLbls>
          <showLegendKey val="0"/>
          <showVal val="0"/>
          <showCatName val="0"/>
          <showSerName val="0"/>
          <showPercent val="0"/>
          <showBubbleSize val="0"/>
        </dLbls>
        <marker val="1"/>
        <smooth val="0"/>
        <axId val="81857599"/>
        <axId val="395236927"/>
      </lineChart>
      <catAx>
        <axId val="1253552912"/>
        <scaling>
          <orientation val="minMax"/>
        </scaling>
        <delete val="0"/>
        <axPos val="b"/>
        <numFmt formatCode="General" sourceLinked="1"/>
        <majorTickMark val="out"/>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
        <crosses val="autoZero"/>
        <auto val="1"/>
        <lblAlgn val="ctr"/>
        <lblOffset val="100"/>
        <noMultiLvlLbl val="0"/>
      </catAx>
      <valAx>
        <axId val="1"/>
        <scaling>
          <orientation val="minMax"/>
        </scaling>
        <delete val="0"/>
        <axPos val="l"/>
        <majorGridlines>
          <spPr>
            <a:ln w="9525" cap="flat" cmpd="sng" algn="ctr">
              <a:solidFill>
                <a:schemeClr val="tx1">
                  <a:lumMod val="15000"/>
                  <a:lumOff val="85000"/>
                </a:schemeClr>
              </a:solidFill>
              <a:prstDash val="solid"/>
              <a:round/>
            </a:ln>
          </spPr>
        </majorGridlines>
        <title>
          <tx>
            <rich>
              <a:bodyPr/>
              <a:lstStyle/>
              <a:p>
                <a:pPr>
                  <a:defRPr/>
                </a:pPr>
                <a:r>
                  <a:rPr lang="en-GB" sz="1000" b="0" i="0" strike="noStrike" kern="1200" baseline="0">
                    <a:solidFill>
                      <a:sysClr val="windowText" lastClr="000000"/>
                    </a:solidFill>
                    <a:latin typeface="Arial" panose="020B0604020202020204" pitchFamily="34" charset="0"/>
                    <a:cs typeface="Arial" panose="020B0604020202020204" pitchFamily="34" charset="0"/>
                  </a:rPr>
                  <a:t>Seasonally adjusted, people aged 16-64, UK (thousands)</a:t>
                </a:r>
              </a:p>
            </rich>
          </tx>
          <overlay val="0"/>
        </title>
        <numFmt formatCode="#,##0," sourceLinked="1"/>
        <majorTickMark val="none"/>
        <minorTickMark val="none"/>
        <tickLblPos val="nextTo"/>
        <spPr>
          <a:ln w="9525">
            <a:noFill/>
            <a:prstDash val="solid"/>
          </a:ln>
        </spPr>
        <txPr>
          <a:bodyPr rot="-60000000" spcFirstLastPara="1" vertOverflow="ellipsis" vert="horz" wrap="square" anchor="ctr" anchorCtr="1"/>
          <a:lstStyle/>
          <a:p>
            <a:pPr>
              <a:defRPr sz="900" b="0" i="0" strike="noStrike" kern="1200" baseline="0">
                <a:solidFill>
                  <a:schemeClr val="tx1"/>
                </a:solidFill>
                <a:latin typeface="+mn-lt"/>
                <a:ea typeface="+mn-ea"/>
                <a:cs typeface="+mn-cs"/>
              </a:defRPr>
            </a:pPr>
            <a:r>
              <a:t/>
            </a:r>
            <a:endParaRPr lang="en-US"/>
          </a:p>
        </txPr>
        <crossAx val="1253552912"/>
        <crosses val="autoZero"/>
        <crossBetween val="between"/>
      </valAx>
      <catAx>
        <axId val="81857599"/>
        <scaling>
          <orientation val="minMax"/>
        </scaling>
        <delete val="1"/>
        <axPos val="b"/>
        <numFmt formatCode="General" sourceLinked="1"/>
        <majorTickMark val="out"/>
        <minorTickMark val="none"/>
        <tickLblPos val="nextTo"/>
        <crossAx val="395236927"/>
        <crosses val="autoZero"/>
        <auto val="1"/>
        <lblAlgn val="ctr"/>
        <lblOffset val="100"/>
        <noMultiLvlLbl val="0"/>
      </catAx>
      <valAx>
        <axId val="395236927"/>
        <scaling>
          <orientation val="minMax"/>
          <max val="1000000"/>
        </scaling>
        <delete val="0"/>
        <axPos val="r"/>
        <numFmt formatCode="#,##0," sourceLinked="1"/>
        <majorTickMark val="out"/>
        <minorTickMark val="none"/>
        <crossAx val="81857599"/>
        <crosses val="max"/>
        <crossBetween val="between"/>
      </valAx>
    </plotArea>
    <legend>
      <legendPos val="b"/>
      <overlay val="0"/>
      <spPr>
        <a:noFill/>
        <a:ln w="25400">
          <a:noFill/>
          <a:prstDash val="solid"/>
        </a:ln>
      </spPr>
      <txPr>
        <a:bodyPr rot="0" spcFirstLastPara="1" vertOverflow="ellipsis" vert="horz" wrap="square" anchor="ctr" anchorCtr="1"/>
        <a:lstStyle/>
        <a:p>
          <a:pPr>
            <a:defRPr sz="105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7.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0" i="0" strike="noStrike" kern="1200" spc="0" baseline="0">
                <a:solidFill>
                  <a:schemeClr val="tx1"/>
                </a:solidFill>
                <a:latin typeface="+mn-lt"/>
                <a:ea typeface="+mn-ea"/>
                <a:cs typeface="+mn-cs"/>
              </a:defRPr>
            </a:pPr>
            <a:r>
              <a:rPr lang="en-GB">
                <a:solidFill>
                  <a:schemeClr val="tx1"/>
                </a:solidFill>
              </a:rPr>
              <a:t>Financial year average</a:t>
            </a:r>
          </a:p>
        </rich>
      </tx>
      <overlay val="0"/>
      <spPr>
        <a:noFill/>
        <a:ln w="25400">
          <a:noFill/>
          <a:prstDash val="solid"/>
        </a:ln>
      </spPr>
    </title>
    <plotArea>
      <layout/>
      <barChart>
        <barDir val="col"/>
        <grouping val="clustered"/>
        <varyColors val="0"/>
        <ser>
          <idx val="0"/>
          <order val="0"/>
          <tx>
            <strRef>
              <f>'Labour market flows SA'!$AV$10</f>
              <strCache>
                <ptCount val="1"/>
                <pt idx="0">
                  <v>Avg Jul-Sep 2015 to Apr-Jun 2020</v>
                </pt>
              </strCache>
            </strRef>
          </tx>
          <spPr>
            <a:solidFill>
              <a:srgbClr val="550137"/>
            </a:solidFill>
            <a:ln w="25400">
              <a:noFill/>
              <a:prstDash val="solid"/>
            </a:ln>
          </spPr>
          <invertIfNegative val="0"/>
          <cat>
            <strRef>
              <f>'Labour market flows SA'!$AW$9:$BC$9</f>
              <strCache>
                <ptCount val="7"/>
                <pt idx="0">
                  <v>Employment to Unemployment</v>
                </pt>
                <pt idx="1">
                  <v>Employment to Economic Inactivity</v>
                </pt>
                <pt idx="2">
                  <v>Unemployment to Employment</v>
                </pt>
                <pt idx="3">
                  <v>Unemployment to Economic Inactivity</v>
                </pt>
                <pt idx="4">
                  <v>Economic Inactivity to Employment</v>
                </pt>
                <pt idx="5">
                  <v>Economic Inactivity to Unemployment</v>
                </pt>
                <pt idx="6">
                  <v>Job to job changes</v>
                </pt>
              </strCache>
            </strRef>
          </cat>
          <val>
            <numRef>
              <f>'Labour market flows SA'!$AW$10:$BC$10</f>
              <numCache>
                <formatCode>#,##0,</formatCode>
                <ptCount val="7"/>
                <pt idx="0">
                  <v>300817.7957662143</v>
                </pt>
                <pt idx="1">
                  <v>567830.9318475096</v>
                </pt>
                <pt idx="2">
                  <v>425540.5779979802</v>
                </pt>
                <pt idx="3">
                  <v>296392.7470181453</v>
                </pt>
                <pt idx="4">
                  <v>565767.1367431665</v>
                </pt>
                <pt idx="5">
                  <v>389735.3991605171</v>
                </pt>
                <pt idx="6">
                  <v>752537.7434542838</v>
                </pt>
              </numCache>
            </numRef>
          </val>
        </ser>
        <ser>
          <idx val="1"/>
          <order val="1"/>
          <tx>
            <strRef>
              <f>'Labour market flows SA'!$AV$11</f>
              <strCache>
                <ptCount val="1"/>
                <pt idx="0">
                  <v>2020/21</v>
                </pt>
              </strCache>
            </strRef>
          </tx>
          <spPr>
            <a:solidFill>
              <a:srgbClr val="7B005B"/>
            </a:solidFill>
            <a:ln w="25400">
              <a:noFill/>
              <a:prstDash val="solid"/>
            </a:ln>
          </spPr>
          <invertIfNegative val="0"/>
          <cat>
            <strRef>
              <f>'Labour market flows SA'!$AW$9:$BC$9</f>
              <strCache>
                <ptCount val="7"/>
                <pt idx="0">
                  <v>Employment to Unemployment</v>
                </pt>
                <pt idx="1">
                  <v>Employment to Economic Inactivity</v>
                </pt>
                <pt idx="2">
                  <v>Unemployment to Employment</v>
                </pt>
                <pt idx="3">
                  <v>Unemployment to Economic Inactivity</v>
                </pt>
                <pt idx="4">
                  <v>Economic Inactivity to Employment</v>
                </pt>
                <pt idx="5">
                  <v>Economic Inactivity to Unemployment</v>
                </pt>
                <pt idx="6">
                  <v>Job to job changes</v>
                </pt>
              </strCache>
            </strRef>
          </cat>
          <val>
            <numRef>
              <f>'Labour market flows SA'!$AW$11:$BC$11</f>
              <numCache>
                <formatCode>#,##0,</formatCode>
                <ptCount val="7"/>
                <pt idx="0">
                  <v>351032.3647112843</v>
                </pt>
                <pt idx="1">
                  <v>600418.5896090113</v>
                </pt>
                <pt idx="2">
                  <v>468857.4387575815</v>
                </pt>
                <pt idx="3">
                  <v>313355.740233591</v>
                </pt>
                <pt idx="4">
                  <v>530999.7654209509</v>
                </pt>
                <pt idx="5">
                  <v>469119.1391984193</v>
                </pt>
                <pt idx="6">
                  <v>685284.4204707165</v>
                </pt>
              </numCache>
            </numRef>
          </val>
        </ser>
        <ser>
          <idx val="2"/>
          <order val="2"/>
          <tx>
            <strRef>
              <f>'Labour market flows SA'!$AV$12</f>
              <strCache>
                <ptCount val="1"/>
                <pt idx="0">
                  <v>2021/22</v>
                </pt>
              </strCache>
            </strRef>
          </tx>
          <spPr>
            <a:solidFill>
              <a:srgbClr val="A90083"/>
            </a:solidFill>
            <a:ln w="25400">
              <a:noFill/>
              <a:prstDash val="solid"/>
            </a:ln>
          </spPr>
          <invertIfNegative val="0"/>
          <cat>
            <strRef>
              <f>'Labour market flows SA'!$AW$9:$BC$9</f>
              <strCache>
                <ptCount val="7"/>
                <pt idx="0">
                  <v>Employment to Unemployment</v>
                </pt>
                <pt idx="1">
                  <v>Employment to Economic Inactivity</v>
                </pt>
                <pt idx="2">
                  <v>Unemployment to Employment</v>
                </pt>
                <pt idx="3">
                  <v>Unemployment to Economic Inactivity</v>
                </pt>
                <pt idx="4">
                  <v>Economic Inactivity to Employment</v>
                </pt>
                <pt idx="5">
                  <v>Economic Inactivity to Unemployment</v>
                </pt>
                <pt idx="6">
                  <v>Job to job changes</v>
                </pt>
              </strCache>
            </strRef>
          </cat>
          <val>
            <numRef>
              <f>'Labour market flows SA'!$AW$12:$BC$12</f>
              <numCache>
                <formatCode>#,##0,</formatCode>
                <ptCount val="7"/>
                <pt idx="0">
                  <v>271081.7808274435</v>
                </pt>
                <pt idx="1">
                  <v>648192.9850141213</v>
                </pt>
                <pt idx="2">
                  <v>482138.0774922537</v>
                </pt>
                <pt idx="3">
                  <v>307260.4798405223</v>
                </pt>
                <pt idx="4">
                  <v>620149.9763265523</v>
                </pt>
                <pt idx="5">
                  <v>434244.892761343</v>
                </pt>
                <pt idx="6">
                  <v>983083.852479434</v>
                </pt>
              </numCache>
            </numRef>
          </val>
        </ser>
        <ser>
          <idx val="3"/>
          <order val="3"/>
          <tx>
            <strRef>
              <f>'Labour market flows SA'!$AV$13</f>
              <strCache>
                <ptCount val="1"/>
                <pt idx="0">
                  <v>2022/23</v>
                </pt>
              </strCache>
            </strRef>
          </tx>
          <spPr>
            <a:solidFill>
              <a:srgbClr val="D9DDEA"/>
            </a:solidFill>
            <a:ln w="25400">
              <a:noFill/>
              <a:prstDash val="solid"/>
            </a:ln>
          </spPr>
          <invertIfNegative val="0"/>
          <cat>
            <strRef>
              <f>'Labour market flows SA'!$AW$9:$BC$9</f>
              <strCache>
                <ptCount val="7"/>
                <pt idx="0">
                  <v>Employment to Unemployment</v>
                </pt>
                <pt idx="1">
                  <v>Employment to Economic Inactivity</v>
                </pt>
                <pt idx="2">
                  <v>Unemployment to Employment</v>
                </pt>
                <pt idx="3">
                  <v>Unemployment to Economic Inactivity</v>
                </pt>
                <pt idx="4">
                  <v>Economic Inactivity to Employment</v>
                </pt>
                <pt idx="5">
                  <v>Economic Inactivity to Unemployment</v>
                </pt>
                <pt idx="6">
                  <v>Job to job changes</v>
                </pt>
              </strCache>
            </strRef>
          </cat>
          <val>
            <numRef>
              <f>'Labour market flows SA'!$AW$13:$BC$13</f>
              <numCache>
                <formatCode>#,##0,</formatCode>
                <ptCount val="7"/>
                <pt idx="0">
                  <v>285522.2422372325</v>
                </pt>
                <pt idx="1">
                  <v>599826.7542356332</v>
                </pt>
                <pt idx="2">
                  <v>431347.5848439977</v>
                </pt>
                <pt idx="3">
                  <v>292573.5199474765</v>
                </pt>
                <pt idx="4">
                  <v>628729.428715355</v>
                </pt>
                <pt idx="5">
                  <v>467406.3189541637</v>
                </pt>
                <pt idx="6">
                  <v>901825.8270612232</v>
                </pt>
              </numCache>
            </numRef>
          </val>
        </ser>
        <ser>
          <idx val="4"/>
          <order val="4"/>
          <tx>
            <strRef>
              <f>'Labour market flows SA'!$AV$14</f>
              <strCache>
                <ptCount val="1"/>
                <pt idx="0">
                  <v>2023/24</v>
                </pt>
              </strCache>
            </strRef>
          </tx>
          <spPr>
            <a:solidFill>
              <a:srgbClr val="777D96"/>
            </a:solidFill>
            <a:ln w="25400">
              <a:noFill/>
              <a:prstDash val="solid"/>
            </a:ln>
          </spPr>
          <invertIfNegative val="0"/>
          <cat>
            <strRef>
              <f>'Labour market flows SA'!$AW$9:$BC$9</f>
              <strCache>
                <ptCount val="7"/>
                <pt idx="0">
                  <v>Employment to Unemployment</v>
                </pt>
                <pt idx="1">
                  <v>Employment to Economic Inactivity</v>
                </pt>
                <pt idx="2">
                  <v>Unemployment to Employment</v>
                </pt>
                <pt idx="3">
                  <v>Unemployment to Economic Inactivity</v>
                </pt>
                <pt idx="4">
                  <v>Economic Inactivity to Employment</v>
                </pt>
                <pt idx="5">
                  <v>Economic Inactivity to Unemployment</v>
                </pt>
                <pt idx="6">
                  <v>Job to job changes</v>
                </pt>
              </strCache>
            </strRef>
          </cat>
          <val>
            <numRef>
              <f>'Labour market flows SA'!$AW$14:$BC$14</f>
              <numCache>
                <formatCode>#,##0,</formatCode>
                <ptCount val="7"/>
                <pt idx="0">
                  <v>315821.4107975535</v>
                </pt>
                <pt idx="1">
                  <v>599496.2130870365</v>
                </pt>
                <pt idx="2">
                  <v>453763.085136797</v>
                </pt>
                <pt idx="3">
                  <v>348456.6431055</v>
                </pt>
                <pt idx="4">
                  <v>587517.3197087848</v>
                </pt>
                <pt idx="5">
                  <v>482886.8108262263</v>
                </pt>
                <pt idx="6">
                  <v>792403.6351346327</v>
                </pt>
              </numCache>
            </numRef>
          </val>
        </ser>
        <ser>
          <idx val="5"/>
          <order val="5"/>
          <tx>
            <strRef>
              <f>'Labour market flows SA'!$AV$15</f>
              <strCache>
                <ptCount val="1"/>
                <pt idx="0">
                  <v>2024/25</v>
                </pt>
              </strCache>
            </strRef>
          </tx>
          <spPr>
            <a:solidFill>
              <a:srgbClr val="A3ABCC"/>
            </a:solidFill>
            <a:ln w="28575" cap="rnd">
              <a:noFill/>
              <a:prstDash val="solid"/>
              <a:round/>
            </a:ln>
          </spPr>
          <invertIfNegative val="0"/>
          <cat>
            <strRef>
              <f>'Labour market flows SA'!$AW$9:$BC$9</f>
              <strCache>
                <ptCount val="7"/>
                <pt idx="0">
                  <v>Employment to Unemployment</v>
                </pt>
                <pt idx="1">
                  <v>Employment to Economic Inactivity</v>
                </pt>
                <pt idx="2">
                  <v>Unemployment to Employment</v>
                </pt>
                <pt idx="3">
                  <v>Unemployment to Economic Inactivity</v>
                </pt>
                <pt idx="4">
                  <v>Economic Inactivity to Employment</v>
                </pt>
                <pt idx="5">
                  <v>Economic Inactivity to Unemployment</v>
                </pt>
                <pt idx="6">
                  <v>Job to job changes</v>
                </pt>
              </strCache>
            </strRef>
          </cat>
          <val>
            <numRef>
              <f>'Labour market flows SA'!$AW$15:$BC$15</f>
              <numCache>
                <formatCode>#,##0,</formatCode>
                <ptCount val="7"/>
                <pt idx="0">
                  <v>288425.723064855</v>
                </pt>
                <pt idx="1">
                  <v>589298.6484704965</v>
                </pt>
                <pt idx="2">
                  <v>455076.7923137872</v>
                </pt>
                <pt idx="3">
                  <v>311524.0413221</v>
                </pt>
                <pt idx="4">
                  <v>647380.8101819865</v>
                </pt>
                <pt idx="5">
                  <v>518668.529383642</v>
                </pt>
                <pt idx="6">
                  <v>668742.6108196774</v>
                </pt>
              </numCache>
            </numRef>
          </val>
        </ser>
        <dLbls>
          <showLegendKey val="0"/>
          <showVal val="0"/>
          <showCatName val="0"/>
          <showSerName val="0"/>
          <showPercent val="0"/>
          <showBubbleSize val="0"/>
        </dLbls>
        <gapWidth val="150"/>
        <axId val="1253552912"/>
        <axId val="1"/>
      </barChart>
      <catAx>
        <axId val="1253552912"/>
        <scaling>
          <orientation val="minMax"/>
        </scaling>
        <delete val="0"/>
        <axPos val="b"/>
        <numFmt formatCode="General" sourceLinked="1"/>
        <majorTickMark val="out"/>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
        <crosses val="autoZero"/>
        <auto val="1"/>
        <lblAlgn val="ctr"/>
        <lblOffset val="100"/>
        <noMultiLvlLbl val="0"/>
      </catAx>
      <valAx>
        <axId val="1"/>
        <scaling>
          <orientation val="minMax"/>
        </scaling>
        <delete val="0"/>
        <axPos val="l"/>
        <majorGridlines>
          <spPr>
            <a:ln w="9525" cap="flat" cmpd="sng" algn="ctr">
              <a:solidFill>
                <a:schemeClr val="tx1">
                  <a:lumMod val="15000"/>
                  <a:lumOff val="85000"/>
                </a:schemeClr>
              </a:solidFill>
              <a:prstDash val="solid"/>
              <a:round/>
            </a:ln>
          </spPr>
        </majorGridlines>
        <title>
          <tx>
            <rich>
              <a:bodyPr/>
              <a:lstStyle/>
              <a:p>
                <a:pPr>
                  <a:defRPr/>
                </a:pPr>
                <a:r>
                  <a:rPr lang="en-GB" sz="1000" b="0" i="0" strike="noStrike" kern="1200" baseline="0">
                    <a:solidFill>
                      <a:sysClr val="windowText" lastClr="000000"/>
                    </a:solidFill>
                    <a:latin typeface="Arial" panose="020B0604020202020204" pitchFamily="34" charset="0"/>
                    <a:cs typeface="Arial" panose="020B0604020202020204" pitchFamily="34" charset="0"/>
                  </a:rPr>
                  <a:t>Seasonally adjusted, people aged 16-64, UK (thousands)</a:t>
                </a:r>
              </a:p>
            </rich>
          </tx>
          <overlay val="0"/>
        </title>
        <numFmt formatCode="#,##0," sourceLinked="1"/>
        <majorTickMark val="none"/>
        <minorTickMark val="none"/>
        <tickLblPos val="nextTo"/>
        <spPr>
          <a:ln w="9525">
            <a:noFill/>
            <a:prstDash val="solid"/>
          </a:ln>
        </spPr>
        <txPr>
          <a:bodyPr rot="-60000000" spcFirstLastPara="1" vertOverflow="ellipsis" vert="horz" wrap="square" anchor="ctr" anchorCtr="1"/>
          <a:lstStyle/>
          <a:p>
            <a:pPr>
              <a:defRPr sz="900" b="0" i="0" strike="noStrike" kern="1200" baseline="0">
                <a:solidFill>
                  <a:schemeClr val="tx1"/>
                </a:solidFill>
                <a:latin typeface="+mn-lt"/>
                <a:ea typeface="+mn-ea"/>
                <a:cs typeface="+mn-cs"/>
              </a:defRPr>
            </a:pPr>
            <a:r>
              <a:t/>
            </a:r>
            <a:endParaRPr lang="en-US"/>
          </a:p>
        </txPr>
        <crossAx val="1253552912"/>
        <crosses val="autoZero"/>
        <crossBetween val="between"/>
      </valAx>
    </plotArea>
    <legend>
      <legendPos val="b"/>
      <overlay val="0"/>
      <spPr>
        <a:noFill/>
        <a:ln w="25400">
          <a:noFill/>
          <a:prstDash val="solid"/>
        </a:ln>
      </spPr>
      <txPr>
        <a:bodyPr rot="0" spcFirstLastPara="1" vertOverflow="ellipsis" vert="horz" wrap="square" anchor="ctr" anchorCtr="1"/>
        <a:lstStyle/>
        <a:p>
          <a:pPr>
            <a:defRPr sz="105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8.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1" i="0"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GB" sz="1400" b="1" i="0" strike="noStrike" kern="1200" spc="0" baseline="0">
                <a:solidFill>
                  <a:sysClr val="windowText" lastClr="000000"/>
                </a:solidFill>
                <a:latin typeface="Arial" panose="020B0604020202020204" pitchFamily="34" charset="0"/>
                <a:cs typeface="Arial" panose="020B0604020202020204" pitchFamily="34" charset="0"/>
              </a:rPr>
              <a:t>Economic Inactivity outflows</a:t>
            </a:r>
          </a:p>
        </rich>
      </tx>
      <overlay val="0"/>
      <spPr>
        <a:noFill/>
        <a:ln>
          <a:noFill/>
          <a:prstDash val="solid"/>
        </a:ln>
      </spPr>
    </title>
    <plotArea>
      <layout>
        <manualLayout>
          <layoutTarget val="inner"/>
          <xMode val="edge"/>
          <yMode val="edge"/>
          <wMode val="factor"/>
          <hMode val="factor"/>
          <x val="0.1019295834980052"/>
          <y val="0.1001562408520894"/>
          <w val="0.8654703887012529"/>
          <h val="0.74685639560743"/>
        </manualLayout>
      </layout>
      <lineChart>
        <grouping val="standard"/>
        <varyColors val="0"/>
        <ser>
          <idx val="0"/>
          <order val="0"/>
          <tx>
            <strRef>
              <f>'Labour market flows SA'!$W$7</f>
              <strCache>
                <ptCount val="1"/>
                <pt idx="0">
                  <v>Economic Inactivity to Employment</v>
                </pt>
              </strCache>
            </strRef>
          </tx>
          <spPr>
            <a:ln w="28575" cap="rnd">
              <a:solidFill>
                <a:schemeClr val="accent1"/>
              </a:solidFill>
              <a:prstDash val="solid"/>
              <a:round/>
            </a:ln>
          </spPr>
          <marker>
            <symbol val="none"/>
            <spPr>
              <a:ln>
                <a:prstDash val="solid"/>
              </a:ln>
            </spPr>
          </marker>
          <cat>
            <numRef>
              <f>'Labour market flows SA'!$A$50:$A$102</f>
              <numCache>
                <formatCode>m/d/yyyy</formatCode>
                <ptCount val="53"/>
                <pt idx="0">
                  <v>41000</v>
                </pt>
                <pt idx="1">
                  <v>41091</v>
                </pt>
                <pt idx="2">
                  <v>41183</v>
                </pt>
                <pt idx="3">
                  <v>41275</v>
                </pt>
                <pt idx="4">
                  <v>41365</v>
                </pt>
                <pt idx="5">
                  <v>41456</v>
                </pt>
                <pt idx="6">
                  <v>41548</v>
                </pt>
                <pt idx="7">
                  <v>41640</v>
                </pt>
                <pt idx="8">
                  <v>41730</v>
                </pt>
                <pt idx="9">
                  <v>41821</v>
                </pt>
                <pt idx="10">
                  <v>41913</v>
                </pt>
                <pt idx="11">
                  <v>42005</v>
                </pt>
                <pt idx="12">
                  <v>42095</v>
                </pt>
                <pt idx="13">
                  <v>42186</v>
                </pt>
                <pt idx="14">
                  <v>42278</v>
                </pt>
                <pt idx="15">
                  <v>42370</v>
                </pt>
                <pt idx="16">
                  <v>42461</v>
                </pt>
                <pt idx="17">
                  <v>42552</v>
                </pt>
                <pt idx="18">
                  <v>42644</v>
                </pt>
                <pt idx="19">
                  <v>42736</v>
                </pt>
                <pt idx="20">
                  <v>42826</v>
                </pt>
                <pt idx="21">
                  <v>42917</v>
                </pt>
                <pt idx="22">
                  <v>43009</v>
                </pt>
                <pt idx="23">
                  <v>43101</v>
                </pt>
                <pt idx="24">
                  <v>43191</v>
                </pt>
                <pt idx="25">
                  <v>43282</v>
                </pt>
                <pt idx="26">
                  <v>43374</v>
                </pt>
                <pt idx="27">
                  <v>43466</v>
                </pt>
                <pt idx="28">
                  <v>43556</v>
                </pt>
                <pt idx="29">
                  <v>43647</v>
                </pt>
                <pt idx="30">
                  <v>43739</v>
                </pt>
                <pt idx="31">
                  <v>43831</v>
                </pt>
                <pt idx="32">
                  <v>43922</v>
                </pt>
                <pt idx="33">
                  <v>44013</v>
                </pt>
                <pt idx="34">
                  <v>44105</v>
                </pt>
                <pt idx="35">
                  <v>44197</v>
                </pt>
                <pt idx="36">
                  <v>44287</v>
                </pt>
                <pt idx="37">
                  <v>44378</v>
                </pt>
                <pt idx="38">
                  <v>44470</v>
                </pt>
                <pt idx="39">
                  <v>44562</v>
                </pt>
                <pt idx="40">
                  <v>44652</v>
                </pt>
                <pt idx="41">
                  <v>44743</v>
                </pt>
                <pt idx="42">
                  <v>44835</v>
                </pt>
                <pt idx="43">
                  <v>44927</v>
                </pt>
                <pt idx="44">
                  <v>45017</v>
                </pt>
                <pt idx="45">
                  <v>45108</v>
                </pt>
                <pt idx="46">
                  <v>45200</v>
                </pt>
                <pt idx="47">
                  <v>45292</v>
                </pt>
                <pt idx="48">
                  <v>45383</v>
                </pt>
                <pt idx="49">
                  <v>45474</v>
                </pt>
                <pt idx="50">
                  <v>45566</v>
                </pt>
                <pt idx="51">
                  <v>45658</v>
                </pt>
                <pt idx="52">
                  <v>45748</v>
                </pt>
              </numCache>
            </numRef>
          </cat>
          <val>
            <numRef>
              <f>'Labour market flows SA'!$W$50:$W$102</f>
              <numCache>
                <formatCode>#,##0,</formatCode>
                <ptCount val="53"/>
                <pt idx="0">
                  <v>494798.912394335</v>
                </pt>
                <pt idx="1">
                  <v>450846.106775739</v>
                </pt>
                <pt idx="2">
                  <v>409894.312133172</v>
                </pt>
                <pt idx="3">
                  <v>385075.626847397</v>
                </pt>
                <pt idx="4">
                  <v>446600.057277211</v>
                </pt>
                <pt idx="5">
                  <v>469044.691334915</v>
                </pt>
                <pt idx="6">
                  <v>494713.749478157</v>
                </pt>
                <pt idx="7">
                  <v>484195.528341505</v>
                </pt>
                <pt idx="8">
                  <v>521240.964860834</v>
                </pt>
                <pt idx="9">
                  <v>534036.953782914</v>
                </pt>
                <pt idx="10">
                  <v>480975.156110543</v>
                </pt>
                <pt idx="11">
                  <v>588295.987691471</v>
                </pt>
                <pt idx="12">
                  <v>501754.607006608</v>
                </pt>
                <pt idx="13">
                  <v>560815.935009863</v>
                </pt>
                <pt idx="14">
                  <v>577067.784846459</v>
                </pt>
                <pt idx="15">
                  <v>539108.389612549</v>
                </pt>
                <pt idx="16">
                  <v>572258.880072022</v>
                </pt>
                <pt idx="17">
                  <v>561689.825080291</v>
                </pt>
                <pt idx="18">
                  <v>515555.558439955</v>
                </pt>
                <pt idx="19">
                  <v>535200.954435533</v>
                </pt>
                <pt idx="20">
                  <v>552657.852655415</v>
                </pt>
                <pt idx="21">
                  <v>529889.560352533</v>
                </pt>
                <pt idx="22">
                  <v>579495.521414926</v>
                </pt>
                <pt idx="23">
                  <v>580584.690718496</v>
                </pt>
                <pt idx="24">
                  <v>539519.9594614049</v>
                </pt>
                <pt idx="25">
                  <v>583524.731077909</v>
                </pt>
                <pt idx="26">
                  <v>625612.324983981</v>
                </pt>
                <pt idx="27">
                  <v>659598.475436335</v>
                </pt>
                <pt idx="28">
                  <v>558891.174699449</v>
                </pt>
                <pt idx="29">
                  <v>569475.723658688</v>
                </pt>
                <pt idx="30">
                  <v>586408.235789115</v>
                </pt>
                <pt idx="31">
                  <v>539508.407073524</v>
                </pt>
                <pt idx="32">
                  <v>548478.750044881</v>
                </pt>
                <pt idx="33">
                  <v>473679.808486382</v>
                </pt>
                <pt idx="34">
                  <v>495154.368372467</v>
                </pt>
                <pt idx="35">
                  <v>528417.6049777149</v>
                </pt>
                <pt idx="36">
                  <v>626747.27984724</v>
                </pt>
                <pt idx="37">
                  <v>649420.17100121</v>
                </pt>
                <pt idx="38">
                  <v>604623.661757536</v>
                </pt>
                <pt idx="39">
                  <v>637680.213665089</v>
                </pt>
                <pt idx="40">
                  <v>588875.858882374</v>
                </pt>
                <pt idx="41">
                  <v>619535.209566504</v>
                </pt>
                <pt idx="42">
                  <v>696224.744988848</v>
                </pt>
                <pt idx="43">
                  <v>665874.7302755431</v>
                </pt>
                <pt idx="44">
                  <v>533283.0300305251</v>
                </pt>
                <pt idx="45">
                  <v>577546.002868626</v>
                </pt>
                <pt idx="46">
                  <v>485547.372327822</v>
                </pt>
                <pt idx="47">
                  <v>623427.809293671</v>
                </pt>
                <pt idx="48">
                  <v>663548.09434502</v>
                </pt>
                <pt idx="49">
                  <v>684770.653698721</v>
                </pt>
                <pt idx="50">
                  <v>631866.901980872</v>
                </pt>
                <pt idx="51">
                  <v>614305.0027928021</v>
                </pt>
                <pt idx="52">
                  <v>658580.682255551</v>
                </pt>
              </numCache>
            </numRef>
          </val>
          <smooth val="0"/>
        </ser>
        <ser>
          <idx val="1"/>
          <order val="1"/>
          <tx>
            <strRef>
              <f>'Labour market flows SA'!$X$7</f>
              <strCache>
                <ptCount val="1"/>
                <pt idx="0">
                  <v>Economic Inactivity to Unemployment</v>
                </pt>
              </strCache>
            </strRef>
          </tx>
          <spPr>
            <a:ln w="28575" cap="rnd">
              <a:solidFill>
                <a:srgbClr val="A02B93"/>
              </a:solidFill>
              <a:prstDash val="solid"/>
              <a:round/>
            </a:ln>
          </spPr>
          <marker>
            <symbol val="none"/>
            <spPr>
              <a:ln>
                <a:prstDash val="solid"/>
              </a:ln>
            </spPr>
          </marker>
          <cat>
            <numRef>
              <f>'Labour market flows SA'!$A$50:$A$102</f>
              <numCache>
                <formatCode>m/d/yyyy</formatCode>
                <ptCount val="53"/>
                <pt idx="0">
                  <v>41000</v>
                </pt>
                <pt idx="1">
                  <v>41091</v>
                </pt>
                <pt idx="2">
                  <v>41183</v>
                </pt>
                <pt idx="3">
                  <v>41275</v>
                </pt>
                <pt idx="4">
                  <v>41365</v>
                </pt>
                <pt idx="5">
                  <v>41456</v>
                </pt>
                <pt idx="6">
                  <v>41548</v>
                </pt>
                <pt idx="7">
                  <v>41640</v>
                </pt>
                <pt idx="8">
                  <v>41730</v>
                </pt>
                <pt idx="9">
                  <v>41821</v>
                </pt>
                <pt idx="10">
                  <v>41913</v>
                </pt>
                <pt idx="11">
                  <v>42005</v>
                </pt>
                <pt idx="12">
                  <v>42095</v>
                </pt>
                <pt idx="13">
                  <v>42186</v>
                </pt>
                <pt idx="14">
                  <v>42278</v>
                </pt>
                <pt idx="15">
                  <v>42370</v>
                </pt>
                <pt idx="16">
                  <v>42461</v>
                </pt>
                <pt idx="17">
                  <v>42552</v>
                </pt>
                <pt idx="18">
                  <v>42644</v>
                </pt>
                <pt idx="19">
                  <v>42736</v>
                </pt>
                <pt idx="20">
                  <v>42826</v>
                </pt>
                <pt idx="21">
                  <v>42917</v>
                </pt>
                <pt idx="22">
                  <v>43009</v>
                </pt>
                <pt idx="23">
                  <v>43101</v>
                </pt>
                <pt idx="24">
                  <v>43191</v>
                </pt>
                <pt idx="25">
                  <v>43282</v>
                </pt>
                <pt idx="26">
                  <v>43374</v>
                </pt>
                <pt idx="27">
                  <v>43466</v>
                </pt>
                <pt idx="28">
                  <v>43556</v>
                </pt>
                <pt idx="29">
                  <v>43647</v>
                </pt>
                <pt idx="30">
                  <v>43739</v>
                </pt>
                <pt idx="31">
                  <v>43831</v>
                </pt>
                <pt idx="32">
                  <v>43922</v>
                </pt>
                <pt idx="33">
                  <v>44013</v>
                </pt>
                <pt idx="34">
                  <v>44105</v>
                </pt>
                <pt idx="35">
                  <v>44197</v>
                </pt>
                <pt idx="36">
                  <v>44287</v>
                </pt>
                <pt idx="37">
                  <v>44378</v>
                </pt>
                <pt idx="38">
                  <v>44470</v>
                </pt>
                <pt idx="39">
                  <v>44562</v>
                </pt>
                <pt idx="40">
                  <v>44652</v>
                </pt>
                <pt idx="41">
                  <v>44743</v>
                </pt>
                <pt idx="42">
                  <v>44835</v>
                </pt>
                <pt idx="43">
                  <v>44927</v>
                </pt>
                <pt idx="44">
                  <v>45017</v>
                </pt>
                <pt idx="45">
                  <v>45108</v>
                </pt>
                <pt idx="46">
                  <v>45200</v>
                </pt>
                <pt idx="47">
                  <v>45292</v>
                </pt>
                <pt idx="48">
                  <v>45383</v>
                </pt>
                <pt idx="49">
                  <v>45474</v>
                </pt>
                <pt idx="50">
                  <v>45566</v>
                </pt>
                <pt idx="51">
                  <v>45658</v>
                </pt>
                <pt idx="52">
                  <v>45748</v>
                </pt>
              </numCache>
            </numRef>
          </cat>
          <val>
            <numRef>
              <f>'Labour market flows SA'!$X$50:$X$102</f>
              <numCache>
                <formatCode>#,##0,</formatCode>
                <ptCount val="53"/>
                <pt idx="0">
                  <v>559485.190587225</v>
                </pt>
                <pt idx="1">
                  <v>520541.128317048</v>
                </pt>
                <pt idx="2">
                  <v>516848.37765879</v>
                </pt>
                <pt idx="3">
                  <v>509448.401581833</v>
                </pt>
                <pt idx="4">
                  <v>520315.514676478</v>
                </pt>
                <pt idx="5">
                  <v>494775.027717475</v>
                </pt>
                <pt idx="6">
                  <v>490590.937828804</v>
                </pt>
                <pt idx="7">
                  <v>472570.357200248</v>
                </pt>
                <pt idx="8">
                  <v>441787.418557388</v>
                </pt>
                <pt idx="9">
                  <v>445807.522572206</v>
                </pt>
                <pt idx="10">
                  <v>426468.054650278</v>
                </pt>
                <pt idx="11">
                  <v>433700.605069646</v>
                </pt>
                <pt idx="12">
                  <v>473346.789549655</v>
                </pt>
                <pt idx="13">
                  <v>478009.275771715</v>
                </pt>
                <pt idx="14">
                  <v>409914.67246206</v>
                </pt>
                <pt idx="15">
                  <v>435314.562441187</v>
                </pt>
                <pt idx="16">
                  <v>404012.948456157</v>
                </pt>
                <pt idx="17">
                  <v>398046.892461605</v>
                </pt>
                <pt idx="18">
                  <v>424102.307318069</v>
                </pt>
                <pt idx="19">
                  <v>418792.646097274</v>
                </pt>
                <pt idx="20">
                  <v>387795.832104834</v>
                </pt>
                <pt idx="21">
                  <v>353731.178355211</v>
                </pt>
                <pt idx="22">
                  <v>366689.298598896</v>
                </pt>
                <pt idx="23">
                  <v>389921.733483468</v>
                </pt>
                <pt idx="24">
                  <v>328672.93521284</v>
                </pt>
                <pt idx="25">
                  <v>378560.021648219</v>
                </pt>
                <pt idx="26">
                  <v>365755.14929174</v>
                </pt>
                <pt idx="27">
                  <v>347434.785010802</v>
                </pt>
                <pt idx="28">
                  <v>375631.021475777</v>
                </pt>
                <pt idx="29">
                  <v>363937.913976668</v>
                </pt>
                <pt idx="30">
                  <v>360973.78667485</v>
                </pt>
                <pt idx="31">
                  <v>411633.034561357</v>
                </pt>
                <pt idx="32">
                  <v>395777.987807613</v>
                </pt>
                <pt idx="33">
                  <v>482919.342420564</v>
                </pt>
                <pt idx="34">
                  <v>483239.420339578</v>
                </pt>
                <pt idx="35">
                  <v>432779.953240532</v>
                </pt>
                <pt idx="36">
                  <v>477537.840793003</v>
                </pt>
                <pt idx="37">
                  <v>469827.83371194</v>
                </pt>
                <pt idx="38">
                  <v>453564.893613776</v>
                </pt>
                <pt idx="39">
                  <v>395588.264445443</v>
                </pt>
                <pt idx="40">
                  <v>417998.579274213</v>
                </pt>
                <pt idx="41">
                  <v>423427.402933311</v>
                </pt>
                <pt idx="42">
                  <v>456159.010740673</v>
                </pt>
                <pt idx="43">
                  <v>472251.113117896</v>
                </pt>
                <pt idx="44">
                  <v>517787.749024775</v>
                </pt>
                <pt idx="45">
                  <v>450618.512694417</v>
                </pt>
                <pt idx="46">
                  <v>478367.16857092</v>
                </pt>
                <pt idx="47">
                  <v>521409.131851727</v>
                </pt>
                <pt idx="48">
                  <v>481152.430187841</v>
                </pt>
                <pt idx="49">
                  <v>525008.9864574861</v>
                </pt>
                <pt idx="50">
                  <v>483064.115122294</v>
                </pt>
                <pt idx="51">
                  <v>585614.653163269</v>
                </pt>
                <pt idx="52">
                  <v>480986.362791519</v>
                </pt>
              </numCache>
            </numRef>
          </val>
          <smooth val="0"/>
        </ser>
        <dLbls>
          <showLegendKey val="0"/>
          <showVal val="0"/>
          <showCatName val="0"/>
          <showSerName val="0"/>
          <showPercent val="0"/>
          <showBubbleSize val="0"/>
        </dLbls>
        <smooth val="0"/>
        <axId val="763953999"/>
        <axId val="551327103"/>
      </lineChart>
      <dateAx>
        <axId val="763953999"/>
        <scaling>
          <orientation val="minMax"/>
        </scaling>
        <delete val="0"/>
        <axPos val="b"/>
        <numFmt formatCode="yyyy" sourceLinked="0"/>
        <majorTickMark val="none"/>
        <minorTickMark val="none"/>
        <tickLblPos val="low"/>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ysClr val="windowText" lastClr="000000"/>
                </a:solidFill>
                <a:latin typeface="Arial" panose="020B0604020202020204" pitchFamily="34" charset="0"/>
                <a:ea typeface="+mn-ea"/>
                <a:cs typeface="Arial" panose="020B0604020202020204" pitchFamily="34" charset="0"/>
              </a:defRPr>
            </a:pPr>
            <a:r>
              <a:t/>
            </a:r>
            <a:endParaRPr lang="en-US"/>
          </a:p>
        </txPr>
        <crossAx val="551327103"/>
        <crosses val="autoZero"/>
        <lblOffset val="100"/>
        <baseTimeUnit val="months"/>
        <majorUnit val="1"/>
        <majorTimeUnit val="years"/>
      </dateAx>
      <valAx>
        <axId val="551327103"/>
        <scaling>
          <orientation val="minMax"/>
          <min val="200000"/>
        </scaling>
        <delete val="0"/>
        <axPos val="l"/>
        <majorGridlines>
          <spPr>
            <a:ln w="9525" cap="flat" cmpd="sng" algn="ctr">
              <a:solidFill>
                <a:schemeClr val="tx1">
                  <a:lumMod val="15000"/>
                  <a:lumOff val="85000"/>
                </a:schemeClr>
              </a:solidFill>
              <a:prstDash val="solid"/>
              <a:round/>
            </a:ln>
          </spPr>
        </majorGridlines>
        <title>
          <tx>
            <rich>
              <a:bodyPr/>
              <a:lstStyle/>
              <a:p>
                <a:pPr>
                  <a:defRPr b="0"/>
                </a:pPr>
                <a:r>
                  <a:rPr lang="en-GB" b="0"/>
                  <a:t>Seasonally adjusted, people aged 16-64, UK (thousands)</a:t>
                </a:r>
              </a:p>
            </rich>
          </tx>
          <layout>
            <manualLayout>
              <xMode val="edge"/>
              <yMode val="edge"/>
              <wMode val="factor"/>
              <hMode val="factor"/>
              <x val="0.01706565409457"/>
              <y val="0.1001562408520894"/>
            </manualLayout>
          </layout>
          <overlay val="0"/>
        </title>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ysClr val="windowText" lastClr="000000"/>
                </a:solidFill>
                <a:latin typeface="Arial" panose="020B0604020202020204" pitchFamily="34" charset="0"/>
                <a:ea typeface="+mn-ea"/>
                <a:cs typeface="Arial" panose="020B0604020202020204" pitchFamily="34" charset="0"/>
              </a:defRPr>
            </a:pPr>
            <a:r>
              <a:t/>
            </a:r>
            <a:endParaRPr lang="en-US"/>
          </a:p>
        </txPr>
        <crossAx val="763953999"/>
        <crosses val="autoZero"/>
        <crossBetween val="between"/>
      </valAx>
    </plotArea>
    <legend>
      <legendPos val="b"/>
      <overlay val="0"/>
      <spPr>
        <a:noFill/>
        <a:ln>
          <a:noFill/>
          <a:prstDash val="solid"/>
        </a:ln>
      </spPr>
      <txPr>
        <a:bodyPr rot="0" spcFirstLastPara="1" vertOverflow="ellipsis" vert="horz" wrap="square" anchor="ctr" anchorCtr="1"/>
        <a:lstStyle/>
        <a:p>
          <a:pPr>
            <a:defRPr sz="900" b="0" i="0" strike="noStrike" kern="1200" baseline="0">
              <a:solidFill>
                <a:sysClr val="windowText" lastClr="000000"/>
              </a:solidFill>
              <a:latin typeface="Arial" panose="020B0604020202020204" pitchFamily="34" charset="0"/>
              <a:ea typeface="+mn-ea"/>
              <a:cs typeface="Arial" panose="020B0604020202020204" pitchFamily="34" charset="0"/>
            </a:defRPr>
          </a:pPr>
          <a:r>
            <a:t/>
          </a:r>
          <a:endParaRPr lang="en-US"/>
        </a:p>
      </txPr>
    </legend>
    <plotVisOnly val="1"/>
    <dispBlanksAs val="gap"/>
  </chart>
  <spPr>
    <a:solidFill>
      <a:schemeClr val="bg1"/>
    </a:solidFill>
    <a:ln w="6350" cap="flat" cmpd="sng" algn="ctr">
      <a:solidFill>
        <a:schemeClr val="tx1"/>
      </a:solidFill>
      <a:prstDash val="solid"/>
      <a:round/>
    </a:ln>
  </spPr>
</chartSpace>
</file>

<file path=xl/charts/chart9.xml><?xml version="1.0" encoding="utf-8"?>
<chartSpace xmlns:a="http://schemas.openxmlformats.org/drawingml/2006/main" xmlns="http://schemas.openxmlformats.org/drawingml/2006/chart">
  <chart>
    <title>
      <tx>
        <rich>
          <a:bodyPr/>
          <a:p>
            <a:r>
              <a:t/>
            </a:r>
          </a:p>
        </rich>
      </tx>
      <overlay val="0"/>
      <spPr>
        <a:noFill/>
        <a:ln>
          <a:noFill/>
          <a:prstDash val="solid"/>
        </a:ln>
      </spPr>
      <txPr>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t/>
          </a:r>
          <a:endParaRPr lang="en-US"/>
        </a:p>
      </txPr>
    </title>
    <plotArea>
      <layout/>
      <lineChart>
        <grouping val="standard"/>
        <varyColors val="0"/>
        <ser>
          <idx val="0"/>
          <order val="0"/>
          <tx>
            <strRef>
              <f>'Labour market flows SA'!$Z$7</f>
              <strCache>
                <ptCount val="1"/>
                <pt idx="0">
                  <v>Economic Inactivity Gross Outflow</v>
                </pt>
              </strCache>
            </strRef>
          </tx>
          <spPr>
            <a:ln w="28575" cap="rnd">
              <a:solidFill>
                <a:schemeClr val="accent1"/>
              </a:solidFill>
              <a:prstDash val="solid"/>
              <a:round/>
            </a:ln>
          </spPr>
          <marker>
            <symbol val="none"/>
            <spPr>
              <a:ln>
                <a:prstDash val="solid"/>
              </a:ln>
            </spPr>
          </marker>
          <cat>
            <numRef>
              <f>'Labour market flows SA'!$A$50:$A$102</f>
              <numCache>
                <formatCode>m/d/yyyy</formatCode>
                <ptCount val="53"/>
                <pt idx="0">
                  <v>41000</v>
                </pt>
                <pt idx="1">
                  <v>41091</v>
                </pt>
                <pt idx="2">
                  <v>41183</v>
                </pt>
                <pt idx="3">
                  <v>41275</v>
                </pt>
                <pt idx="4">
                  <v>41365</v>
                </pt>
                <pt idx="5">
                  <v>41456</v>
                </pt>
                <pt idx="6">
                  <v>41548</v>
                </pt>
                <pt idx="7">
                  <v>41640</v>
                </pt>
                <pt idx="8">
                  <v>41730</v>
                </pt>
                <pt idx="9">
                  <v>41821</v>
                </pt>
                <pt idx="10">
                  <v>41913</v>
                </pt>
                <pt idx="11">
                  <v>42005</v>
                </pt>
                <pt idx="12">
                  <v>42095</v>
                </pt>
                <pt idx="13">
                  <v>42186</v>
                </pt>
                <pt idx="14">
                  <v>42278</v>
                </pt>
                <pt idx="15">
                  <v>42370</v>
                </pt>
                <pt idx="16">
                  <v>42461</v>
                </pt>
                <pt idx="17">
                  <v>42552</v>
                </pt>
                <pt idx="18">
                  <v>42644</v>
                </pt>
                <pt idx="19">
                  <v>42736</v>
                </pt>
                <pt idx="20">
                  <v>42826</v>
                </pt>
                <pt idx="21">
                  <v>42917</v>
                </pt>
                <pt idx="22">
                  <v>43009</v>
                </pt>
                <pt idx="23">
                  <v>43101</v>
                </pt>
                <pt idx="24">
                  <v>43191</v>
                </pt>
                <pt idx="25">
                  <v>43282</v>
                </pt>
                <pt idx="26">
                  <v>43374</v>
                </pt>
                <pt idx="27">
                  <v>43466</v>
                </pt>
                <pt idx="28">
                  <v>43556</v>
                </pt>
                <pt idx="29">
                  <v>43647</v>
                </pt>
                <pt idx="30">
                  <v>43739</v>
                </pt>
                <pt idx="31">
                  <v>43831</v>
                </pt>
                <pt idx="32">
                  <v>43922</v>
                </pt>
                <pt idx="33">
                  <v>44013</v>
                </pt>
                <pt idx="34">
                  <v>44105</v>
                </pt>
                <pt idx="35">
                  <v>44197</v>
                </pt>
                <pt idx="36">
                  <v>44287</v>
                </pt>
                <pt idx="37">
                  <v>44378</v>
                </pt>
                <pt idx="38">
                  <v>44470</v>
                </pt>
                <pt idx="39">
                  <v>44562</v>
                </pt>
                <pt idx="40">
                  <v>44652</v>
                </pt>
                <pt idx="41">
                  <v>44743</v>
                </pt>
                <pt idx="42">
                  <v>44835</v>
                </pt>
                <pt idx="43">
                  <v>44927</v>
                </pt>
                <pt idx="44">
                  <v>45017</v>
                </pt>
                <pt idx="45">
                  <v>45108</v>
                </pt>
                <pt idx="46">
                  <v>45200</v>
                </pt>
                <pt idx="47">
                  <v>45292</v>
                </pt>
                <pt idx="48">
                  <v>45383</v>
                </pt>
                <pt idx="49">
                  <v>45474</v>
                </pt>
                <pt idx="50">
                  <v>45566</v>
                </pt>
                <pt idx="51">
                  <v>45658</v>
                </pt>
                <pt idx="52">
                  <v>45748</v>
                </pt>
              </numCache>
            </numRef>
          </cat>
          <val>
            <numRef>
              <f>'Labour market flows SA'!$Z$50:$Z$102</f>
              <numCache>
                <formatCode>#,##0,</formatCode>
                <ptCount val="53"/>
                <pt idx="0">
                  <v>1054284.10298156</v>
                </pt>
                <pt idx="1">
                  <v>971387.2350927871</v>
                </pt>
                <pt idx="2">
                  <v>926742.689791962</v>
                </pt>
                <pt idx="3">
                  <v>894524.02842923</v>
                </pt>
                <pt idx="4">
                  <v>966915.571953689</v>
                </pt>
                <pt idx="5">
                  <v>963819.71905239</v>
                </pt>
                <pt idx="6">
                  <v>985304.687306961</v>
                </pt>
                <pt idx="7">
                  <v>956765.8855417529</v>
                </pt>
                <pt idx="8">
                  <v>963028.383418222</v>
                </pt>
                <pt idx="9">
                  <v>979844.47635512</v>
                </pt>
                <pt idx="10">
                  <v>907443.210760821</v>
                </pt>
                <pt idx="11">
                  <v>1021996.592761117</v>
                </pt>
                <pt idx="12">
                  <v>975101.396556263</v>
                </pt>
                <pt idx="13">
                  <v>1038825.210781578</v>
                </pt>
                <pt idx="14">
                  <v>986982.457308519</v>
                </pt>
                <pt idx="15">
                  <v>974422.952053736</v>
                </pt>
                <pt idx="16">
                  <v>976271.828528179</v>
                </pt>
                <pt idx="17">
                  <v>959736.717541896</v>
                </pt>
                <pt idx="18">
                  <v>939657.8657580239</v>
                </pt>
                <pt idx="19">
                  <v>953993.6005328069</v>
                </pt>
                <pt idx="20">
                  <v>940453.684760249</v>
                </pt>
                <pt idx="21">
                  <v>883620.7387077441</v>
                </pt>
                <pt idx="22">
                  <v>946184.8200138221</v>
                </pt>
                <pt idx="23">
                  <v>970506.4242019639</v>
                </pt>
                <pt idx="24">
                  <v>868192.8946742449</v>
                </pt>
                <pt idx="25">
                  <v>962084.752726128</v>
                </pt>
                <pt idx="26">
                  <v>991367.474275721</v>
                </pt>
                <pt idx="27">
                  <v>1007033.260447137</v>
                </pt>
                <pt idx="28">
                  <v>934522.196175226</v>
                </pt>
                <pt idx="29">
                  <v>933413.637635356</v>
                </pt>
                <pt idx="30">
                  <v>947382.022463965</v>
                </pt>
                <pt idx="31">
                  <v>951141.441634881</v>
                </pt>
                <pt idx="32">
                  <v>944256.737852494</v>
                </pt>
                <pt idx="33">
                  <v>956599.150906946</v>
                </pt>
                <pt idx="34">
                  <v>978393.7887120449</v>
                </pt>
                <pt idx="35">
                  <v>961197.558218247</v>
                </pt>
                <pt idx="36">
                  <v>1104285.120640243</v>
                </pt>
                <pt idx="37">
                  <v>1119248.00471315</v>
                </pt>
                <pt idx="38">
                  <v>1058188.555371312</v>
                </pt>
                <pt idx="39">
                  <v>1033268.478110532</v>
                </pt>
                <pt idx="40">
                  <v>1006874.438156587</v>
                </pt>
                <pt idx="41">
                  <v>1042962.612499815</v>
                </pt>
                <pt idx="42">
                  <v>1152383.755729521</v>
                </pt>
                <pt idx="43">
                  <v>1138125.843393439</v>
                </pt>
                <pt idx="44">
                  <v>1051070.7790553</v>
                </pt>
                <pt idx="45">
                  <v>1028164.515563043</v>
                </pt>
                <pt idx="46">
                  <v>963914.540898742</v>
                </pt>
                <pt idx="47">
                  <v>1144836.941145398</v>
                </pt>
                <pt idx="48">
                  <v>1144700.524532861</v>
                </pt>
                <pt idx="49">
                  <v>1209779.640156207</v>
                </pt>
                <pt idx="50">
                  <v>1114931.017103166</v>
                </pt>
                <pt idx="51">
                  <v>1199919.655956071</v>
                </pt>
                <pt idx="52">
                  <v>1139567.04504707</v>
                </pt>
              </numCache>
            </numRef>
          </val>
          <smooth val="0"/>
        </ser>
        <dLbls>
          <showLegendKey val="0"/>
          <showVal val="0"/>
          <showCatName val="0"/>
          <showSerName val="0"/>
          <showPercent val="0"/>
          <showBubbleSize val="0"/>
        </dLbls>
        <smooth val="0"/>
        <axId val="19040592"/>
        <axId val="19051632"/>
      </lineChart>
      <dateAx>
        <axId val="19040592"/>
        <scaling>
          <orientation val="minMax"/>
        </scaling>
        <delete val="0"/>
        <axPos val="b"/>
        <numFmt formatCode="yyyy" sourceLinked="0"/>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9051632"/>
        <crosses val="autoZero"/>
        <lblOffset val="100"/>
        <baseTimeUnit val="months"/>
        <majorUnit val="12"/>
        <majorTimeUnit val="months"/>
      </dateAx>
      <valAx>
        <axId val="19051632"/>
        <scaling>
          <orientation val="minMax"/>
          <min val="800000"/>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9040592"/>
        <crosses val="autoZero"/>
        <crossBetween val="between"/>
      </valAx>
    </plotArea>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10.xml><?xml version="1.0" encoding="utf-8"?>
<chartSpace xmlns:a="http://schemas.openxmlformats.org/drawingml/2006/main" xmlns="http://schemas.openxmlformats.org/drawingml/2006/chart">
  <chart>
    <title>
      <tx>
        <rich>
          <a:bodyPr/>
          <a:p>
            <a:r>
              <a:t/>
            </a:r>
          </a:p>
        </rich>
      </tx>
      <overlay val="0"/>
      <spPr>
        <a:noFill/>
        <a:ln>
          <a:noFill/>
          <a:prstDash val="solid"/>
        </a:ln>
      </spPr>
      <txPr>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t/>
          </a:r>
          <a:endParaRPr lang="en-US"/>
        </a:p>
      </txPr>
    </title>
    <plotArea>
      <layout/>
      <lineChart>
        <grouping val="standard"/>
        <varyColors val="0"/>
        <ser>
          <idx val="0"/>
          <order val="0"/>
          <tx>
            <strRef>
              <f>'Labour market flows SA'!$W$7</f>
              <strCache>
                <ptCount val="1"/>
                <pt idx="0">
                  <v>Economic Inactivity to Employment</v>
                </pt>
              </strCache>
            </strRef>
          </tx>
          <spPr>
            <a:ln w="28575" cap="rnd">
              <a:solidFill>
                <a:schemeClr val="accent1"/>
              </a:solidFill>
              <a:prstDash val="solid"/>
              <a:round/>
            </a:ln>
          </spPr>
          <marker>
            <symbol val="none"/>
            <spPr>
              <a:ln>
                <a:prstDash val="solid"/>
              </a:ln>
            </spPr>
          </marker>
          <cat>
            <numRef>
              <f>'Labour market flows SA'!$A$50:$A$102</f>
              <numCache>
                <formatCode>m/d/yyyy</formatCode>
                <ptCount val="53"/>
                <pt idx="0">
                  <v>41000</v>
                </pt>
                <pt idx="1">
                  <v>41091</v>
                </pt>
                <pt idx="2">
                  <v>41183</v>
                </pt>
                <pt idx="3">
                  <v>41275</v>
                </pt>
                <pt idx="4">
                  <v>41365</v>
                </pt>
                <pt idx="5">
                  <v>41456</v>
                </pt>
                <pt idx="6">
                  <v>41548</v>
                </pt>
                <pt idx="7">
                  <v>41640</v>
                </pt>
                <pt idx="8">
                  <v>41730</v>
                </pt>
                <pt idx="9">
                  <v>41821</v>
                </pt>
                <pt idx="10">
                  <v>41913</v>
                </pt>
                <pt idx="11">
                  <v>42005</v>
                </pt>
                <pt idx="12">
                  <v>42095</v>
                </pt>
                <pt idx="13">
                  <v>42186</v>
                </pt>
                <pt idx="14">
                  <v>42278</v>
                </pt>
                <pt idx="15">
                  <v>42370</v>
                </pt>
                <pt idx="16">
                  <v>42461</v>
                </pt>
                <pt idx="17">
                  <v>42552</v>
                </pt>
                <pt idx="18">
                  <v>42644</v>
                </pt>
                <pt idx="19">
                  <v>42736</v>
                </pt>
                <pt idx="20">
                  <v>42826</v>
                </pt>
                <pt idx="21">
                  <v>42917</v>
                </pt>
                <pt idx="22">
                  <v>43009</v>
                </pt>
                <pt idx="23">
                  <v>43101</v>
                </pt>
                <pt idx="24">
                  <v>43191</v>
                </pt>
                <pt idx="25">
                  <v>43282</v>
                </pt>
                <pt idx="26">
                  <v>43374</v>
                </pt>
                <pt idx="27">
                  <v>43466</v>
                </pt>
                <pt idx="28">
                  <v>43556</v>
                </pt>
                <pt idx="29">
                  <v>43647</v>
                </pt>
                <pt idx="30">
                  <v>43739</v>
                </pt>
                <pt idx="31">
                  <v>43831</v>
                </pt>
                <pt idx="32">
                  <v>43922</v>
                </pt>
                <pt idx="33">
                  <v>44013</v>
                </pt>
                <pt idx="34">
                  <v>44105</v>
                </pt>
                <pt idx="35">
                  <v>44197</v>
                </pt>
                <pt idx="36">
                  <v>44287</v>
                </pt>
                <pt idx="37">
                  <v>44378</v>
                </pt>
                <pt idx="38">
                  <v>44470</v>
                </pt>
                <pt idx="39">
                  <v>44562</v>
                </pt>
                <pt idx="40">
                  <v>44652</v>
                </pt>
                <pt idx="41">
                  <v>44743</v>
                </pt>
                <pt idx="42">
                  <v>44835</v>
                </pt>
                <pt idx="43">
                  <v>44927</v>
                </pt>
                <pt idx="44">
                  <v>45017</v>
                </pt>
                <pt idx="45">
                  <v>45108</v>
                </pt>
                <pt idx="46">
                  <v>45200</v>
                </pt>
                <pt idx="47">
                  <v>45292</v>
                </pt>
                <pt idx="48">
                  <v>45383</v>
                </pt>
                <pt idx="49">
                  <v>45474</v>
                </pt>
                <pt idx="50">
                  <v>45566</v>
                </pt>
                <pt idx="51">
                  <v>45658</v>
                </pt>
                <pt idx="52">
                  <v>45748</v>
                </pt>
              </numCache>
            </numRef>
          </cat>
          <val>
            <numRef>
              <f>'Labour market flows SA'!$W$50:$W$102</f>
              <numCache>
                <formatCode>#,##0,</formatCode>
                <ptCount val="53"/>
                <pt idx="0">
                  <v>494798.912394335</v>
                </pt>
                <pt idx="1">
                  <v>450846.106775739</v>
                </pt>
                <pt idx="2">
                  <v>409894.312133172</v>
                </pt>
                <pt idx="3">
                  <v>385075.626847397</v>
                </pt>
                <pt idx="4">
                  <v>446600.057277211</v>
                </pt>
                <pt idx="5">
                  <v>469044.691334915</v>
                </pt>
                <pt idx="6">
                  <v>494713.749478157</v>
                </pt>
                <pt idx="7">
                  <v>484195.528341505</v>
                </pt>
                <pt idx="8">
                  <v>521240.964860834</v>
                </pt>
                <pt idx="9">
                  <v>534036.953782914</v>
                </pt>
                <pt idx="10">
                  <v>480975.156110543</v>
                </pt>
                <pt idx="11">
                  <v>588295.987691471</v>
                </pt>
                <pt idx="12">
                  <v>501754.607006608</v>
                </pt>
                <pt idx="13">
                  <v>560815.935009863</v>
                </pt>
                <pt idx="14">
                  <v>577067.784846459</v>
                </pt>
                <pt idx="15">
                  <v>539108.389612549</v>
                </pt>
                <pt idx="16">
                  <v>572258.880072022</v>
                </pt>
                <pt idx="17">
                  <v>561689.825080291</v>
                </pt>
                <pt idx="18">
                  <v>515555.558439955</v>
                </pt>
                <pt idx="19">
                  <v>535200.954435533</v>
                </pt>
                <pt idx="20">
                  <v>552657.852655415</v>
                </pt>
                <pt idx="21">
                  <v>529889.560352533</v>
                </pt>
                <pt idx="22">
                  <v>579495.521414926</v>
                </pt>
                <pt idx="23">
                  <v>580584.690718496</v>
                </pt>
                <pt idx="24">
                  <v>539519.9594614049</v>
                </pt>
                <pt idx="25">
                  <v>583524.731077909</v>
                </pt>
                <pt idx="26">
                  <v>625612.324983981</v>
                </pt>
                <pt idx="27">
                  <v>659598.475436335</v>
                </pt>
                <pt idx="28">
                  <v>558891.174699449</v>
                </pt>
                <pt idx="29">
                  <v>569475.723658688</v>
                </pt>
                <pt idx="30">
                  <v>586408.235789115</v>
                </pt>
                <pt idx="31">
                  <v>539508.407073524</v>
                </pt>
                <pt idx="32">
                  <v>548478.750044881</v>
                </pt>
                <pt idx="33">
                  <v>473679.808486382</v>
                </pt>
                <pt idx="34">
                  <v>495154.368372467</v>
                </pt>
                <pt idx="35">
                  <v>528417.6049777149</v>
                </pt>
                <pt idx="36">
                  <v>626747.27984724</v>
                </pt>
                <pt idx="37">
                  <v>649420.17100121</v>
                </pt>
                <pt idx="38">
                  <v>604623.661757536</v>
                </pt>
                <pt idx="39">
                  <v>637680.213665089</v>
                </pt>
                <pt idx="40">
                  <v>588875.858882374</v>
                </pt>
                <pt idx="41">
                  <v>619535.209566504</v>
                </pt>
                <pt idx="42">
                  <v>696224.744988848</v>
                </pt>
                <pt idx="43">
                  <v>665874.7302755431</v>
                </pt>
                <pt idx="44">
                  <v>533283.0300305251</v>
                </pt>
                <pt idx="45">
                  <v>577546.002868626</v>
                </pt>
                <pt idx="46">
                  <v>485547.372327822</v>
                </pt>
                <pt idx="47">
                  <v>623427.809293671</v>
                </pt>
                <pt idx="48">
                  <v>663548.09434502</v>
                </pt>
                <pt idx="49">
                  <v>684770.653698721</v>
                </pt>
                <pt idx="50">
                  <v>631866.901980872</v>
                </pt>
                <pt idx="51">
                  <v>614305.0027928021</v>
                </pt>
                <pt idx="52">
                  <v>658580.682255551</v>
                </pt>
              </numCache>
            </numRef>
          </val>
          <smooth val="0"/>
        </ser>
        <dLbls>
          <showLegendKey val="0"/>
          <showVal val="0"/>
          <showCatName val="0"/>
          <showSerName val="0"/>
          <showPercent val="0"/>
          <showBubbleSize val="0"/>
        </dLbls>
        <smooth val="0"/>
        <axId val="19040592"/>
        <axId val="19051632"/>
      </lineChart>
      <dateAx>
        <axId val="19040592"/>
        <scaling>
          <orientation val="minMax"/>
        </scaling>
        <delete val="0"/>
        <axPos val="b"/>
        <numFmt formatCode="yyyy" sourceLinked="0"/>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9051632"/>
        <crosses val="autoZero"/>
        <lblOffset val="100"/>
        <baseTimeUnit val="months"/>
        <majorUnit val="12"/>
        <majorTimeUnit val="months"/>
      </dateAx>
      <valAx>
        <axId val="19051632"/>
        <scaling>
          <orientation val="minMax"/>
          <min val="200000"/>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9040592"/>
        <crosses val="autoZero"/>
        <crossBetween val="between"/>
      </valAx>
    </plotArea>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11.xml><?xml version="1.0" encoding="utf-8"?>
<chartSpace xmlns:a="http://schemas.openxmlformats.org/drawingml/2006/main" xmlns="http://schemas.openxmlformats.org/drawingml/2006/chart">
  <chart>
    <title>
      <tx>
        <rich>
          <a:bodyPr/>
          <a:p>
            <a:r>
              <a:t/>
            </a:r>
          </a:p>
        </rich>
      </tx>
      <overlay val="0"/>
      <spPr>
        <a:noFill/>
        <a:ln>
          <a:noFill/>
          <a:prstDash val="solid"/>
        </a:ln>
      </spPr>
      <txPr>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t/>
          </a:r>
          <a:endParaRPr lang="en-US"/>
        </a:p>
      </txPr>
    </title>
    <plotArea>
      <layout/>
      <lineChart>
        <grouping val="standard"/>
        <varyColors val="0"/>
        <ser>
          <idx val="0"/>
          <order val="0"/>
          <tx>
            <strRef>
              <f>'Labour market flows SA'!$X$7</f>
              <strCache>
                <ptCount val="1"/>
                <pt idx="0">
                  <v>Economic Inactivity to Unemployment</v>
                </pt>
              </strCache>
            </strRef>
          </tx>
          <spPr>
            <a:ln w="28575" cap="rnd">
              <a:solidFill>
                <a:schemeClr val="accent1"/>
              </a:solidFill>
              <a:prstDash val="solid"/>
              <a:round/>
            </a:ln>
          </spPr>
          <marker>
            <symbol val="none"/>
            <spPr>
              <a:ln>
                <a:prstDash val="solid"/>
              </a:ln>
            </spPr>
          </marker>
          <cat>
            <numRef>
              <f>'Labour market flows SA'!$A$50:$A$102</f>
              <numCache>
                <formatCode>m/d/yyyy</formatCode>
                <ptCount val="53"/>
                <pt idx="0">
                  <v>41000</v>
                </pt>
                <pt idx="1">
                  <v>41091</v>
                </pt>
                <pt idx="2">
                  <v>41183</v>
                </pt>
                <pt idx="3">
                  <v>41275</v>
                </pt>
                <pt idx="4">
                  <v>41365</v>
                </pt>
                <pt idx="5">
                  <v>41456</v>
                </pt>
                <pt idx="6">
                  <v>41548</v>
                </pt>
                <pt idx="7">
                  <v>41640</v>
                </pt>
                <pt idx="8">
                  <v>41730</v>
                </pt>
                <pt idx="9">
                  <v>41821</v>
                </pt>
                <pt idx="10">
                  <v>41913</v>
                </pt>
                <pt idx="11">
                  <v>42005</v>
                </pt>
                <pt idx="12">
                  <v>42095</v>
                </pt>
                <pt idx="13">
                  <v>42186</v>
                </pt>
                <pt idx="14">
                  <v>42278</v>
                </pt>
                <pt idx="15">
                  <v>42370</v>
                </pt>
                <pt idx="16">
                  <v>42461</v>
                </pt>
                <pt idx="17">
                  <v>42552</v>
                </pt>
                <pt idx="18">
                  <v>42644</v>
                </pt>
                <pt idx="19">
                  <v>42736</v>
                </pt>
                <pt idx="20">
                  <v>42826</v>
                </pt>
                <pt idx="21">
                  <v>42917</v>
                </pt>
                <pt idx="22">
                  <v>43009</v>
                </pt>
                <pt idx="23">
                  <v>43101</v>
                </pt>
                <pt idx="24">
                  <v>43191</v>
                </pt>
                <pt idx="25">
                  <v>43282</v>
                </pt>
                <pt idx="26">
                  <v>43374</v>
                </pt>
                <pt idx="27">
                  <v>43466</v>
                </pt>
                <pt idx="28">
                  <v>43556</v>
                </pt>
                <pt idx="29">
                  <v>43647</v>
                </pt>
                <pt idx="30">
                  <v>43739</v>
                </pt>
                <pt idx="31">
                  <v>43831</v>
                </pt>
                <pt idx="32">
                  <v>43922</v>
                </pt>
                <pt idx="33">
                  <v>44013</v>
                </pt>
                <pt idx="34">
                  <v>44105</v>
                </pt>
                <pt idx="35">
                  <v>44197</v>
                </pt>
                <pt idx="36">
                  <v>44287</v>
                </pt>
                <pt idx="37">
                  <v>44378</v>
                </pt>
                <pt idx="38">
                  <v>44470</v>
                </pt>
                <pt idx="39">
                  <v>44562</v>
                </pt>
                <pt idx="40">
                  <v>44652</v>
                </pt>
                <pt idx="41">
                  <v>44743</v>
                </pt>
                <pt idx="42">
                  <v>44835</v>
                </pt>
                <pt idx="43">
                  <v>44927</v>
                </pt>
                <pt idx="44">
                  <v>45017</v>
                </pt>
                <pt idx="45">
                  <v>45108</v>
                </pt>
                <pt idx="46">
                  <v>45200</v>
                </pt>
                <pt idx="47">
                  <v>45292</v>
                </pt>
                <pt idx="48">
                  <v>45383</v>
                </pt>
                <pt idx="49">
                  <v>45474</v>
                </pt>
                <pt idx="50">
                  <v>45566</v>
                </pt>
                <pt idx="51">
                  <v>45658</v>
                </pt>
                <pt idx="52">
                  <v>45748</v>
                </pt>
              </numCache>
            </numRef>
          </cat>
          <val>
            <numRef>
              <f>'Labour market flows SA'!$X$50:$X$102</f>
              <numCache>
                <formatCode>#,##0,</formatCode>
                <ptCount val="53"/>
                <pt idx="0">
                  <v>559485.190587225</v>
                </pt>
                <pt idx="1">
                  <v>520541.128317048</v>
                </pt>
                <pt idx="2">
                  <v>516848.37765879</v>
                </pt>
                <pt idx="3">
                  <v>509448.401581833</v>
                </pt>
                <pt idx="4">
                  <v>520315.514676478</v>
                </pt>
                <pt idx="5">
                  <v>494775.027717475</v>
                </pt>
                <pt idx="6">
                  <v>490590.937828804</v>
                </pt>
                <pt idx="7">
                  <v>472570.357200248</v>
                </pt>
                <pt idx="8">
                  <v>441787.418557388</v>
                </pt>
                <pt idx="9">
                  <v>445807.522572206</v>
                </pt>
                <pt idx="10">
                  <v>426468.054650278</v>
                </pt>
                <pt idx="11">
                  <v>433700.605069646</v>
                </pt>
                <pt idx="12">
                  <v>473346.789549655</v>
                </pt>
                <pt idx="13">
                  <v>478009.275771715</v>
                </pt>
                <pt idx="14">
                  <v>409914.67246206</v>
                </pt>
                <pt idx="15">
                  <v>435314.562441187</v>
                </pt>
                <pt idx="16">
                  <v>404012.948456157</v>
                </pt>
                <pt idx="17">
                  <v>398046.892461605</v>
                </pt>
                <pt idx="18">
                  <v>424102.307318069</v>
                </pt>
                <pt idx="19">
                  <v>418792.646097274</v>
                </pt>
                <pt idx="20">
                  <v>387795.832104834</v>
                </pt>
                <pt idx="21">
                  <v>353731.178355211</v>
                </pt>
                <pt idx="22">
                  <v>366689.298598896</v>
                </pt>
                <pt idx="23">
                  <v>389921.733483468</v>
                </pt>
                <pt idx="24">
                  <v>328672.93521284</v>
                </pt>
                <pt idx="25">
                  <v>378560.021648219</v>
                </pt>
                <pt idx="26">
                  <v>365755.14929174</v>
                </pt>
                <pt idx="27">
                  <v>347434.785010802</v>
                </pt>
                <pt idx="28">
                  <v>375631.021475777</v>
                </pt>
                <pt idx="29">
                  <v>363937.913976668</v>
                </pt>
                <pt idx="30">
                  <v>360973.78667485</v>
                </pt>
                <pt idx="31">
                  <v>411633.034561357</v>
                </pt>
                <pt idx="32">
                  <v>395777.987807613</v>
                </pt>
                <pt idx="33">
                  <v>482919.342420564</v>
                </pt>
                <pt idx="34">
                  <v>483239.420339578</v>
                </pt>
                <pt idx="35">
                  <v>432779.953240532</v>
                </pt>
                <pt idx="36">
                  <v>477537.840793003</v>
                </pt>
                <pt idx="37">
                  <v>469827.83371194</v>
                </pt>
                <pt idx="38">
                  <v>453564.893613776</v>
                </pt>
                <pt idx="39">
                  <v>395588.264445443</v>
                </pt>
                <pt idx="40">
                  <v>417998.579274213</v>
                </pt>
                <pt idx="41">
                  <v>423427.402933311</v>
                </pt>
                <pt idx="42">
                  <v>456159.010740673</v>
                </pt>
                <pt idx="43">
                  <v>472251.113117896</v>
                </pt>
                <pt idx="44">
                  <v>517787.749024775</v>
                </pt>
                <pt idx="45">
                  <v>450618.512694417</v>
                </pt>
                <pt idx="46">
                  <v>478367.16857092</v>
                </pt>
                <pt idx="47">
                  <v>521409.131851727</v>
                </pt>
                <pt idx="48">
                  <v>481152.430187841</v>
                </pt>
                <pt idx="49">
                  <v>525008.9864574861</v>
                </pt>
                <pt idx="50">
                  <v>483064.115122294</v>
                </pt>
                <pt idx="51">
                  <v>585614.653163269</v>
                </pt>
                <pt idx="52">
                  <v>480986.362791519</v>
                </pt>
              </numCache>
            </numRef>
          </val>
          <smooth val="0"/>
        </ser>
        <dLbls>
          <showLegendKey val="0"/>
          <showVal val="0"/>
          <showCatName val="0"/>
          <showSerName val="0"/>
          <showPercent val="0"/>
          <showBubbleSize val="0"/>
        </dLbls>
        <smooth val="0"/>
        <axId val="19040592"/>
        <axId val="19051632"/>
      </lineChart>
      <dateAx>
        <axId val="19040592"/>
        <scaling>
          <orientation val="minMax"/>
        </scaling>
        <delete val="0"/>
        <axPos val="b"/>
        <numFmt formatCode="yyyy" sourceLinked="0"/>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9051632"/>
        <crosses val="autoZero"/>
        <lblOffset val="100"/>
        <baseTimeUnit val="months"/>
        <majorUnit val="12"/>
        <majorTimeUnit val="months"/>
      </dateAx>
      <valAx>
        <axId val="19051632"/>
        <scaling>
          <orientation val="minMax"/>
          <max val="800000"/>
          <min val="200000"/>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9040592"/>
        <crosses val="autoZero"/>
        <crossBetween val="between"/>
      </valAx>
    </plotArea>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12.xml><?xml version="1.0" encoding="utf-8"?>
<chartSpace xmlns:a="http://schemas.openxmlformats.org/drawingml/2006/main" xmlns="http://schemas.openxmlformats.org/drawingml/2006/chart">
  <chart>
    <title>
      <tx>
        <rich>
          <a:bodyPr/>
          <a:p>
            <a:r>
              <a:t/>
            </a:r>
          </a:p>
        </rich>
      </tx>
      <overlay val="0"/>
      <spPr>
        <a:noFill/>
        <a:ln>
          <a:noFill/>
          <a:prstDash val="solid"/>
        </a:ln>
      </spPr>
      <txPr>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t/>
          </a:r>
          <a:endParaRPr lang="en-US"/>
        </a:p>
      </txPr>
    </title>
    <plotArea>
      <layout/>
      <lineChart>
        <grouping val="standard"/>
        <varyColors val="0"/>
        <ser>
          <idx val="0"/>
          <order val="0"/>
          <tx>
            <strRef>
              <f>'Labour market flows SA'!$G$7</f>
              <strCache>
                <ptCount val="1"/>
                <pt idx="0">
                  <v>Employment Gross Outflow</v>
                </pt>
              </strCache>
            </strRef>
          </tx>
          <spPr>
            <a:ln w="28575" cap="rnd">
              <a:solidFill>
                <a:schemeClr val="accent1"/>
              </a:solidFill>
              <a:prstDash val="solid"/>
              <a:round/>
            </a:ln>
          </spPr>
          <marker>
            <symbol val="none"/>
            <spPr>
              <a:ln>
                <a:prstDash val="solid"/>
              </a:ln>
            </spPr>
          </marker>
          <cat>
            <numRef>
              <f>'Labour market flows SA'!$A$50:$A$102</f>
              <numCache>
                <formatCode>m/d/yyyy</formatCode>
                <ptCount val="53"/>
                <pt idx="0">
                  <v>41000</v>
                </pt>
                <pt idx="1">
                  <v>41091</v>
                </pt>
                <pt idx="2">
                  <v>41183</v>
                </pt>
                <pt idx="3">
                  <v>41275</v>
                </pt>
                <pt idx="4">
                  <v>41365</v>
                </pt>
                <pt idx="5">
                  <v>41456</v>
                </pt>
                <pt idx="6">
                  <v>41548</v>
                </pt>
                <pt idx="7">
                  <v>41640</v>
                </pt>
                <pt idx="8">
                  <v>41730</v>
                </pt>
                <pt idx="9">
                  <v>41821</v>
                </pt>
                <pt idx="10">
                  <v>41913</v>
                </pt>
                <pt idx="11">
                  <v>42005</v>
                </pt>
                <pt idx="12">
                  <v>42095</v>
                </pt>
                <pt idx="13">
                  <v>42186</v>
                </pt>
                <pt idx="14">
                  <v>42278</v>
                </pt>
                <pt idx="15">
                  <v>42370</v>
                </pt>
                <pt idx="16">
                  <v>42461</v>
                </pt>
                <pt idx="17">
                  <v>42552</v>
                </pt>
                <pt idx="18">
                  <v>42644</v>
                </pt>
                <pt idx="19">
                  <v>42736</v>
                </pt>
                <pt idx="20">
                  <v>42826</v>
                </pt>
                <pt idx="21">
                  <v>42917</v>
                </pt>
                <pt idx="22">
                  <v>43009</v>
                </pt>
                <pt idx="23">
                  <v>43101</v>
                </pt>
                <pt idx="24">
                  <v>43191</v>
                </pt>
                <pt idx="25">
                  <v>43282</v>
                </pt>
                <pt idx="26">
                  <v>43374</v>
                </pt>
                <pt idx="27">
                  <v>43466</v>
                </pt>
                <pt idx="28">
                  <v>43556</v>
                </pt>
                <pt idx="29">
                  <v>43647</v>
                </pt>
                <pt idx="30">
                  <v>43739</v>
                </pt>
                <pt idx="31">
                  <v>43831</v>
                </pt>
                <pt idx="32">
                  <v>43922</v>
                </pt>
                <pt idx="33">
                  <v>44013</v>
                </pt>
                <pt idx="34">
                  <v>44105</v>
                </pt>
                <pt idx="35">
                  <v>44197</v>
                </pt>
                <pt idx="36">
                  <v>44287</v>
                </pt>
                <pt idx="37">
                  <v>44378</v>
                </pt>
                <pt idx="38">
                  <v>44470</v>
                </pt>
                <pt idx="39">
                  <v>44562</v>
                </pt>
                <pt idx="40">
                  <v>44652</v>
                </pt>
                <pt idx="41">
                  <v>44743</v>
                </pt>
                <pt idx="42">
                  <v>44835</v>
                </pt>
                <pt idx="43">
                  <v>44927</v>
                </pt>
                <pt idx="44">
                  <v>45017</v>
                </pt>
                <pt idx="45">
                  <v>45108</v>
                </pt>
                <pt idx="46">
                  <v>45200</v>
                </pt>
                <pt idx="47">
                  <v>45292</v>
                </pt>
                <pt idx="48">
                  <v>45383</v>
                </pt>
                <pt idx="49">
                  <v>45474</v>
                </pt>
                <pt idx="50">
                  <v>45566</v>
                </pt>
                <pt idx="51">
                  <v>45658</v>
                </pt>
                <pt idx="52">
                  <v>45748</v>
                </pt>
              </numCache>
            </numRef>
          </cat>
          <val>
            <numRef>
              <f>'Labour market flows SA'!$G$50:$G$102</f>
              <numCache>
                <formatCode>#,##0,</formatCode>
                <ptCount val="53"/>
                <pt idx="0">
                  <v>869801.219563946</v>
                </pt>
                <pt idx="1">
                  <v>864318.9084888101</v>
                </pt>
                <pt idx="2">
                  <v>863391.3672279541</v>
                </pt>
                <pt idx="3">
                  <v>988326.5440629779</v>
                </pt>
                <pt idx="4">
                  <v>868274.120577206</v>
                </pt>
                <pt idx="5">
                  <v>843560.69929694</v>
                </pt>
                <pt idx="6">
                  <v>878831.763673456</v>
                </pt>
                <pt idx="7">
                  <v>806681.4778040741</v>
                </pt>
                <pt idx="8">
                  <v>882401.915321133</v>
                </pt>
                <pt idx="9">
                  <v>835589.081791173</v>
                </pt>
                <pt idx="10">
                  <v>862264.664294026</v>
                </pt>
                <pt idx="11">
                  <v>891295.515656671</v>
                </pt>
                <pt idx="12">
                  <v>910479.146061817</v>
                </pt>
                <pt idx="13">
                  <v>799926.747343383</v>
                </pt>
                <pt idx="14">
                  <v>897420.461925987</v>
                </pt>
                <pt idx="15">
                  <v>896983.2825849489</v>
                </pt>
                <pt idx="16">
                  <v>884103.465572298</v>
                </pt>
                <pt idx="17">
                  <v>875675.875746746</v>
                </pt>
                <pt idx="18">
                  <v>884870.325529117</v>
                </pt>
                <pt idx="19">
                  <v>859541.758968893</v>
                </pt>
                <pt idx="20">
                  <v>805672.4269920021</v>
                </pt>
                <pt idx="21">
                  <v>868359.5250858071</v>
                </pt>
                <pt idx="22">
                  <v>822008.562869987</v>
                </pt>
                <pt idx="23">
                  <v>742359.474676296</v>
                </pt>
                <pt idx="24">
                  <v>831521.95829179</v>
                </pt>
                <pt idx="25">
                  <v>864532.783886499</v>
                </pt>
                <pt idx="26">
                  <v>842751.6985794629</v>
                </pt>
                <pt idx="27">
                  <v>828244.657730642</v>
                </pt>
                <pt idx="28">
                  <v>828828.3240670899</v>
                </pt>
                <pt idx="29">
                  <v>856604.5993395171</v>
                </pt>
                <pt idx="30">
                  <v>823494.07750956</v>
                </pt>
                <pt idx="31">
                  <v>1056789.95854382</v>
                </pt>
                <pt idx="32">
                  <v>1103284.587030634</v>
                </pt>
                <pt idx="33">
                  <v>1034186.837619745</v>
                </pt>
                <pt idx="34">
                  <v>1025077.276035455</v>
                </pt>
                <pt idx="35">
                  <v>829388.7828950749</v>
                </pt>
                <pt idx="36">
                  <v>917150.920730907</v>
                </pt>
                <pt idx="37">
                  <v>942897.027638678</v>
                </pt>
                <pt idx="38">
                  <v>938361.935489059</v>
                </pt>
                <pt idx="39">
                  <v>917277.6855542921</v>
                </pt>
                <pt idx="40">
                  <v>878562.41468423</v>
                </pt>
                <pt idx="41">
                  <v>875770.9452692081</v>
                </pt>
                <pt idx="42">
                  <v>850883.8318476491</v>
                </pt>
                <pt idx="43">
                  <v>893428.120174013</v>
                </pt>
                <pt idx="44">
                  <v>921313.0886005929</v>
                </pt>
                <pt idx="45">
                  <v>935232.769141188</v>
                </pt>
                <pt idx="46">
                  <v>890551.611857248</v>
                </pt>
                <pt idx="47">
                  <v>949016.098792019</v>
                </pt>
                <pt idx="48">
                  <v>886470.015747905</v>
                </pt>
                <pt idx="49">
                  <v>837808.634905623</v>
                </pt>
                <pt idx="50">
                  <v>907206.909229971</v>
                </pt>
                <pt idx="51">
                  <v>915870.459388105</v>
                </pt>
                <pt idx="52">
                  <v>850011.482617707</v>
                </pt>
              </numCache>
            </numRef>
          </val>
          <smooth val="0"/>
        </ser>
        <dLbls>
          <showLegendKey val="0"/>
          <showVal val="0"/>
          <showCatName val="0"/>
          <showSerName val="0"/>
          <showPercent val="0"/>
          <showBubbleSize val="0"/>
        </dLbls>
        <smooth val="0"/>
        <axId val="19040592"/>
        <axId val="19051632"/>
      </lineChart>
      <dateAx>
        <axId val="19040592"/>
        <scaling>
          <orientation val="minMax"/>
        </scaling>
        <delete val="0"/>
        <axPos val="b"/>
        <numFmt formatCode="yyyy" sourceLinked="0"/>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9051632"/>
        <crosses val="autoZero"/>
        <lblOffset val="100"/>
        <baseTimeUnit val="months"/>
        <majorUnit val="12"/>
        <majorTimeUnit val="months"/>
      </dateAx>
      <valAx>
        <axId val="19051632"/>
        <scaling>
          <orientation val="minMax"/>
          <min val="600000"/>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9040592"/>
        <crosses val="autoZero"/>
        <crossBetween val="between"/>
      </valAx>
    </plotArea>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13.xml><?xml version="1.0" encoding="utf-8"?>
<chartSpace xmlns:a="http://schemas.openxmlformats.org/drawingml/2006/main" xmlns="http://schemas.openxmlformats.org/drawingml/2006/chart">
  <chart>
    <title>
      <tx>
        <rich>
          <a:bodyPr/>
          <a:p>
            <a:r>
              <a:t/>
            </a:r>
          </a:p>
        </rich>
      </tx>
      <overlay val="0"/>
      <spPr>
        <a:noFill/>
        <a:ln>
          <a:noFill/>
          <a:prstDash val="solid"/>
        </a:ln>
      </spPr>
      <txPr>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t/>
          </a:r>
          <a:endParaRPr lang="en-US"/>
        </a:p>
      </txPr>
    </title>
    <plotArea>
      <layout/>
      <lineChart>
        <grouping val="standard"/>
        <varyColors val="0"/>
        <ser>
          <idx val="0"/>
          <order val="0"/>
          <tx>
            <strRef>
              <f>'Labour market flows SA'!$D$7</f>
              <strCache>
                <ptCount val="1"/>
                <pt idx="0">
                  <v>Employment to Unemployment</v>
                </pt>
              </strCache>
            </strRef>
          </tx>
          <spPr>
            <a:ln w="28575" cap="rnd">
              <a:solidFill>
                <a:schemeClr val="accent1"/>
              </a:solidFill>
              <a:prstDash val="solid"/>
              <a:round/>
            </a:ln>
          </spPr>
          <marker>
            <symbol val="none"/>
            <spPr>
              <a:ln>
                <a:prstDash val="solid"/>
              </a:ln>
            </spPr>
          </marker>
          <cat>
            <numRef>
              <f>'Labour market flows SA'!$A$50:$A$102</f>
              <numCache>
                <formatCode>m/d/yyyy</formatCode>
                <ptCount val="53"/>
                <pt idx="0">
                  <v>41000</v>
                </pt>
                <pt idx="1">
                  <v>41091</v>
                </pt>
                <pt idx="2">
                  <v>41183</v>
                </pt>
                <pt idx="3">
                  <v>41275</v>
                </pt>
                <pt idx="4">
                  <v>41365</v>
                </pt>
                <pt idx="5">
                  <v>41456</v>
                </pt>
                <pt idx="6">
                  <v>41548</v>
                </pt>
                <pt idx="7">
                  <v>41640</v>
                </pt>
                <pt idx="8">
                  <v>41730</v>
                </pt>
                <pt idx="9">
                  <v>41821</v>
                </pt>
                <pt idx="10">
                  <v>41913</v>
                </pt>
                <pt idx="11">
                  <v>42005</v>
                </pt>
                <pt idx="12">
                  <v>42095</v>
                </pt>
                <pt idx="13">
                  <v>42186</v>
                </pt>
                <pt idx="14">
                  <v>42278</v>
                </pt>
                <pt idx="15">
                  <v>42370</v>
                </pt>
                <pt idx="16">
                  <v>42461</v>
                </pt>
                <pt idx="17">
                  <v>42552</v>
                </pt>
                <pt idx="18">
                  <v>42644</v>
                </pt>
                <pt idx="19">
                  <v>42736</v>
                </pt>
                <pt idx="20">
                  <v>42826</v>
                </pt>
                <pt idx="21">
                  <v>42917</v>
                </pt>
                <pt idx="22">
                  <v>43009</v>
                </pt>
                <pt idx="23">
                  <v>43101</v>
                </pt>
                <pt idx="24">
                  <v>43191</v>
                </pt>
                <pt idx="25">
                  <v>43282</v>
                </pt>
                <pt idx="26">
                  <v>43374</v>
                </pt>
                <pt idx="27">
                  <v>43466</v>
                </pt>
                <pt idx="28">
                  <v>43556</v>
                </pt>
                <pt idx="29">
                  <v>43647</v>
                </pt>
                <pt idx="30">
                  <v>43739</v>
                </pt>
                <pt idx="31">
                  <v>43831</v>
                </pt>
                <pt idx="32">
                  <v>43922</v>
                </pt>
                <pt idx="33">
                  <v>44013</v>
                </pt>
                <pt idx="34">
                  <v>44105</v>
                </pt>
                <pt idx="35">
                  <v>44197</v>
                </pt>
                <pt idx="36">
                  <v>44287</v>
                </pt>
                <pt idx="37">
                  <v>44378</v>
                </pt>
                <pt idx="38">
                  <v>44470</v>
                </pt>
                <pt idx="39">
                  <v>44562</v>
                </pt>
                <pt idx="40">
                  <v>44652</v>
                </pt>
                <pt idx="41">
                  <v>44743</v>
                </pt>
                <pt idx="42">
                  <v>44835</v>
                </pt>
                <pt idx="43">
                  <v>44927</v>
                </pt>
                <pt idx="44">
                  <v>45017</v>
                </pt>
                <pt idx="45">
                  <v>45108</v>
                </pt>
                <pt idx="46">
                  <v>45200</v>
                </pt>
                <pt idx="47">
                  <v>45292</v>
                </pt>
                <pt idx="48">
                  <v>45383</v>
                </pt>
                <pt idx="49">
                  <v>45474</v>
                </pt>
                <pt idx="50">
                  <v>45566</v>
                </pt>
                <pt idx="51">
                  <v>45658</v>
                </pt>
                <pt idx="52">
                  <v>45748</v>
                </pt>
              </numCache>
            </numRef>
          </cat>
          <val>
            <numRef>
              <f>'Labour market flows SA'!$D$50:$D$102</f>
              <numCache>
                <formatCode>#,##0,</formatCode>
                <ptCount val="53"/>
                <pt idx="0">
                  <v>386528.533932995</v>
                </pt>
                <pt idx="1">
                  <v>387599.586973646</v>
                </pt>
                <pt idx="2">
                  <v>414734.688776448</v>
                </pt>
                <pt idx="3">
                  <v>422803.201309144</v>
                </pt>
                <pt idx="4">
                  <v>407119.091272798</v>
                </pt>
                <pt idx="5">
                  <v>382871.692529555</v>
                </pt>
                <pt idx="6">
                  <v>365438.92216516</v>
                </pt>
                <pt idx="7">
                  <v>336657.258167619</v>
                </pt>
                <pt idx="8">
                  <v>359739.309641018</v>
                </pt>
                <pt idx="9">
                  <v>322826.357288564</v>
                </pt>
                <pt idx="10">
                  <v>331110.70925995</v>
                </pt>
                <pt idx="11">
                  <v>336323.127802797</v>
                </pt>
                <pt idx="12">
                  <v>357463.92096133</v>
                </pt>
                <pt idx="13">
                  <v>265671.125942714</v>
                </pt>
                <pt idx="14">
                  <v>350609.816858654</v>
                </pt>
                <pt idx="15">
                  <v>359146.001684987</v>
                </pt>
                <pt idx="16">
                  <v>323320.646873357</v>
                </pt>
                <pt idx="17">
                  <v>331766.976452815</v>
                </pt>
                <pt idx="18">
                  <v>255096.228890956</v>
                </pt>
                <pt idx="19">
                  <v>302413.660744549</v>
                </pt>
                <pt idx="20">
                  <v>270598.435280269</v>
                </pt>
                <pt idx="21">
                  <v>307460.950960861</v>
                </pt>
                <pt idx="22">
                  <v>299943.151168801</v>
                </pt>
                <pt idx="23">
                  <v>271155.606972949</v>
                </pt>
                <pt idx="24">
                  <v>252420.811950612</v>
                </pt>
                <pt idx="25">
                  <v>285671.392592517</v>
                </pt>
                <pt idx="26">
                  <v>265561.257928874</v>
                </pt>
                <pt idx="27">
                  <v>262454.745826742</v>
                </pt>
                <pt idx="28">
                  <v>293809.338355687</v>
                </pt>
                <pt idx="29">
                  <v>278907.792953415</v>
                </pt>
                <pt idx="30">
                  <v>299646.906267684</v>
                </pt>
                <pt idx="31">
                  <v>348009.018779963</v>
                </pt>
                <pt idx="32">
                  <v>392692.048837881</v>
                </pt>
                <pt idx="33">
                  <v>394579.728740321</v>
                </pt>
                <pt idx="34">
                  <v>427856.240456928</v>
                </pt>
                <pt idx="35">
                  <v>316210.645788027</v>
                </pt>
                <pt idx="36">
                  <v>265482.843859861</v>
                </pt>
                <pt idx="37">
                  <v>293017.126643818</v>
                </pt>
                <pt idx="38">
                  <v>276763.442601686</v>
                </pt>
                <pt idx="39">
                  <v>261662.78167883</v>
                </pt>
                <pt idx="40">
                  <v>252883.77238544</v>
                </pt>
                <pt idx="41">
                  <v>251672.448751976</v>
                </pt>
                <pt idx="42">
                  <v>276988.040721339</v>
                </pt>
                <pt idx="43">
                  <v>287484.108966858</v>
                </pt>
                <pt idx="44">
                  <v>325944.370508757</v>
                </pt>
                <pt idx="45">
                  <v>311349.084730378</v>
                </pt>
                <pt idx="46">
                  <v>280288.820717471</v>
                </pt>
                <pt idx="47">
                  <v>368003.922766672</v>
                </pt>
                <pt idx="48">
                  <v>303643.814975693</v>
                </pt>
                <pt idx="49">
                  <v>242975.694563324</v>
                </pt>
                <pt idx="50">
                  <v>292689.36173169</v>
                </pt>
                <pt idx="51">
                  <v>311438.553693265</v>
                </pt>
                <pt idx="52">
                  <v>306599.282271141</v>
                </pt>
              </numCache>
            </numRef>
          </val>
          <smooth val="0"/>
        </ser>
        <dLbls>
          <showLegendKey val="0"/>
          <showVal val="0"/>
          <showCatName val="0"/>
          <showSerName val="0"/>
          <showPercent val="0"/>
          <showBubbleSize val="0"/>
        </dLbls>
        <smooth val="0"/>
        <axId val="19040592"/>
        <axId val="19051632"/>
      </lineChart>
      <dateAx>
        <axId val="19040592"/>
        <scaling>
          <orientation val="minMax"/>
        </scaling>
        <delete val="0"/>
        <axPos val="b"/>
        <numFmt formatCode="yyyy" sourceLinked="0"/>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9051632"/>
        <crosses val="autoZero"/>
        <lblOffset val="100"/>
        <baseTimeUnit val="months"/>
        <majorUnit val="12"/>
        <majorTimeUnit val="months"/>
      </dateAx>
      <valAx>
        <axId val="19051632"/>
        <scaling>
          <orientation val="minMax"/>
          <min val="200000"/>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9040592"/>
        <crosses val="autoZero"/>
        <crossBetween val="between"/>
      </valAx>
    </plotArea>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14.xml><?xml version="1.0" encoding="utf-8"?>
<chartSpace xmlns:a="http://schemas.openxmlformats.org/drawingml/2006/main" xmlns="http://schemas.openxmlformats.org/drawingml/2006/chart">
  <chart>
    <title>
      <tx>
        <rich>
          <a:bodyPr/>
          <a:p>
            <a:r>
              <a:t/>
            </a:r>
          </a:p>
        </rich>
      </tx>
      <overlay val="0"/>
      <spPr>
        <a:noFill/>
        <a:ln>
          <a:noFill/>
          <a:prstDash val="solid"/>
        </a:ln>
      </spPr>
      <txPr>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t/>
          </a:r>
          <a:endParaRPr lang="en-US"/>
        </a:p>
      </txPr>
    </title>
    <plotArea>
      <layout/>
      <lineChart>
        <grouping val="standard"/>
        <varyColors val="0"/>
        <ser>
          <idx val="0"/>
          <order val="0"/>
          <tx>
            <strRef>
              <f>'Labour market flows SA'!$E$7</f>
              <strCache>
                <ptCount val="1"/>
                <pt idx="0">
                  <v>Employment to Economic Inactivity</v>
                </pt>
              </strCache>
            </strRef>
          </tx>
          <spPr>
            <a:ln w="28575" cap="rnd">
              <a:solidFill>
                <a:schemeClr val="accent1"/>
              </a:solidFill>
              <a:prstDash val="solid"/>
              <a:round/>
            </a:ln>
          </spPr>
          <marker>
            <symbol val="none"/>
            <spPr>
              <a:ln>
                <a:prstDash val="solid"/>
              </a:ln>
            </spPr>
          </marker>
          <cat>
            <numRef>
              <f>'Labour market flows SA'!$A$50:$A$102</f>
              <numCache>
                <formatCode>m/d/yyyy</formatCode>
                <ptCount val="53"/>
                <pt idx="0">
                  <v>41000</v>
                </pt>
                <pt idx="1">
                  <v>41091</v>
                </pt>
                <pt idx="2">
                  <v>41183</v>
                </pt>
                <pt idx="3">
                  <v>41275</v>
                </pt>
                <pt idx="4">
                  <v>41365</v>
                </pt>
                <pt idx="5">
                  <v>41456</v>
                </pt>
                <pt idx="6">
                  <v>41548</v>
                </pt>
                <pt idx="7">
                  <v>41640</v>
                </pt>
                <pt idx="8">
                  <v>41730</v>
                </pt>
                <pt idx="9">
                  <v>41821</v>
                </pt>
                <pt idx="10">
                  <v>41913</v>
                </pt>
                <pt idx="11">
                  <v>42005</v>
                </pt>
                <pt idx="12">
                  <v>42095</v>
                </pt>
                <pt idx="13">
                  <v>42186</v>
                </pt>
                <pt idx="14">
                  <v>42278</v>
                </pt>
                <pt idx="15">
                  <v>42370</v>
                </pt>
                <pt idx="16">
                  <v>42461</v>
                </pt>
                <pt idx="17">
                  <v>42552</v>
                </pt>
                <pt idx="18">
                  <v>42644</v>
                </pt>
                <pt idx="19">
                  <v>42736</v>
                </pt>
                <pt idx="20">
                  <v>42826</v>
                </pt>
                <pt idx="21">
                  <v>42917</v>
                </pt>
                <pt idx="22">
                  <v>43009</v>
                </pt>
                <pt idx="23">
                  <v>43101</v>
                </pt>
                <pt idx="24">
                  <v>43191</v>
                </pt>
                <pt idx="25">
                  <v>43282</v>
                </pt>
                <pt idx="26">
                  <v>43374</v>
                </pt>
                <pt idx="27">
                  <v>43466</v>
                </pt>
                <pt idx="28">
                  <v>43556</v>
                </pt>
                <pt idx="29">
                  <v>43647</v>
                </pt>
                <pt idx="30">
                  <v>43739</v>
                </pt>
                <pt idx="31">
                  <v>43831</v>
                </pt>
                <pt idx="32">
                  <v>43922</v>
                </pt>
                <pt idx="33">
                  <v>44013</v>
                </pt>
                <pt idx="34">
                  <v>44105</v>
                </pt>
                <pt idx="35">
                  <v>44197</v>
                </pt>
                <pt idx="36">
                  <v>44287</v>
                </pt>
                <pt idx="37">
                  <v>44378</v>
                </pt>
                <pt idx="38">
                  <v>44470</v>
                </pt>
                <pt idx="39">
                  <v>44562</v>
                </pt>
                <pt idx="40">
                  <v>44652</v>
                </pt>
                <pt idx="41">
                  <v>44743</v>
                </pt>
                <pt idx="42">
                  <v>44835</v>
                </pt>
                <pt idx="43">
                  <v>44927</v>
                </pt>
                <pt idx="44">
                  <v>45017</v>
                </pt>
                <pt idx="45">
                  <v>45108</v>
                </pt>
                <pt idx="46">
                  <v>45200</v>
                </pt>
                <pt idx="47">
                  <v>45292</v>
                </pt>
                <pt idx="48">
                  <v>45383</v>
                </pt>
                <pt idx="49">
                  <v>45474</v>
                </pt>
                <pt idx="50">
                  <v>45566</v>
                </pt>
                <pt idx="51">
                  <v>45658</v>
                </pt>
                <pt idx="52">
                  <v>45748</v>
                </pt>
              </numCache>
            </numRef>
          </cat>
          <val>
            <numRef>
              <f>'Labour market flows SA'!$E$50:$E$102</f>
              <numCache>
                <formatCode>#,##0,</formatCode>
                <ptCount val="53"/>
                <pt idx="0">
                  <v>483272.685630951</v>
                </pt>
                <pt idx="1">
                  <v>476719.321515164</v>
                </pt>
                <pt idx="2">
                  <v>448656.678451506</v>
                </pt>
                <pt idx="3">
                  <v>565523.342753834</v>
                </pt>
                <pt idx="4">
                  <v>461155.029304408</v>
                </pt>
                <pt idx="5">
                  <v>460689.006767385</v>
                </pt>
                <pt idx="6">
                  <v>513392.841508296</v>
                </pt>
                <pt idx="7">
                  <v>470024.219636455</v>
                </pt>
                <pt idx="8">
                  <v>522662.605680115</v>
                </pt>
                <pt idx="9">
                  <v>512762.724502609</v>
                </pt>
                <pt idx="10">
                  <v>531153.955034076</v>
                </pt>
                <pt idx="11">
                  <v>554972.387853874</v>
                </pt>
                <pt idx="12">
                  <v>553015.225100487</v>
                </pt>
                <pt idx="13">
                  <v>534255.621400669</v>
                </pt>
                <pt idx="14">
                  <v>546810.645067333</v>
                </pt>
                <pt idx="15">
                  <v>537837.2808999619</v>
                </pt>
                <pt idx="16">
                  <v>560782.818698941</v>
                </pt>
                <pt idx="17">
                  <v>543908.899293931</v>
                </pt>
                <pt idx="18">
                  <v>629774.096638161</v>
                </pt>
                <pt idx="19">
                  <v>557128.098224344</v>
                </pt>
                <pt idx="20">
                  <v>535073.991711733</v>
                </pt>
                <pt idx="21">
                  <v>560898.574124946</v>
                </pt>
                <pt idx="22">
                  <v>522065.411701186</v>
                </pt>
                <pt idx="23">
                  <v>471203.867703347</v>
                </pt>
                <pt idx="24">
                  <v>579101.146341178</v>
                </pt>
                <pt idx="25">
                  <v>578861.391293982</v>
                </pt>
                <pt idx="26">
                  <v>577190.4406505889</v>
                </pt>
                <pt idx="27">
                  <v>565789.9119039</v>
                </pt>
                <pt idx="28">
                  <v>535018.985711403</v>
                </pt>
                <pt idx="29">
                  <v>577696.806386102</v>
                </pt>
                <pt idx="30">
                  <v>523847.171241876</v>
                </pt>
                <pt idx="31">
                  <v>708780.9397638571</v>
                </pt>
                <pt idx="32">
                  <v>710592.538192753</v>
                </pt>
                <pt idx="33">
                  <v>639607.108879424</v>
                </pt>
                <pt idx="34">
                  <v>597221.035578527</v>
                </pt>
                <pt idx="35">
                  <v>513178.137107048</v>
                </pt>
                <pt idx="36">
                  <v>651668.076871046</v>
                </pt>
                <pt idx="37">
                  <v>649879.90099486</v>
                </pt>
                <pt idx="38">
                  <v>661598.492887373</v>
                </pt>
                <pt idx="39">
                  <v>655614.903875462</v>
                </pt>
                <pt idx="40">
                  <v>625678.64229879</v>
                </pt>
                <pt idx="41">
                  <v>624098.496517232</v>
                </pt>
                <pt idx="42">
                  <v>573895.79112631</v>
                </pt>
                <pt idx="43">
                  <v>605944.011207155</v>
                </pt>
                <pt idx="44">
                  <v>595368.718091836</v>
                </pt>
                <pt idx="45">
                  <v>623883.68441081</v>
                </pt>
                <pt idx="46">
                  <v>610262.7911397771</v>
                </pt>
                <pt idx="47">
                  <v>581012.176025347</v>
                </pt>
                <pt idx="48">
                  <v>582826.200772212</v>
                </pt>
                <pt idx="49">
                  <v>594832.9403422991</v>
                </pt>
                <pt idx="50">
                  <v>614517.547498281</v>
                </pt>
                <pt idx="51">
                  <v>604431.90569484</v>
                </pt>
                <pt idx="52">
                  <v>543412.200346566</v>
                </pt>
              </numCache>
            </numRef>
          </val>
          <smooth val="0"/>
        </ser>
        <dLbls>
          <showLegendKey val="0"/>
          <showVal val="0"/>
          <showCatName val="0"/>
          <showSerName val="0"/>
          <showPercent val="0"/>
          <showBubbleSize val="0"/>
        </dLbls>
        <smooth val="0"/>
        <axId val="19040592"/>
        <axId val="19051632"/>
      </lineChart>
      <dateAx>
        <axId val="19040592"/>
        <scaling>
          <orientation val="minMax"/>
        </scaling>
        <delete val="0"/>
        <axPos val="b"/>
        <numFmt formatCode="yyyy" sourceLinked="0"/>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9051632"/>
        <crosses val="autoZero"/>
        <lblOffset val="100"/>
        <baseTimeUnit val="months"/>
        <majorUnit val="12"/>
        <majorTimeUnit val="months"/>
      </dateAx>
      <valAx>
        <axId val="19051632"/>
        <scaling>
          <orientation val="minMax"/>
          <min val="200000"/>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9040592"/>
        <crosses val="autoZero"/>
        <crossBetween val="between"/>
      </valAx>
    </plotArea>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15.xml><?xml version="1.0" encoding="utf-8"?>
<chartSpace xmlns:a="http://schemas.openxmlformats.org/drawingml/2006/main" xmlns="http://schemas.openxmlformats.org/drawingml/2006/chart">
  <chart>
    <title>
      <tx>
        <rich>
          <a:bodyPr/>
          <a:p>
            <a:r>
              <a:t/>
            </a:r>
          </a:p>
        </rich>
      </tx>
      <overlay val="0"/>
      <spPr>
        <a:noFill/>
        <a:ln>
          <a:noFill/>
          <a:prstDash val="solid"/>
        </a:ln>
      </spPr>
      <txPr>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t/>
          </a:r>
          <a:endParaRPr lang="en-US"/>
        </a:p>
      </txPr>
    </title>
    <plotArea>
      <layout/>
      <lineChart>
        <grouping val="standard"/>
        <varyColors val="0"/>
        <ser>
          <idx val="0"/>
          <order val="0"/>
          <tx>
            <strRef>
              <f>'Labour market flows SA'!$R$7</f>
              <strCache>
                <ptCount val="1"/>
                <pt idx="0">
                  <v>Unemployment Gross Outflow</v>
                </pt>
              </strCache>
            </strRef>
          </tx>
          <spPr>
            <a:ln w="28575" cap="rnd">
              <a:solidFill>
                <a:schemeClr val="accent1"/>
              </a:solidFill>
              <a:prstDash val="solid"/>
              <a:round/>
            </a:ln>
          </spPr>
          <marker>
            <symbol val="none"/>
            <spPr>
              <a:ln>
                <a:prstDash val="solid"/>
              </a:ln>
            </spPr>
          </marker>
          <cat>
            <numRef>
              <f>'Labour market flows SA'!$A$50:$A$102</f>
              <numCache>
                <formatCode>m/d/yyyy</formatCode>
                <ptCount val="53"/>
                <pt idx="0">
                  <v>41000</v>
                </pt>
                <pt idx="1">
                  <v>41091</v>
                </pt>
                <pt idx="2">
                  <v>41183</v>
                </pt>
                <pt idx="3">
                  <v>41275</v>
                </pt>
                <pt idx="4">
                  <v>41365</v>
                </pt>
                <pt idx="5">
                  <v>41456</v>
                </pt>
                <pt idx="6">
                  <v>41548</v>
                </pt>
                <pt idx="7">
                  <v>41640</v>
                </pt>
                <pt idx="8">
                  <v>41730</v>
                </pt>
                <pt idx="9">
                  <v>41821</v>
                </pt>
                <pt idx="10">
                  <v>41913</v>
                </pt>
                <pt idx="11">
                  <v>42005</v>
                </pt>
                <pt idx="12">
                  <v>42095</v>
                </pt>
                <pt idx="13">
                  <v>42186</v>
                </pt>
                <pt idx="14">
                  <v>42278</v>
                </pt>
                <pt idx="15">
                  <v>42370</v>
                </pt>
                <pt idx="16">
                  <v>42461</v>
                </pt>
                <pt idx="17">
                  <v>42552</v>
                </pt>
                <pt idx="18">
                  <v>42644</v>
                </pt>
                <pt idx="19">
                  <v>42736</v>
                </pt>
                <pt idx="20">
                  <v>42826</v>
                </pt>
                <pt idx="21">
                  <v>42917</v>
                </pt>
                <pt idx="22">
                  <v>43009</v>
                </pt>
                <pt idx="23">
                  <v>43101</v>
                </pt>
                <pt idx="24">
                  <v>43191</v>
                </pt>
                <pt idx="25">
                  <v>43282</v>
                </pt>
                <pt idx="26">
                  <v>43374</v>
                </pt>
                <pt idx="27">
                  <v>43466</v>
                </pt>
                <pt idx="28">
                  <v>43556</v>
                </pt>
                <pt idx="29">
                  <v>43647</v>
                </pt>
                <pt idx="30">
                  <v>43739</v>
                </pt>
                <pt idx="31">
                  <v>43831</v>
                </pt>
                <pt idx="32">
                  <v>43922</v>
                </pt>
                <pt idx="33">
                  <v>44013</v>
                </pt>
                <pt idx="34">
                  <v>44105</v>
                </pt>
                <pt idx="35">
                  <v>44197</v>
                </pt>
                <pt idx="36">
                  <v>44287</v>
                </pt>
                <pt idx="37">
                  <v>44378</v>
                </pt>
                <pt idx="38">
                  <v>44470</v>
                </pt>
                <pt idx="39">
                  <v>44562</v>
                </pt>
                <pt idx="40">
                  <v>44652</v>
                </pt>
                <pt idx="41">
                  <v>44743</v>
                </pt>
                <pt idx="42">
                  <v>44835</v>
                </pt>
                <pt idx="43">
                  <v>44927</v>
                </pt>
                <pt idx="44">
                  <v>45017</v>
                </pt>
                <pt idx="45">
                  <v>45108</v>
                </pt>
                <pt idx="46">
                  <v>45200</v>
                </pt>
                <pt idx="47">
                  <v>45292</v>
                </pt>
                <pt idx="48">
                  <v>45383</v>
                </pt>
                <pt idx="49">
                  <v>45474</v>
                </pt>
                <pt idx="50">
                  <v>45566</v>
                </pt>
                <pt idx="51">
                  <v>45658</v>
                </pt>
                <pt idx="52">
                  <v>45748</v>
                </pt>
              </numCache>
            </numRef>
          </cat>
          <val>
            <numRef>
              <f>'Labour market flows SA'!$R$50:$R$102</f>
              <numCache>
                <formatCode>#,##0,</formatCode>
                <ptCount val="53"/>
                <pt idx="0">
                  <v>986208.386375666</v>
                </pt>
                <pt idx="1">
                  <v>991770.9689106799</v>
                </pt>
                <pt idx="2">
                  <v>955645.1925546289</v>
                </pt>
                <pt idx="3">
                  <v>948685.721810633</v>
                </pt>
                <pt idx="4">
                  <v>952852.7342272929</v>
                </pt>
                <pt idx="5">
                  <v>946779.532950188</v>
                </pt>
                <pt idx="6">
                  <v>998585.334999991</v>
                </pt>
                <pt idx="7">
                  <v>963330.749452084</v>
                </pt>
                <pt idx="8">
                  <v>949046.4158875321</v>
                </pt>
                <pt idx="9">
                  <v>875865.4278926631</v>
                </pt>
                <pt idx="10">
                  <v>869273.358144286</v>
                </pt>
                <pt idx="11">
                  <v>823656.7577618021</v>
                </pt>
                <pt idx="12">
                  <v>808937.261989173</v>
                </pt>
                <pt idx="13">
                  <v>856961.3101674791</v>
                </pt>
                <pt idx="14">
                  <v>853809.937251156</v>
                </pt>
                <pt idx="15">
                  <v>789407.016121711</v>
                </pt>
                <pt idx="16">
                  <v>775560.6664133531</v>
                </pt>
                <pt idx="17">
                  <v>768889.7587908311</v>
                </pt>
                <pt idx="18">
                  <v>734012.506092345</v>
                </pt>
                <pt idx="19">
                  <v>767087.4821949149</v>
                </pt>
                <pt idx="20">
                  <v>726809.5915284851</v>
                </pt>
                <pt idx="21">
                  <v>719929.7622305481</v>
                </pt>
                <pt idx="22">
                  <v>658766.97444029</v>
                </pt>
                <pt idx="23">
                  <v>686877.249499062</v>
                </pt>
                <pt idx="24">
                  <v>657211.221482078</v>
                </pt>
                <pt idx="25">
                  <v>649036.5625717631</v>
                </pt>
                <pt idx="26">
                  <v>672711.390102006</v>
                </pt>
                <pt idx="27">
                  <v>638348.441964507</v>
                </pt>
                <pt idx="28">
                  <v>673525.498326432</v>
                </pt>
                <pt idx="29">
                  <v>676732.844114199</v>
                </pt>
                <pt idx="30">
                  <v>699112.683834357</v>
                </pt>
                <pt idx="31">
                  <v>613401.927349499</v>
                </pt>
                <pt idx="32">
                  <v>820473.6758474959</v>
                </pt>
                <pt idx="33">
                  <v>633014.710795365</v>
                </pt>
                <pt idx="34">
                  <v>781210.721626448</v>
                </pt>
                <pt idx="35">
                  <v>855759.5336838299</v>
                </pt>
                <pt idx="36">
                  <v>858867.749859047</v>
                </pt>
                <pt idx="37">
                  <v>896750.77174478</v>
                </pt>
                <pt idx="38">
                  <v>765393.960442123</v>
                </pt>
                <pt idx="39">
                  <v>797454.008650046</v>
                </pt>
                <pt idx="40">
                  <v>697995.488494155</v>
                </pt>
                <pt idx="41">
                  <v>710784.722200134</v>
                </pt>
                <pt idx="42">
                  <v>656137.932551218</v>
                </pt>
                <pt idx="43">
                  <v>733073.183815264</v>
                </pt>
                <pt idx="44">
                  <v>795688.580599281</v>
                </pt>
                <pt idx="45">
                  <v>803668.0990075669</v>
                </pt>
                <pt idx="46">
                  <v>831019.0919267479</v>
                </pt>
                <pt idx="47">
                  <v>735308.790982927</v>
                </pt>
                <pt idx="48">
                  <v>838882.931051946</v>
                </pt>
                <pt idx="49">
                  <v>764783.152689826</v>
                </pt>
                <pt idx="50">
                  <v>726417.227436497</v>
                </pt>
                <pt idx="51">
                  <v>826153.7261650569</v>
                </pt>
                <pt idx="52">
                  <v>749049.228252169</v>
                </pt>
              </numCache>
            </numRef>
          </val>
          <smooth val="0"/>
        </ser>
        <dLbls>
          <showLegendKey val="0"/>
          <showVal val="0"/>
          <showCatName val="0"/>
          <showSerName val="0"/>
          <showPercent val="0"/>
          <showBubbleSize val="0"/>
        </dLbls>
        <smooth val="0"/>
        <axId val="19040592"/>
        <axId val="19051632"/>
      </lineChart>
      <dateAx>
        <axId val="19040592"/>
        <scaling>
          <orientation val="minMax"/>
        </scaling>
        <delete val="0"/>
        <axPos val="b"/>
        <numFmt formatCode="yyyy" sourceLinked="0"/>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9051632"/>
        <crosses val="autoZero"/>
        <lblOffset val="100"/>
        <baseTimeUnit val="months"/>
        <majorUnit val="12"/>
        <majorTimeUnit val="months"/>
      </dateAx>
      <valAx>
        <axId val="19051632"/>
        <scaling>
          <orientation val="minMax"/>
          <min val="600000"/>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9040592"/>
        <crosses val="autoZero"/>
        <crossBetween val="between"/>
      </valAx>
    </plotArea>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16.xml><?xml version="1.0" encoding="utf-8"?>
<chartSpace xmlns:a="http://schemas.openxmlformats.org/drawingml/2006/main" xmlns="http://schemas.openxmlformats.org/drawingml/2006/chart">
  <chart>
    <title>
      <tx>
        <rich>
          <a:bodyPr/>
          <a:p>
            <a:r>
              <a:t/>
            </a:r>
          </a:p>
        </rich>
      </tx>
      <overlay val="0"/>
      <spPr>
        <a:noFill/>
        <a:ln>
          <a:noFill/>
          <a:prstDash val="solid"/>
        </a:ln>
      </spPr>
      <txPr>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t/>
          </a:r>
          <a:endParaRPr lang="en-US"/>
        </a:p>
      </txPr>
    </title>
    <plotArea>
      <layout/>
      <lineChart>
        <grouping val="standard"/>
        <varyColors val="0"/>
        <ser>
          <idx val="0"/>
          <order val="0"/>
          <tx>
            <strRef>
              <f>'Labour market flows SA'!$O$7</f>
              <strCache>
                <ptCount val="1"/>
                <pt idx="0">
                  <v>Unemployment to Employment</v>
                </pt>
              </strCache>
            </strRef>
          </tx>
          <spPr>
            <a:ln w="28575" cap="rnd">
              <a:solidFill>
                <a:schemeClr val="accent1"/>
              </a:solidFill>
              <a:prstDash val="solid"/>
              <a:round/>
            </a:ln>
          </spPr>
          <marker>
            <symbol val="none"/>
            <spPr>
              <a:ln>
                <a:prstDash val="solid"/>
              </a:ln>
            </spPr>
          </marker>
          <cat>
            <numRef>
              <f>'Labour market flows SA'!$A$50:$A$102</f>
              <numCache>
                <formatCode>m/d/yyyy</formatCode>
                <ptCount val="53"/>
                <pt idx="0">
                  <v>41000</v>
                </pt>
                <pt idx="1">
                  <v>41091</v>
                </pt>
                <pt idx="2">
                  <v>41183</v>
                </pt>
                <pt idx="3">
                  <v>41275</v>
                </pt>
                <pt idx="4">
                  <v>41365</v>
                </pt>
                <pt idx="5">
                  <v>41456</v>
                </pt>
                <pt idx="6">
                  <v>41548</v>
                </pt>
                <pt idx="7">
                  <v>41640</v>
                </pt>
                <pt idx="8">
                  <v>41730</v>
                </pt>
                <pt idx="9">
                  <v>41821</v>
                </pt>
                <pt idx="10">
                  <v>41913</v>
                </pt>
                <pt idx="11">
                  <v>42005</v>
                </pt>
                <pt idx="12">
                  <v>42095</v>
                </pt>
                <pt idx="13">
                  <v>42186</v>
                </pt>
                <pt idx="14">
                  <v>42278</v>
                </pt>
                <pt idx="15">
                  <v>42370</v>
                </pt>
                <pt idx="16">
                  <v>42461</v>
                </pt>
                <pt idx="17">
                  <v>42552</v>
                </pt>
                <pt idx="18">
                  <v>42644</v>
                </pt>
                <pt idx="19">
                  <v>42736</v>
                </pt>
                <pt idx="20">
                  <v>42826</v>
                </pt>
                <pt idx="21">
                  <v>42917</v>
                </pt>
                <pt idx="22">
                  <v>43009</v>
                </pt>
                <pt idx="23">
                  <v>43101</v>
                </pt>
                <pt idx="24">
                  <v>43191</v>
                </pt>
                <pt idx="25">
                  <v>43282</v>
                </pt>
                <pt idx="26">
                  <v>43374</v>
                </pt>
                <pt idx="27">
                  <v>43466</v>
                </pt>
                <pt idx="28">
                  <v>43556</v>
                </pt>
                <pt idx="29">
                  <v>43647</v>
                </pt>
                <pt idx="30">
                  <v>43739</v>
                </pt>
                <pt idx="31">
                  <v>43831</v>
                </pt>
                <pt idx="32">
                  <v>43922</v>
                </pt>
                <pt idx="33">
                  <v>44013</v>
                </pt>
                <pt idx="34">
                  <v>44105</v>
                </pt>
                <pt idx="35">
                  <v>44197</v>
                </pt>
                <pt idx="36">
                  <v>44287</v>
                </pt>
                <pt idx="37">
                  <v>44378</v>
                </pt>
                <pt idx="38">
                  <v>44470</v>
                </pt>
                <pt idx="39">
                  <v>44562</v>
                </pt>
                <pt idx="40">
                  <v>44652</v>
                </pt>
                <pt idx="41">
                  <v>44743</v>
                </pt>
                <pt idx="42">
                  <v>44835</v>
                </pt>
                <pt idx="43">
                  <v>44927</v>
                </pt>
                <pt idx="44">
                  <v>45017</v>
                </pt>
                <pt idx="45">
                  <v>45108</v>
                </pt>
                <pt idx="46">
                  <v>45200</v>
                </pt>
                <pt idx="47">
                  <v>45292</v>
                </pt>
                <pt idx="48">
                  <v>45383</v>
                </pt>
                <pt idx="49">
                  <v>45474</v>
                </pt>
                <pt idx="50">
                  <v>45566</v>
                </pt>
                <pt idx="51">
                  <v>45658</v>
                </pt>
                <pt idx="52">
                  <v>45748</v>
                </pt>
              </numCache>
            </numRef>
          </cat>
          <val>
            <numRef>
              <f>'Labour market flows SA'!$O$50:$O$102</f>
              <numCache>
                <formatCode>#,##0,</formatCode>
                <ptCount val="53"/>
                <pt idx="0">
                  <v>598742.112050183</v>
                </pt>
                <pt idx="1">
                  <v>590532.953134513</v>
                </pt>
                <pt idx="2">
                  <v>585389.959263214</v>
                </pt>
                <pt idx="3">
                  <v>569355.733074058</v>
                </pt>
                <pt idx="4">
                  <v>549306.129218424</v>
                </pt>
                <pt idx="5">
                  <v>598282.926284738</v>
                </pt>
                <pt idx="6">
                  <v>578878.430752345</v>
                </pt>
                <pt idx="7">
                  <v>556697.953849169</v>
                </pt>
                <pt idx="8">
                  <v>565660.984263794</v>
                </pt>
                <pt idx="9">
                  <v>497510.042091529</v>
                </pt>
                <pt idx="10">
                  <v>513072.711708589</v>
                </pt>
                <pt idx="11">
                  <v>502135.156088668</v>
                </pt>
                <pt idx="12">
                  <v>462743.315086748</v>
                </pt>
                <pt idx="13">
                  <v>537590.019191024</v>
                </pt>
                <pt idx="14">
                  <v>508455.247695285</v>
                </pt>
                <pt idx="15">
                  <v>455055.54034823</v>
                </pt>
                <pt idx="16">
                  <v>478803.234641661</v>
                </pt>
                <pt idx="17">
                  <v>453724.663120632</v>
                </pt>
                <pt idx="18">
                  <v>461132.320988873</v>
                </pt>
                <pt idx="19">
                  <v>464941.943126095</v>
                </pt>
                <pt idx="20">
                  <v>432855.078445551</v>
                </pt>
                <pt idx="21">
                  <v>409103.035471377</v>
                </pt>
                <pt idx="22">
                  <v>377491.612977125</v>
                </pt>
                <pt idx="23">
                  <v>391130.030850139</v>
                </pt>
                <pt idx="24">
                  <v>374808.867594669</v>
                </pt>
                <pt idx="25">
                  <v>375405.850459421</v>
                </pt>
                <pt idx="26">
                  <v>387792.753831779</v>
                </pt>
                <pt idx="27">
                  <v>406571.942887105</v>
                </pt>
                <pt idx="28">
                  <v>403629.011418177</v>
                </pt>
                <pt idx="29">
                  <v>416415.165622844</v>
                </pt>
                <pt idx="30">
                  <v>426652.002277545</v>
                </pt>
                <pt idx="31">
                  <v>398287.706986736</v>
                </pt>
                <pt idx="32">
                  <v>350965.532025338</v>
                </pt>
                <pt idx="33">
                  <v>377871.297145035</v>
                </pt>
                <pt idx="34">
                  <v>452970.033474536</v>
                </pt>
                <pt idx="35">
                  <v>468836.344862219</v>
                </pt>
                <pt idx="36">
                  <v>575752.079548536</v>
                </pt>
                <pt idx="37">
                  <v>592369.820546606</v>
                </pt>
                <pt idx="38">
                  <v>454401.444165968</v>
                </pt>
                <pt idx="39">
                  <v>495139.031883123</v>
                </pt>
                <pt idx="40">
                  <v>386642.013373318</v>
                </pt>
                <pt idx="41">
                  <v>385127.758485491</v>
                </pt>
                <pt idx="42">
                  <v>390408.542590583</v>
                </pt>
                <pt idx="43">
                  <v>440625.872122375</v>
                </pt>
                <pt idx="44">
                  <v>509228.166177542</v>
                </pt>
                <pt idx="45">
                  <v>466420.547826641</v>
                </pt>
                <pt idx="46">
                  <v>487078.321261719</v>
                </pt>
                <pt idx="47">
                  <v>418260.386620825</v>
                </pt>
                <pt idx="48">
                  <v>443293.084838003</v>
                </pt>
                <pt idx="49">
                  <v>455696.015585083</v>
                </pt>
                <pt idx="50">
                  <v>391884.964867869</v>
                </pt>
                <pt idx="51">
                  <v>506299.693086031</v>
                </pt>
                <pt idx="52">
                  <v>466426.495716166</v>
                </pt>
              </numCache>
            </numRef>
          </val>
          <smooth val="0"/>
        </ser>
        <dLbls>
          <showLegendKey val="0"/>
          <showVal val="0"/>
          <showCatName val="0"/>
          <showSerName val="0"/>
          <showPercent val="0"/>
          <showBubbleSize val="0"/>
        </dLbls>
        <smooth val="0"/>
        <axId val="19040592"/>
        <axId val="19051632"/>
      </lineChart>
      <dateAx>
        <axId val="19040592"/>
        <scaling>
          <orientation val="minMax"/>
        </scaling>
        <delete val="0"/>
        <axPos val="b"/>
        <numFmt formatCode="yyyy" sourceLinked="0"/>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9051632"/>
        <crosses val="autoZero"/>
        <lblOffset val="100"/>
        <baseTimeUnit val="months"/>
        <majorUnit val="12"/>
        <majorTimeUnit val="months"/>
      </dateAx>
      <valAx>
        <axId val="19051632"/>
        <scaling>
          <orientation val="minMax"/>
          <min val="200000"/>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9040592"/>
        <crosses val="autoZero"/>
        <crossBetween val="between"/>
      </valAx>
    </plotArea>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17.xml><?xml version="1.0" encoding="utf-8"?>
<chartSpace xmlns:a="http://schemas.openxmlformats.org/drawingml/2006/main" xmlns="http://schemas.openxmlformats.org/drawingml/2006/chart">
  <chart>
    <title>
      <tx>
        <rich>
          <a:bodyPr/>
          <a:p>
            <a:r>
              <a:t/>
            </a:r>
          </a:p>
        </rich>
      </tx>
      <overlay val="0"/>
      <spPr>
        <a:noFill/>
        <a:ln>
          <a:noFill/>
          <a:prstDash val="solid"/>
        </a:ln>
      </spPr>
      <txPr>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t/>
          </a:r>
          <a:endParaRPr lang="en-US"/>
        </a:p>
      </txPr>
    </title>
    <plotArea>
      <layout/>
      <lineChart>
        <grouping val="standard"/>
        <varyColors val="0"/>
        <ser>
          <idx val="0"/>
          <order val="0"/>
          <tx>
            <strRef>
              <f>'Labour market flows SA'!$P$7</f>
              <strCache>
                <ptCount val="1"/>
                <pt idx="0">
                  <v>Unemployment to Economic Inactivity</v>
                </pt>
              </strCache>
            </strRef>
          </tx>
          <spPr>
            <a:ln w="28575" cap="rnd">
              <a:solidFill>
                <a:schemeClr val="accent1"/>
              </a:solidFill>
              <a:prstDash val="solid"/>
              <a:round/>
            </a:ln>
          </spPr>
          <marker>
            <symbol val="none"/>
            <spPr>
              <a:ln>
                <a:prstDash val="solid"/>
              </a:ln>
            </spPr>
          </marker>
          <cat>
            <numRef>
              <f>'Labour market flows SA'!$A$50:$A$102</f>
              <numCache>
                <formatCode>m/d/yyyy</formatCode>
                <ptCount val="53"/>
                <pt idx="0">
                  <v>41000</v>
                </pt>
                <pt idx="1">
                  <v>41091</v>
                </pt>
                <pt idx="2">
                  <v>41183</v>
                </pt>
                <pt idx="3">
                  <v>41275</v>
                </pt>
                <pt idx="4">
                  <v>41365</v>
                </pt>
                <pt idx="5">
                  <v>41456</v>
                </pt>
                <pt idx="6">
                  <v>41548</v>
                </pt>
                <pt idx="7">
                  <v>41640</v>
                </pt>
                <pt idx="8">
                  <v>41730</v>
                </pt>
                <pt idx="9">
                  <v>41821</v>
                </pt>
                <pt idx="10">
                  <v>41913</v>
                </pt>
                <pt idx="11">
                  <v>42005</v>
                </pt>
                <pt idx="12">
                  <v>42095</v>
                </pt>
                <pt idx="13">
                  <v>42186</v>
                </pt>
                <pt idx="14">
                  <v>42278</v>
                </pt>
                <pt idx="15">
                  <v>42370</v>
                </pt>
                <pt idx="16">
                  <v>42461</v>
                </pt>
                <pt idx="17">
                  <v>42552</v>
                </pt>
                <pt idx="18">
                  <v>42644</v>
                </pt>
                <pt idx="19">
                  <v>42736</v>
                </pt>
                <pt idx="20">
                  <v>42826</v>
                </pt>
                <pt idx="21">
                  <v>42917</v>
                </pt>
                <pt idx="22">
                  <v>43009</v>
                </pt>
                <pt idx="23">
                  <v>43101</v>
                </pt>
                <pt idx="24">
                  <v>43191</v>
                </pt>
                <pt idx="25">
                  <v>43282</v>
                </pt>
                <pt idx="26">
                  <v>43374</v>
                </pt>
                <pt idx="27">
                  <v>43466</v>
                </pt>
                <pt idx="28">
                  <v>43556</v>
                </pt>
                <pt idx="29">
                  <v>43647</v>
                </pt>
                <pt idx="30">
                  <v>43739</v>
                </pt>
                <pt idx="31">
                  <v>43831</v>
                </pt>
                <pt idx="32">
                  <v>43922</v>
                </pt>
                <pt idx="33">
                  <v>44013</v>
                </pt>
                <pt idx="34">
                  <v>44105</v>
                </pt>
                <pt idx="35">
                  <v>44197</v>
                </pt>
                <pt idx="36">
                  <v>44287</v>
                </pt>
                <pt idx="37">
                  <v>44378</v>
                </pt>
                <pt idx="38">
                  <v>44470</v>
                </pt>
                <pt idx="39">
                  <v>44562</v>
                </pt>
                <pt idx="40">
                  <v>44652</v>
                </pt>
                <pt idx="41">
                  <v>44743</v>
                </pt>
                <pt idx="42">
                  <v>44835</v>
                </pt>
                <pt idx="43">
                  <v>44927</v>
                </pt>
                <pt idx="44">
                  <v>45017</v>
                </pt>
                <pt idx="45">
                  <v>45108</v>
                </pt>
                <pt idx="46">
                  <v>45200</v>
                </pt>
                <pt idx="47">
                  <v>45292</v>
                </pt>
                <pt idx="48">
                  <v>45383</v>
                </pt>
                <pt idx="49">
                  <v>45474</v>
                </pt>
                <pt idx="50">
                  <v>45566</v>
                </pt>
                <pt idx="51">
                  <v>45658</v>
                </pt>
                <pt idx="52">
                  <v>45748</v>
                </pt>
              </numCache>
            </numRef>
          </cat>
          <val>
            <numRef>
              <f>'Labour market flows SA'!$P$50:$P$102</f>
              <numCache>
                <formatCode>#,##0,</formatCode>
                <ptCount val="53"/>
                <pt idx="0">
                  <v>387466.274325483</v>
                </pt>
                <pt idx="1">
                  <v>401238.015776167</v>
                </pt>
                <pt idx="2">
                  <v>370255.233291415</v>
                </pt>
                <pt idx="3">
                  <v>379329.988736575</v>
                </pt>
                <pt idx="4">
                  <v>403546.605008869</v>
                </pt>
                <pt idx="5">
                  <v>348496.60666545</v>
                </pt>
                <pt idx="6">
                  <v>419706.904247646</v>
                </pt>
                <pt idx="7">
                  <v>406632.795602915</v>
                </pt>
                <pt idx="8">
                  <v>383385.431623738</v>
                </pt>
                <pt idx="9">
                  <v>378355.385801134</v>
                </pt>
                <pt idx="10">
                  <v>356200.646435697</v>
                </pt>
                <pt idx="11">
                  <v>321521.601673134</v>
                </pt>
                <pt idx="12">
                  <v>346193.946902425</v>
                </pt>
                <pt idx="13">
                  <v>319371.290976455</v>
                </pt>
                <pt idx="14">
                  <v>345354.689555871</v>
                </pt>
                <pt idx="15">
                  <v>334351.475773481</v>
                </pt>
                <pt idx="16">
                  <v>296757.431771692</v>
                </pt>
                <pt idx="17">
                  <v>315165.095670199</v>
                </pt>
                <pt idx="18">
                  <v>272880.185103472</v>
                </pt>
                <pt idx="19">
                  <v>302145.53906882</v>
                </pt>
                <pt idx="20">
                  <v>293954.513082934</v>
                </pt>
                <pt idx="21">
                  <v>310826.726759171</v>
                </pt>
                <pt idx="22">
                  <v>281275.361463165</v>
                </pt>
                <pt idx="23">
                  <v>295747.218648923</v>
                </pt>
                <pt idx="24">
                  <v>282402.353887409</v>
                </pt>
                <pt idx="25">
                  <v>273630.712112342</v>
                </pt>
                <pt idx="26">
                  <v>284918.636270227</v>
                </pt>
                <pt idx="27">
                  <v>231776.499077402</v>
                </pt>
                <pt idx="28">
                  <v>269896.486908255</v>
                </pt>
                <pt idx="29">
                  <v>260317.678491355</v>
                </pt>
                <pt idx="30">
                  <v>272460.681556812</v>
                </pt>
                <pt idx="31">
                  <v>215114.220362763</v>
                </pt>
                <pt idx="32">
                  <v>469508.143822158</v>
                </pt>
                <pt idx="33">
                  <v>255143.41365033</v>
                </pt>
                <pt idx="34">
                  <v>328240.688151912</v>
                </pt>
                <pt idx="35">
                  <v>386923.188821611</v>
                </pt>
                <pt idx="36">
                  <v>283115.670310511</v>
                </pt>
                <pt idx="37">
                  <v>304380.951198174</v>
                </pt>
                <pt idx="38">
                  <v>310992.516276155</v>
                </pt>
                <pt idx="39">
                  <v>302314.976766923</v>
                </pt>
                <pt idx="40">
                  <v>311353.475120837</v>
                </pt>
                <pt idx="41">
                  <v>325656.963714643</v>
                </pt>
                <pt idx="42">
                  <v>265729.389960635</v>
                </pt>
                <pt idx="43">
                  <v>292447.311692889</v>
                </pt>
                <pt idx="44">
                  <v>286460.414421739</v>
                </pt>
                <pt idx="45">
                  <v>337247.551180926</v>
                </pt>
                <pt idx="46">
                  <v>343940.770665029</v>
                </pt>
                <pt idx="47">
                  <v>317048.404362102</v>
                </pt>
                <pt idx="48">
                  <v>395589.846213943</v>
                </pt>
                <pt idx="49">
                  <v>309087.137104743</v>
                </pt>
                <pt idx="50">
                  <v>334532.262568628</v>
                </pt>
                <pt idx="51">
                  <v>319854.033079026</v>
                </pt>
                <pt idx="52">
                  <v>282622.732536003</v>
                </pt>
              </numCache>
            </numRef>
          </val>
          <smooth val="0"/>
        </ser>
        <dLbls>
          <showLegendKey val="0"/>
          <showVal val="0"/>
          <showCatName val="0"/>
          <showSerName val="0"/>
          <showPercent val="0"/>
          <showBubbleSize val="0"/>
        </dLbls>
        <smooth val="0"/>
        <axId val="19040592"/>
        <axId val="19051632"/>
      </lineChart>
      <dateAx>
        <axId val="19040592"/>
        <scaling>
          <orientation val="minMax"/>
        </scaling>
        <delete val="0"/>
        <axPos val="b"/>
        <numFmt formatCode="yyyy" sourceLinked="0"/>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9051632"/>
        <crosses val="autoZero"/>
        <lblOffset val="100"/>
        <baseTimeUnit val="months"/>
        <majorUnit val="12"/>
        <majorTimeUnit val="months"/>
      </dateAx>
      <valAx>
        <axId val="19051632"/>
        <scaling>
          <orientation val="minMax"/>
          <min val="200000"/>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9040592"/>
        <crosses val="autoZero"/>
        <crossBetween val="between"/>
      </valAx>
    </plotArea>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18.xml><?xml version="1.0" encoding="utf-8"?>
<chartSpace xmlns:a="http://schemas.openxmlformats.org/drawingml/2006/main" xmlns="http://schemas.openxmlformats.org/drawingml/2006/chart">
  <chart>
    <title>
      <tx>
        <rich>
          <a:bodyPr/>
          <a:p>
            <a:r>
              <a:t/>
            </a:r>
          </a:p>
        </rich>
      </tx>
      <overlay val="0"/>
      <spPr>
        <a:noFill/>
        <a:ln>
          <a:noFill/>
          <a:prstDash val="solid"/>
        </a:ln>
      </spPr>
      <txPr>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t/>
          </a:r>
          <a:endParaRPr lang="en-US"/>
        </a:p>
      </txPr>
    </title>
    <plotArea>
      <layout/>
      <lineChart>
        <grouping val="standard"/>
        <varyColors val="0"/>
        <ser>
          <idx val="0"/>
          <order val="0"/>
          <tx>
            <strRef>
              <f>'Labour market flows SA'!$Y$7</f>
              <strCache>
                <ptCount val="1"/>
                <pt idx="0">
                  <v>Economic Inactivity Gross Inflow</v>
                </pt>
              </strCache>
            </strRef>
          </tx>
          <spPr>
            <a:ln w="28575" cap="rnd">
              <a:solidFill>
                <a:schemeClr val="accent1"/>
              </a:solidFill>
              <a:prstDash val="solid"/>
              <a:round/>
            </a:ln>
          </spPr>
          <marker>
            <symbol val="none"/>
            <spPr>
              <a:ln>
                <a:prstDash val="solid"/>
              </a:ln>
            </spPr>
          </marker>
          <cat>
            <numRef>
              <f>'Labour market flows SA'!$A$50:$A$102</f>
              <numCache>
                <formatCode>m/d/yyyy</formatCode>
                <ptCount val="53"/>
                <pt idx="0">
                  <v>41000</v>
                </pt>
                <pt idx="1">
                  <v>41091</v>
                </pt>
                <pt idx="2">
                  <v>41183</v>
                </pt>
                <pt idx="3">
                  <v>41275</v>
                </pt>
                <pt idx="4">
                  <v>41365</v>
                </pt>
                <pt idx="5">
                  <v>41456</v>
                </pt>
                <pt idx="6">
                  <v>41548</v>
                </pt>
                <pt idx="7">
                  <v>41640</v>
                </pt>
                <pt idx="8">
                  <v>41730</v>
                </pt>
                <pt idx="9">
                  <v>41821</v>
                </pt>
                <pt idx="10">
                  <v>41913</v>
                </pt>
                <pt idx="11">
                  <v>42005</v>
                </pt>
                <pt idx="12">
                  <v>42095</v>
                </pt>
                <pt idx="13">
                  <v>42186</v>
                </pt>
                <pt idx="14">
                  <v>42278</v>
                </pt>
                <pt idx="15">
                  <v>42370</v>
                </pt>
                <pt idx="16">
                  <v>42461</v>
                </pt>
                <pt idx="17">
                  <v>42552</v>
                </pt>
                <pt idx="18">
                  <v>42644</v>
                </pt>
                <pt idx="19">
                  <v>42736</v>
                </pt>
                <pt idx="20">
                  <v>42826</v>
                </pt>
                <pt idx="21">
                  <v>42917</v>
                </pt>
                <pt idx="22">
                  <v>43009</v>
                </pt>
                <pt idx="23">
                  <v>43101</v>
                </pt>
                <pt idx="24">
                  <v>43191</v>
                </pt>
                <pt idx="25">
                  <v>43282</v>
                </pt>
                <pt idx="26">
                  <v>43374</v>
                </pt>
                <pt idx="27">
                  <v>43466</v>
                </pt>
                <pt idx="28">
                  <v>43556</v>
                </pt>
                <pt idx="29">
                  <v>43647</v>
                </pt>
                <pt idx="30">
                  <v>43739</v>
                </pt>
                <pt idx="31">
                  <v>43831</v>
                </pt>
                <pt idx="32">
                  <v>43922</v>
                </pt>
                <pt idx="33">
                  <v>44013</v>
                </pt>
                <pt idx="34">
                  <v>44105</v>
                </pt>
                <pt idx="35">
                  <v>44197</v>
                </pt>
                <pt idx="36">
                  <v>44287</v>
                </pt>
                <pt idx="37">
                  <v>44378</v>
                </pt>
                <pt idx="38">
                  <v>44470</v>
                </pt>
                <pt idx="39">
                  <v>44562</v>
                </pt>
                <pt idx="40">
                  <v>44652</v>
                </pt>
                <pt idx="41">
                  <v>44743</v>
                </pt>
                <pt idx="42">
                  <v>44835</v>
                </pt>
                <pt idx="43">
                  <v>44927</v>
                </pt>
                <pt idx="44">
                  <v>45017</v>
                </pt>
                <pt idx="45">
                  <v>45108</v>
                </pt>
                <pt idx="46">
                  <v>45200</v>
                </pt>
                <pt idx="47">
                  <v>45292</v>
                </pt>
                <pt idx="48">
                  <v>45383</v>
                </pt>
                <pt idx="49">
                  <v>45474</v>
                </pt>
                <pt idx="50">
                  <v>45566</v>
                </pt>
                <pt idx="51">
                  <v>45658</v>
                </pt>
                <pt idx="52">
                  <v>45748</v>
                </pt>
              </numCache>
            </numRef>
          </cat>
          <val>
            <numRef>
              <f>'Labour market flows SA'!$Y$50:$Y$102</f>
              <numCache>
                <formatCode>#,##0,</formatCode>
                <ptCount val="53"/>
                <pt idx="0">
                  <v>870738.9599564341</v>
                </pt>
                <pt idx="1">
                  <v>877957.337291331</v>
                </pt>
                <pt idx="2">
                  <v>818911.911742921</v>
                </pt>
                <pt idx="3">
                  <v>944853.331490409</v>
                </pt>
                <pt idx="4">
                  <v>864701.634313277</v>
                </pt>
                <pt idx="5">
                  <v>809185.613432835</v>
                </pt>
                <pt idx="6">
                  <v>933099.7457559421</v>
                </pt>
                <pt idx="7">
                  <v>876657.0152393701</v>
                </pt>
                <pt idx="8">
                  <v>906048.0373038531</v>
                </pt>
                <pt idx="9">
                  <v>891118.110303743</v>
                </pt>
                <pt idx="10">
                  <v>887354.601469773</v>
                </pt>
                <pt idx="11">
                  <v>876493.989527008</v>
                </pt>
                <pt idx="12">
                  <v>899209.172002912</v>
                </pt>
                <pt idx="13">
                  <v>853626.912377124</v>
                </pt>
                <pt idx="14">
                  <v>892165.3346232041</v>
                </pt>
                <pt idx="15">
                  <v>872188.7566734429</v>
                </pt>
                <pt idx="16">
                  <v>857540.250470633</v>
                </pt>
                <pt idx="17">
                  <v>859073.99496413</v>
                </pt>
                <pt idx="18">
                  <v>902654.281741633</v>
                </pt>
                <pt idx="19">
                  <v>859273.6372931639</v>
                </pt>
                <pt idx="20">
                  <v>829028.504794667</v>
                </pt>
                <pt idx="21">
                  <v>871725.300884117</v>
                </pt>
                <pt idx="22">
                  <v>803340.773164351</v>
                </pt>
                <pt idx="23">
                  <v>766951.08635227</v>
                </pt>
                <pt idx="24">
                  <v>861503.500228587</v>
                </pt>
                <pt idx="25">
                  <v>852492.1034063241</v>
                </pt>
                <pt idx="26">
                  <v>862109.076920816</v>
                </pt>
                <pt idx="27">
                  <v>797566.4109813019</v>
                </pt>
                <pt idx="28">
                  <v>804915.472619658</v>
                </pt>
                <pt idx="29">
                  <v>838014.484877457</v>
                </pt>
                <pt idx="30">
                  <v>796307.852798688</v>
                </pt>
                <pt idx="31">
                  <v>923895.1601266201</v>
                </pt>
                <pt idx="32">
                  <v>1180100.682014911</v>
                </pt>
                <pt idx="33">
                  <v>894750.5225297541</v>
                </pt>
                <pt idx="34">
                  <v>925461.7237304391</v>
                </pt>
                <pt idx="35">
                  <v>900101.3259286589</v>
                </pt>
                <pt idx="36">
                  <v>934783.747181557</v>
                </pt>
                <pt idx="37">
                  <v>954260.852193034</v>
                </pt>
                <pt idx="38">
                  <v>972591.009163528</v>
                </pt>
                <pt idx="39">
                  <v>957929.880642385</v>
                </pt>
                <pt idx="40">
                  <v>937032.117419627</v>
                </pt>
                <pt idx="41">
                  <v>949755.4602318751</v>
                </pt>
                <pt idx="42">
                  <v>839625.181086945</v>
                </pt>
                <pt idx="43">
                  <v>898391.322900044</v>
                </pt>
                <pt idx="44">
                  <v>881829.132513575</v>
                </pt>
                <pt idx="45">
                  <v>961131.2355917359</v>
                </pt>
                <pt idx="46">
                  <v>954203.5618048061</v>
                </pt>
                <pt idx="47">
                  <v>898060.5803874489</v>
                </pt>
                <pt idx="48">
                  <v>978416.046986155</v>
                </pt>
                <pt idx="49">
                  <v>903920.0774470421</v>
                </pt>
                <pt idx="50">
                  <v>949049.8100669091</v>
                </pt>
                <pt idx="51">
                  <v>924285.938773866</v>
                </pt>
                <pt idx="52">
                  <v>826034.932882569</v>
                </pt>
              </numCache>
            </numRef>
          </val>
          <smooth val="0"/>
        </ser>
        <dLbls>
          <showLegendKey val="0"/>
          <showVal val="0"/>
          <showCatName val="0"/>
          <showSerName val="0"/>
          <showPercent val="0"/>
          <showBubbleSize val="0"/>
        </dLbls>
        <smooth val="0"/>
        <axId val="19040592"/>
        <axId val="19051632"/>
      </lineChart>
      <dateAx>
        <axId val="19040592"/>
        <scaling>
          <orientation val="minMax"/>
        </scaling>
        <delete val="0"/>
        <axPos val="b"/>
        <numFmt formatCode="yyyy" sourceLinked="0"/>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9051632"/>
        <crosses val="autoZero"/>
        <lblOffset val="100"/>
        <baseTimeUnit val="months"/>
        <majorUnit val="12"/>
        <majorTimeUnit val="months"/>
      </dateAx>
      <valAx>
        <axId val="19051632"/>
        <scaling>
          <orientation val="minMax"/>
          <min val="600000"/>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9040592"/>
        <crosses val="autoZero"/>
        <crossBetween val="between"/>
      </valAx>
    </plotArea>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19.xml><?xml version="1.0" encoding="utf-8"?>
<chartSpace xmlns:a="http://schemas.openxmlformats.org/drawingml/2006/main" xmlns="http://schemas.openxmlformats.org/drawingml/2006/chart">
  <chart>
    <title>
      <tx>
        <rich>
          <a:bodyPr/>
          <a:p>
            <a:r>
              <a:t/>
            </a:r>
          </a:p>
        </rich>
      </tx>
      <overlay val="0"/>
      <spPr>
        <a:noFill/>
        <a:ln>
          <a:noFill/>
          <a:prstDash val="solid"/>
        </a:ln>
      </spPr>
      <txPr>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t/>
          </a:r>
          <a:endParaRPr lang="en-US"/>
        </a:p>
      </txPr>
    </title>
    <plotArea>
      <layout/>
      <lineChart>
        <grouping val="standard"/>
        <varyColors val="0"/>
        <ser>
          <idx val="0"/>
          <order val="0"/>
          <tx>
            <strRef>
              <f>'Labour market flows SA'!$E$7</f>
              <strCache>
                <ptCount val="1"/>
                <pt idx="0">
                  <v>Employment to Economic Inactivity</v>
                </pt>
              </strCache>
            </strRef>
          </tx>
          <spPr>
            <a:ln w="28575" cap="rnd">
              <a:solidFill>
                <a:schemeClr val="accent1"/>
              </a:solidFill>
              <a:prstDash val="solid"/>
              <a:round/>
            </a:ln>
          </spPr>
          <marker>
            <symbol val="none"/>
            <spPr>
              <a:ln>
                <a:prstDash val="solid"/>
              </a:ln>
            </spPr>
          </marker>
          <cat>
            <numRef>
              <f>'Labour market flows SA'!$A$50:$A$102</f>
              <numCache>
                <formatCode>m/d/yyyy</formatCode>
                <ptCount val="53"/>
                <pt idx="0">
                  <v>41000</v>
                </pt>
                <pt idx="1">
                  <v>41091</v>
                </pt>
                <pt idx="2">
                  <v>41183</v>
                </pt>
                <pt idx="3">
                  <v>41275</v>
                </pt>
                <pt idx="4">
                  <v>41365</v>
                </pt>
                <pt idx="5">
                  <v>41456</v>
                </pt>
                <pt idx="6">
                  <v>41548</v>
                </pt>
                <pt idx="7">
                  <v>41640</v>
                </pt>
                <pt idx="8">
                  <v>41730</v>
                </pt>
                <pt idx="9">
                  <v>41821</v>
                </pt>
                <pt idx="10">
                  <v>41913</v>
                </pt>
                <pt idx="11">
                  <v>42005</v>
                </pt>
                <pt idx="12">
                  <v>42095</v>
                </pt>
                <pt idx="13">
                  <v>42186</v>
                </pt>
                <pt idx="14">
                  <v>42278</v>
                </pt>
                <pt idx="15">
                  <v>42370</v>
                </pt>
                <pt idx="16">
                  <v>42461</v>
                </pt>
                <pt idx="17">
                  <v>42552</v>
                </pt>
                <pt idx="18">
                  <v>42644</v>
                </pt>
                <pt idx="19">
                  <v>42736</v>
                </pt>
                <pt idx="20">
                  <v>42826</v>
                </pt>
                <pt idx="21">
                  <v>42917</v>
                </pt>
                <pt idx="22">
                  <v>43009</v>
                </pt>
                <pt idx="23">
                  <v>43101</v>
                </pt>
                <pt idx="24">
                  <v>43191</v>
                </pt>
                <pt idx="25">
                  <v>43282</v>
                </pt>
                <pt idx="26">
                  <v>43374</v>
                </pt>
                <pt idx="27">
                  <v>43466</v>
                </pt>
                <pt idx="28">
                  <v>43556</v>
                </pt>
                <pt idx="29">
                  <v>43647</v>
                </pt>
                <pt idx="30">
                  <v>43739</v>
                </pt>
                <pt idx="31">
                  <v>43831</v>
                </pt>
                <pt idx="32">
                  <v>43922</v>
                </pt>
                <pt idx="33">
                  <v>44013</v>
                </pt>
                <pt idx="34">
                  <v>44105</v>
                </pt>
                <pt idx="35">
                  <v>44197</v>
                </pt>
                <pt idx="36">
                  <v>44287</v>
                </pt>
                <pt idx="37">
                  <v>44378</v>
                </pt>
                <pt idx="38">
                  <v>44470</v>
                </pt>
                <pt idx="39">
                  <v>44562</v>
                </pt>
                <pt idx="40">
                  <v>44652</v>
                </pt>
                <pt idx="41">
                  <v>44743</v>
                </pt>
                <pt idx="42">
                  <v>44835</v>
                </pt>
                <pt idx="43">
                  <v>44927</v>
                </pt>
                <pt idx="44">
                  <v>45017</v>
                </pt>
                <pt idx="45">
                  <v>45108</v>
                </pt>
                <pt idx="46">
                  <v>45200</v>
                </pt>
                <pt idx="47">
                  <v>45292</v>
                </pt>
                <pt idx="48">
                  <v>45383</v>
                </pt>
                <pt idx="49">
                  <v>45474</v>
                </pt>
                <pt idx="50">
                  <v>45566</v>
                </pt>
                <pt idx="51">
                  <v>45658</v>
                </pt>
                <pt idx="52">
                  <v>45748</v>
                </pt>
              </numCache>
            </numRef>
          </cat>
          <val>
            <numRef>
              <f>'Labour market flows SA'!$E$50:$E$102</f>
              <numCache>
                <formatCode>#,##0,</formatCode>
                <ptCount val="53"/>
                <pt idx="0">
                  <v>483272.685630951</v>
                </pt>
                <pt idx="1">
                  <v>476719.321515164</v>
                </pt>
                <pt idx="2">
                  <v>448656.678451506</v>
                </pt>
                <pt idx="3">
                  <v>565523.342753834</v>
                </pt>
                <pt idx="4">
                  <v>461155.029304408</v>
                </pt>
                <pt idx="5">
                  <v>460689.006767385</v>
                </pt>
                <pt idx="6">
                  <v>513392.841508296</v>
                </pt>
                <pt idx="7">
                  <v>470024.219636455</v>
                </pt>
                <pt idx="8">
                  <v>522662.605680115</v>
                </pt>
                <pt idx="9">
                  <v>512762.724502609</v>
                </pt>
                <pt idx="10">
                  <v>531153.955034076</v>
                </pt>
                <pt idx="11">
                  <v>554972.387853874</v>
                </pt>
                <pt idx="12">
                  <v>553015.225100487</v>
                </pt>
                <pt idx="13">
                  <v>534255.621400669</v>
                </pt>
                <pt idx="14">
                  <v>546810.645067333</v>
                </pt>
                <pt idx="15">
                  <v>537837.2808999619</v>
                </pt>
                <pt idx="16">
                  <v>560782.818698941</v>
                </pt>
                <pt idx="17">
                  <v>543908.899293931</v>
                </pt>
                <pt idx="18">
                  <v>629774.096638161</v>
                </pt>
                <pt idx="19">
                  <v>557128.098224344</v>
                </pt>
                <pt idx="20">
                  <v>535073.991711733</v>
                </pt>
                <pt idx="21">
                  <v>560898.574124946</v>
                </pt>
                <pt idx="22">
                  <v>522065.411701186</v>
                </pt>
                <pt idx="23">
                  <v>471203.867703347</v>
                </pt>
                <pt idx="24">
                  <v>579101.146341178</v>
                </pt>
                <pt idx="25">
                  <v>578861.391293982</v>
                </pt>
                <pt idx="26">
                  <v>577190.4406505889</v>
                </pt>
                <pt idx="27">
                  <v>565789.9119039</v>
                </pt>
                <pt idx="28">
                  <v>535018.985711403</v>
                </pt>
                <pt idx="29">
                  <v>577696.806386102</v>
                </pt>
                <pt idx="30">
                  <v>523847.171241876</v>
                </pt>
                <pt idx="31">
                  <v>708780.9397638571</v>
                </pt>
                <pt idx="32">
                  <v>710592.538192753</v>
                </pt>
                <pt idx="33">
                  <v>639607.108879424</v>
                </pt>
                <pt idx="34">
                  <v>597221.035578527</v>
                </pt>
                <pt idx="35">
                  <v>513178.137107048</v>
                </pt>
                <pt idx="36">
                  <v>651668.076871046</v>
                </pt>
                <pt idx="37">
                  <v>649879.90099486</v>
                </pt>
                <pt idx="38">
                  <v>661598.492887373</v>
                </pt>
                <pt idx="39">
                  <v>655614.903875462</v>
                </pt>
                <pt idx="40">
                  <v>625678.64229879</v>
                </pt>
                <pt idx="41">
                  <v>624098.496517232</v>
                </pt>
                <pt idx="42">
                  <v>573895.79112631</v>
                </pt>
                <pt idx="43">
                  <v>605944.011207155</v>
                </pt>
                <pt idx="44">
                  <v>595368.718091836</v>
                </pt>
                <pt idx="45">
                  <v>623883.68441081</v>
                </pt>
                <pt idx="46">
                  <v>610262.7911397771</v>
                </pt>
                <pt idx="47">
                  <v>581012.176025347</v>
                </pt>
                <pt idx="48">
                  <v>582826.200772212</v>
                </pt>
                <pt idx="49">
                  <v>594832.9403422991</v>
                </pt>
                <pt idx="50">
                  <v>614517.547498281</v>
                </pt>
                <pt idx="51">
                  <v>604431.90569484</v>
                </pt>
                <pt idx="52">
                  <v>543412.200346566</v>
                </pt>
              </numCache>
            </numRef>
          </val>
          <smooth val="0"/>
        </ser>
        <dLbls>
          <showLegendKey val="0"/>
          <showVal val="0"/>
          <showCatName val="0"/>
          <showSerName val="0"/>
          <showPercent val="0"/>
          <showBubbleSize val="0"/>
        </dLbls>
        <smooth val="0"/>
        <axId val="19040592"/>
        <axId val="19051632"/>
      </lineChart>
      <dateAx>
        <axId val="19040592"/>
        <scaling>
          <orientation val="minMax"/>
        </scaling>
        <delete val="0"/>
        <axPos val="b"/>
        <numFmt formatCode="yyyy" sourceLinked="0"/>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9051632"/>
        <crosses val="autoZero"/>
        <lblOffset val="100"/>
        <baseTimeUnit val="months"/>
        <majorUnit val="12"/>
        <majorTimeUnit val="months"/>
      </dateAx>
      <valAx>
        <axId val="19051632"/>
        <scaling>
          <orientation val="minMax"/>
          <min val="200000"/>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9040592"/>
        <crosses val="autoZero"/>
        <crossBetween val="between"/>
      </valAx>
    </plotArea>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20.xml><?xml version="1.0" encoding="utf-8"?>
<chartSpace xmlns:a="http://schemas.openxmlformats.org/drawingml/2006/main" xmlns="http://schemas.openxmlformats.org/drawingml/2006/chart">
  <chart>
    <title>
      <tx>
        <rich>
          <a:bodyPr/>
          <a:p>
            <a:r>
              <a:t/>
            </a:r>
          </a:p>
        </rich>
      </tx>
      <overlay val="0"/>
      <spPr>
        <a:noFill/>
        <a:ln>
          <a:noFill/>
          <a:prstDash val="solid"/>
        </a:ln>
      </spPr>
      <txPr>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t/>
          </a:r>
          <a:endParaRPr lang="en-US"/>
        </a:p>
      </txPr>
    </title>
    <plotArea>
      <layout/>
      <lineChart>
        <grouping val="standard"/>
        <varyColors val="0"/>
        <ser>
          <idx val="0"/>
          <order val="0"/>
          <tx>
            <strRef>
              <f>'Labour market flows SA'!$P$7</f>
              <strCache>
                <ptCount val="1"/>
                <pt idx="0">
                  <v>Unemployment to Economic Inactivity</v>
                </pt>
              </strCache>
            </strRef>
          </tx>
          <spPr>
            <a:ln w="28575" cap="rnd">
              <a:solidFill>
                <a:schemeClr val="accent1"/>
              </a:solidFill>
              <a:prstDash val="solid"/>
              <a:round/>
            </a:ln>
          </spPr>
          <marker>
            <symbol val="none"/>
            <spPr>
              <a:ln>
                <a:prstDash val="solid"/>
              </a:ln>
            </spPr>
          </marker>
          <cat>
            <numRef>
              <f>'Labour market flows SA'!$A$50:$A$102</f>
              <numCache>
                <formatCode>m/d/yyyy</formatCode>
                <ptCount val="53"/>
                <pt idx="0">
                  <v>41000</v>
                </pt>
                <pt idx="1">
                  <v>41091</v>
                </pt>
                <pt idx="2">
                  <v>41183</v>
                </pt>
                <pt idx="3">
                  <v>41275</v>
                </pt>
                <pt idx="4">
                  <v>41365</v>
                </pt>
                <pt idx="5">
                  <v>41456</v>
                </pt>
                <pt idx="6">
                  <v>41548</v>
                </pt>
                <pt idx="7">
                  <v>41640</v>
                </pt>
                <pt idx="8">
                  <v>41730</v>
                </pt>
                <pt idx="9">
                  <v>41821</v>
                </pt>
                <pt idx="10">
                  <v>41913</v>
                </pt>
                <pt idx="11">
                  <v>42005</v>
                </pt>
                <pt idx="12">
                  <v>42095</v>
                </pt>
                <pt idx="13">
                  <v>42186</v>
                </pt>
                <pt idx="14">
                  <v>42278</v>
                </pt>
                <pt idx="15">
                  <v>42370</v>
                </pt>
                <pt idx="16">
                  <v>42461</v>
                </pt>
                <pt idx="17">
                  <v>42552</v>
                </pt>
                <pt idx="18">
                  <v>42644</v>
                </pt>
                <pt idx="19">
                  <v>42736</v>
                </pt>
                <pt idx="20">
                  <v>42826</v>
                </pt>
                <pt idx="21">
                  <v>42917</v>
                </pt>
                <pt idx="22">
                  <v>43009</v>
                </pt>
                <pt idx="23">
                  <v>43101</v>
                </pt>
                <pt idx="24">
                  <v>43191</v>
                </pt>
                <pt idx="25">
                  <v>43282</v>
                </pt>
                <pt idx="26">
                  <v>43374</v>
                </pt>
                <pt idx="27">
                  <v>43466</v>
                </pt>
                <pt idx="28">
                  <v>43556</v>
                </pt>
                <pt idx="29">
                  <v>43647</v>
                </pt>
                <pt idx="30">
                  <v>43739</v>
                </pt>
                <pt idx="31">
                  <v>43831</v>
                </pt>
                <pt idx="32">
                  <v>43922</v>
                </pt>
                <pt idx="33">
                  <v>44013</v>
                </pt>
                <pt idx="34">
                  <v>44105</v>
                </pt>
                <pt idx="35">
                  <v>44197</v>
                </pt>
                <pt idx="36">
                  <v>44287</v>
                </pt>
                <pt idx="37">
                  <v>44378</v>
                </pt>
                <pt idx="38">
                  <v>44470</v>
                </pt>
                <pt idx="39">
                  <v>44562</v>
                </pt>
                <pt idx="40">
                  <v>44652</v>
                </pt>
                <pt idx="41">
                  <v>44743</v>
                </pt>
                <pt idx="42">
                  <v>44835</v>
                </pt>
                <pt idx="43">
                  <v>44927</v>
                </pt>
                <pt idx="44">
                  <v>45017</v>
                </pt>
                <pt idx="45">
                  <v>45108</v>
                </pt>
                <pt idx="46">
                  <v>45200</v>
                </pt>
                <pt idx="47">
                  <v>45292</v>
                </pt>
                <pt idx="48">
                  <v>45383</v>
                </pt>
                <pt idx="49">
                  <v>45474</v>
                </pt>
                <pt idx="50">
                  <v>45566</v>
                </pt>
                <pt idx="51">
                  <v>45658</v>
                </pt>
                <pt idx="52">
                  <v>45748</v>
                </pt>
              </numCache>
            </numRef>
          </cat>
          <val>
            <numRef>
              <f>'Labour market flows SA'!$P$50:$P$102</f>
              <numCache>
                <formatCode>#,##0,</formatCode>
                <ptCount val="53"/>
                <pt idx="0">
                  <v>387466.274325483</v>
                </pt>
                <pt idx="1">
                  <v>401238.015776167</v>
                </pt>
                <pt idx="2">
                  <v>370255.233291415</v>
                </pt>
                <pt idx="3">
                  <v>379329.988736575</v>
                </pt>
                <pt idx="4">
                  <v>403546.605008869</v>
                </pt>
                <pt idx="5">
                  <v>348496.60666545</v>
                </pt>
                <pt idx="6">
                  <v>419706.904247646</v>
                </pt>
                <pt idx="7">
                  <v>406632.795602915</v>
                </pt>
                <pt idx="8">
                  <v>383385.431623738</v>
                </pt>
                <pt idx="9">
                  <v>378355.385801134</v>
                </pt>
                <pt idx="10">
                  <v>356200.646435697</v>
                </pt>
                <pt idx="11">
                  <v>321521.601673134</v>
                </pt>
                <pt idx="12">
                  <v>346193.946902425</v>
                </pt>
                <pt idx="13">
                  <v>319371.290976455</v>
                </pt>
                <pt idx="14">
                  <v>345354.689555871</v>
                </pt>
                <pt idx="15">
                  <v>334351.475773481</v>
                </pt>
                <pt idx="16">
                  <v>296757.431771692</v>
                </pt>
                <pt idx="17">
                  <v>315165.095670199</v>
                </pt>
                <pt idx="18">
                  <v>272880.185103472</v>
                </pt>
                <pt idx="19">
                  <v>302145.53906882</v>
                </pt>
                <pt idx="20">
                  <v>293954.513082934</v>
                </pt>
                <pt idx="21">
                  <v>310826.726759171</v>
                </pt>
                <pt idx="22">
                  <v>281275.361463165</v>
                </pt>
                <pt idx="23">
                  <v>295747.218648923</v>
                </pt>
                <pt idx="24">
                  <v>282402.353887409</v>
                </pt>
                <pt idx="25">
                  <v>273630.712112342</v>
                </pt>
                <pt idx="26">
                  <v>284918.636270227</v>
                </pt>
                <pt idx="27">
                  <v>231776.499077402</v>
                </pt>
                <pt idx="28">
                  <v>269896.486908255</v>
                </pt>
                <pt idx="29">
                  <v>260317.678491355</v>
                </pt>
                <pt idx="30">
                  <v>272460.681556812</v>
                </pt>
                <pt idx="31">
                  <v>215114.220362763</v>
                </pt>
                <pt idx="32">
                  <v>469508.143822158</v>
                </pt>
                <pt idx="33">
                  <v>255143.41365033</v>
                </pt>
                <pt idx="34">
                  <v>328240.688151912</v>
                </pt>
                <pt idx="35">
                  <v>386923.188821611</v>
                </pt>
                <pt idx="36">
                  <v>283115.670310511</v>
                </pt>
                <pt idx="37">
                  <v>304380.951198174</v>
                </pt>
                <pt idx="38">
                  <v>310992.516276155</v>
                </pt>
                <pt idx="39">
                  <v>302314.976766923</v>
                </pt>
                <pt idx="40">
                  <v>311353.475120837</v>
                </pt>
                <pt idx="41">
                  <v>325656.963714643</v>
                </pt>
                <pt idx="42">
                  <v>265729.389960635</v>
                </pt>
                <pt idx="43">
                  <v>292447.311692889</v>
                </pt>
                <pt idx="44">
                  <v>286460.414421739</v>
                </pt>
                <pt idx="45">
                  <v>337247.551180926</v>
                </pt>
                <pt idx="46">
                  <v>343940.770665029</v>
                </pt>
                <pt idx="47">
                  <v>317048.404362102</v>
                </pt>
                <pt idx="48">
                  <v>395589.846213943</v>
                </pt>
                <pt idx="49">
                  <v>309087.137104743</v>
                </pt>
                <pt idx="50">
                  <v>334532.262568628</v>
                </pt>
                <pt idx="51">
                  <v>319854.033079026</v>
                </pt>
                <pt idx="52">
                  <v>282622.732536003</v>
                </pt>
              </numCache>
            </numRef>
          </val>
          <smooth val="0"/>
        </ser>
        <dLbls>
          <showLegendKey val="0"/>
          <showVal val="0"/>
          <showCatName val="0"/>
          <showSerName val="0"/>
          <showPercent val="0"/>
          <showBubbleSize val="0"/>
        </dLbls>
        <smooth val="0"/>
        <axId val="19040592"/>
        <axId val="19051632"/>
      </lineChart>
      <dateAx>
        <axId val="19040592"/>
        <scaling>
          <orientation val="minMax"/>
        </scaling>
        <delete val="0"/>
        <axPos val="b"/>
        <numFmt formatCode="yyyy" sourceLinked="0"/>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9051632"/>
        <crosses val="autoZero"/>
        <lblOffset val="100"/>
        <baseTimeUnit val="months"/>
        <majorUnit val="12"/>
        <majorTimeUnit val="months"/>
      </dateAx>
      <valAx>
        <axId val="19051632"/>
        <scaling>
          <orientation val="minMax"/>
          <min val="200000"/>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9040592"/>
        <crosses val="autoZero"/>
        <crossBetween val="between"/>
      </valAx>
    </plotArea>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21.xml><?xml version="1.0" encoding="utf-8"?>
<chartSpace xmlns:a="http://schemas.openxmlformats.org/drawingml/2006/main" xmlns="http://schemas.openxmlformats.org/drawingml/2006/chart">
  <chart>
    <title>
      <tx>
        <rich>
          <a:bodyPr/>
          <a:p>
            <a:r>
              <a:t/>
            </a:r>
          </a:p>
        </rich>
      </tx>
      <overlay val="0"/>
      <spPr>
        <a:noFill/>
        <a:ln>
          <a:noFill/>
          <a:prstDash val="solid"/>
        </a:ln>
      </spPr>
      <txPr>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t/>
          </a:r>
          <a:endParaRPr lang="en-US"/>
        </a:p>
      </txPr>
    </title>
    <plotArea>
      <layout/>
      <lineChart>
        <grouping val="standard"/>
        <varyColors val="0"/>
        <ser>
          <idx val="0"/>
          <order val="0"/>
          <tx>
            <strRef>
              <f>'Labour market flows SA'!$F$7</f>
              <strCache>
                <ptCount val="1"/>
                <pt idx="0">
                  <v>Employment Gross Inflow</v>
                </pt>
              </strCache>
            </strRef>
          </tx>
          <spPr>
            <a:ln w="28575" cap="rnd">
              <a:solidFill>
                <a:schemeClr val="accent1"/>
              </a:solidFill>
              <a:prstDash val="solid"/>
              <a:round/>
            </a:ln>
          </spPr>
          <marker>
            <symbol val="none"/>
            <spPr>
              <a:ln>
                <a:prstDash val="solid"/>
              </a:ln>
            </spPr>
          </marker>
          <cat>
            <numRef>
              <f>'Labour market flows SA'!$A$50:$A$102</f>
              <numCache>
                <formatCode>m/d/yyyy</formatCode>
                <ptCount val="53"/>
                <pt idx="0">
                  <v>41000</v>
                </pt>
                <pt idx="1">
                  <v>41091</v>
                </pt>
                <pt idx="2">
                  <v>41183</v>
                </pt>
                <pt idx="3">
                  <v>41275</v>
                </pt>
                <pt idx="4">
                  <v>41365</v>
                </pt>
                <pt idx="5">
                  <v>41456</v>
                </pt>
                <pt idx="6">
                  <v>41548</v>
                </pt>
                <pt idx="7">
                  <v>41640</v>
                </pt>
                <pt idx="8">
                  <v>41730</v>
                </pt>
                <pt idx="9">
                  <v>41821</v>
                </pt>
                <pt idx="10">
                  <v>41913</v>
                </pt>
                <pt idx="11">
                  <v>42005</v>
                </pt>
                <pt idx="12">
                  <v>42095</v>
                </pt>
                <pt idx="13">
                  <v>42186</v>
                </pt>
                <pt idx="14">
                  <v>42278</v>
                </pt>
                <pt idx="15">
                  <v>42370</v>
                </pt>
                <pt idx="16">
                  <v>42461</v>
                </pt>
                <pt idx="17">
                  <v>42552</v>
                </pt>
                <pt idx="18">
                  <v>42644</v>
                </pt>
                <pt idx="19">
                  <v>42736</v>
                </pt>
                <pt idx="20">
                  <v>42826</v>
                </pt>
                <pt idx="21">
                  <v>42917</v>
                </pt>
                <pt idx="22">
                  <v>43009</v>
                </pt>
                <pt idx="23">
                  <v>43101</v>
                </pt>
                <pt idx="24">
                  <v>43191</v>
                </pt>
                <pt idx="25">
                  <v>43282</v>
                </pt>
                <pt idx="26">
                  <v>43374</v>
                </pt>
                <pt idx="27">
                  <v>43466</v>
                </pt>
                <pt idx="28">
                  <v>43556</v>
                </pt>
                <pt idx="29">
                  <v>43647</v>
                </pt>
                <pt idx="30">
                  <v>43739</v>
                </pt>
                <pt idx="31">
                  <v>43831</v>
                </pt>
                <pt idx="32">
                  <v>43922</v>
                </pt>
                <pt idx="33">
                  <v>44013</v>
                </pt>
                <pt idx="34">
                  <v>44105</v>
                </pt>
                <pt idx="35">
                  <v>44197</v>
                </pt>
                <pt idx="36">
                  <v>44287</v>
                </pt>
                <pt idx="37">
                  <v>44378</v>
                </pt>
                <pt idx="38">
                  <v>44470</v>
                </pt>
                <pt idx="39">
                  <v>44562</v>
                </pt>
                <pt idx="40">
                  <v>44652</v>
                </pt>
                <pt idx="41">
                  <v>44743</v>
                </pt>
                <pt idx="42">
                  <v>44835</v>
                </pt>
                <pt idx="43">
                  <v>44927</v>
                </pt>
                <pt idx="44">
                  <v>45017</v>
                </pt>
                <pt idx="45">
                  <v>45108</v>
                </pt>
                <pt idx="46">
                  <v>45200</v>
                </pt>
                <pt idx="47">
                  <v>45292</v>
                </pt>
                <pt idx="48">
                  <v>45383</v>
                </pt>
                <pt idx="49">
                  <v>45474</v>
                </pt>
                <pt idx="50">
                  <v>45566</v>
                </pt>
                <pt idx="51">
                  <v>45658</v>
                </pt>
                <pt idx="52">
                  <v>45748</v>
                </pt>
              </numCache>
            </numRef>
          </cat>
          <val>
            <numRef>
              <f>'Labour market flows SA'!$F$50:$F$102</f>
              <numCache>
                <formatCode>#,##0,</formatCode>
                <ptCount val="53"/>
                <pt idx="0">
                  <v>1093541.024444518</v>
                </pt>
                <pt idx="1">
                  <v>1041379.059910252</v>
                </pt>
                <pt idx="2">
                  <v>995284.271396386</v>
                </pt>
                <pt idx="3">
                  <v>954431.3599214549</v>
                </pt>
                <pt idx="4">
                  <v>995906.186495635</v>
                </pt>
                <pt idx="5">
                  <v>1067327.617619653</v>
                </pt>
                <pt idx="6">
                  <v>1073592.180230502</v>
                </pt>
                <pt idx="7">
                  <v>1040893.482190674</v>
                </pt>
                <pt idx="8">
                  <v>1086901.949124628</v>
                </pt>
                <pt idx="9">
                  <v>1031546.995874443</v>
                </pt>
                <pt idx="10">
                  <v>994047.8678191321</v>
                </pt>
                <pt idx="11">
                  <v>1090431.143780139</v>
                </pt>
                <pt idx="12">
                  <v>964497.922093356</v>
                </pt>
                <pt idx="13">
                  <v>1098405.954200887</v>
                </pt>
                <pt idx="14">
                  <v>1085523.032541744</v>
                </pt>
                <pt idx="15">
                  <v>994163.9299607789</v>
                </pt>
                <pt idx="16">
                  <v>1051062.114713683</v>
                </pt>
                <pt idx="17">
                  <v>1015414.488200923</v>
                </pt>
                <pt idx="18">
                  <v>976687.879428828</v>
                </pt>
                <pt idx="19">
                  <v>1000142.897561628</v>
                </pt>
                <pt idx="20">
                  <v>985512.9311009659</v>
                </pt>
                <pt idx="21">
                  <v>938992.5958239101</v>
                </pt>
                <pt idx="22">
                  <v>956987.134392051</v>
                </pt>
                <pt idx="23">
                  <v>971714.721568635</v>
                </pt>
                <pt idx="24">
                  <v>914328.8270560739</v>
                </pt>
                <pt idx="25">
                  <v>958930.5815373301</v>
                </pt>
                <pt idx="26">
                  <v>1013405.07881576</v>
                </pt>
                <pt idx="27">
                  <v>1066170.41832344</v>
                </pt>
                <pt idx="28">
                  <v>962520.186117626</v>
                </pt>
                <pt idx="29">
                  <v>985890.889281532</v>
                </pt>
                <pt idx="30">
                  <v>1013060.23806666</v>
                </pt>
                <pt idx="31">
                  <v>937796.1140602599</v>
                </pt>
                <pt idx="32">
                  <v>899444.2820702191</v>
                </pt>
                <pt idx="33">
                  <v>851551.105631417</v>
                </pt>
                <pt idx="34">
                  <v>948124.401847003</v>
                </pt>
                <pt idx="35">
                  <v>997253.949839934</v>
                </pt>
                <pt idx="36">
                  <v>1202499.359395776</v>
                </pt>
                <pt idx="37">
                  <v>1241789.991547816</v>
                </pt>
                <pt idx="38">
                  <v>1059025.105923504</v>
                </pt>
                <pt idx="39">
                  <v>1132819.245548212</v>
                </pt>
                <pt idx="40">
                  <v>975517.872255692</v>
                </pt>
                <pt idx="41">
                  <v>1004662.968051995</v>
                </pt>
                <pt idx="42">
                  <v>1086633.287579431</v>
                </pt>
                <pt idx="43">
                  <v>1106500.602397918</v>
                </pt>
                <pt idx="44">
                  <v>1042511.196208067</v>
                </pt>
                <pt idx="45">
                  <v>1043966.550695267</v>
                </pt>
                <pt idx="46">
                  <v>972625.693589541</v>
                </pt>
                <pt idx="47">
                  <v>1041688.195914496</v>
                </pt>
                <pt idx="48">
                  <v>1106841.179183023</v>
                </pt>
                <pt idx="49">
                  <v>1140466.669283804</v>
                </pt>
                <pt idx="50">
                  <v>1023751.866848741</v>
                </pt>
                <pt idx="51">
                  <v>1120604.695878833</v>
                </pt>
                <pt idx="52">
                  <v>1125007.177971717</v>
                </pt>
              </numCache>
            </numRef>
          </val>
          <smooth val="0"/>
        </ser>
        <dLbls>
          <showLegendKey val="0"/>
          <showVal val="0"/>
          <showCatName val="0"/>
          <showSerName val="0"/>
          <showPercent val="0"/>
          <showBubbleSize val="0"/>
        </dLbls>
        <smooth val="0"/>
        <axId val="19040592"/>
        <axId val="19051632"/>
      </lineChart>
      <dateAx>
        <axId val="19040592"/>
        <scaling>
          <orientation val="minMax"/>
        </scaling>
        <delete val="0"/>
        <axPos val="b"/>
        <numFmt formatCode="yyyy" sourceLinked="0"/>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9051632"/>
        <crosses val="autoZero"/>
        <lblOffset val="100"/>
        <baseTimeUnit val="months"/>
        <majorUnit val="12"/>
        <majorTimeUnit val="months"/>
      </dateAx>
      <valAx>
        <axId val="19051632"/>
        <scaling>
          <orientation val="minMax"/>
          <min val="600000"/>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9040592"/>
        <crosses val="autoZero"/>
        <crossBetween val="between"/>
      </valAx>
    </plotArea>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22.xml><?xml version="1.0" encoding="utf-8"?>
<chartSpace xmlns:a="http://schemas.openxmlformats.org/drawingml/2006/main" xmlns="http://schemas.openxmlformats.org/drawingml/2006/chart">
  <chart>
    <title>
      <tx>
        <rich>
          <a:bodyPr/>
          <a:p>
            <a:r>
              <a:t/>
            </a:r>
          </a:p>
        </rich>
      </tx>
      <overlay val="0"/>
      <spPr>
        <a:noFill/>
        <a:ln>
          <a:noFill/>
          <a:prstDash val="solid"/>
        </a:ln>
      </spPr>
      <txPr>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t/>
          </a:r>
          <a:endParaRPr lang="en-US"/>
        </a:p>
      </txPr>
    </title>
    <plotArea>
      <layout/>
      <lineChart>
        <grouping val="standard"/>
        <varyColors val="0"/>
        <ser>
          <idx val="0"/>
          <order val="0"/>
          <tx>
            <strRef>
              <f>'Labour market flows SA'!$W$7</f>
              <strCache>
                <ptCount val="1"/>
                <pt idx="0">
                  <v>Economic Inactivity to Employment</v>
                </pt>
              </strCache>
            </strRef>
          </tx>
          <spPr>
            <a:ln w="28575" cap="rnd">
              <a:solidFill>
                <a:schemeClr val="accent1"/>
              </a:solidFill>
              <a:prstDash val="solid"/>
              <a:round/>
            </a:ln>
          </spPr>
          <marker>
            <symbol val="none"/>
            <spPr>
              <a:ln>
                <a:prstDash val="solid"/>
              </a:ln>
            </spPr>
          </marker>
          <cat>
            <numRef>
              <f>'Labour market flows SA'!$A$50:$A$102</f>
              <numCache>
                <formatCode>m/d/yyyy</formatCode>
                <ptCount val="53"/>
                <pt idx="0">
                  <v>41000</v>
                </pt>
                <pt idx="1">
                  <v>41091</v>
                </pt>
                <pt idx="2">
                  <v>41183</v>
                </pt>
                <pt idx="3">
                  <v>41275</v>
                </pt>
                <pt idx="4">
                  <v>41365</v>
                </pt>
                <pt idx="5">
                  <v>41456</v>
                </pt>
                <pt idx="6">
                  <v>41548</v>
                </pt>
                <pt idx="7">
                  <v>41640</v>
                </pt>
                <pt idx="8">
                  <v>41730</v>
                </pt>
                <pt idx="9">
                  <v>41821</v>
                </pt>
                <pt idx="10">
                  <v>41913</v>
                </pt>
                <pt idx="11">
                  <v>42005</v>
                </pt>
                <pt idx="12">
                  <v>42095</v>
                </pt>
                <pt idx="13">
                  <v>42186</v>
                </pt>
                <pt idx="14">
                  <v>42278</v>
                </pt>
                <pt idx="15">
                  <v>42370</v>
                </pt>
                <pt idx="16">
                  <v>42461</v>
                </pt>
                <pt idx="17">
                  <v>42552</v>
                </pt>
                <pt idx="18">
                  <v>42644</v>
                </pt>
                <pt idx="19">
                  <v>42736</v>
                </pt>
                <pt idx="20">
                  <v>42826</v>
                </pt>
                <pt idx="21">
                  <v>42917</v>
                </pt>
                <pt idx="22">
                  <v>43009</v>
                </pt>
                <pt idx="23">
                  <v>43101</v>
                </pt>
                <pt idx="24">
                  <v>43191</v>
                </pt>
                <pt idx="25">
                  <v>43282</v>
                </pt>
                <pt idx="26">
                  <v>43374</v>
                </pt>
                <pt idx="27">
                  <v>43466</v>
                </pt>
                <pt idx="28">
                  <v>43556</v>
                </pt>
                <pt idx="29">
                  <v>43647</v>
                </pt>
                <pt idx="30">
                  <v>43739</v>
                </pt>
                <pt idx="31">
                  <v>43831</v>
                </pt>
                <pt idx="32">
                  <v>43922</v>
                </pt>
                <pt idx="33">
                  <v>44013</v>
                </pt>
                <pt idx="34">
                  <v>44105</v>
                </pt>
                <pt idx="35">
                  <v>44197</v>
                </pt>
                <pt idx="36">
                  <v>44287</v>
                </pt>
                <pt idx="37">
                  <v>44378</v>
                </pt>
                <pt idx="38">
                  <v>44470</v>
                </pt>
                <pt idx="39">
                  <v>44562</v>
                </pt>
                <pt idx="40">
                  <v>44652</v>
                </pt>
                <pt idx="41">
                  <v>44743</v>
                </pt>
                <pt idx="42">
                  <v>44835</v>
                </pt>
                <pt idx="43">
                  <v>44927</v>
                </pt>
                <pt idx="44">
                  <v>45017</v>
                </pt>
                <pt idx="45">
                  <v>45108</v>
                </pt>
                <pt idx="46">
                  <v>45200</v>
                </pt>
                <pt idx="47">
                  <v>45292</v>
                </pt>
                <pt idx="48">
                  <v>45383</v>
                </pt>
                <pt idx="49">
                  <v>45474</v>
                </pt>
                <pt idx="50">
                  <v>45566</v>
                </pt>
                <pt idx="51">
                  <v>45658</v>
                </pt>
                <pt idx="52">
                  <v>45748</v>
                </pt>
              </numCache>
            </numRef>
          </cat>
          <val>
            <numRef>
              <f>'Labour market flows SA'!$W$50:$W$102</f>
              <numCache>
                <formatCode>#,##0,</formatCode>
                <ptCount val="53"/>
                <pt idx="0">
                  <v>494798.912394335</v>
                </pt>
                <pt idx="1">
                  <v>450846.106775739</v>
                </pt>
                <pt idx="2">
                  <v>409894.312133172</v>
                </pt>
                <pt idx="3">
                  <v>385075.626847397</v>
                </pt>
                <pt idx="4">
                  <v>446600.057277211</v>
                </pt>
                <pt idx="5">
                  <v>469044.691334915</v>
                </pt>
                <pt idx="6">
                  <v>494713.749478157</v>
                </pt>
                <pt idx="7">
                  <v>484195.528341505</v>
                </pt>
                <pt idx="8">
                  <v>521240.964860834</v>
                </pt>
                <pt idx="9">
                  <v>534036.953782914</v>
                </pt>
                <pt idx="10">
                  <v>480975.156110543</v>
                </pt>
                <pt idx="11">
                  <v>588295.987691471</v>
                </pt>
                <pt idx="12">
                  <v>501754.607006608</v>
                </pt>
                <pt idx="13">
                  <v>560815.935009863</v>
                </pt>
                <pt idx="14">
                  <v>577067.784846459</v>
                </pt>
                <pt idx="15">
                  <v>539108.389612549</v>
                </pt>
                <pt idx="16">
                  <v>572258.880072022</v>
                </pt>
                <pt idx="17">
                  <v>561689.825080291</v>
                </pt>
                <pt idx="18">
                  <v>515555.558439955</v>
                </pt>
                <pt idx="19">
                  <v>535200.954435533</v>
                </pt>
                <pt idx="20">
                  <v>552657.852655415</v>
                </pt>
                <pt idx="21">
                  <v>529889.560352533</v>
                </pt>
                <pt idx="22">
                  <v>579495.521414926</v>
                </pt>
                <pt idx="23">
                  <v>580584.690718496</v>
                </pt>
                <pt idx="24">
                  <v>539519.9594614049</v>
                </pt>
                <pt idx="25">
                  <v>583524.731077909</v>
                </pt>
                <pt idx="26">
                  <v>625612.324983981</v>
                </pt>
                <pt idx="27">
                  <v>659598.475436335</v>
                </pt>
                <pt idx="28">
                  <v>558891.174699449</v>
                </pt>
                <pt idx="29">
                  <v>569475.723658688</v>
                </pt>
                <pt idx="30">
                  <v>586408.235789115</v>
                </pt>
                <pt idx="31">
                  <v>539508.407073524</v>
                </pt>
                <pt idx="32">
                  <v>548478.750044881</v>
                </pt>
                <pt idx="33">
                  <v>473679.808486382</v>
                </pt>
                <pt idx="34">
                  <v>495154.368372467</v>
                </pt>
                <pt idx="35">
                  <v>528417.6049777149</v>
                </pt>
                <pt idx="36">
                  <v>626747.27984724</v>
                </pt>
                <pt idx="37">
                  <v>649420.17100121</v>
                </pt>
                <pt idx="38">
                  <v>604623.661757536</v>
                </pt>
                <pt idx="39">
                  <v>637680.213665089</v>
                </pt>
                <pt idx="40">
                  <v>588875.858882374</v>
                </pt>
                <pt idx="41">
                  <v>619535.209566504</v>
                </pt>
                <pt idx="42">
                  <v>696224.744988848</v>
                </pt>
                <pt idx="43">
                  <v>665874.7302755431</v>
                </pt>
                <pt idx="44">
                  <v>533283.0300305251</v>
                </pt>
                <pt idx="45">
                  <v>577546.002868626</v>
                </pt>
                <pt idx="46">
                  <v>485547.372327822</v>
                </pt>
                <pt idx="47">
                  <v>623427.809293671</v>
                </pt>
                <pt idx="48">
                  <v>663548.09434502</v>
                </pt>
                <pt idx="49">
                  <v>684770.653698721</v>
                </pt>
                <pt idx="50">
                  <v>631866.901980872</v>
                </pt>
                <pt idx="51">
                  <v>614305.0027928021</v>
                </pt>
                <pt idx="52">
                  <v>658580.682255551</v>
                </pt>
              </numCache>
            </numRef>
          </val>
          <smooth val="0"/>
        </ser>
        <dLbls>
          <showLegendKey val="0"/>
          <showVal val="0"/>
          <showCatName val="0"/>
          <showSerName val="0"/>
          <showPercent val="0"/>
          <showBubbleSize val="0"/>
        </dLbls>
        <smooth val="0"/>
        <axId val="19040592"/>
        <axId val="19051632"/>
      </lineChart>
      <dateAx>
        <axId val="19040592"/>
        <scaling>
          <orientation val="minMax"/>
        </scaling>
        <delete val="0"/>
        <axPos val="b"/>
        <numFmt formatCode="yyyy" sourceLinked="0"/>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9051632"/>
        <crosses val="autoZero"/>
        <lblOffset val="100"/>
        <baseTimeUnit val="months"/>
        <majorUnit val="12"/>
        <majorTimeUnit val="months"/>
      </dateAx>
      <valAx>
        <axId val="19051632"/>
        <scaling>
          <orientation val="minMax"/>
          <min val="200000"/>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9040592"/>
        <crosses val="autoZero"/>
        <crossBetween val="between"/>
      </valAx>
    </plotArea>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23.xml><?xml version="1.0" encoding="utf-8"?>
<chartSpace xmlns:a="http://schemas.openxmlformats.org/drawingml/2006/main" xmlns="http://schemas.openxmlformats.org/drawingml/2006/chart">
  <chart>
    <title>
      <tx>
        <rich>
          <a:bodyPr/>
          <a:p>
            <a:r>
              <a:t/>
            </a:r>
          </a:p>
        </rich>
      </tx>
      <overlay val="0"/>
      <spPr>
        <a:noFill/>
        <a:ln>
          <a:noFill/>
          <a:prstDash val="solid"/>
        </a:ln>
      </spPr>
      <txPr>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t/>
          </a:r>
          <a:endParaRPr lang="en-US"/>
        </a:p>
      </txPr>
    </title>
    <plotArea>
      <layout/>
      <lineChart>
        <grouping val="standard"/>
        <varyColors val="0"/>
        <ser>
          <idx val="0"/>
          <order val="0"/>
          <tx>
            <strRef>
              <f>'Labour market flows SA'!$O$7</f>
              <strCache>
                <ptCount val="1"/>
                <pt idx="0">
                  <v>Unemployment to Employment</v>
                </pt>
              </strCache>
            </strRef>
          </tx>
          <spPr>
            <a:ln w="28575" cap="rnd">
              <a:solidFill>
                <a:schemeClr val="accent1"/>
              </a:solidFill>
              <a:prstDash val="solid"/>
              <a:round/>
            </a:ln>
          </spPr>
          <marker>
            <symbol val="none"/>
            <spPr>
              <a:ln>
                <a:prstDash val="solid"/>
              </a:ln>
            </spPr>
          </marker>
          <cat>
            <numRef>
              <f>'Labour market flows SA'!$A$50:$A$102</f>
              <numCache>
                <formatCode>m/d/yyyy</formatCode>
                <ptCount val="53"/>
                <pt idx="0">
                  <v>41000</v>
                </pt>
                <pt idx="1">
                  <v>41091</v>
                </pt>
                <pt idx="2">
                  <v>41183</v>
                </pt>
                <pt idx="3">
                  <v>41275</v>
                </pt>
                <pt idx="4">
                  <v>41365</v>
                </pt>
                <pt idx="5">
                  <v>41456</v>
                </pt>
                <pt idx="6">
                  <v>41548</v>
                </pt>
                <pt idx="7">
                  <v>41640</v>
                </pt>
                <pt idx="8">
                  <v>41730</v>
                </pt>
                <pt idx="9">
                  <v>41821</v>
                </pt>
                <pt idx="10">
                  <v>41913</v>
                </pt>
                <pt idx="11">
                  <v>42005</v>
                </pt>
                <pt idx="12">
                  <v>42095</v>
                </pt>
                <pt idx="13">
                  <v>42186</v>
                </pt>
                <pt idx="14">
                  <v>42278</v>
                </pt>
                <pt idx="15">
                  <v>42370</v>
                </pt>
                <pt idx="16">
                  <v>42461</v>
                </pt>
                <pt idx="17">
                  <v>42552</v>
                </pt>
                <pt idx="18">
                  <v>42644</v>
                </pt>
                <pt idx="19">
                  <v>42736</v>
                </pt>
                <pt idx="20">
                  <v>42826</v>
                </pt>
                <pt idx="21">
                  <v>42917</v>
                </pt>
                <pt idx="22">
                  <v>43009</v>
                </pt>
                <pt idx="23">
                  <v>43101</v>
                </pt>
                <pt idx="24">
                  <v>43191</v>
                </pt>
                <pt idx="25">
                  <v>43282</v>
                </pt>
                <pt idx="26">
                  <v>43374</v>
                </pt>
                <pt idx="27">
                  <v>43466</v>
                </pt>
                <pt idx="28">
                  <v>43556</v>
                </pt>
                <pt idx="29">
                  <v>43647</v>
                </pt>
                <pt idx="30">
                  <v>43739</v>
                </pt>
                <pt idx="31">
                  <v>43831</v>
                </pt>
                <pt idx="32">
                  <v>43922</v>
                </pt>
                <pt idx="33">
                  <v>44013</v>
                </pt>
                <pt idx="34">
                  <v>44105</v>
                </pt>
                <pt idx="35">
                  <v>44197</v>
                </pt>
                <pt idx="36">
                  <v>44287</v>
                </pt>
                <pt idx="37">
                  <v>44378</v>
                </pt>
                <pt idx="38">
                  <v>44470</v>
                </pt>
                <pt idx="39">
                  <v>44562</v>
                </pt>
                <pt idx="40">
                  <v>44652</v>
                </pt>
                <pt idx="41">
                  <v>44743</v>
                </pt>
                <pt idx="42">
                  <v>44835</v>
                </pt>
                <pt idx="43">
                  <v>44927</v>
                </pt>
                <pt idx="44">
                  <v>45017</v>
                </pt>
                <pt idx="45">
                  <v>45108</v>
                </pt>
                <pt idx="46">
                  <v>45200</v>
                </pt>
                <pt idx="47">
                  <v>45292</v>
                </pt>
                <pt idx="48">
                  <v>45383</v>
                </pt>
                <pt idx="49">
                  <v>45474</v>
                </pt>
                <pt idx="50">
                  <v>45566</v>
                </pt>
                <pt idx="51">
                  <v>45658</v>
                </pt>
                <pt idx="52">
                  <v>45748</v>
                </pt>
              </numCache>
            </numRef>
          </cat>
          <val>
            <numRef>
              <f>'Labour market flows SA'!$O$50:$O$102</f>
              <numCache>
                <formatCode>#,##0,</formatCode>
                <ptCount val="53"/>
                <pt idx="0">
                  <v>598742.112050183</v>
                </pt>
                <pt idx="1">
                  <v>590532.953134513</v>
                </pt>
                <pt idx="2">
                  <v>585389.959263214</v>
                </pt>
                <pt idx="3">
                  <v>569355.733074058</v>
                </pt>
                <pt idx="4">
                  <v>549306.129218424</v>
                </pt>
                <pt idx="5">
                  <v>598282.926284738</v>
                </pt>
                <pt idx="6">
                  <v>578878.430752345</v>
                </pt>
                <pt idx="7">
                  <v>556697.953849169</v>
                </pt>
                <pt idx="8">
                  <v>565660.984263794</v>
                </pt>
                <pt idx="9">
                  <v>497510.042091529</v>
                </pt>
                <pt idx="10">
                  <v>513072.711708589</v>
                </pt>
                <pt idx="11">
                  <v>502135.156088668</v>
                </pt>
                <pt idx="12">
                  <v>462743.315086748</v>
                </pt>
                <pt idx="13">
                  <v>537590.019191024</v>
                </pt>
                <pt idx="14">
                  <v>508455.247695285</v>
                </pt>
                <pt idx="15">
                  <v>455055.54034823</v>
                </pt>
                <pt idx="16">
                  <v>478803.234641661</v>
                </pt>
                <pt idx="17">
                  <v>453724.663120632</v>
                </pt>
                <pt idx="18">
                  <v>461132.320988873</v>
                </pt>
                <pt idx="19">
                  <v>464941.943126095</v>
                </pt>
                <pt idx="20">
                  <v>432855.078445551</v>
                </pt>
                <pt idx="21">
                  <v>409103.035471377</v>
                </pt>
                <pt idx="22">
                  <v>377491.612977125</v>
                </pt>
                <pt idx="23">
                  <v>391130.030850139</v>
                </pt>
                <pt idx="24">
                  <v>374808.867594669</v>
                </pt>
                <pt idx="25">
                  <v>375405.850459421</v>
                </pt>
                <pt idx="26">
                  <v>387792.753831779</v>
                </pt>
                <pt idx="27">
                  <v>406571.942887105</v>
                </pt>
                <pt idx="28">
                  <v>403629.011418177</v>
                </pt>
                <pt idx="29">
                  <v>416415.165622844</v>
                </pt>
                <pt idx="30">
                  <v>426652.002277545</v>
                </pt>
                <pt idx="31">
                  <v>398287.706986736</v>
                </pt>
                <pt idx="32">
                  <v>350965.532025338</v>
                </pt>
                <pt idx="33">
                  <v>377871.297145035</v>
                </pt>
                <pt idx="34">
                  <v>452970.033474536</v>
                </pt>
                <pt idx="35">
                  <v>468836.344862219</v>
                </pt>
                <pt idx="36">
                  <v>575752.079548536</v>
                </pt>
                <pt idx="37">
                  <v>592369.820546606</v>
                </pt>
                <pt idx="38">
                  <v>454401.444165968</v>
                </pt>
                <pt idx="39">
                  <v>495139.031883123</v>
                </pt>
                <pt idx="40">
                  <v>386642.013373318</v>
                </pt>
                <pt idx="41">
                  <v>385127.758485491</v>
                </pt>
                <pt idx="42">
                  <v>390408.542590583</v>
                </pt>
                <pt idx="43">
                  <v>440625.872122375</v>
                </pt>
                <pt idx="44">
                  <v>509228.166177542</v>
                </pt>
                <pt idx="45">
                  <v>466420.547826641</v>
                </pt>
                <pt idx="46">
                  <v>487078.321261719</v>
                </pt>
                <pt idx="47">
                  <v>418260.386620825</v>
                </pt>
                <pt idx="48">
                  <v>443293.084838003</v>
                </pt>
                <pt idx="49">
                  <v>455696.015585083</v>
                </pt>
                <pt idx="50">
                  <v>391884.964867869</v>
                </pt>
                <pt idx="51">
                  <v>506299.693086031</v>
                </pt>
                <pt idx="52">
                  <v>466426.495716166</v>
                </pt>
              </numCache>
            </numRef>
          </val>
          <smooth val="0"/>
        </ser>
        <dLbls>
          <showLegendKey val="0"/>
          <showVal val="0"/>
          <showCatName val="0"/>
          <showSerName val="0"/>
          <showPercent val="0"/>
          <showBubbleSize val="0"/>
        </dLbls>
        <smooth val="0"/>
        <axId val="19040592"/>
        <axId val="19051632"/>
      </lineChart>
      <dateAx>
        <axId val="19040592"/>
        <scaling>
          <orientation val="minMax"/>
        </scaling>
        <delete val="0"/>
        <axPos val="b"/>
        <numFmt formatCode="yyyy" sourceLinked="0"/>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9051632"/>
        <crosses val="autoZero"/>
        <lblOffset val="100"/>
        <baseTimeUnit val="months"/>
        <majorUnit val="12"/>
        <majorTimeUnit val="months"/>
      </dateAx>
      <valAx>
        <axId val="19051632"/>
        <scaling>
          <orientation val="minMax"/>
          <min val="200000"/>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9040592"/>
        <crosses val="autoZero"/>
        <crossBetween val="between"/>
      </valAx>
    </plotArea>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24.xml><?xml version="1.0" encoding="utf-8"?>
<chartSpace xmlns:a="http://schemas.openxmlformats.org/drawingml/2006/main" xmlns="http://schemas.openxmlformats.org/drawingml/2006/chart">
  <chart>
    <title>
      <tx>
        <rich>
          <a:bodyPr/>
          <a:p>
            <a:r>
              <a:t/>
            </a:r>
          </a:p>
        </rich>
      </tx>
      <overlay val="0"/>
      <spPr>
        <a:noFill/>
        <a:ln>
          <a:noFill/>
          <a:prstDash val="solid"/>
        </a:ln>
      </spPr>
      <txPr>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t/>
          </a:r>
          <a:endParaRPr lang="en-US"/>
        </a:p>
      </txPr>
    </title>
    <plotArea>
      <layout/>
      <lineChart>
        <grouping val="standard"/>
        <varyColors val="0"/>
        <ser>
          <idx val="0"/>
          <order val="0"/>
          <tx>
            <strRef>
              <f>'Labour market flows SA'!$Q$7</f>
              <strCache>
                <ptCount val="1"/>
                <pt idx="0">
                  <v>Unemployment Gross Inflow</v>
                </pt>
              </strCache>
            </strRef>
          </tx>
          <spPr>
            <a:ln w="28575" cap="rnd">
              <a:solidFill>
                <a:schemeClr val="accent1"/>
              </a:solidFill>
              <a:prstDash val="solid"/>
              <a:round/>
            </a:ln>
          </spPr>
          <marker>
            <symbol val="none"/>
            <spPr>
              <a:ln>
                <a:prstDash val="solid"/>
              </a:ln>
            </spPr>
          </marker>
          <cat>
            <numRef>
              <f>'Labour market flows SA'!$A$50:$A$102</f>
              <numCache>
                <formatCode>m/d/yyyy</formatCode>
                <ptCount val="53"/>
                <pt idx="0">
                  <v>41000</v>
                </pt>
                <pt idx="1">
                  <v>41091</v>
                </pt>
                <pt idx="2">
                  <v>41183</v>
                </pt>
                <pt idx="3">
                  <v>41275</v>
                </pt>
                <pt idx="4">
                  <v>41365</v>
                </pt>
                <pt idx="5">
                  <v>41456</v>
                </pt>
                <pt idx="6">
                  <v>41548</v>
                </pt>
                <pt idx="7">
                  <v>41640</v>
                </pt>
                <pt idx="8">
                  <v>41730</v>
                </pt>
                <pt idx="9">
                  <v>41821</v>
                </pt>
                <pt idx="10">
                  <v>41913</v>
                </pt>
                <pt idx="11">
                  <v>42005</v>
                </pt>
                <pt idx="12">
                  <v>42095</v>
                </pt>
                <pt idx="13">
                  <v>42186</v>
                </pt>
                <pt idx="14">
                  <v>42278</v>
                </pt>
                <pt idx="15">
                  <v>42370</v>
                </pt>
                <pt idx="16">
                  <v>42461</v>
                </pt>
                <pt idx="17">
                  <v>42552</v>
                </pt>
                <pt idx="18">
                  <v>42644</v>
                </pt>
                <pt idx="19">
                  <v>42736</v>
                </pt>
                <pt idx="20">
                  <v>42826</v>
                </pt>
                <pt idx="21">
                  <v>42917</v>
                </pt>
                <pt idx="22">
                  <v>43009</v>
                </pt>
                <pt idx="23">
                  <v>43101</v>
                </pt>
                <pt idx="24">
                  <v>43191</v>
                </pt>
                <pt idx="25">
                  <v>43282</v>
                </pt>
                <pt idx="26">
                  <v>43374</v>
                </pt>
                <pt idx="27">
                  <v>43466</v>
                </pt>
                <pt idx="28">
                  <v>43556</v>
                </pt>
                <pt idx="29">
                  <v>43647</v>
                </pt>
                <pt idx="30">
                  <v>43739</v>
                </pt>
                <pt idx="31">
                  <v>43831</v>
                </pt>
                <pt idx="32">
                  <v>43922</v>
                </pt>
                <pt idx="33">
                  <v>44013</v>
                </pt>
                <pt idx="34">
                  <v>44105</v>
                </pt>
                <pt idx="35">
                  <v>44197</v>
                </pt>
                <pt idx="36">
                  <v>44287</v>
                </pt>
                <pt idx="37">
                  <v>44378</v>
                </pt>
                <pt idx="38">
                  <v>44470</v>
                </pt>
                <pt idx="39">
                  <v>44562</v>
                </pt>
                <pt idx="40">
                  <v>44652</v>
                </pt>
                <pt idx="41">
                  <v>44743</v>
                </pt>
                <pt idx="42">
                  <v>44835</v>
                </pt>
                <pt idx="43">
                  <v>44927</v>
                </pt>
                <pt idx="44">
                  <v>45017</v>
                </pt>
                <pt idx="45">
                  <v>45108</v>
                </pt>
                <pt idx="46">
                  <v>45200</v>
                </pt>
                <pt idx="47">
                  <v>45292</v>
                </pt>
                <pt idx="48">
                  <v>45383</v>
                </pt>
                <pt idx="49">
                  <v>45474</v>
                </pt>
                <pt idx="50">
                  <v>45566</v>
                </pt>
                <pt idx="51">
                  <v>45658</v>
                </pt>
                <pt idx="52">
                  <v>45748</v>
                </pt>
              </numCache>
            </numRef>
          </cat>
          <val>
            <numRef>
              <f>'Labour market flows SA'!$Q$50:$Q$102</f>
              <numCache>
                <formatCode>#,##0,</formatCode>
                <ptCount val="53"/>
                <pt idx="0">
                  <v>946013.72452022</v>
                </pt>
                <pt idx="1">
                  <v>908140.715290694</v>
                </pt>
                <pt idx="2">
                  <v>931583.066435238</v>
                </pt>
                <pt idx="3">
                  <v>932251.6028909769</v>
                </pt>
                <pt idx="4">
                  <v>927434.605949276</v>
                </pt>
                <pt idx="5">
                  <v>877646.72024703</v>
                </pt>
                <pt idx="6">
                  <v>856029.859993964</v>
                </pt>
                <pt idx="7">
                  <v>809227.6153678671</v>
                </pt>
                <pt idx="8">
                  <v>801526.7281984061</v>
                </pt>
                <pt idx="9">
                  <v>768633.87986077</v>
                </pt>
                <pt idx="10">
                  <v>757578.7639102279</v>
                </pt>
                <pt idx="11">
                  <v>770023.732872443</v>
                </pt>
                <pt idx="12">
                  <v>830810.710510985</v>
                </pt>
                <pt idx="13">
                  <v>743680.401714429</v>
                </pt>
                <pt idx="14">
                  <v>760524.489320714</v>
                </pt>
                <pt idx="15">
                  <v>794460.564126174</v>
                </pt>
                <pt idx="16">
                  <v>727333.595329514</v>
                </pt>
                <pt idx="17">
                  <v>729813.86891442</v>
                </pt>
                <pt idx="18">
                  <v>679198.536209025</v>
                </pt>
                <pt idx="19">
                  <v>721206.306841823</v>
                </pt>
                <pt idx="20">
                  <v>658394.267385103</v>
                </pt>
                <pt idx="21">
                  <v>661192.129316072</v>
                </pt>
                <pt idx="22">
                  <v>666632.449767697</v>
                </pt>
                <pt idx="23">
                  <v>661077.3404564171</v>
                </pt>
                <pt idx="24">
                  <v>581093.747163452</v>
                </pt>
                <pt idx="25">
                  <v>664231.414240736</v>
                </pt>
                <pt idx="26">
                  <v>631316.4072206139</v>
                </pt>
                <pt idx="27">
                  <v>609889.530837544</v>
                </pt>
                <pt idx="28">
                  <v>669440.359831464</v>
                </pt>
                <pt idx="29">
                  <v>642845.706930083</v>
                </pt>
                <pt idx="30">
                  <v>660620.692942534</v>
                </pt>
                <pt idx="31">
                  <v>759642.05334132</v>
                </pt>
                <pt idx="32">
                  <v>788470.0366454939</v>
                </pt>
                <pt idx="33">
                  <v>877499.071160885</v>
                </pt>
                <pt idx="34">
                  <v>911095.660796506</v>
                </pt>
                <pt idx="35">
                  <v>748990.5990285589</v>
                </pt>
                <pt idx="36">
                  <v>743020.684652864</v>
                </pt>
                <pt idx="37">
                  <v>762844.960355758</v>
                </pt>
                <pt idx="38">
                  <v>730328.3362154621</v>
                </pt>
                <pt idx="39">
                  <v>657251.046124273</v>
                </pt>
                <pt idx="40">
                  <v>670882.351659653</v>
                </pt>
                <pt idx="41">
                  <v>675099.851685287</v>
                </pt>
                <pt idx="42">
                  <v>733147.051462012</v>
                </pt>
                <pt idx="43">
                  <v>759735.222084754</v>
                </pt>
                <pt idx="44">
                  <v>843732.1195335321</v>
                </pt>
                <pt idx="45">
                  <v>761967.5974247949</v>
                </pt>
                <pt idx="46">
                  <v>758655.9892883911</v>
                </pt>
                <pt idx="47">
                  <v>889413.054618399</v>
                </pt>
                <pt idx="48">
                  <v>784796.2451635341</v>
                </pt>
                <pt idx="49">
                  <v>767984.68102081</v>
                </pt>
                <pt idx="50">
                  <v>775753.4768539839</v>
                </pt>
                <pt idx="51">
                  <v>897053.2068565341</v>
                </pt>
                <pt idx="52">
                  <v>787585.64506266</v>
                </pt>
              </numCache>
            </numRef>
          </val>
          <smooth val="0"/>
        </ser>
        <dLbls>
          <showLegendKey val="0"/>
          <showVal val="0"/>
          <showCatName val="0"/>
          <showSerName val="0"/>
          <showPercent val="0"/>
          <showBubbleSize val="0"/>
        </dLbls>
        <smooth val="0"/>
        <axId val="19040592"/>
        <axId val="19051632"/>
      </lineChart>
      <dateAx>
        <axId val="19040592"/>
        <scaling>
          <orientation val="minMax"/>
        </scaling>
        <delete val="0"/>
        <axPos val="b"/>
        <numFmt formatCode="yyyy" sourceLinked="0"/>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9051632"/>
        <crosses val="autoZero"/>
        <lblOffset val="100"/>
        <baseTimeUnit val="months"/>
        <majorUnit val="12"/>
        <majorTimeUnit val="months"/>
      </dateAx>
      <valAx>
        <axId val="19051632"/>
        <scaling>
          <orientation val="minMax"/>
          <min val="500000"/>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9040592"/>
        <crosses val="autoZero"/>
        <crossBetween val="between"/>
      </valAx>
    </plotArea>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25.xml><?xml version="1.0" encoding="utf-8"?>
<chartSpace xmlns:a="http://schemas.openxmlformats.org/drawingml/2006/main" xmlns="http://schemas.openxmlformats.org/drawingml/2006/chart">
  <chart>
    <title>
      <tx>
        <rich>
          <a:bodyPr/>
          <a:p>
            <a:r>
              <a:t/>
            </a:r>
          </a:p>
        </rich>
      </tx>
      <overlay val="0"/>
      <spPr>
        <a:noFill/>
        <a:ln>
          <a:noFill/>
          <a:prstDash val="solid"/>
        </a:ln>
      </spPr>
      <txPr>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t/>
          </a:r>
          <a:endParaRPr lang="en-US"/>
        </a:p>
      </txPr>
    </title>
    <plotArea>
      <layout/>
      <lineChart>
        <grouping val="standard"/>
        <varyColors val="0"/>
        <ser>
          <idx val="0"/>
          <order val="0"/>
          <tx>
            <strRef>
              <f>'Labour market flows SA'!$D$7</f>
              <strCache>
                <ptCount val="1"/>
                <pt idx="0">
                  <v>Employment to Unemployment</v>
                </pt>
              </strCache>
            </strRef>
          </tx>
          <spPr>
            <a:ln w="28575" cap="rnd">
              <a:solidFill>
                <a:schemeClr val="accent1"/>
              </a:solidFill>
              <a:prstDash val="solid"/>
              <a:round/>
            </a:ln>
          </spPr>
          <marker>
            <symbol val="none"/>
            <spPr>
              <a:ln>
                <a:prstDash val="solid"/>
              </a:ln>
            </spPr>
          </marker>
          <cat>
            <numRef>
              <f>'Labour market flows SA'!$A$50:$A$102</f>
              <numCache>
                <formatCode>m/d/yyyy</formatCode>
                <ptCount val="53"/>
                <pt idx="0">
                  <v>41000</v>
                </pt>
                <pt idx="1">
                  <v>41091</v>
                </pt>
                <pt idx="2">
                  <v>41183</v>
                </pt>
                <pt idx="3">
                  <v>41275</v>
                </pt>
                <pt idx="4">
                  <v>41365</v>
                </pt>
                <pt idx="5">
                  <v>41456</v>
                </pt>
                <pt idx="6">
                  <v>41548</v>
                </pt>
                <pt idx="7">
                  <v>41640</v>
                </pt>
                <pt idx="8">
                  <v>41730</v>
                </pt>
                <pt idx="9">
                  <v>41821</v>
                </pt>
                <pt idx="10">
                  <v>41913</v>
                </pt>
                <pt idx="11">
                  <v>42005</v>
                </pt>
                <pt idx="12">
                  <v>42095</v>
                </pt>
                <pt idx="13">
                  <v>42186</v>
                </pt>
                <pt idx="14">
                  <v>42278</v>
                </pt>
                <pt idx="15">
                  <v>42370</v>
                </pt>
                <pt idx="16">
                  <v>42461</v>
                </pt>
                <pt idx="17">
                  <v>42552</v>
                </pt>
                <pt idx="18">
                  <v>42644</v>
                </pt>
                <pt idx="19">
                  <v>42736</v>
                </pt>
                <pt idx="20">
                  <v>42826</v>
                </pt>
                <pt idx="21">
                  <v>42917</v>
                </pt>
                <pt idx="22">
                  <v>43009</v>
                </pt>
                <pt idx="23">
                  <v>43101</v>
                </pt>
                <pt idx="24">
                  <v>43191</v>
                </pt>
                <pt idx="25">
                  <v>43282</v>
                </pt>
                <pt idx="26">
                  <v>43374</v>
                </pt>
                <pt idx="27">
                  <v>43466</v>
                </pt>
                <pt idx="28">
                  <v>43556</v>
                </pt>
                <pt idx="29">
                  <v>43647</v>
                </pt>
                <pt idx="30">
                  <v>43739</v>
                </pt>
                <pt idx="31">
                  <v>43831</v>
                </pt>
                <pt idx="32">
                  <v>43922</v>
                </pt>
                <pt idx="33">
                  <v>44013</v>
                </pt>
                <pt idx="34">
                  <v>44105</v>
                </pt>
                <pt idx="35">
                  <v>44197</v>
                </pt>
                <pt idx="36">
                  <v>44287</v>
                </pt>
                <pt idx="37">
                  <v>44378</v>
                </pt>
                <pt idx="38">
                  <v>44470</v>
                </pt>
                <pt idx="39">
                  <v>44562</v>
                </pt>
                <pt idx="40">
                  <v>44652</v>
                </pt>
                <pt idx="41">
                  <v>44743</v>
                </pt>
                <pt idx="42">
                  <v>44835</v>
                </pt>
                <pt idx="43">
                  <v>44927</v>
                </pt>
                <pt idx="44">
                  <v>45017</v>
                </pt>
                <pt idx="45">
                  <v>45108</v>
                </pt>
                <pt idx="46">
                  <v>45200</v>
                </pt>
                <pt idx="47">
                  <v>45292</v>
                </pt>
                <pt idx="48">
                  <v>45383</v>
                </pt>
                <pt idx="49">
                  <v>45474</v>
                </pt>
                <pt idx="50">
                  <v>45566</v>
                </pt>
                <pt idx="51">
                  <v>45658</v>
                </pt>
                <pt idx="52">
                  <v>45748</v>
                </pt>
              </numCache>
            </numRef>
          </cat>
          <val>
            <numRef>
              <f>'Labour market flows SA'!$D$50:$D$102</f>
              <numCache>
                <formatCode>#,##0,</formatCode>
                <ptCount val="53"/>
                <pt idx="0">
                  <v>386528.533932995</v>
                </pt>
                <pt idx="1">
                  <v>387599.586973646</v>
                </pt>
                <pt idx="2">
                  <v>414734.688776448</v>
                </pt>
                <pt idx="3">
                  <v>422803.201309144</v>
                </pt>
                <pt idx="4">
                  <v>407119.091272798</v>
                </pt>
                <pt idx="5">
                  <v>382871.692529555</v>
                </pt>
                <pt idx="6">
                  <v>365438.92216516</v>
                </pt>
                <pt idx="7">
                  <v>336657.258167619</v>
                </pt>
                <pt idx="8">
                  <v>359739.309641018</v>
                </pt>
                <pt idx="9">
                  <v>322826.357288564</v>
                </pt>
                <pt idx="10">
                  <v>331110.70925995</v>
                </pt>
                <pt idx="11">
                  <v>336323.127802797</v>
                </pt>
                <pt idx="12">
                  <v>357463.92096133</v>
                </pt>
                <pt idx="13">
                  <v>265671.125942714</v>
                </pt>
                <pt idx="14">
                  <v>350609.816858654</v>
                </pt>
                <pt idx="15">
                  <v>359146.001684987</v>
                </pt>
                <pt idx="16">
                  <v>323320.646873357</v>
                </pt>
                <pt idx="17">
                  <v>331766.976452815</v>
                </pt>
                <pt idx="18">
                  <v>255096.228890956</v>
                </pt>
                <pt idx="19">
                  <v>302413.660744549</v>
                </pt>
                <pt idx="20">
                  <v>270598.435280269</v>
                </pt>
                <pt idx="21">
                  <v>307460.950960861</v>
                </pt>
                <pt idx="22">
                  <v>299943.151168801</v>
                </pt>
                <pt idx="23">
                  <v>271155.606972949</v>
                </pt>
                <pt idx="24">
                  <v>252420.811950612</v>
                </pt>
                <pt idx="25">
                  <v>285671.392592517</v>
                </pt>
                <pt idx="26">
                  <v>265561.257928874</v>
                </pt>
                <pt idx="27">
                  <v>262454.745826742</v>
                </pt>
                <pt idx="28">
                  <v>293809.338355687</v>
                </pt>
                <pt idx="29">
                  <v>278907.792953415</v>
                </pt>
                <pt idx="30">
                  <v>299646.906267684</v>
                </pt>
                <pt idx="31">
                  <v>348009.018779963</v>
                </pt>
                <pt idx="32">
                  <v>392692.048837881</v>
                </pt>
                <pt idx="33">
                  <v>394579.728740321</v>
                </pt>
                <pt idx="34">
                  <v>427856.240456928</v>
                </pt>
                <pt idx="35">
                  <v>316210.645788027</v>
                </pt>
                <pt idx="36">
                  <v>265482.843859861</v>
                </pt>
                <pt idx="37">
                  <v>293017.126643818</v>
                </pt>
                <pt idx="38">
                  <v>276763.442601686</v>
                </pt>
                <pt idx="39">
                  <v>261662.78167883</v>
                </pt>
                <pt idx="40">
                  <v>252883.77238544</v>
                </pt>
                <pt idx="41">
                  <v>251672.448751976</v>
                </pt>
                <pt idx="42">
                  <v>276988.040721339</v>
                </pt>
                <pt idx="43">
                  <v>287484.108966858</v>
                </pt>
                <pt idx="44">
                  <v>325944.370508757</v>
                </pt>
                <pt idx="45">
                  <v>311349.084730378</v>
                </pt>
                <pt idx="46">
                  <v>280288.820717471</v>
                </pt>
                <pt idx="47">
                  <v>368003.922766672</v>
                </pt>
                <pt idx="48">
                  <v>303643.814975693</v>
                </pt>
                <pt idx="49">
                  <v>242975.694563324</v>
                </pt>
                <pt idx="50">
                  <v>292689.36173169</v>
                </pt>
                <pt idx="51">
                  <v>311438.553693265</v>
                </pt>
                <pt idx="52">
                  <v>306599.282271141</v>
                </pt>
              </numCache>
            </numRef>
          </val>
          <smooth val="0"/>
        </ser>
        <dLbls>
          <showLegendKey val="0"/>
          <showVal val="0"/>
          <showCatName val="0"/>
          <showSerName val="0"/>
          <showPercent val="0"/>
          <showBubbleSize val="0"/>
        </dLbls>
        <smooth val="0"/>
        <axId val="19040592"/>
        <axId val="19051632"/>
      </lineChart>
      <dateAx>
        <axId val="19040592"/>
        <scaling>
          <orientation val="minMax"/>
        </scaling>
        <delete val="0"/>
        <axPos val="b"/>
        <numFmt formatCode="yyyy" sourceLinked="0"/>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9051632"/>
        <crosses val="autoZero"/>
        <lblOffset val="100"/>
        <baseTimeUnit val="months"/>
        <majorUnit val="12"/>
        <majorTimeUnit val="months"/>
      </dateAx>
      <valAx>
        <axId val="19051632"/>
        <scaling>
          <orientation val="minMax"/>
          <min val="200000"/>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9040592"/>
        <crosses val="autoZero"/>
        <crossBetween val="between"/>
      </valAx>
    </plotArea>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26.xml><?xml version="1.0" encoding="utf-8"?>
<chartSpace xmlns:a="http://schemas.openxmlformats.org/drawingml/2006/main" xmlns="http://schemas.openxmlformats.org/drawingml/2006/chart">
  <chart>
    <title>
      <tx>
        <rich>
          <a:bodyPr/>
          <a:p>
            <a:r>
              <a:t/>
            </a:r>
          </a:p>
        </rich>
      </tx>
      <overlay val="0"/>
      <spPr>
        <a:noFill/>
        <a:ln>
          <a:noFill/>
          <a:prstDash val="solid"/>
        </a:ln>
      </spPr>
      <txPr>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t/>
          </a:r>
          <a:endParaRPr lang="en-US"/>
        </a:p>
      </txPr>
    </title>
    <plotArea>
      <layout/>
      <lineChart>
        <grouping val="standard"/>
        <varyColors val="0"/>
        <ser>
          <idx val="0"/>
          <order val="0"/>
          <tx>
            <strRef>
              <f>'Labour market flows SA'!$X$7</f>
              <strCache>
                <ptCount val="1"/>
                <pt idx="0">
                  <v>Economic Inactivity to Unemployment</v>
                </pt>
              </strCache>
            </strRef>
          </tx>
          <spPr>
            <a:ln w="28575" cap="rnd">
              <a:solidFill>
                <a:schemeClr val="accent1"/>
              </a:solidFill>
              <a:prstDash val="solid"/>
              <a:round/>
            </a:ln>
          </spPr>
          <marker>
            <symbol val="none"/>
            <spPr>
              <a:ln>
                <a:prstDash val="solid"/>
              </a:ln>
            </spPr>
          </marker>
          <cat>
            <numRef>
              <f>'Labour market flows SA'!$A$50:$A$102</f>
              <numCache>
                <formatCode>m/d/yyyy</formatCode>
                <ptCount val="53"/>
                <pt idx="0">
                  <v>41000</v>
                </pt>
                <pt idx="1">
                  <v>41091</v>
                </pt>
                <pt idx="2">
                  <v>41183</v>
                </pt>
                <pt idx="3">
                  <v>41275</v>
                </pt>
                <pt idx="4">
                  <v>41365</v>
                </pt>
                <pt idx="5">
                  <v>41456</v>
                </pt>
                <pt idx="6">
                  <v>41548</v>
                </pt>
                <pt idx="7">
                  <v>41640</v>
                </pt>
                <pt idx="8">
                  <v>41730</v>
                </pt>
                <pt idx="9">
                  <v>41821</v>
                </pt>
                <pt idx="10">
                  <v>41913</v>
                </pt>
                <pt idx="11">
                  <v>42005</v>
                </pt>
                <pt idx="12">
                  <v>42095</v>
                </pt>
                <pt idx="13">
                  <v>42186</v>
                </pt>
                <pt idx="14">
                  <v>42278</v>
                </pt>
                <pt idx="15">
                  <v>42370</v>
                </pt>
                <pt idx="16">
                  <v>42461</v>
                </pt>
                <pt idx="17">
                  <v>42552</v>
                </pt>
                <pt idx="18">
                  <v>42644</v>
                </pt>
                <pt idx="19">
                  <v>42736</v>
                </pt>
                <pt idx="20">
                  <v>42826</v>
                </pt>
                <pt idx="21">
                  <v>42917</v>
                </pt>
                <pt idx="22">
                  <v>43009</v>
                </pt>
                <pt idx="23">
                  <v>43101</v>
                </pt>
                <pt idx="24">
                  <v>43191</v>
                </pt>
                <pt idx="25">
                  <v>43282</v>
                </pt>
                <pt idx="26">
                  <v>43374</v>
                </pt>
                <pt idx="27">
                  <v>43466</v>
                </pt>
                <pt idx="28">
                  <v>43556</v>
                </pt>
                <pt idx="29">
                  <v>43647</v>
                </pt>
                <pt idx="30">
                  <v>43739</v>
                </pt>
                <pt idx="31">
                  <v>43831</v>
                </pt>
                <pt idx="32">
                  <v>43922</v>
                </pt>
                <pt idx="33">
                  <v>44013</v>
                </pt>
                <pt idx="34">
                  <v>44105</v>
                </pt>
                <pt idx="35">
                  <v>44197</v>
                </pt>
                <pt idx="36">
                  <v>44287</v>
                </pt>
                <pt idx="37">
                  <v>44378</v>
                </pt>
                <pt idx="38">
                  <v>44470</v>
                </pt>
                <pt idx="39">
                  <v>44562</v>
                </pt>
                <pt idx="40">
                  <v>44652</v>
                </pt>
                <pt idx="41">
                  <v>44743</v>
                </pt>
                <pt idx="42">
                  <v>44835</v>
                </pt>
                <pt idx="43">
                  <v>44927</v>
                </pt>
                <pt idx="44">
                  <v>45017</v>
                </pt>
                <pt idx="45">
                  <v>45108</v>
                </pt>
                <pt idx="46">
                  <v>45200</v>
                </pt>
                <pt idx="47">
                  <v>45292</v>
                </pt>
                <pt idx="48">
                  <v>45383</v>
                </pt>
                <pt idx="49">
                  <v>45474</v>
                </pt>
                <pt idx="50">
                  <v>45566</v>
                </pt>
                <pt idx="51">
                  <v>45658</v>
                </pt>
                <pt idx="52">
                  <v>45748</v>
                </pt>
              </numCache>
            </numRef>
          </cat>
          <val>
            <numRef>
              <f>'Labour market flows SA'!$X$50:$X$102</f>
              <numCache>
                <formatCode>#,##0,</formatCode>
                <ptCount val="53"/>
                <pt idx="0">
                  <v>559485.190587225</v>
                </pt>
                <pt idx="1">
                  <v>520541.128317048</v>
                </pt>
                <pt idx="2">
                  <v>516848.37765879</v>
                </pt>
                <pt idx="3">
                  <v>509448.401581833</v>
                </pt>
                <pt idx="4">
                  <v>520315.514676478</v>
                </pt>
                <pt idx="5">
                  <v>494775.027717475</v>
                </pt>
                <pt idx="6">
                  <v>490590.937828804</v>
                </pt>
                <pt idx="7">
                  <v>472570.357200248</v>
                </pt>
                <pt idx="8">
                  <v>441787.418557388</v>
                </pt>
                <pt idx="9">
                  <v>445807.522572206</v>
                </pt>
                <pt idx="10">
                  <v>426468.054650278</v>
                </pt>
                <pt idx="11">
                  <v>433700.605069646</v>
                </pt>
                <pt idx="12">
                  <v>473346.789549655</v>
                </pt>
                <pt idx="13">
                  <v>478009.275771715</v>
                </pt>
                <pt idx="14">
                  <v>409914.67246206</v>
                </pt>
                <pt idx="15">
                  <v>435314.562441187</v>
                </pt>
                <pt idx="16">
                  <v>404012.948456157</v>
                </pt>
                <pt idx="17">
                  <v>398046.892461605</v>
                </pt>
                <pt idx="18">
                  <v>424102.307318069</v>
                </pt>
                <pt idx="19">
                  <v>418792.646097274</v>
                </pt>
                <pt idx="20">
                  <v>387795.832104834</v>
                </pt>
                <pt idx="21">
                  <v>353731.178355211</v>
                </pt>
                <pt idx="22">
                  <v>366689.298598896</v>
                </pt>
                <pt idx="23">
                  <v>389921.733483468</v>
                </pt>
                <pt idx="24">
                  <v>328672.93521284</v>
                </pt>
                <pt idx="25">
                  <v>378560.021648219</v>
                </pt>
                <pt idx="26">
                  <v>365755.14929174</v>
                </pt>
                <pt idx="27">
                  <v>347434.785010802</v>
                </pt>
                <pt idx="28">
                  <v>375631.021475777</v>
                </pt>
                <pt idx="29">
                  <v>363937.913976668</v>
                </pt>
                <pt idx="30">
                  <v>360973.78667485</v>
                </pt>
                <pt idx="31">
                  <v>411633.034561357</v>
                </pt>
                <pt idx="32">
                  <v>395777.987807613</v>
                </pt>
                <pt idx="33">
                  <v>482919.342420564</v>
                </pt>
                <pt idx="34">
                  <v>483239.420339578</v>
                </pt>
                <pt idx="35">
                  <v>432779.953240532</v>
                </pt>
                <pt idx="36">
                  <v>477537.840793003</v>
                </pt>
                <pt idx="37">
                  <v>469827.83371194</v>
                </pt>
                <pt idx="38">
                  <v>453564.893613776</v>
                </pt>
                <pt idx="39">
                  <v>395588.264445443</v>
                </pt>
                <pt idx="40">
                  <v>417998.579274213</v>
                </pt>
                <pt idx="41">
                  <v>423427.402933311</v>
                </pt>
                <pt idx="42">
                  <v>456159.010740673</v>
                </pt>
                <pt idx="43">
                  <v>472251.113117896</v>
                </pt>
                <pt idx="44">
                  <v>517787.749024775</v>
                </pt>
                <pt idx="45">
                  <v>450618.512694417</v>
                </pt>
                <pt idx="46">
                  <v>478367.16857092</v>
                </pt>
                <pt idx="47">
                  <v>521409.131851727</v>
                </pt>
                <pt idx="48">
                  <v>481152.430187841</v>
                </pt>
                <pt idx="49">
                  <v>525008.9864574861</v>
                </pt>
                <pt idx="50">
                  <v>483064.115122294</v>
                </pt>
                <pt idx="51">
                  <v>585614.653163269</v>
                </pt>
                <pt idx="52">
                  <v>480986.362791519</v>
                </pt>
              </numCache>
            </numRef>
          </val>
          <smooth val="0"/>
        </ser>
        <dLbls>
          <showLegendKey val="0"/>
          <showVal val="0"/>
          <showCatName val="0"/>
          <showSerName val="0"/>
          <showPercent val="0"/>
          <showBubbleSize val="0"/>
        </dLbls>
        <smooth val="0"/>
        <axId val="19040592"/>
        <axId val="19051632"/>
      </lineChart>
      <dateAx>
        <axId val="19040592"/>
        <scaling>
          <orientation val="minMax"/>
        </scaling>
        <delete val="0"/>
        <axPos val="b"/>
        <numFmt formatCode="yyyy" sourceLinked="0"/>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9051632"/>
        <crosses val="autoZero"/>
        <lblOffset val="100"/>
        <baseTimeUnit val="months"/>
        <majorUnit val="12"/>
        <majorTimeUnit val="months"/>
      </dateAx>
      <valAx>
        <axId val="19051632"/>
        <scaling>
          <orientation val="minMax"/>
          <max val="800000"/>
          <min val="200000"/>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9040592"/>
        <crosses val="autoZero"/>
        <crossBetween val="between"/>
      </valAx>
    </plotArea>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27.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1" i="0"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GB" sz="1400" b="1" i="0" strike="noStrike" kern="1200" spc="0" baseline="0">
                <a:solidFill>
                  <a:sysClr val="windowText" lastClr="000000"/>
                </a:solidFill>
                <a:latin typeface="Arial" panose="020B0604020202020204" pitchFamily="34" charset="0"/>
                <a:cs typeface="Arial" panose="020B0604020202020204" pitchFamily="34" charset="0"/>
              </a:rPr>
              <a:t>Unemployment inflows (Number of people)</a:t>
            </a:r>
          </a:p>
        </rich>
      </tx>
      <overlay val="0"/>
      <spPr>
        <a:noFill/>
        <a:ln>
          <a:noFill/>
          <a:prstDash val="solid"/>
        </a:ln>
      </spPr>
    </title>
    <plotArea>
      <layout>
        <manualLayout>
          <layoutTarget val="inner"/>
          <xMode val="edge"/>
          <yMode val="edge"/>
          <wMode val="factor"/>
          <hMode val="factor"/>
          <x val="0.1019295834980052"/>
          <y val="0.1001562408520894"/>
          <w val="0.8654703887012529"/>
          <h val="0.74685639560743"/>
        </manualLayout>
      </layout>
      <lineChart>
        <grouping val="standard"/>
        <varyColors val="0"/>
        <ser>
          <idx val="0"/>
          <order val="0"/>
          <tx>
            <strRef>
              <f>'Labour market flows SA'!$X$7</f>
              <strCache>
                <ptCount val="1"/>
                <pt idx="0">
                  <v>Economic Inactivity to Unemployment</v>
                </pt>
              </strCache>
            </strRef>
          </tx>
          <spPr>
            <a:ln w="28575" cap="rnd">
              <a:solidFill>
                <a:schemeClr val="accent1"/>
              </a:solidFill>
              <a:prstDash val="solid"/>
              <a:round/>
            </a:ln>
          </spPr>
          <marker>
            <symbol val="none"/>
            <spPr>
              <a:ln>
                <a:prstDash val="solid"/>
              </a:ln>
            </spPr>
          </marker>
          <cat>
            <numRef>
              <f>'Labour market flows SA'!$A$50:$A$103</f>
              <numCache>
                <formatCode>m/d/yyyy</formatCode>
                <ptCount val="54"/>
                <pt idx="0">
                  <v>41000</v>
                </pt>
                <pt idx="1">
                  <v>41091</v>
                </pt>
                <pt idx="2">
                  <v>41183</v>
                </pt>
                <pt idx="3">
                  <v>41275</v>
                </pt>
                <pt idx="4">
                  <v>41365</v>
                </pt>
                <pt idx="5">
                  <v>41456</v>
                </pt>
                <pt idx="6">
                  <v>41548</v>
                </pt>
                <pt idx="7">
                  <v>41640</v>
                </pt>
                <pt idx="8">
                  <v>41730</v>
                </pt>
                <pt idx="9">
                  <v>41821</v>
                </pt>
                <pt idx="10">
                  <v>41913</v>
                </pt>
                <pt idx="11">
                  <v>42005</v>
                </pt>
                <pt idx="12">
                  <v>42095</v>
                </pt>
                <pt idx="13">
                  <v>42186</v>
                </pt>
                <pt idx="14">
                  <v>42278</v>
                </pt>
                <pt idx="15">
                  <v>42370</v>
                </pt>
                <pt idx="16">
                  <v>42461</v>
                </pt>
                <pt idx="17">
                  <v>42552</v>
                </pt>
                <pt idx="18">
                  <v>42644</v>
                </pt>
                <pt idx="19">
                  <v>42736</v>
                </pt>
                <pt idx="20">
                  <v>42826</v>
                </pt>
                <pt idx="21">
                  <v>42917</v>
                </pt>
                <pt idx="22">
                  <v>43009</v>
                </pt>
                <pt idx="23">
                  <v>43101</v>
                </pt>
                <pt idx="24">
                  <v>43191</v>
                </pt>
                <pt idx="25">
                  <v>43282</v>
                </pt>
                <pt idx="26">
                  <v>43374</v>
                </pt>
                <pt idx="27">
                  <v>43466</v>
                </pt>
                <pt idx="28">
                  <v>43556</v>
                </pt>
                <pt idx="29">
                  <v>43647</v>
                </pt>
                <pt idx="30">
                  <v>43739</v>
                </pt>
                <pt idx="31">
                  <v>43831</v>
                </pt>
                <pt idx="32">
                  <v>43922</v>
                </pt>
                <pt idx="33">
                  <v>44013</v>
                </pt>
                <pt idx="34">
                  <v>44105</v>
                </pt>
                <pt idx="35">
                  <v>44197</v>
                </pt>
                <pt idx="36">
                  <v>44287</v>
                </pt>
                <pt idx="37">
                  <v>44378</v>
                </pt>
                <pt idx="38">
                  <v>44470</v>
                </pt>
                <pt idx="39">
                  <v>44562</v>
                </pt>
                <pt idx="40">
                  <v>44652</v>
                </pt>
                <pt idx="41">
                  <v>44743</v>
                </pt>
                <pt idx="42">
                  <v>44835</v>
                </pt>
                <pt idx="43">
                  <v>44927</v>
                </pt>
                <pt idx="44">
                  <v>45017</v>
                </pt>
                <pt idx="45">
                  <v>45108</v>
                </pt>
                <pt idx="46">
                  <v>45200</v>
                </pt>
                <pt idx="47">
                  <v>45292</v>
                </pt>
                <pt idx="48">
                  <v>45383</v>
                </pt>
                <pt idx="49">
                  <v>45474</v>
                </pt>
                <pt idx="50">
                  <v>45566</v>
                </pt>
                <pt idx="51">
                  <v>45658</v>
                </pt>
                <pt idx="52">
                  <v>45748</v>
                </pt>
                <pt idx="53">
                  <v>45839</v>
                </pt>
              </numCache>
            </numRef>
          </cat>
          <val>
            <numRef>
              <f>'Labour market flows SA'!$X$50:$X$104</f>
              <numCache>
                <formatCode>#,##0,</formatCode>
                <ptCount val="55"/>
                <pt idx="0">
                  <v>559485.190587225</v>
                </pt>
                <pt idx="1">
                  <v>520541.128317048</v>
                </pt>
                <pt idx="2">
                  <v>516848.37765879</v>
                </pt>
                <pt idx="3">
                  <v>509448.401581833</v>
                </pt>
                <pt idx="4">
                  <v>520315.514676478</v>
                </pt>
                <pt idx="5">
                  <v>494775.027717475</v>
                </pt>
                <pt idx="6">
                  <v>490590.937828804</v>
                </pt>
                <pt idx="7">
                  <v>472570.357200248</v>
                </pt>
                <pt idx="8">
                  <v>441787.418557388</v>
                </pt>
                <pt idx="9">
                  <v>445807.522572206</v>
                </pt>
                <pt idx="10">
                  <v>426468.054650278</v>
                </pt>
                <pt idx="11">
                  <v>433700.605069646</v>
                </pt>
                <pt idx="12">
                  <v>473346.789549655</v>
                </pt>
                <pt idx="13">
                  <v>478009.275771715</v>
                </pt>
                <pt idx="14">
                  <v>409914.67246206</v>
                </pt>
                <pt idx="15">
                  <v>435314.562441187</v>
                </pt>
                <pt idx="16">
                  <v>404012.948456157</v>
                </pt>
                <pt idx="17">
                  <v>398046.892461605</v>
                </pt>
                <pt idx="18">
                  <v>424102.307318069</v>
                </pt>
                <pt idx="19">
                  <v>418792.646097274</v>
                </pt>
                <pt idx="20">
                  <v>387795.832104834</v>
                </pt>
                <pt idx="21">
                  <v>353731.178355211</v>
                </pt>
                <pt idx="22">
                  <v>366689.298598896</v>
                </pt>
                <pt idx="23">
                  <v>389921.733483468</v>
                </pt>
                <pt idx="24">
                  <v>328672.93521284</v>
                </pt>
                <pt idx="25">
                  <v>378560.021648219</v>
                </pt>
                <pt idx="26">
                  <v>365755.14929174</v>
                </pt>
                <pt idx="27">
                  <v>347434.785010802</v>
                </pt>
                <pt idx="28">
                  <v>375631.021475777</v>
                </pt>
                <pt idx="29">
                  <v>363937.913976668</v>
                </pt>
                <pt idx="30">
                  <v>360973.78667485</v>
                </pt>
                <pt idx="31">
                  <v>411633.034561357</v>
                </pt>
                <pt idx="32">
                  <v>395777.987807613</v>
                </pt>
                <pt idx="33">
                  <v>482919.342420564</v>
                </pt>
                <pt idx="34">
                  <v>483239.420339578</v>
                </pt>
                <pt idx="35">
                  <v>432779.953240532</v>
                </pt>
                <pt idx="36">
                  <v>477537.840793003</v>
                </pt>
                <pt idx="37">
                  <v>469827.83371194</v>
                </pt>
                <pt idx="38">
                  <v>453564.893613776</v>
                </pt>
                <pt idx="39">
                  <v>395588.264445443</v>
                </pt>
                <pt idx="40">
                  <v>417998.579274213</v>
                </pt>
                <pt idx="41">
                  <v>423427.402933311</v>
                </pt>
                <pt idx="42">
                  <v>456159.010740673</v>
                </pt>
                <pt idx="43">
                  <v>472251.113117896</v>
                </pt>
                <pt idx="44">
                  <v>517787.749024775</v>
                </pt>
                <pt idx="45">
                  <v>450618.512694417</v>
                </pt>
                <pt idx="46">
                  <v>478367.16857092</v>
                </pt>
                <pt idx="47">
                  <v>521409.131851727</v>
                </pt>
                <pt idx="48">
                  <v>481152.430187841</v>
                </pt>
                <pt idx="49">
                  <v>525008.9864574861</v>
                </pt>
                <pt idx="50">
                  <v>483064.115122294</v>
                </pt>
                <pt idx="51">
                  <v>585614.653163269</v>
                </pt>
                <pt idx="52">
                  <v>480986.362791519</v>
                </pt>
                <pt idx="53">
                  <v>471437.260286697</v>
                </pt>
              </numCache>
            </numRef>
          </val>
          <smooth val="0"/>
        </ser>
        <ser>
          <idx val="1"/>
          <order val="1"/>
          <tx>
            <strRef>
              <f>'Labour market flows SA'!$D$7</f>
              <strCache>
                <ptCount val="1"/>
                <pt idx="0">
                  <v>Employment to Unemployment</v>
                </pt>
              </strCache>
            </strRef>
          </tx>
          <spPr>
            <a:ln w="28575" cap="rnd">
              <a:solidFill>
                <a:srgbClr val="A02B93"/>
              </a:solidFill>
              <a:prstDash val="solid"/>
              <a:round/>
            </a:ln>
          </spPr>
          <marker>
            <symbol val="none"/>
            <spPr>
              <a:ln>
                <a:prstDash val="solid"/>
              </a:ln>
            </spPr>
          </marker>
          <cat>
            <numRef>
              <f>'Labour market flows SA'!$A$50:$A$103</f>
              <numCache>
                <formatCode>m/d/yyyy</formatCode>
                <ptCount val="54"/>
                <pt idx="0">
                  <v>41000</v>
                </pt>
                <pt idx="1">
                  <v>41091</v>
                </pt>
                <pt idx="2">
                  <v>41183</v>
                </pt>
                <pt idx="3">
                  <v>41275</v>
                </pt>
                <pt idx="4">
                  <v>41365</v>
                </pt>
                <pt idx="5">
                  <v>41456</v>
                </pt>
                <pt idx="6">
                  <v>41548</v>
                </pt>
                <pt idx="7">
                  <v>41640</v>
                </pt>
                <pt idx="8">
                  <v>41730</v>
                </pt>
                <pt idx="9">
                  <v>41821</v>
                </pt>
                <pt idx="10">
                  <v>41913</v>
                </pt>
                <pt idx="11">
                  <v>42005</v>
                </pt>
                <pt idx="12">
                  <v>42095</v>
                </pt>
                <pt idx="13">
                  <v>42186</v>
                </pt>
                <pt idx="14">
                  <v>42278</v>
                </pt>
                <pt idx="15">
                  <v>42370</v>
                </pt>
                <pt idx="16">
                  <v>42461</v>
                </pt>
                <pt idx="17">
                  <v>42552</v>
                </pt>
                <pt idx="18">
                  <v>42644</v>
                </pt>
                <pt idx="19">
                  <v>42736</v>
                </pt>
                <pt idx="20">
                  <v>42826</v>
                </pt>
                <pt idx="21">
                  <v>42917</v>
                </pt>
                <pt idx="22">
                  <v>43009</v>
                </pt>
                <pt idx="23">
                  <v>43101</v>
                </pt>
                <pt idx="24">
                  <v>43191</v>
                </pt>
                <pt idx="25">
                  <v>43282</v>
                </pt>
                <pt idx="26">
                  <v>43374</v>
                </pt>
                <pt idx="27">
                  <v>43466</v>
                </pt>
                <pt idx="28">
                  <v>43556</v>
                </pt>
                <pt idx="29">
                  <v>43647</v>
                </pt>
                <pt idx="30">
                  <v>43739</v>
                </pt>
                <pt idx="31">
                  <v>43831</v>
                </pt>
                <pt idx="32">
                  <v>43922</v>
                </pt>
                <pt idx="33">
                  <v>44013</v>
                </pt>
                <pt idx="34">
                  <v>44105</v>
                </pt>
                <pt idx="35">
                  <v>44197</v>
                </pt>
                <pt idx="36">
                  <v>44287</v>
                </pt>
                <pt idx="37">
                  <v>44378</v>
                </pt>
                <pt idx="38">
                  <v>44470</v>
                </pt>
                <pt idx="39">
                  <v>44562</v>
                </pt>
                <pt idx="40">
                  <v>44652</v>
                </pt>
                <pt idx="41">
                  <v>44743</v>
                </pt>
                <pt idx="42">
                  <v>44835</v>
                </pt>
                <pt idx="43">
                  <v>44927</v>
                </pt>
                <pt idx="44">
                  <v>45017</v>
                </pt>
                <pt idx="45">
                  <v>45108</v>
                </pt>
                <pt idx="46">
                  <v>45200</v>
                </pt>
                <pt idx="47">
                  <v>45292</v>
                </pt>
                <pt idx="48">
                  <v>45383</v>
                </pt>
                <pt idx="49">
                  <v>45474</v>
                </pt>
                <pt idx="50">
                  <v>45566</v>
                </pt>
                <pt idx="51">
                  <v>45658</v>
                </pt>
                <pt idx="52">
                  <v>45748</v>
                </pt>
                <pt idx="53">
                  <v>45839</v>
                </pt>
              </numCache>
            </numRef>
          </cat>
          <val>
            <numRef>
              <f>'Labour market flows SA'!$D$50:$D$103</f>
              <numCache>
                <formatCode>#,##0,</formatCode>
                <ptCount val="54"/>
                <pt idx="0">
                  <v>386528.533932995</v>
                </pt>
                <pt idx="1">
                  <v>387599.586973646</v>
                </pt>
                <pt idx="2">
                  <v>414734.688776448</v>
                </pt>
                <pt idx="3">
                  <v>422803.201309144</v>
                </pt>
                <pt idx="4">
                  <v>407119.091272798</v>
                </pt>
                <pt idx="5">
                  <v>382871.692529555</v>
                </pt>
                <pt idx="6">
                  <v>365438.92216516</v>
                </pt>
                <pt idx="7">
                  <v>336657.258167619</v>
                </pt>
                <pt idx="8">
                  <v>359739.309641018</v>
                </pt>
                <pt idx="9">
                  <v>322826.357288564</v>
                </pt>
                <pt idx="10">
                  <v>331110.70925995</v>
                </pt>
                <pt idx="11">
                  <v>336323.127802797</v>
                </pt>
                <pt idx="12">
                  <v>357463.92096133</v>
                </pt>
                <pt idx="13">
                  <v>265671.125942714</v>
                </pt>
                <pt idx="14">
                  <v>350609.816858654</v>
                </pt>
                <pt idx="15">
                  <v>359146.001684987</v>
                </pt>
                <pt idx="16">
                  <v>323320.646873357</v>
                </pt>
                <pt idx="17">
                  <v>331766.976452815</v>
                </pt>
                <pt idx="18">
                  <v>255096.228890956</v>
                </pt>
                <pt idx="19">
                  <v>302413.660744549</v>
                </pt>
                <pt idx="20">
                  <v>270598.435280269</v>
                </pt>
                <pt idx="21">
                  <v>307460.950960861</v>
                </pt>
                <pt idx="22">
                  <v>299943.151168801</v>
                </pt>
                <pt idx="23">
                  <v>271155.606972949</v>
                </pt>
                <pt idx="24">
                  <v>252420.811950612</v>
                </pt>
                <pt idx="25">
                  <v>285671.392592517</v>
                </pt>
                <pt idx="26">
                  <v>265561.257928874</v>
                </pt>
                <pt idx="27">
                  <v>262454.745826742</v>
                </pt>
                <pt idx="28">
                  <v>293809.338355687</v>
                </pt>
                <pt idx="29">
                  <v>278907.792953415</v>
                </pt>
                <pt idx="30">
                  <v>299646.906267684</v>
                </pt>
                <pt idx="31">
                  <v>348009.018779963</v>
                </pt>
                <pt idx="32">
                  <v>392692.048837881</v>
                </pt>
                <pt idx="33">
                  <v>394579.728740321</v>
                </pt>
                <pt idx="34">
                  <v>427856.240456928</v>
                </pt>
                <pt idx="35">
                  <v>316210.645788027</v>
                </pt>
                <pt idx="36">
                  <v>265482.843859861</v>
                </pt>
                <pt idx="37">
                  <v>293017.126643818</v>
                </pt>
                <pt idx="38">
                  <v>276763.442601686</v>
                </pt>
                <pt idx="39">
                  <v>261662.78167883</v>
                </pt>
                <pt idx="40">
                  <v>252883.77238544</v>
                </pt>
                <pt idx="41">
                  <v>251672.448751976</v>
                </pt>
                <pt idx="42">
                  <v>276988.040721339</v>
                </pt>
                <pt idx="43">
                  <v>287484.108966858</v>
                </pt>
                <pt idx="44">
                  <v>325944.370508757</v>
                </pt>
                <pt idx="45">
                  <v>311349.084730378</v>
                </pt>
                <pt idx="46">
                  <v>280288.820717471</v>
                </pt>
                <pt idx="47">
                  <v>368003.922766672</v>
                </pt>
                <pt idx="48">
                  <v>303643.814975693</v>
                </pt>
                <pt idx="49">
                  <v>242975.694563324</v>
                </pt>
                <pt idx="50">
                  <v>292689.36173169</v>
                </pt>
                <pt idx="51">
                  <v>311438.553693265</v>
                </pt>
                <pt idx="52">
                  <v>306599.282271141</v>
                </pt>
                <pt idx="53">
                  <v>367040.929103676</v>
                </pt>
              </numCache>
            </numRef>
          </val>
          <smooth val="0"/>
        </ser>
        <dLbls>
          <showLegendKey val="0"/>
          <showVal val="0"/>
          <showCatName val="0"/>
          <showSerName val="0"/>
          <showPercent val="0"/>
          <showBubbleSize val="0"/>
        </dLbls>
        <smooth val="0"/>
        <axId val="763953999"/>
        <axId val="551327103"/>
      </lineChart>
      <dateAx>
        <axId val="763953999"/>
        <scaling>
          <orientation val="minMax"/>
        </scaling>
        <delete val="0"/>
        <axPos val="b"/>
        <numFmt formatCode="yyyy" sourceLinked="0"/>
        <majorTickMark val="none"/>
        <minorTickMark val="none"/>
        <tickLblPos val="low"/>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ysClr val="windowText" lastClr="000000"/>
                </a:solidFill>
                <a:latin typeface="Arial" panose="020B0604020202020204" pitchFamily="34" charset="0"/>
                <a:ea typeface="+mn-ea"/>
                <a:cs typeface="Arial" panose="020B0604020202020204" pitchFamily="34" charset="0"/>
              </a:defRPr>
            </a:pPr>
            <a:r>
              <a:t/>
            </a:r>
            <a:endParaRPr lang="en-US"/>
          </a:p>
        </txPr>
        <crossAx val="551327103"/>
        <crosses val="autoZero"/>
        <lblOffset val="100"/>
        <baseTimeUnit val="months"/>
        <majorUnit val="1"/>
        <majorTimeUnit val="years"/>
      </dateAx>
      <valAx>
        <axId val="551327103"/>
        <scaling>
          <orientation val="minMax"/>
          <min val="200000"/>
        </scaling>
        <delete val="0"/>
        <axPos val="l"/>
        <majorGridlines>
          <spPr>
            <a:ln w="9525" cap="flat" cmpd="sng" algn="ctr">
              <a:solidFill>
                <a:schemeClr val="tx1">
                  <a:lumMod val="15000"/>
                  <a:lumOff val="85000"/>
                </a:schemeClr>
              </a:solidFill>
              <a:prstDash val="solid"/>
              <a:round/>
            </a:ln>
          </spPr>
        </majorGridlines>
        <title>
          <tx>
            <rich>
              <a:bodyPr/>
              <a:lstStyle/>
              <a:p>
                <a:pPr>
                  <a:defRPr sz="900" b="0"/>
                </a:pPr>
                <a:r>
                  <a:rPr lang="en-GB" sz="900" b="0"/>
                  <a:t>Seasonally adjusted, people aged 16-64, UK (thousands)</a:t>
                </a:r>
              </a:p>
            </rich>
          </tx>
          <layout>
            <manualLayout>
              <xMode val="edge"/>
              <yMode val="edge"/>
              <wMode val="factor"/>
              <hMode val="factor"/>
              <x val="0.01706565409457"/>
              <y val="0.1001562408520894"/>
            </manualLayout>
          </layout>
          <overlay val="0"/>
        </title>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ysClr val="windowText" lastClr="000000"/>
                </a:solidFill>
                <a:latin typeface="Arial" panose="020B0604020202020204" pitchFamily="34" charset="0"/>
                <a:ea typeface="+mn-ea"/>
                <a:cs typeface="Arial" panose="020B0604020202020204" pitchFamily="34" charset="0"/>
              </a:defRPr>
            </a:pPr>
            <a:r>
              <a:t/>
            </a:r>
            <a:endParaRPr lang="en-US"/>
          </a:p>
        </txPr>
        <crossAx val="763953999"/>
        <crosses val="autoZero"/>
        <crossBetween val="between"/>
      </valAx>
    </plotArea>
    <legend>
      <legendPos val="b"/>
      <overlay val="0"/>
      <spPr>
        <a:noFill/>
        <a:ln>
          <a:noFill/>
          <a:prstDash val="solid"/>
        </a:ln>
      </spPr>
      <txPr>
        <a:bodyPr rot="0" spcFirstLastPara="1" vertOverflow="ellipsis" vert="horz" wrap="square" anchor="ctr" anchorCtr="1"/>
        <a:lstStyle/>
        <a:p>
          <a:pPr>
            <a:defRPr sz="900" b="0" i="0" strike="noStrike" kern="1200" baseline="0">
              <a:solidFill>
                <a:sysClr val="windowText" lastClr="000000"/>
              </a:solidFill>
              <a:latin typeface="Arial" panose="020B0604020202020204" pitchFamily="34" charset="0"/>
              <a:ea typeface="+mn-ea"/>
              <a:cs typeface="Arial" panose="020B0604020202020204" pitchFamily="34" charset="0"/>
            </a:defRPr>
          </a:pPr>
          <a:r>
            <a:t/>
          </a:r>
          <a:endParaRPr lang="en-US"/>
        </a:p>
      </txPr>
    </legend>
    <plotVisOnly val="1"/>
    <dispBlanksAs val="gap"/>
  </chart>
  <spPr>
    <a:solidFill>
      <a:schemeClr val="bg1"/>
    </a:solidFill>
    <a:ln w="6350" cap="flat" cmpd="sng" algn="ctr">
      <a:solidFill>
        <a:schemeClr val="tx1"/>
      </a:solidFill>
      <a:prstDash val="solid"/>
      <a:round/>
    </a:ln>
  </spPr>
</chartSpace>
</file>

<file path=xl/charts/chart28.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1" i="0"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GB" sz="1400" b="1" i="0" strike="noStrike" kern="1200" spc="0" baseline="0">
                <a:solidFill>
                  <a:sysClr val="windowText" lastClr="000000"/>
                </a:solidFill>
                <a:latin typeface="Arial" panose="020B0604020202020204" pitchFamily="34" charset="0"/>
                <a:cs typeface="Arial" panose="020B0604020202020204" pitchFamily="34" charset="0"/>
              </a:rPr>
              <a:t>Unemployment inflows</a:t>
            </a:r>
          </a:p>
        </rich>
      </tx>
      <overlay val="0"/>
      <spPr>
        <a:noFill/>
        <a:ln>
          <a:noFill/>
          <a:prstDash val="solid"/>
        </a:ln>
      </spPr>
    </title>
    <plotArea>
      <layout>
        <manualLayout>
          <layoutTarget val="inner"/>
          <xMode val="edge"/>
          <yMode val="edge"/>
          <wMode val="factor"/>
          <hMode val="factor"/>
          <x val="0.1000271882211339"/>
          <y val="0.1001562408520894"/>
          <w val="0.8673728613617928"/>
          <h val="0.7217235243777052"/>
        </manualLayout>
      </layout>
      <lineChart>
        <grouping val="standard"/>
        <varyColors val="0"/>
        <ser>
          <idx val="0"/>
          <order val="0"/>
          <tx>
            <strRef>
              <f>'Labour market flows SA'!$AH$7</f>
              <strCache>
                <ptCount val="1"/>
                <pt idx="0">
                  <v>% of people moving from inactivity to unemployment</v>
                </pt>
              </strCache>
            </strRef>
          </tx>
          <spPr>
            <a:ln w="28575" cap="rnd">
              <a:solidFill>
                <a:schemeClr val="accent1"/>
              </a:solidFill>
              <a:prstDash val="solid"/>
              <a:round/>
            </a:ln>
          </spPr>
          <marker>
            <symbol val="none"/>
            <spPr>
              <a:ln>
                <a:prstDash val="solid"/>
              </a:ln>
            </spPr>
          </marker>
          <cat>
            <numRef>
              <f>'Labour market flows SA'!$A$8:$A$103</f>
              <numCache>
                <formatCode>m/d/yyyy</formatCode>
                <ptCount val="96"/>
                <pt idx="0">
                  <v>37165</v>
                </pt>
                <pt idx="1">
                  <v>37257</v>
                </pt>
                <pt idx="2">
                  <v>37347</v>
                </pt>
                <pt idx="3">
                  <v>37438</v>
                </pt>
                <pt idx="4">
                  <v>37530</v>
                </pt>
                <pt idx="5">
                  <v>37622</v>
                </pt>
                <pt idx="6">
                  <v>37712</v>
                </pt>
                <pt idx="7">
                  <v>37803</v>
                </pt>
                <pt idx="8">
                  <v>37895</v>
                </pt>
                <pt idx="9">
                  <v>37987</v>
                </pt>
                <pt idx="10">
                  <v>38078</v>
                </pt>
                <pt idx="11">
                  <v>38169</v>
                </pt>
                <pt idx="12">
                  <v>38261</v>
                </pt>
                <pt idx="13">
                  <v>38353</v>
                </pt>
                <pt idx="14">
                  <v>38443</v>
                </pt>
                <pt idx="15">
                  <v>38534</v>
                </pt>
                <pt idx="16">
                  <v>38626</v>
                </pt>
                <pt idx="17">
                  <v>38718</v>
                </pt>
                <pt idx="18">
                  <v>38808</v>
                </pt>
                <pt idx="19">
                  <v>38899</v>
                </pt>
                <pt idx="20">
                  <v>38991</v>
                </pt>
                <pt idx="21">
                  <v>39083</v>
                </pt>
                <pt idx="22">
                  <v>39173</v>
                </pt>
                <pt idx="23">
                  <v>39264</v>
                </pt>
                <pt idx="24">
                  <v>39356</v>
                </pt>
                <pt idx="25">
                  <v>39448</v>
                </pt>
                <pt idx="26">
                  <v>39539</v>
                </pt>
                <pt idx="27">
                  <v>39630</v>
                </pt>
                <pt idx="28">
                  <v>39722</v>
                </pt>
                <pt idx="29">
                  <v>39814</v>
                </pt>
                <pt idx="30">
                  <v>39904</v>
                </pt>
                <pt idx="31">
                  <v>39995</v>
                </pt>
                <pt idx="32">
                  <v>40087</v>
                </pt>
                <pt idx="33">
                  <v>40179</v>
                </pt>
                <pt idx="34">
                  <v>40269</v>
                </pt>
                <pt idx="35">
                  <v>40360</v>
                </pt>
                <pt idx="36">
                  <v>40452</v>
                </pt>
                <pt idx="37">
                  <v>40544</v>
                </pt>
                <pt idx="38">
                  <v>40634</v>
                </pt>
                <pt idx="39">
                  <v>40725</v>
                </pt>
                <pt idx="40">
                  <v>40817</v>
                </pt>
                <pt idx="41">
                  <v>40909</v>
                </pt>
                <pt idx="42">
                  <v>41000</v>
                </pt>
                <pt idx="43">
                  <v>41091</v>
                </pt>
                <pt idx="44">
                  <v>41183</v>
                </pt>
                <pt idx="45">
                  <v>41275</v>
                </pt>
                <pt idx="46">
                  <v>41365</v>
                </pt>
                <pt idx="47">
                  <v>41456</v>
                </pt>
                <pt idx="48">
                  <v>41548</v>
                </pt>
                <pt idx="49">
                  <v>41640</v>
                </pt>
                <pt idx="50">
                  <v>41730</v>
                </pt>
                <pt idx="51">
                  <v>41821</v>
                </pt>
                <pt idx="52">
                  <v>41913</v>
                </pt>
                <pt idx="53">
                  <v>42005</v>
                </pt>
                <pt idx="54">
                  <v>42095</v>
                </pt>
                <pt idx="55">
                  <v>42186</v>
                </pt>
                <pt idx="56">
                  <v>42278</v>
                </pt>
                <pt idx="57">
                  <v>42370</v>
                </pt>
                <pt idx="58">
                  <v>42461</v>
                </pt>
                <pt idx="59">
                  <v>42552</v>
                </pt>
                <pt idx="60">
                  <v>42644</v>
                </pt>
                <pt idx="61">
                  <v>42736</v>
                </pt>
                <pt idx="62">
                  <v>42826</v>
                </pt>
                <pt idx="63">
                  <v>42917</v>
                </pt>
                <pt idx="64">
                  <v>43009</v>
                </pt>
                <pt idx="65">
                  <v>43101</v>
                </pt>
                <pt idx="66">
                  <v>43191</v>
                </pt>
                <pt idx="67">
                  <v>43282</v>
                </pt>
                <pt idx="68">
                  <v>43374</v>
                </pt>
                <pt idx="69">
                  <v>43466</v>
                </pt>
                <pt idx="70">
                  <v>43556</v>
                </pt>
                <pt idx="71">
                  <v>43647</v>
                </pt>
                <pt idx="72">
                  <v>43739</v>
                </pt>
                <pt idx="73">
                  <v>43831</v>
                </pt>
                <pt idx="74">
                  <v>43922</v>
                </pt>
                <pt idx="75">
                  <v>44013</v>
                </pt>
                <pt idx="76">
                  <v>44105</v>
                </pt>
                <pt idx="77">
                  <v>44197</v>
                </pt>
                <pt idx="78">
                  <v>44287</v>
                </pt>
                <pt idx="79">
                  <v>44378</v>
                </pt>
                <pt idx="80">
                  <v>44470</v>
                </pt>
                <pt idx="81">
                  <v>44562</v>
                </pt>
                <pt idx="82">
                  <v>44652</v>
                </pt>
                <pt idx="83">
                  <v>44743</v>
                </pt>
                <pt idx="84">
                  <v>44835</v>
                </pt>
                <pt idx="85">
                  <v>44927</v>
                </pt>
                <pt idx="86">
                  <v>45017</v>
                </pt>
                <pt idx="87">
                  <v>45108</v>
                </pt>
                <pt idx="88">
                  <v>45200</v>
                </pt>
                <pt idx="89">
                  <v>45292</v>
                </pt>
                <pt idx="90">
                  <v>45383</v>
                </pt>
                <pt idx="91">
                  <v>45474</v>
                </pt>
                <pt idx="92">
                  <v>45566</v>
                </pt>
                <pt idx="93">
                  <v>45658</v>
                </pt>
                <pt idx="94">
                  <v>45748</v>
                </pt>
                <pt idx="95">
                  <v>45839</v>
                </pt>
              </numCache>
            </numRef>
          </cat>
          <val>
            <numRef>
              <f>'Labour market flows SA'!$AH$8:$AH$103</f>
              <numCache>
                <formatCode>0.0%</formatCode>
                <ptCount val="96"/>
                <pt idx="0">
                  <v>0.4720504556614334</v>
                </pt>
                <pt idx="1">
                  <v>0.4786002851231397</v>
                </pt>
                <pt idx="2">
                  <v>0.5091163078868221</v>
                </pt>
                <pt idx="3">
                  <v>0.480461887682925</v>
                </pt>
                <pt idx="4">
                  <v>0.5221993121415209</v>
                </pt>
                <pt idx="5">
                  <v>0.4880430334646566</v>
                </pt>
                <pt idx="6">
                  <v>0.522610840934459</v>
                </pt>
                <pt idx="7">
                  <v>0.5072930396154187</v>
                </pt>
                <pt idx="8">
                  <v>0.5216790431727295</v>
                </pt>
                <pt idx="9">
                  <v>0.5311140199447122</v>
                </pt>
                <pt idx="10">
                  <v>0.5011547045444836</v>
                </pt>
                <pt idx="11">
                  <v>0.554146496104904</v>
                </pt>
                <pt idx="12">
                  <v>0.5057281450331351</v>
                </pt>
                <pt idx="13">
                  <v>0.5272152860867059</v>
                </pt>
                <pt idx="14">
                  <v>0.5056099718220965</v>
                </pt>
                <pt idx="15">
                  <v>0.5494014155266435</v>
                </pt>
                <pt idx="16">
                  <v>0.498983769630184</v>
                </pt>
                <pt idx="17">
                  <v>0.5506609817325036</v>
                </pt>
                <pt idx="18">
                  <v>0.5628874952089731</v>
                </pt>
                <pt idx="19">
                  <v>0.5034377621125471</v>
                </pt>
                <pt idx="20">
                  <v>0.5286713146721915</v>
                </pt>
                <pt idx="21">
                  <v>0.548554995597982</v>
                </pt>
                <pt idx="22">
                  <v>0.5685196505157983</v>
                </pt>
                <pt idx="23">
                  <v>0.5535966652100395</v>
                </pt>
                <pt idx="24">
                  <v>0.5790850850227035</v>
                </pt>
                <pt idx="25">
                  <v>0.5519110835797841</v>
                </pt>
                <pt idx="26">
                  <v>0.5678071647020924</v>
                </pt>
                <pt idx="27">
                  <v>0.5257157573399861</v>
                </pt>
                <pt idx="28">
                  <v>0.5112192844016197</v>
                </pt>
                <pt idx="29">
                  <v>0.4579038222994428</v>
                </pt>
                <pt idx="30">
                  <v>0.4671978501917065</v>
                </pt>
                <pt idx="31">
                  <v>0.5392705299221108</v>
                </pt>
                <pt idx="32">
                  <v>0.5469536440031653</v>
                </pt>
                <pt idx="33">
                  <v>0.5649880816537212</v>
                </pt>
                <pt idx="34">
                  <v>0.5532974569599239</v>
                </pt>
                <pt idx="35">
                  <v>0.5646298283065303</v>
                </pt>
                <pt idx="36">
                  <v>0.5666476923200803</v>
                </pt>
                <pt idx="37">
                  <v>0.588425176214723</v>
                </pt>
                <pt idx="38">
                  <v>0.5361476721428219</v>
                </pt>
                <pt idx="39">
                  <v>0.5638424988659334</v>
                </pt>
                <pt idx="40">
                  <v>0.525743244856919</v>
                </pt>
                <pt idx="41">
                  <v>0.5592839411658634</v>
                </pt>
                <pt idx="42">
                  <v>0.5914133971692359</v>
                </pt>
                <pt idx="43">
                  <v>0.5731943514397148</v>
                </pt>
                <pt idx="44">
                  <v>0.5548065398360483</v>
                </pt>
                <pt idx="45">
                  <v>0.5464709312400196</v>
                </pt>
                <pt idx="46">
                  <v>0.5610266334022643</v>
                </pt>
                <pt idx="47">
                  <v>0.5637519246676058</v>
                </pt>
                <pt idx="48">
                  <v>0.5731002629187062</v>
                </pt>
                <pt idx="49">
                  <v>0.5839770519761885</v>
                </pt>
                <pt idx="50">
                  <v>0.5511823910730899</v>
                </pt>
                <pt idx="51">
                  <v>0.5799998337998832</v>
                </pt>
                <pt idx="52">
                  <v>0.5629355982064116</v>
                </pt>
                <pt idx="53">
                  <v>0.56323017922032</v>
                </pt>
                <pt idx="54">
                  <v>0.5697408369453085</v>
                </pt>
                <pt idx="55">
                  <v>0.6427616953058675</v>
                </pt>
                <pt idx="56">
                  <v>0.5389894450712402</v>
                </pt>
                <pt idx="57">
                  <v>0.5479372823495511</v>
                </pt>
                <pt idx="58">
                  <v>0.555471314745363</v>
                </pt>
                <pt idx="59">
                  <v>0.5454087808083037</v>
                </pt>
                <pt idx="60">
                  <v>0.6244158146824252</v>
                </pt>
                <pt idx="61">
                  <v>0.5806835604796295</v>
                </pt>
                <pt idx="62">
                  <v>0.5890024432396939</v>
                </pt>
                <pt idx="63">
                  <v>0.5349900016521758</v>
                </pt>
                <pt idx="64">
                  <v>0.5500621800314057</v>
                </pt>
                <pt idx="65">
                  <v>0.5898277094390507</v>
                </pt>
                <pt idx="66">
                  <v>0.5656108619602643</v>
                </pt>
                <pt idx="67">
                  <v>0.5699218879627067</v>
                </pt>
                <pt idx="68">
                  <v>0.5793531501929216</v>
                </pt>
                <pt idx="69">
                  <v>0.5696683865579388</v>
                </pt>
                <pt idx="70">
                  <v>0.5611120034208044</v>
                </pt>
                <pt idx="71">
                  <v>0.566135715076418</v>
                </pt>
                <pt idx="72">
                  <v>0.5464161061425461</v>
                </pt>
                <pt idx="73">
                  <v>0.5418776287473428</v>
                </pt>
                <pt idx="74">
                  <v>0.5019569158156352</v>
                </pt>
                <pt idx="75">
                  <v>0.5503360154919448</v>
                </pt>
                <pt idx="76">
                  <v>0.5303937238786938</v>
                </pt>
                <pt idx="77">
                  <v>0.5778176038549052</v>
                </pt>
                <pt idx="78">
                  <v>0.6426979095691079</v>
                </pt>
                <pt idx="79">
                  <v>0.6158890182519297</v>
                </pt>
                <pt idx="80">
                  <v>0.6210424423131857</v>
                </pt>
                <pt idx="81">
                  <v>0.6018830502867624</v>
                </pt>
                <pt idx="82">
                  <v>0.6230579448693992</v>
                </pt>
                <pt idx="83">
                  <v>0.627207074444302</v>
                </pt>
                <pt idx="84">
                  <v>0.6221930645850915</v>
                </pt>
                <pt idx="85">
                  <v>0.6215996039014932</v>
                </pt>
                <pt idx="86">
                  <v>0.6136873742711614</v>
                </pt>
                <pt idx="87">
                  <v>0.5913880251829112</v>
                </pt>
                <pt idx="88">
                  <v>0.6305455638986279</v>
                </pt>
                <pt idx="89">
                  <v>0.5862395758014105</v>
                </pt>
                <pt idx="90">
                  <v>0.6130921664738337</v>
                </pt>
                <pt idx="91">
                  <v>0.6836190869844446</v>
                </pt>
                <pt idx="92">
                  <v>0.6227031261030606</v>
                </pt>
                <pt idx="93">
                  <v>0.6528204221189819</v>
                </pt>
                <pt idx="94">
                  <v>0.6107099155587732</v>
                </pt>
                <pt idx="95">
                  <v>0.5622534566217661</v>
                </pt>
              </numCache>
            </numRef>
          </val>
          <smooth val="0"/>
        </ser>
        <ser>
          <idx val="1"/>
          <order val="1"/>
          <tx>
            <strRef>
              <f>'Labour market flows SA'!$AI$7</f>
              <strCache>
                <ptCount val="1"/>
                <pt idx="0">
                  <v>% of people moving from employment to unemployment</v>
                </pt>
              </strCache>
            </strRef>
          </tx>
          <spPr>
            <a:ln w="28575" cap="rnd">
              <a:solidFill>
                <a:srgbClr val="A02B93"/>
              </a:solidFill>
              <a:prstDash val="solid"/>
              <a:round/>
            </a:ln>
          </spPr>
          <marker>
            <symbol val="none"/>
            <spPr>
              <a:ln>
                <a:prstDash val="solid"/>
              </a:ln>
            </spPr>
          </marker>
          <cat>
            <numRef>
              <f>'Labour market flows SA'!$A$8:$A$103</f>
              <numCache>
                <formatCode>m/d/yyyy</formatCode>
                <ptCount val="96"/>
                <pt idx="0">
                  <v>37165</v>
                </pt>
                <pt idx="1">
                  <v>37257</v>
                </pt>
                <pt idx="2">
                  <v>37347</v>
                </pt>
                <pt idx="3">
                  <v>37438</v>
                </pt>
                <pt idx="4">
                  <v>37530</v>
                </pt>
                <pt idx="5">
                  <v>37622</v>
                </pt>
                <pt idx="6">
                  <v>37712</v>
                </pt>
                <pt idx="7">
                  <v>37803</v>
                </pt>
                <pt idx="8">
                  <v>37895</v>
                </pt>
                <pt idx="9">
                  <v>37987</v>
                </pt>
                <pt idx="10">
                  <v>38078</v>
                </pt>
                <pt idx="11">
                  <v>38169</v>
                </pt>
                <pt idx="12">
                  <v>38261</v>
                </pt>
                <pt idx="13">
                  <v>38353</v>
                </pt>
                <pt idx="14">
                  <v>38443</v>
                </pt>
                <pt idx="15">
                  <v>38534</v>
                </pt>
                <pt idx="16">
                  <v>38626</v>
                </pt>
                <pt idx="17">
                  <v>38718</v>
                </pt>
                <pt idx="18">
                  <v>38808</v>
                </pt>
                <pt idx="19">
                  <v>38899</v>
                </pt>
                <pt idx="20">
                  <v>38991</v>
                </pt>
                <pt idx="21">
                  <v>39083</v>
                </pt>
                <pt idx="22">
                  <v>39173</v>
                </pt>
                <pt idx="23">
                  <v>39264</v>
                </pt>
                <pt idx="24">
                  <v>39356</v>
                </pt>
                <pt idx="25">
                  <v>39448</v>
                </pt>
                <pt idx="26">
                  <v>39539</v>
                </pt>
                <pt idx="27">
                  <v>39630</v>
                </pt>
                <pt idx="28">
                  <v>39722</v>
                </pt>
                <pt idx="29">
                  <v>39814</v>
                </pt>
                <pt idx="30">
                  <v>39904</v>
                </pt>
                <pt idx="31">
                  <v>39995</v>
                </pt>
                <pt idx="32">
                  <v>40087</v>
                </pt>
                <pt idx="33">
                  <v>40179</v>
                </pt>
                <pt idx="34">
                  <v>40269</v>
                </pt>
                <pt idx="35">
                  <v>40360</v>
                </pt>
                <pt idx="36">
                  <v>40452</v>
                </pt>
                <pt idx="37">
                  <v>40544</v>
                </pt>
                <pt idx="38">
                  <v>40634</v>
                </pt>
                <pt idx="39">
                  <v>40725</v>
                </pt>
                <pt idx="40">
                  <v>40817</v>
                </pt>
                <pt idx="41">
                  <v>40909</v>
                </pt>
                <pt idx="42">
                  <v>41000</v>
                </pt>
                <pt idx="43">
                  <v>41091</v>
                </pt>
                <pt idx="44">
                  <v>41183</v>
                </pt>
                <pt idx="45">
                  <v>41275</v>
                </pt>
                <pt idx="46">
                  <v>41365</v>
                </pt>
                <pt idx="47">
                  <v>41456</v>
                </pt>
                <pt idx="48">
                  <v>41548</v>
                </pt>
                <pt idx="49">
                  <v>41640</v>
                </pt>
                <pt idx="50">
                  <v>41730</v>
                </pt>
                <pt idx="51">
                  <v>41821</v>
                </pt>
                <pt idx="52">
                  <v>41913</v>
                </pt>
                <pt idx="53">
                  <v>42005</v>
                </pt>
                <pt idx="54">
                  <v>42095</v>
                </pt>
                <pt idx="55">
                  <v>42186</v>
                </pt>
                <pt idx="56">
                  <v>42278</v>
                </pt>
                <pt idx="57">
                  <v>42370</v>
                </pt>
                <pt idx="58">
                  <v>42461</v>
                </pt>
                <pt idx="59">
                  <v>42552</v>
                </pt>
                <pt idx="60">
                  <v>42644</v>
                </pt>
                <pt idx="61">
                  <v>42736</v>
                </pt>
                <pt idx="62">
                  <v>42826</v>
                </pt>
                <pt idx="63">
                  <v>42917</v>
                </pt>
                <pt idx="64">
                  <v>43009</v>
                </pt>
                <pt idx="65">
                  <v>43101</v>
                </pt>
                <pt idx="66">
                  <v>43191</v>
                </pt>
                <pt idx="67">
                  <v>43282</v>
                </pt>
                <pt idx="68">
                  <v>43374</v>
                </pt>
                <pt idx="69">
                  <v>43466</v>
                </pt>
                <pt idx="70">
                  <v>43556</v>
                </pt>
                <pt idx="71">
                  <v>43647</v>
                </pt>
                <pt idx="72">
                  <v>43739</v>
                </pt>
                <pt idx="73">
                  <v>43831</v>
                </pt>
                <pt idx="74">
                  <v>43922</v>
                </pt>
                <pt idx="75">
                  <v>44013</v>
                </pt>
                <pt idx="76">
                  <v>44105</v>
                </pt>
                <pt idx="77">
                  <v>44197</v>
                </pt>
                <pt idx="78">
                  <v>44287</v>
                </pt>
                <pt idx="79">
                  <v>44378</v>
                </pt>
                <pt idx="80">
                  <v>44470</v>
                </pt>
                <pt idx="81">
                  <v>44562</v>
                </pt>
                <pt idx="82">
                  <v>44652</v>
                </pt>
                <pt idx="83">
                  <v>44743</v>
                </pt>
                <pt idx="84">
                  <v>44835</v>
                </pt>
                <pt idx="85">
                  <v>44927</v>
                </pt>
                <pt idx="86">
                  <v>45017</v>
                </pt>
                <pt idx="87">
                  <v>45108</v>
                </pt>
                <pt idx="88">
                  <v>45200</v>
                </pt>
                <pt idx="89">
                  <v>45292</v>
                </pt>
                <pt idx="90">
                  <v>45383</v>
                </pt>
                <pt idx="91">
                  <v>45474</v>
                </pt>
                <pt idx="92">
                  <v>45566</v>
                </pt>
                <pt idx="93">
                  <v>45658</v>
                </pt>
                <pt idx="94">
                  <v>45748</v>
                </pt>
                <pt idx="95">
                  <v>45839</v>
                </pt>
              </numCache>
            </numRef>
          </cat>
          <val>
            <numRef>
              <f>'Labour market flows SA'!$AI$8:$AI$103</f>
              <numCache>
                <formatCode>0.0%</formatCode>
                <ptCount val="96"/>
                <pt idx="0">
                  <v>0.5279495443385667</v>
                </pt>
                <pt idx="1">
                  <v>0.5213997148768603</v>
                </pt>
                <pt idx="2">
                  <v>0.4908836921131779</v>
                </pt>
                <pt idx="3">
                  <v>0.519538112317075</v>
                </pt>
                <pt idx="4">
                  <v>0.4778006878584791</v>
                </pt>
                <pt idx="5">
                  <v>0.5119569665353434</v>
                </pt>
                <pt idx="6">
                  <v>0.477389159065541</v>
                </pt>
                <pt idx="7">
                  <v>0.4927069603845812</v>
                </pt>
                <pt idx="8">
                  <v>0.4783209568272704</v>
                </pt>
                <pt idx="9">
                  <v>0.4688859800552878</v>
                </pt>
                <pt idx="10">
                  <v>0.4988452954555163</v>
                </pt>
                <pt idx="11">
                  <v>0.445853503895096</v>
                </pt>
                <pt idx="12">
                  <v>0.4942718549668649</v>
                </pt>
                <pt idx="13">
                  <v>0.472784713913294</v>
                </pt>
                <pt idx="14">
                  <v>0.4943900281779034</v>
                </pt>
                <pt idx="15">
                  <v>0.4505985844733566</v>
                </pt>
                <pt idx="16">
                  <v>0.5010162303698161</v>
                </pt>
                <pt idx="17">
                  <v>0.4493390182674964</v>
                </pt>
                <pt idx="18">
                  <v>0.4371125047910269</v>
                </pt>
                <pt idx="19">
                  <v>0.4965622378874528</v>
                </pt>
                <pt idx="20">
                  <v>0.4713286853278085</v>
                </pt>
                <pt idx="21">
                  <v>0.451445004402018</v>
                </pt>
                <pt idx="22">
                  <v>0.4314803494842018</v>
                </pt>
                <pt idx="23">
                  <v>0.4464033347899605</v>
                </pt>
                <pt idx="24">
                  <v>0.4209149149772966</v>
                </pt>
                <pt idx="25">
                  <v>0.4480889164202159</v>
                </pt>
                <pt idx="26">
                  <v>0.4321928352979076</v>
                </pt>
                <pt idx="27">
                  <v>0.474284242660014</v>
                </pt>
                <pt idx="28">
                  <v>0.4887807155983803</v>
                </pt>
                <pt idx="29">
                  <v>0.5420961777005572</v>
                </pt>
                <pt idx="30">
                  <v>0.5328021498082935</v>
                </pt>
                <pt idx="31">
                  <v>0.4607294700778893</v>
                </pt>
                <pt idx="32">
                  <v>0.4530463559968347</v>
                </pt>
                <pt idx="33">
                  <v>0.4350119183462788</v>
                </pt>
                <pt idx="34">
                  <v>0.4467025430400762</v>
                </pt>
                <pt idx="35">
                  <v>0.4353701716934697</v>
                </pt>
                <pt idx="36">
                  <v>0.4333523076799196</v>
                </pt>
                <pt idx="37">
                  <v>0.411574823785277</v>
                </pt>
                <pt idx="38">
                  <v>0.4638523278571781</v>
                </pt>
                <pt idx="39">
                  <v>0.4361575011340666</v>
                </pt>
                <pt idx="40">
                  <v>0.474256755143081</v>
                </pt>
                <pt idx="41">
                  <v>0.4407160588341366</v>
                </pt>
                <pt idx="42">
                  <v>0.4085866028307641</v>
                </pt>
                <pt idx="43">
                  <v>0.4268056485602852</v>
                </pt>
                <pt idx="44">
                  <v>0.4451934601639516</v>
                </pt>
                <pt idx="45">
                  <v>0.4535290687599806</v>
                </pt>
                <pt idx="46">
                  <v>0.4389733665977356</v>
                </pt>
                <pt idx="47">
                  <v>0.4362480753323941</v>
                </pt>
                <pt idx="48">
                  <v>0.4268997370812939</v>
                </pt>
                <pt idx="49">
                  <v>0.4160229480238114</v>
                </pt>
                <pt idx="50">
                  <v>0.4488176089269101</v>
                </pt>
                <pt idx="51">
                  <v>0.4200001662001168</v>
                </pt>
                <pt idx="52">
                  <v>0.4370644017935885</v>
                </pt>
                <pt idx="53">
                  <v>0.4367698207796799</v>
                </pt>
                <pt idx="54">
                  <v>0.4302591630546915</v>
                </pt>
                <pt idx="55">
                  <v>0.3572383046941324</v>
                </pt>
                <pt idx="56">
                  <v>0.4610105549287598</v>
                </pt>
                <pt idx="57">
                  <v>0.452062717650449</v>
                </pt>
                <pt idx="58">
                  <v>0.444528685254637</v>
                </pt>
                <pt idx="59">
                  <v>0.4545912191916963</v>
                </pt>
                <pt idx="60">
                  <v>0.3755841853175749</v>
                </pt>
                <pt idx="61">
                  <v>0.4193164395203705</v>
                </pt>
                <pt idx="62">
                  <v>0.4109975567603061</v>
                </pt>
                <pt idx="63">
                  <v>0.4650099983478242</v>
                </pt>
                <pt idx="64">
                  <v>0.4499378199685942</v>
                </pt>
                <pt idx="65">
                  <v>0.4101722905609491</v>
                </pt>
                <pt idx="66">
                  <v>0.4343891380397357</v>
                </pt>
                <pt idx="67">
                  <v>0.4300781120372932</v>
                </pt>
                <pt idx="68">
                  <v>0.4206468498070785</v>
                </pt>
                <pt idx="69">
                  <v>0.4303316134420611</v>
                </pt>
                <pt idx="70">
                  <v>0.4388879965791955</v>
                </pt>
                <pt idx="71">
                  <v>0.433864284923582</v>
                </pt>
                <pt idx="72">
                  <v>0.453583893857454</v>
                </pt>
                <pt idx="73">
                  <v>0.4581223712526572</v>
                </pt>
                <pt idx="74">
                  <v>0.4980430841843649</v>
                </pt>
                <pt idx="75">
                  <v>0.4496639845080552</v>
                </pt>
                <pt idx="76">
                  <v>0.4696062761213063</v>
                </pt>
                <pt idx="77">
                  <v>0.4221823961450948</v>
                </pt>
                <pt idx="78">
                  <v>0.3573020904308922</v>
                </pt>
                <pt idx="79">
                  <v>0.3841109817480703</v>
                </pt>
                <pt idx="80">
                  <v>0.3789575576868142</v>
                </pt>
                <pt idx="81">
                  <v>0.3981169497132376</v>
                </pt>
                <pt idx="82">
                  <v>0.3769420551306008</v>
                </pt>
                <pt idx="83">
                  <v>0.372792925555698</v>
                </pt>
                <pt idx="84">
                  <v>0.3778069354149086</v>
                </pt>
                <pt idx="85">
                  <v>0.3784003960985069</v>
                </pt>
                <pt idx="86">
                  <v>0.3863126257288385</v>
                </pt>
                <pt idx="87">
                  <v>0.4086119748170889</v>
                </pt>
                <pt idx="88">
                  <v>0.369454436101372</v>
                </pt>
                <pt idx="89">
                  <v>0.4137604241985894</v>
                </pt>
                <pt idx="90">
                  <v>0.3869078335261663</v>
                </pt>
                <pt idx="91">
                  <v>0.3163809130155555</v>
                </pt>
                <pt idx="92">
                  <v>0.3772968738969396</v>
                </pt>
                <pt idx="93">
                  <v>0.347179577881018</v>
                </pt>
                <pt idx="94">
                  <v>0.3892900844412268</v>
                </pt>
                <pt idx="95">
                  <v>0.437746543378234</v>
                </pt>
              </numCache>
            </numRef>
          </val>
          <smooth val="0"/>
        </ser>
        <dLbls>
          <showLegendKey val="0"/>
          <showVal val="0"/>
          <showCatName val="0"/>
          <showSerName val="0"/>
          <showPercent val="0"/>
          <showBubbleSize val="0"/>
        </dLbls>
        <smooth val="0"/>
        <axId val="763953999"/>
        <axId val="551327103"/>
      </lineChart>
      <dateAx>
        <axId val="763953999"/>
        <scaling>
          <orientation val="minMax"/>
        </scaling>
        <delete val="0"/>
        <axPos val="b"/>
        <numFmt formatCode="yyyy" sourceLinked="0"/>
        <majorTickMark val="none"/>
        <minorTickMark val="none"/>
        <tickLblPos val="low"/>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ysClr val="windowText" lastClr="000000"/>
                </a:solidFill>
                <a:latin typeface="Arial" panose="020B0604020202020204" pitchFamily="34" charset="0"/>
                <a:ea typeface="+mn-ea"/>
                <a:cs typeface="Arial" panose="020B0604020202020204" pitchFamily="34" charset="0"/>
              </a:defRPr>
            </a:pPr>
            <a:r>
              <a:t/>
            </a:r>
            <a:endParaRPr lang="en-US"/>
          </a:p>
        </txPr>
        <crossAx val="551327103"/>
        <crosses val="autoZero"/>
        <lblOffset val="100"/>
        <baseTimeUnit val="months"/>
        <majorUnit val="1"/>
        <majorTimeUnit val="years"/>
      </dateAx>
      <valAx>
        <axId val="551327103"/>
        <scaling>
          <orientation val="minMax"/>
          <max val="0.7000000000000001"/>
          <min val="0.3"/>
        </scaling>
        <delete val="0"/>
        <axPos val="l"/>
        <majorGridlines>
          <spPr>
            <a:ln w="9525" cap="flat" cmpd="sng" algn="ctr">
              <a:solidFill>
                <a:schemeClr val="tx1">
                  <a:lumMod val="15000"/>
                  <a:lumOff val="85000"/>
                </a:schemeClr>
              </a:solidFill>
              <a:prstDash val="solid"/>
              <a:round/>
            </a:ln>
          </spPr>
        </majorGridlines>
        <title>
          <tx>
            <rich>
              <a:bodyPr/>
              <a:lstStyle/>
              <a:p>
                <a:pPr>
                  <a:defRPr sz="900" b="0"/>
                </a:pPr>
                <a:r>
                  <a:rPr lang="en-GB" sz="900" b="0"/>
                  <a:t>Seasonally adjusted, people aged 16-64, UK (t</a:t>
                </a:r>
                <a:r>
                  <a:rPr lang="en-GB" sz="900" b="1" i="0" strike="noStrike" kern="1200" spc="0" baseline="0">
                    <a:solidFill>
                      <a:sysClr val="windowText" lastClr="000000"/>
                    </a:solidFill>
                    <a:latin typeface="Arial" panose="020B0604020202020204" pitchFamily="34" charset="0"/>
                    <a:cs typeface="Arial" panose="020B0604020202020204" pitchFamily="34" charset="0"/>
                  </a:rPr>
                  <a:t>% of total</a:t>
                </a:r>
                <a:r>
                  <a:rPr lang="en-GB" sz="900" b="0"/>
                  <a:t>)</a:t>
                </a:r>
              </a:p>
            </rich>
          </tx>
          <layout>
            <manualLayout>
              <xMode val="edge"/>
              <yMode val="edge"/>
              <wMode val="factor"/>
              <hMode val="factor"/>
              <x val="0.01706565409457"/>
              <y val="0.1001562408520894"/>
            </manualLayout>
          </layout>
          <overlay val="0"/>
        </title>
        <numFmt formatCode="0%" sourceLinked="0"/>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ysClr val="windowText" lastClr="000000"/>
                </a:solidFill>
                <a:latin typeface="Arial" panose="020B0604020202020204" pitchFamily="34" charset="0"/>
                <a:ea typeface="+mn-ea"/>
                <a:cs typeface="Arial" panose="020B0604020202020204" pitchFamily="34" charset="0"/>
              </a:defRPr>
            </a:pPr>
            <a:r>
              <a:t/>
            </a:r>
            <a:endParaRPr lang="en-US"/>
          </a:p>
        </txPr>
        <crossAx val="763953999"/>
        <crosses val="autoZero"/>
        <crossBetween val="between"/>
      </valAx>
    </plotArea>
    <legend>
      <legendPos val="b"/>
      <layout>
        <manualLayout>
          <xMode val="edge"/>
          <yMode val="edge"/>
          <wMode val="factor"/>
          <hMode val="factor"/>
          <x val="0.2521317288038605"/>
          <y val="0.898425385611442"/>
          <w val="0.5356874987360848"/>
          <h val="0.08483111144998516"/>
        </manualLayout>
      </layout>
      <overlay val="0"/>
      <spPr>
        <a:noFill/>
        <a:ln>
          <a:noFill/>
          <a:prstDash val="solid"/>
        </a:ln>
      </spPr>
      <txPr>
        <a:bodyPr rot="0" spcFirstLastPara="1" vertOverflow="ellipsis" vert="horz" wrap="square" anchor="ctr" anchorCtr="1"/>
        <a:lstStyle/>
        <a:p>
          <a:pPr>
            <a:defRPr sz="900" b="0" i="0" strike="noStrike" kern="1200" baseline="0">
              <a:solidFill>
                <a:sysClr val="windowText" lastClr="000000"/>
              </a:solidFill>
              <a:latin typeface="Arial" panose="020B0604020202020204" pitchFamily="34" charset="0"/>
              <a:ea typeface="+mn-ea"/>
              <a:cs typeface="Arial" panose="020B0604020202020204" pitchFamily="34" charset="0"/>
            </a:defRPr>
          </a:pPr>
          <a:r>
            <a:t/>
          </a:r>
          <a:endParaRPr lang="en-US"/>
        </a:p>
      </txPr>
    </legend>
    <plotVisOnly val="1"/>
    <dispBlanksAs val="gap"/>
  </chart>
  <spPr>
    <a:solidFill>
      <a:schemeClr val="bg1"/>
    </a:solidFill>
    <a:ln w="6350" cap="flat" cmpd="sng" algn="ctr">
      <a:solidFill>
        <a:schemeClr val="tx1"/>
      </a:solidFill>
      <a:prstDash val="solid"/>
      <a:round/>
    </a:ln>
  </spPr>
</chartSpace>
</file>

<file path=xl/charts/chart29.xml><?xml version="1.0" encoding="utf-8"?>
<chartSpace xmlns:a="http://schemas.openxmlformats.org/drawingml/2006/main" xmlns="http://schemas.openxmlformats.org/drawingml/2006/chart">
  <chart>
    <title>
      <tx>
        <rich>
          <a:bodyPr/>
          <a:lstStyle/>
          <a:p>
            <a:pPr>
              <a:defRPr/>
            </a:pPr>
            <a:r>
              <a:rPr lang="en-GB" sz="1800" b="1" i="0" strike="noStrike" baseline="0">
                <effectLst/>
              </a:rPr>
              <a:t>Quarterly average of labour market flows (thousands of people)</a:t>
            </a:r>
            <a:endParaRPr lang="en-GB"/>
          </a:p>
        </rich>
      </tx>
      <overlay val="0"/>
    </title>
    <plotArea>
      <layout/>
      <barChart>
        <barDir val="col"/>
        <grouping val="clustered"/>
        <varyColors val="0"/>
        <ser>
          <idx val="1"/>
          <order val="0"/>
          <tx>
            <strRef>
              <f>'Labour market flows SA'!$BE$25</f>
              <strCache>
                <ptCount val="1"/>
                <pt idx="0">
                  <v>Q1/Q2/Q3 2025 average</v>
                </pt>
              </strCache>
            </strRef>
          </tx>
          <spPr>
            <a:solidFill>
              <a:srgbClr val="D9DDEA"/>
            </a:solidFill>
            <a:ln w="0">
              <a:solidFill>
                <a:srgbClr val="00285F"/>
              </a:solidFill>
              <a:prstDash val="solid"/>
            </a:ln>
          </spPr>
          <invertIfNegative val="0"/>
          <cat>
            <strRef>
              <f>'Labour market flows SA'!$BF$23:$BL$23</f>
              <strCache>
                <ptCount val="7"/>
                <pt idx="0">
                  <v>Employment to Unemployment</v>
                </pt>
                <pt idx="1">
                  <v>Employment to Economic Inactivity</v>
                </pt>
                <pt idx="2">
                  <v>Unemployment to Employment</v>
                </pt>
                <pt idx="3">
                  <v>Unemployment to Economic Inactivity</v>
                </pt>
                <pt idx="4">
                  <v>Economic Inactivity to Employment</v>
                </pt>
                <pt idx="5">
                  <v>Economic Inactivity to Unemployment</v>
                </pt>
                <pt idx="6">
                  <v>Job to job changes</v>
                </pt>
              </strCache>
            </strRef>
          </cat>
          <val>
            <numRef>
              <f>'Labour market flows SA'!$BF$25:$BL$25</f>
              <numCache>
                <formatCode>#,##0,</formatCode>
                <ptCount val="7"/>
                <pt idx="0">
                  <v>328359.5883560273</v>
                </pt>
                <pt idx="1">
                  <v>573277.4586744556</v>
                </pt>
                <pt idx="2">
                  <v>464918.0265440017</v>
                </pt>
                <pt idx="3">
                  <v>313340.465944694</v>
                </pt>
                <pt idx="4">
                  <v>624566.6606628597</v>
                </pt>
                <pt idx="5">
                  <v>512679.4254138283</v>
                </pt>
                <pt idx="6">
                  <v>720861.5117009786</v>
                </pt>
              </numCache>
            </numRef>
          </val>
        </ser>
        <dLbls>
          <showLegendKey val="0"/>
          <showVal val="0"/>
          <showCatName val="0"/>
          <showSerName val="0"/>
          <showPercent val="0"/>
          <showBubbleSize val="0"/>
        </dLbls>
        <gapWidth val="29"/>
        <axId val="1253552912"/>
        <axId val="1"/>
      </barChart>
      <lineChart>
        <grouping val="stacked"/>
        <varyColors val="0"/>
        <ser>
          <idx val="2"/>
          <order val="2"/>
          <tx>
            <strRef>
              <f>'Labour market flows SA'!$BE$24</f>
              <strCache>
                <ptCount val="1"/>
                <pt idx="0">
                  <v>2015-2024 average</v>
                </pt>
              </strCache>
            </strRef>
          </tx>
          <spPr>
            <a:ln>
              <a:noFill/>
              <a:prstDash val="solid"/>
            </a:ln>
          </spPr>
          <marker>
            <symbol val="diamond"/>
            <size val="13"/>
            <spPr>
              <a:solidFill>
                <a:srgbClr val="00285F"/>
              </a:solidFill>
              <a:ln>
                <a:solidFill>
                  <a:srgbClr val="00285F"/>
                </a:solidFill>
                <a:prstDash val="solid"/>
              </a:ln>
            </spPr>
          </marker>
          <cat>
            <strRef>
              <f>'Labour market flows SA'!$BF$23:$BL$23</f>
              <strCache>
                <ptCount val="7"/>
                <pt idx="0">
                  <v>Employment to Unemployment</v>
                </pt>
                <pt idx="1">
                  <v>Employment to Economic Inactivity</v>
                </pt>
                <pt idx="2">
                  <v>Unemployment to Employment</v>
                </pt>
                <pt idx="3">
                  <v>Unemployment to Economic Inactivity</v>
                </pt>
                <pt idx="4">
                  <v>Economic Inactivity to Employment</v>
                </pt>
                <pt idx="5">
                  <v>Economic Inactivity to Unemployment</v>
                </pt>
                <pt idx="6">
                  <v>Job to job changes</v>
                </pt>
              </strCache>
            </strRef>
          </cat>
          <val>
            <numRef>
              <f>'Labour market flows SA'!$BF$24:$BL$24</f>
              <numCache>
                <formatCode>#,##0,</formatCode>
                <ptCount val="7"/>
                <pt idx="0">
                  <v>303490.980366937</v>
                </pt>
                <pt idx="1">
                  <v>586642.3726382086</v>
                </pt>
                <pt idx="2">
                  <v>441692.3939127623</v>
                </pt>
                <pt idx="3">
                  <v>307144.3855280048</v>
                </pt>
                <pt idx="4">
                  <v>579790.4211481893</v>
                </pt>
                <pt idx="5">
                  <v>428111.4281592508</v>
                </pt>
                <pt idx="6">
                  <v>777991.9103496118</v>
                </pt>
              </numCache>
            </numRef>
          </val>
          <smooth val="0"/>
        </ser>
        <dLbls>
          <showLegendKey val="0"/>
          <showVal val="0"/>
          <showCatName val="0"/>
          <showSerName val="0"/>
          <showPercent val="0"/>
          <showBubbleSize val="0"/>
        </dLbls>
        <marker val="1"/>
        <smooth val="0"/>
        <axId val="81857599"/>
        <axId val="395236927"/>
      </lineChart>
      <catAx>
        <axId val="1253552912"/>
        <scaling>
          <orientation val="minMax"/>
        </scaling>
        <delete val="0"/>
        <axPos val="b"/>
        <numFmt formatCode="General" sourceLinked="1"/>
        <majorTickMark val="out"/>
        <minorTickMark val="none"/>
        <tickLblPos val="nextTo"/>
        <spPr>
          <a:noFill/>
          <a:ln w="9525" cap="flat" cmpd="sng" algn="ctr">
            <a:solidFill>
              <a:schemeClr val="tx1"/>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t/>
            </a:r>
            <a:endParaRPr lang="en-US"/>
          </a:p>
        </txPr>
        <crossAx val="1"/>
        <crosses val="autoZero"/>
        <auto val="1"/>
        <lblAlgn val="ctr"/>
        <lblOffset val="100"/>
        <noMultiLvlLbl val="0"/>
      </catAx>
      <valAx>
        <axId val="1"/>
        <scaling>
          <orientation val="minMax"/>
        </scaling>
        <delete val="0"/>
        <axPos val="l"/>
        <majorGridlines>
          <spPr>
            <a:ln w="9525" cap="flat" cmpd="sng" algn="ctr">
              <a:solidFill>
                <a:schemeClr val="tx1">
                  <a:lumMod val="15000"/>
                  <a:lumOff val="85000"/>
                </a:schemeClr>
              </a:solidFill>
              <a:prstDash val="solid"/>
              <a:round/>
            </a:ln>
          </spPr>
        </majorGridlines>
        <title>
          <tx>
            <rich>
              <a:bodyPr/>
              <a:lstStyle/>
              <a:p>
                <a:pPr>
                  <a:defRPr/>
                </a:pPr>
                <a:r>
                  <a:rPr lang="en-GB" sz="1000" b="0" i="0" strike="noStrike" kern="1200" baseline="0">
                    <a:solidFill>
                      <a:sysClr val="windowText" lastClr="000000"/>
                    </a:solidFill>
                    <a:latin typeface="Arial" panose="020B0604020202020204" pitchFamily="34" charset="0"/>
                    <a:cs typeface="Arial" panose="020B0604020202020204" pitchFamily="34" charset="0"/>
                  </a:rPr>
                  <a:t>Seasonally adjusted, people aged 16-64, UK (thousands)</a:t>
                </a:r>
              </a:p>
            </rich>
          </tx>
          <overlay val="0"/>
        </title>
        <numFmt formatCode="#,##0," sourceLinked="1"/>
        <majorTickMark val="none"/>
        <minorTickMark val="none"/>
        <tickLblPos val="nextTo"/>
        <spPr>
          <a:ln w="9525">
            <a:noFill/>
            <a:prstDash val="solid"/>
          </a:ln>
        </spPr>
        <txPr>
          <a:bodyPr rot="-60000000" spcFirstLastPara="1" vertOverflow="ellipsis" vert="horz" wrap="square" anchor="ctr" anchorCtr="1"/>
          <a:lstStyle/>
          <a:p>
            <a:pPr>
              <a:defRPr sz="900" b="0" i="0" strike="noStrike" kern="1200" baseline="0">
                <a:solidFill>
                  <a:schemeClr val="tx1"/>
                </a:solidFill>
                <a:latin typeface="Arial" panose="020B0604020202020204" pitchFamily="34" charset="0"/>
                <a:ea typeface="+mn-ea"/>
                <a:cs typeface="Arial" panose="020B0604020202020204" pitchFamily="34" charset="0"/>
              </a:defRPr>
            </a:pPr>
            <a:r>
              <a:t/>
            </a:r>
            <a:endParaRPr lang="en-US"/>
          </a:p>
        </txPr>
        <crossAx val="1253552912"/>
        <crosses val="autoZero"/>
        <crossBetween val="between"/>
      </valAx>
      <catAx>
        <axId val="81857599"/>
        <scaling>
          <orientation val="minMax"/>
        </scaling>
        <delete val="1"/>
        <axPos val="b"/>
        <numFmt formatCode="General" sourceLinked="1"/>
        <majorTickMark val="out"/>
        <minorTickMark val="none"/>
        <tickLblPos val="nextTo"/>
        <crossAx val="395236927"/>
        <crosses val="autoZero"/>
        <auto val="1"/>
        <lblAlgn val="ctr"/>
        <lblOffset val="100"/>
        <noMultiLvlLbl val="0"/>
      </catAx>
      <valAx>
        <axId val="395236927"/>
        <scaling>
          <orientation val="minMax"/>
          <max val="800000"/>
        </scaling>
        <delete val="0"/>
        <axPos val="r"/>
        <numFmt formatCode="#,##0," sourceLinked="1"/>
        <majorTickMark val="none"/>
        <minorTickMark val="none"/>
        <spPr>
          <a:ln>
            <a:noFill/>
            <a:prstDash val="solid"/>
          </a:ln>
        </spPr>
        <crossAx val="81857599"/>
        <crosses val="max"/>
        <crossBetween val="between"/>
      </valAx>
    </plotArea>
    <legend>
      <legendPos val="b"/>
      <overlay val="0"/>
      <spPr>
        <a:noFill/>
        <a:ln w="25400">
          <a:noFill/>
          <a:prstDash val="solid"/>
        </a:ln>
      </spPr>
      <txPr>
        <a:bodyPr rot="0" spcFirstLastPara="1" vertOverflow="ellipsis" vert="horz" wrap="square" anchor="ctr" anchorCtr="1"/>
        <a:lstStyle/>
        <a:p>
          <a:pPr>
            <a:defRPr sz="105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30.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0" i="0" strike="noStrike" kern="1200" spc="0" baseline="0">
                <a:solidFill>
                  <a:schemeClr val="tx1"/>
                </a:solidFill>
                <a:latin typeface="Arial" panose="020B0604020202020204" pitchFamily="34" charset="0"/>
                <a:ea typeface="+mn-ea"/>
                <a:cs typeface="Arial" panose="020B0604020202020204" pitchFamily="34" charset="0"/>
              </a:defRPr>
            </a:pPr>
            <a:r>
              <a:rPr lang="en-US"/>
              <a:t xml:space="preserve">Real Average Weekly Earnings (Constant 2015 Prices, seasonally adjusted): £ </a:t>
            </a:r>
          </a:p>
        </rich>
      </tx>
      <overlay val="0"/>
      <spPr>
        <a:noFill/>
        <a:ln>
          <a:noFill/>
          <a:prstDash val="solid"/>
        </a:ln>
      </spPr>
      <txPr>
        <a:bodyPr rot="0" spcFirstLastPara="1" vertOverflow="ellipsis" vert="horz" wrap="square" anchor="ctr" anchorCtr="1"/>
        <a:lstStyle/>
        <a:p>
          <a:pPr>
            <a:defRPr sz="1400" b="0" i="0" strike="noStrike" kern="1200" spc="0" baseline="0">
              <a:solidFill>
                <a:schemeClr val="tx1"/>
              </a:solidFill>
              <a:latin typeface="Arial" panose="020B0604020202020204" pitchFamily="34" charset="0"/>
              <a:ea typeface="+mn-ea"/>
              <a:cs typeface="Arial" panose="020B0604020202020204" pitchFamily="34" charset="0"/>
            </a:defRPr>
          </a:pPr>
          <a:r>
            <a:t/>
          </a:r>
          <a:endParaRPr lang="en-US"/>
        </a:p>
      </txPr>
    </title>
    <plotArea>
      <layout/>
      <lineChart>
        <grouping val="standard"/>
        <varyColors val="0"/>
        <ser>
          <idx val="0"/>
          <order val="0"/>
          <tx>
            <strRef>
              <f>'Real Wages Chart'!$C$1</f>
              <strCache>
                <ptCount val="1"/>
                <pt idx="0">
                  <v>Total Pay</v>
                </pt>
              </strCache>
            </strRef>
          </tx>
          <spPr>
            <a:ln w="28575" cap="rnd">
              <a:solidFill>
                <a:srgbClr val="00285F"/>
              </a:solidFill>
              <a:prstDash val="solid"/>
              <a:round/>
            </a:ln>
          </spPr>
          <marker>
            <symbol val="none"/>
            <spPr>
              <a:ln>
                <a:prstDash val="solid"/>
              </a:ln>
            </spPr>
          </marker>
          <cat>
            <numRef>
              <f>'Real Wages Chart'!$A$2:$A$300</f>
              <numCache>
                <formatCode>m/d/yyyy</formatCode>
                <ptCount val="299"/>
                <pt idx="0">
                  <v>36526</v>
                </pt>
                <pt idx="1">
                  <v>36557</v>
                </pt>
                <pt idx="2">
                  <v>36586</v>
                </pt>
                <pt idx="3">
                  <v>36617</v>
                </pt>
                <pt idx="4">
                  <v>36647</v>
                </pt>
                <pt idx="5">
                  <v>36678</v>
                </pt>
                <pt idx="6">
                  <v>36708</v>
                </pt>
                <pt idx="7">
                  <v>36739</v>
                </pt>
                <pt idx="8">
                  <v>36770</v>
                </pt>
                <pt idx="9">
                  <v>36800</v>
                </pt>
                <pt idx="10">
                  <v>36831</v>
                </pt>
                <pt idx="11">
                  <v>36861</v>
                </pt>
                <pt idx="12">
                  <v>36892</v>
                </pt>
                <pt idx="13">
                  <v>36923</v>
                </pt>
                <pt idx="14">
                  <v>36951</v>
                </pt>
                <pt idx="15">
                  <v>36982</v>
                </pt>
                <pt idx="16">
                  <v>37012</v>
                </pt>
                <pt idx="17">
                  <v>37043</v>
                </pt>
                <pt idx="18">
                  <v>37073</v>
                </pt>
                <pt idx="19">
                  <v>37104</v>
                </pt>
                <pt idx="20">
                  <v>37135</v>
                </pt>
                <pt idx="21">
                  <v>37165</v>
                </pt>
                <pt idx="22">
                  <v>37196</v>
                </pt>
                <pt idx="23">
                  <v>37226</v>
                </pt>
                <pt idx="24">
                  <v>37257</v>
                </pt>
                <pt idx="25">
                  <v>37288</v>
                </pt>
                <pt idx="26">
                  <v>37316</v>
                </pt>
                <pt idx="27">
                  <v>37347</v>
                </pt>
                <pt idx="28">
                  <v>37377</v>
                </pt>
                <pt idx="29">
                  <v>37408</v>
                </pt>
                <pt idx="30">
                  <v>37438</v>
                </pt>
                <pt idx="31">
                  <v>37469</v>
                </pt>
                <pt idx="32">
                  <v>37500</v>
                </pt>
                <pt idx="33">
                  <v>37530</v>
                </pt>
                <pt idx="34">
                  <v>37561</v>
                </pt>
                <pt idx="35">
                  <v>37591</v>
                </pt>
                <pt idx="36">
                  <v>37622</v>
                </pt>
                <pt idx="37">
                  <v>37653</v>
                </pt>
                <pt idx="38">
                  <v>37681</v>
                </pt>
                <pt idx="39">
                  <v>37712</v>
                </pt>
                <pt idx="40">
                  <v>37742</v>
                </pt>
                <pt idx="41">
                  <v>37773</v>
                </pt>
                <pt idx="42">
                  <v>37803</v>
                </pt>
                <pt idx="43">
                  <v>37834</v>
                </pt>
                <pt idx="44">
                  <v>37865</v>
                </pt>
                <pt idx="45">
                  <v>37895</v>
                </pt>
                <pt idx="46">
                  <v>37926</v>
                </pt>
                <pt idx="47">
                  <v>37956</v>
                </pt>
                <pt idx="48">
                  <v>37987</v>
                </pt>
                <pt idx="49">
                  <v>38018</v>
                </pt>
                <pt idx="50">
                  <v>38047</v>
                </pt>
                <pt idx="51">
                  <v>38078</v>
                </pt>
                <pt idx="52">
                  <v>38108</v>
                </pt>
                <pt idx="53">
                  <v>38139</v>
                </pt>
                <pt idx="54">
                  <v>38169</v>
                </pt>
                <pt idx="55">
                  <v>38200</v>
                </pt>
                <pt idx="56">
                  <v>38231</v>
                </pt>
                <pt idx="57">
                  <v>38261</v>
                </pt>
                <pt idx="58">
                  <v>38292</v>
                </pt>
                <pt idx="59">
                  <v>38322</v>
                </pt>
                <pt idx="60">
                  <v>38353</v>
                </pt>
                <pt idx="61">
                  <v>38384</v>
                </pt>
                <pt idx="62">
                  <v>38412</v>
                </pt>
                <pt idx="63">
                  <v>38443</v>
                </pt>
                <pt idx="64">
                  <v>38473</v>
                </pt>
                <pt idx="65">
                  <v>38504</v>
                </pt>
                <pt idx="66">
                  <v>38534</v>
                </pt>
                <pt idx="67">
                  <v>38565</v>
                </pt>
                <pt idx="68">
                  <v>38596</v>
                </pt>
                <pt idx="69">
                  <v>38626</v>
                </pt>
                <pt idx="70">
                  <v>38657</v>
                </pt>
                <pt idx="71">
                  <v>38687</v>
                </pt>
                <pt idx="72">
                  <v>38718</v>
                </pt>
                <pt idx="73">
                  <v>38749</v>
                </pt>
                <pt idx="74">
                  <v>38777</v>
                </pt>
                <pt idx="75">
                  <v>38808</v>
                </pt>
                <pt idx="76">
                  <v>38838</v>
                </pt>
                <pt idx="77">
                  <v>38869</v>
                </pt>
                <pt idx="78">
                  <v>38899</v>
                </pt>
                <pt idx="79">
                  <v>38930</v>
                </pt>
                <pt idx="80">
                  <v>38961</v>
                </pt>
                <pt idx="81">
                  <v>38991</v>
                </pt>
                <pt idx="82">
                  <v>39022</v>
                </pt>
                <pt idx="83">
                  <v>39052</v>
                </pt>
                <pt idx="84">
                  <v>39083</v>
                </pt>
                <pt idx="85">
                  <v>39115</v>
                </pt>
                <pt idx="86">
                  <v>39142</v>
                </pt>
                <pt idx="87">
                  <v>39173</v>
                </pt>
                <pt idx="88">
                  <v>39203</v>
                </pt>
                <pt idx="89">
                  <v>39234</v>
                </pt>
                <pt idx="90">
                  <v>39264</v>
                </pt>
                <pt idx="91">
                  <v>39295</v>
                </pt>
                <pt idx="92">
                  <v>39326</v>
                </pt>
                <pt idx="93">
                  <v>39356</v>
                </pt>
                <pt idx="94">
                  <v>39388</v>
                </pt>
                <pt idx="95">
                  <v>39417</v>
                </pt>
                <pt idx="96">
                  <v>39448</v>
                </pt>
                <pt idx="97">
                  <v>39479</v>
                </pt>
                <pt idx="98">
                  <v>39508</v>
                </pt>
                <pt idx="99">
                  <v>39539</v>
                </pt>
                <pt idx="100">
                  <v>39569</v>
                </pt>
                <pt idx="101">
                  <v>39602</v>
                </pt>
                <pt idx="102">
                  <v>39630</v>
                </pt>
                <pt idx="103">
                  <v>39661</v>
                </pt>
                <pt idx="104">
                  <v>39692</v>
                </pt>
                <pt idx="105">
                  <v>39722</v>
                </pt>
                <pt idx="106">
                  <v>39753</v>
                </pt>
                <pt idx="107">
                  <v>39783</v>
                </pt>
                <pt idx="108">
                  <v>39814</v>
                </pt>
                <pt idx="109">
                  <v>39845</v>
                </pt>
                <pt idx="110">
                  <v>39873</v>
                </pt>
                <pt idx="111">
                  <v>39904</v>
                </pt>
                <pt idx="112">
                  <v>39934</v>
                </pt>
                <pt idx="113">
                  <v>39965</v>
                </pt>
                <pt idx="114">
                  <v>39995</v>
                </pt>
                <pt idx="115">
                  <v>40026</v>
                </pt>
                <pt idx="116">
                  <v>40057</v>
                </pt>
                <pt idx="117">
                  <v>40087</v>
                </pt>
                <pt idx="118">
                  <v>40118</v>
                </pt>
                <pt idx="119">
                  <v>40148</v>
                </pt>
                <pt idx="120">
                  <v>40179</v>
                </pt>
                <pt idx="121">
                  <v>40210</v>
                </pt>
                <pt idx="122">
                  <v>40238</v>
                </pt>
                <pt idx="123">
                  <v>40269</v>
                </pt>
                <pt idx="124">
                  <v>40299</v>
                </pt>
                <pt idx="125">
                  <v>40330</v>
                </pt>
                <pt idx="126">
                  <v>40360</v>
                </pt>
                <pt idx="127">
                  <v>40391</v>
                </pt>
                <pt idx="128">
                  <v>40422</v>
                </pt>
                <pt idx="129">
                  <v>40452</v>
                </pt>
                <pt idx="130">
                  <v>40483</v>
                </pt>
                <pt idx="131">
                  <v>40513</v>
                </pt>
                <pt idx="132">
                  <v>40544</v>
                </pt>
                <pt idx="133">
                  <v>40575</v>
                </pt>
                <pt idx="134">
                  <v>40603</v>
                </pt>
                <pt idx="135">
                  <v>40634</v>
                </pt>
                <pt idx="136">
                  <v>40664</v>
                </pt>
                <pt idx="137">
                  <v>40695</v>
                </pt>
                <pt idx="138">
                  <v>40725</v>
                </pt>
                <pt idx="139">
                  <v>40756</v>
                </pt>
                <pt idx="140">
                  <v>40787</v>
                </pt>
                <pt idx="141">
                  <v>40817</v>
                </pt>
                <pt idx="142">
                  <v>40848</v>
                </pt>
                <pt idx="143">
                  <v>40878</v>
                </pt>
                <pt idx="144">
                  <v>40909</v>
                </pt>
                <pt idx="145">
                  <v>40940</v>
                </pt>
                <pt idx="146">
                  <v>40969</v>
                </pt>
                <pt idx="147">
                  <v>41000</v>
                </pt>
                <pt idx="148">
                  <v>41030</v>
                </pt>
                <pt idx="149">
                  <v>41061</v>
                </pt>
                <pt idx="150">
                  <v>41091</v>
                </pt>
                <pt idx="151">
                  <v>41122</v>
                </pt>
                <pt idx="152">
                  <v>41153</v>
                </pt>
                <pt idx="153">
                  <v>41183</v>
                </pt>
                <pt idx="154">
                  <v>41214</v>
                </pt>
                <pt idx="155">
                  <v>41244</v>
                </pt>
                <pt idx="156">
                  <v>41275</v>
                </pt>
                <pt idx="157">
                  <v>41306</v>
                </pt>
                <pt idx="158">
                  <v>41334</v>
                </pt>
                <pt idx="159">
                  <v>41365</v>
                </pt>
                <pt idx="160">
                  <v>41395</v>
                </pt>
                <pt idx="161">
                  <v>41426</v>
                </pt>
                <pt idx="162">
                  <v>41456</v>
                </pt>
                <pt idx="163">
                  <v>41487</v>
                </pt>
                <pt idx="164">
                  <v>41518</v>
                </pt>
                <pt idx="165">
                  <v>41548</v>
                </pt>
                <pt idx="166">
                  <v>41579</v>
                </pt>
                <pt idx="167">
                  <v>41609</v>
                </pt>
                <pt idx="168">
                  <v>41640</v>
                </pt>
                <pt idx="169">
                  <v>41671</v>
                </pt>
                <pt idx="170">
                  <v>41699</v>
                </pt>
                <pt idx="171">
                  <v>41730</v>
                </pt>
                <pt idx="172">
                  <v>41760</v>
                </pt>
                <pt idx="173">
                  <v>41791</v>
                </pt>
                <pt idx="174">
                  <v>41821</v>
                </pt>
                <pt idx="175">
                  <v>41852</v>
                </pt>
                <pt idx="176">
                  <v>41883</v>
                </pt>
                <pt idx="177">
                  <v>41913</v>
                </pt>
                <pt idx="178">
                  <v>41944</v>
                </pt>
                <pt idx="179">
                  <v>41974</v>
                </pt>
                <pt idx="180">
                  <v>42005</v>
                </pt>
                <pt idx="181">
                  <v>42036</v>
                </pt>
                <pt idx="182">
                  <v>42064</v>
                </pt>
                <pt idx="183">
                  <v>42095</v>
                </pt>
                <pt idx="184">
                  <v>42125</v>
                </pt>
                <pt idx="185">
                  <v>42156</v>
                </pt>
                <pt idx="186">
                  <v>42186</v>
                </pt>
                <pt idx="187">
                  <v>42217</v>
                </pt>
                <pt idx="188">
                  <v>42248</v>
                </pt>
                <pt idx="189">
                  <v>42278</v>
                </pt>
                <pt idx="190">
                  <v>42309</v>
                </pt>
                <pt idx="191">
                  <v>42339</v>
                </pt>
                <pt idx="192">
                  <v>42370</v>
                </pt>
                <pt idx="193">
                  <v>42401</v>
                </pt>
                <pt idx="194">
                  <v>42430</v>
                </pt>
                <pt idx="195">
                  <v>42461</v>
                </pt>
                <pt idx="196">
                  <v>42491</v>
                </pt>
                <pt idx="197">
                  <v>42522</v>
                </pt>
                <pt idx="198">
                  <v>42552</v>
                </pt>
                <pt idx="199">
                  <v>42583</v>
                </pt>
                <pt idx="200">
                  <v>42614</v>
                </pt>
                <pt idx="201">
                  <v>42644</v>
                </pt>
                <pt idx="202">
                  <v>42675</v>
                </pt>
                <pt idx="203">
                  <v>42705</v>
                </pt>
                <pt idx="204">
                  <v>42736</v>
                </pt>
                <pt idx="205">
                  <v>42767</v>
                </pt>
                <pt idx="206">
                  <v>42795</v>
                </pt>
                <pt idx="207">
                  <v>42826</v>
                </pt>
                <pt idx="208">
                  <v>42856</v>
                </pt>
                <pt idx="209">
                  <v>42887</v>
                </pt>
                <pt idx="210">
                  <v>42917</v>
                </pt>
                <pt idx="211">
                  <v>42948</v>
                </pt>
                <pt idx="212">
                  <v>42979</v>
                </pt>
                <pt idx="213">
                  <v>43009</v>
                </pt>
                <pt idx="214">
                  <v>43040</v>
                </pt>
                <pt idx="215">
                  <v>43070</v>
                </pt>
                <pt idx="216">
                  <v>43101</v>
                </pt>
                <pt idx="217">
                  <v>43132</v>
                </pt>
                <pt idx="218">
                  <v>43160</v>
                </pt>
                <pt idx="219">
                  <v>43191</v>
                </pt>
                <pt idx="220">
                  <v>43221</v>
                </pt>
                <pt idx="221">
                  <v>43252</v>
                </pt>
                <pt idx="222">
                  <v>43282</v>
                </pt>
                <pt idx="223">
                  <v>43313</v>
                </pt>
                <pt idx="224">
                  <v>43344</v>
                </pt>
                <pt idx="225">
                  <v>43374</v>
                </pt>
                <pt idx="226">
                  <v>43405</v>
                </pt>
                <pt idx="227">
                  <v>43435</v>
                </pt>
                <pt idx="228">
                  <v>43466</v>
                </pt>
                <pt idx="229">
                  <v>43497</v>
                </pt>
                <pt idx="230">
                  <v>43525</v>
                </pt>
                <pt idx="231">
                  <v>43556</v>
                </pt>
                <pt idx="232">
                  <v>43586</v>
                </pt>
                <pt idx="233">
                  <v>43617</v>
                </pt>
                <pt idx="234">
                  <v>43647</v>
                </pt>
                <pt idx="235">
                  <v>43678</v>
                </pt>
                <pt idx="236">
                  <v>43709</v>
                </pt>
                <pt idx="237">
                  <v>43739</v>
                </pt>
                <pt idx="238">
                  <v>43770</v>
                </pt>
                <pt idx="239">
                  <v>43800</v>
                </pt>
                <pt idx="240">
                  <v>43831</v>
                </pt>
                <pt idx="241">
                  <v>43862</v>
                </pt>
                <pt idx="242">
                  <v>43891</v>
                </pt>
                <pt idx="243">
                  <v>43922</v>
                </pt>
                <pt idx="244">
                  <v>43952</v>
                </pt>
                <pt idx="245">
                  <v>43983</v>
                </pt>
                <pt idx="246">
                  <v>44013</v>
                </pt>
                <pt idx="247">
                  <v>44044</v>
                </pt>
                <pt idx="248">
                  <v>44075</v>
                </pt>
                <pt idx="249">
                  <v>44105</v>
                </pt>
                <pt idx="250">
                  <v>44136</v>
                </pt>
                <pt idx="251">
                  <v>44166</v>
                </pt>
                <pt idx="252">
                  <v>44197</v>
                </pt>
                <pt idx="253">
                  <v>44228</v>
                </pt>
                <pt idx="254">
                  <v>44256</v>
                </pt>
                <pt idx="255">
                  <v>44287</v>
                </pt>
                <pt idx="256">
                  <v>44317</v>
                </pt>
                <pt idx="257">
                  <v>44348</v>
                </pt>
                <pt idx="258">
                  <v>44378</v>
                </pt>
                <pt idx="259">
                  <v>44409</v>
                </pt>
                <pt idx="260">
                  <v>44440</v>
                </pt>
                <pt idx="261">
                  <v>44470</v>
                </pt>
                <pt idx="262">
                  <v>44501</v>
                </pt>
                <pt idx="263">
                  <v>44531</v>
                </pt>
                <pt idx="264">
                  <v>44562</v>
                </pt>
                <pt idx="265">
                  <v>44593</v>
                </pt>
                <pt idx="266">
                  <v>44621</v>
                </pt>
                <pt idx="267">
                  <v>44652</v>
                </pt>
                <pt idx="268">
                  <v>44682</v>
                </pt>
                <pt idx="269">
                  <v>44713</v>
                </pt>
                <pt idx="270">
                  <v>44743</v>
                </pt>
                <pt idx="271">
                  <v>44774</v>
                </pt>
                <pt idx="272">
                  <v>44805</v>
                </pt>
                <pt idx="273">
                  <v>44835</v>
                </pt>
                <pt idx="274">
                  <v>44866</v>
                </pt>
                <pt idx="275">
                  <v>44896</v>
                </pt>
                <pt idx="276">
                  <v>44927</v>
                </pt>
                <pt idx="277">
                  <v>44958</v>
                </pt>
                <pt idx="278">
                  <v>44986</v>
                </pt>
                <pt idx="279">
                  <v>45017</v>
                </pt>
                <pt idx="280">
                  <v>45047</v>
                </pt>
                <pt idx="281">
                  <v>45078</v>
                </pt>
                <pt idx="282">
                  <v>45108</v>
                </pt>
                <pt idx="283">
                  <v>45139</v>
                </pt>
                <pt idx="284">
                  <v>45170</v>
                </pt>
                <pt idx="285">
                  <v>45200</v>
                </pt>
                <pt idx="286">
                  <v>45231</v>
                </pt>
                <pt idx="287">
                  <v>45261</v>
                </pt>
                <pt idx="288">
                  <v>45292</v>
                </pt>
                <pt idx="289">
                  <v>45323</v>
                </pt>
                <pt idx="290">
                  <v>45352</v>
                </pt>
                <pt idx="291">
                  <v>45383</v>
                </pt>
                <pt idx="292">
                  <v>45413</v>
                </pt>
                <pt idx="293">
                  <v>45444</v>
                </pt>
                <pt idx="294">
                  <v>45474</v>
                </pt>
                <pt idx="295">
                  <v>45505</v>
                </pt>
                <pt idx="296">
                  <v>45536</v>
                </pt>
                <pt idx="297">
                  <v>45566</v>
                </pt>
                <pt idx="298">
                  <v>45597</v>
                </pt>
              </numCache>
            </numRef>
          </cat>
          <val>
            <numRef>
              <f>'Real Wages Chart'!$C$2:$C$300</f>
              <numCache>
                <formatCode>0</formatCode>
                <ptCount val="299"/>
                <pt idx="0">
                  <v>423.9527356231867</v>
                </pt>
                <pt idx="1">
                  <v>414.2736481092207</v>
                </pt>
                <pt idx="2">
                  <v>429.2198002417559</v>
                </pt>
                <pt idx="3">
                  <v>426.4663760702282</v>
                </pt>
                <pt idx="4">
                  <v>430.207379235945</v>
                </pt>
                <pt idx="5">
                  <v>428.7613729535348</v>
                </pt>
                <pt idx="6">
                  <v>431.7399440374973</v>
                </pt>
                <pt idx="7">
                  <v>434.5230104652888</v>
                </pt>
                <pt idx="8">
                  <v>435.5863965519046</v>
                </pt>
                <pt idx="9">
                  <v>435.9532012475431</v>
                </pt>
                <pt idx="10">
                  <v>437.1481355203839</v>
                </pt>
                <pt idx="11">
                  <v>443.0559891940694</v>
                </pt>
                <pt idx="12">
                  <v>442.9672439031228</v>
                </pt>
                <pt idx="13">
                  <v>446.107649853953</v>
                </pt>
                <pt idx="14">
                  <v>444.8430282951424</v>
                </pt>
                <pt idx="15">
                  <v>446.0218679461746</v>
                </pt>
                <pt idx="16">
                  <v>444.2331741703526</v>
                </pt>
                <pt idx="17">
                  <v>445.7564012007622</v>
                </pt>
                <pt idx="18">
                  <v>446.1247091109193</v>
                </pt>
                <pt idx="19">
                  <v>448.3119244158936</v>
                </pt>
                <pt idx="20">
                  <v>448.9758756431582</v>
                </pt>
                <pt idx="21">
                  <v>451.5368436174289</v>
                </pt>
                <pt idx="22">
                  <v>452.8341026291611</v>
                </pt>
                <pt idx="23">
                  <v>453.2575683613226</v>
                </pt>
                <pt idx="24">
                  <v>451.4586644284526</v>
                </pt>
                <pt idx="25">
                  <v>452.4608170233633</v>
                </pt>
                <pt idx="26">
                  <v>449.2907518000511</v>
                </pt>
                <pt idx="27">
                  <v>456.1482505510946</v>
                </pt>
                <pt idx="28">
                  <v>456.478496331932</v>
                </pt>
                <pt idx="29">
                  <v>458.659510486238</v>
                </pt>
                <pt idx="30">
                  <v>459.1390323747631</v>
                </pt>
                <pt idx="31">
                  <v>457.8939821514708</v>
                </pt>
                <pt idx="32">
                  <v>458.8890913101895</v>
                </pt>
                <pt idx="33">
                  <v>458.199206126189</v>
                </pt>
                <pt idx="34">
                  <v>459.051144834191</v>
                </pt>
                <pt idx="35">
                  <v>457.8435585448687</v>
                </pt>
                <pt idx="36">
                  <v>454.6517530453689</v>
                </pt>
                <pt idx="37">
                  <v>455.0503363050835</v>
                </pt>
                <pt idx="38">
                  <v>461.7823030580163</v>
                </pt>
                <pt idx="39">
                  <v>461.6188815859171</v>
                </pt>
                <pt idx="40">
                  <v>463.5916565537154</v>
                </pt>
                <pt idx="41">
                  <v>465.0884097166306</v>
                </pt>
                <pt idx="42">
                  <v>466.806802145835</v>
                </pt>
                <pt idx="43">
                  <v>466.8154329160313</v>
                </pt>
                <pt idx="44">
                  <v>468.5875711853275</v>
                </pt>
                <pt idx="45">
                  <v>470.2253446439231</v>
                </pt>
                <pt idx="46">
                  <v>470.7185451753099</v>
                </pt>
                <pt idx="47">
                  <v>470.6689756994597</v>
                </pt>
                <pt idx="48">
                  <v>480.7226110446579</v>
                </pt>
                <pt idx="49">
                  <v>464.5318114582283</v>
                </pt>
                <pt idx="50">
                  <v>473.7132286744594</v>
                </pt>
                <pt idx="51">
                  <v>475.1970520132957</v>
                </pt>
                <pt idx="52">
                  <v>476.5039119646892</v>
                </pt>
                <pt idx="53">
                  <v>476.6515466407294</v>
                </pt>
                <pt idx="54">
                  <v>477.8383748015942</v>
                </pt>
                <pt idx="55">
                  <v>480.7447967123852</v>
                </pt>
                <pt idx="56">
                  <v>482.7413753143398</v>
                </pt>
                <pt idx="57">
                  <v>484.612836364599</v>
                </pt>
                <pt idx="58">
                  <v>483.6560548703661</v>
                </pt>
                <pt idx="59">
                  <v>484.0761928142118</v>
                </pt>
                <pt idx="60">
                  <v>491.4959514459453</v>
                </pt>
                <pt idx="61">
                  <v>482.2812745150296</v>
                </pt>
                <pt idx="62">
                  <v>484.1639415273246</v>
                </pt>
                <pt idx="63">
                  <v>487.6392813111012</v>
                </pt>
                <pt idx="64">
                  <v>488.1751066789312</v>
                </pt>
                <pt idx="65">
                  <v>488.0842640997931</v>
                </pt>
                <pt idx="66">
                  <v>489.9000507660985</v>
                </pt>
                <pt idx="67">
                  <v>493.7508566617747</v>
                </pt>
                <pt idx="68">
                  <v>493.9780756869766</v>
                </pt>
                <pt idx="69">
                  <v>494.3809567506315</v>
                </pt>
                <pt idx="70">
                  <v>496.561732749891</v>
                </pt>
                <pt idx="71">
                  <v>496.2506435566318</v>
                </pt>
                <pt idx="72">
                  <v>497.1490373810102</v>
                </pt>
                <pt idx="73">
                  <v>498.7002821669137</v>
                </pt>
                <pt idx="74">
                  <v>503.206049929877</v>
                </pt>
                <pt idx="75">
                  <v>498.6314539565763</v>
                </pt>
                <pt idx="76">
                  <v>499.7902366326682</v>
                </pt>
                <pt idx="77">
                  <v>502.6846758065035</v>
                </pt>
                <pt idx="78">
                  <v>501.4416751571263</v>
                </pt>
                <pt idx="79">
                  <v>499.9357744302134</v>
                </pt>
                <pt idx="80">
                  <v>500.6618099379339</v>
                </pt>
                <pt idx="81">
                  <v>503.9918544929649</v>
                </pt>
                <pt idx="82">
                  <v>504.5204683857282</v>
                </pt>
                <pt idx="83">
                  <v>509.5780331612511</v>
                </pt>
                <pt idx="84">
                  <v>512.9466860093519</v>
                </pt>
                <pt idx="85">
                  <v>518.0320134669023</v>
                </pt>
                <pt idx="86">
                  <v>510.2718736727569</v>
                </pt>
                <pt idx="87">
                  <v>506.3830683381075</v>
                </pt>
                <pt idx="88">
                  <v>510.6718111020402</v>
                </pt>
                <pt idx="89">
                  <v>512.921279608459</v>
                </pt>
                <pt idx="90">
                  <v>515.7871856796996</v>
                </pt>
                <pt idx="91">
                  <v>517.1977891577303</v>
                </pt>
                <pt idx="92">
                  <v>519.2658862919728</v>
                </pt>
                <pt idx="93">
                  <v>514.7137214296746</v>
                </pt>
                <pt idx="94">
                  <v>517.4283775477671</v>
                </pt>
                <pt idx="95">
                  <v>514.9024319242592</v>
                </pt>
                <pt idx="96">
                  <v>520.3647352883661</v>
                </pt>
                <pt idx="97">
                  <v>525.3864977125739</v>
                </pt>
                <pt idx="98">
                  <v>522.637894127914</v>
                </pt>
                <pt idx="99">
                  <v>515.270138434468</v>
                </pt>
                <pt idx="100">
                  <v>514.879266298963</v>
                </pt>
                <pt idx="101">
                  <v>510.5778409351231</v>
                </pt>
                <pt idx="102">
                  <v>510.6704717541616</v>
                </pt>
                <pt idx="103">
                  <v>508.8277273914671</v>
                </pt>
                <pt idx="104">
                  <v>506.7825105808557</v>
                </pt>
                <pt idx="105">
                  <v>509.8311521506824</v>
                </pt>
                <pt idx="106">
                  <v>508.5390407328717</v>
                </pt>
                <pt idx="107">
                  <v>512.5819245766916</v>
                </pt>
                <pt idx="108">
                  <v>497.445541322698</v>
                </pt>
                <pt idx="109">
                  <v>479.2611370882536</v>
                </pt>
                <pt idx="110">
                  <v>504.4267418093509</v>
                </pt>
                <pt idx="111">
                  <v>510.3284276217047</v>
                </pt>
                <pt idx="112">
                  <v>508.093295719247</v>
                </pt>
                <pt idx="113">
                  <v>506.7630767983979</v>
                </pt>
                <pt idx="114">
                  <v>503.7707613224335</v>
                </pt>
                <pt idx="115">
                  <v>504.0420804137034</v>
                </pt>
                <pt idx="116">
                  <v>504.9545108755863</v>
                </pt>
                <pt idx="117">
                  <v>503.9321597719447</v>
                </pt>
                <pt idx="118">
                  <v>502.6289723522962</v>
                </pt>
                <pt idx="119">
                  <v>502.8358738553872</v>
                </pt>
                <pt idx="120">
                  <v>494.2565159638652</v>
                </pt>
                <pt idx="121">
                  <v>505.8944844918499</v>
                </pt>
                <pt idx="122">
                  <v>499.2846667169327</v>
                </pt>
                <pt idx="123">
                  <v>497.8851359121658</v>
                </pt>
                <pt idx="124">
                  <v>498.5418757845994</v>
                </pt>
                <pt idx="125">
                  <v>496.2755323972142</v>
                </pt>
                <pt idx="126">
                  <v>496.5574686854379</v>
                </pt>
                <pt idx="127">
                  <v>497.1510702925123</v>
                </pt>
                <pt idx="128">
                  <v>498.0828254862719</v>
                </pt>
                <pt idx="129">
                  <v>496.7325015884898</v>
                </pt>
                <pt idx="130">
                  <v>496.0483209542633</v>
                </pt>
                <pt idx="131">
                  <v>493.9140421273949</v>
                </pt>
                <pt idx="132">
                  <v>497.1569213029028</v>
                </pt>
                <pt idx="133">
                  <v>493.0590240151154</v>
                </pt>
                <pt idx="134">
                  <v>493.2590120810486</v>
                </pt>
                <pt idx="135">
                  <v>486.8438924594511</v>
                </pt>
                <pt idx="136">
                  <v>487.8280989416632</v>
                </pt>
                <pt idx="137">
                  <v>490.0091965191731</v>
                </pt>
                <pt idx="138">
                  <v>488.2090086552333</v>
                </pt>
                <pt idx="139">
                  <v>484.5638484035862</v>
                </pt>
                <pt idx="140">
                  <v>482.6072252791598</v>
                </pt>
                <pt idx="141">
                  <v>483.1202648711601</v>
                </pt>
                <pt idx="142">
                  <v>483.0314228735279</v>
                </pt>
                <pt idx="143">
                  <v>482.1735644368721</v>
                </pt>
                <pt idx="144">
                  <v>480.8746863316335</v>
                </pt>
                <pt idx="145">
                  <v>481.645970233609</v>
                </pt>
                <pt idx="146">
                  <v>480.62878919049</v>
                </pt>
                <pt idx="147">
                  <v>482.203513853991</v>
                </pt>
                <pt idx="148">
                  <v>482.6506938502872</v>
                </pt>
                <pt idx="149">
                  <v>483.6939715490855</v>
                </pt>
                <pt idx="150">
                  <v>483.0389166537345</v>
                </pt>
                <pt idx="151">
                  <v>483.2621010570695</v>
                </pt>
                <pt idx="152">
                  <v>480.1075160211866</v>
                </pt>
                <pt idx="153">
                  <v>477.449393119311</v>
                </pt>
                <pt idx="154">
                  <v>477.5176125709011</v>
                </pt>
                <pt idx="155">
                  <v>474.9127265669494</v>
                </pt>
                <pt idx="156">
                  <v>473.8358635685465</v>
                </pt>
                <pt idx="157">
                  <v>473.2768668304254</v>
                </pt>
                <pt idx="158">
                  <v>464.2012267761367</v>
                </pt>
                <pt idx="159">
                  <v>488.1623836838987</v>
                </pt>
                <pt idx="160">
                  <v>477.2053441469166</v>
                </pt>
                <pt idx="161">
                  <v>474.9783359439771</v>
                </pt>
                <pt idx="162">
                  <v>473.5952919691961</v>
                </pt>
                <pt idx="163">
                  <v>472.8955029984544</v>
                </pt>
                <pt idx="164">
                  <v>472.2126807542176</v>
                </pt>
                <pt idx="165">
                  <v>471.8821756909661</v>
                </pt>
                <pt idx="166">
                  <v>471.2387207786301</v>
                </pt>
                <pt idx="167">
                  <v>471.5572171231327</v>
                </pt>
                <pt idx="168">
                  <v>471.9242705521234</v>
                </pt>
                <pt idx="169">
                  <v>474.8041690827878</v>
                </pt>
                <pt idx="170">
                  <v>463.8572793165464</v>
                </pt>
                <pt idx="171">
                  <v>470.8237134619744</v>
                </pt>
                <pt idx="172">
                  <v>470.7279074946977</v>
                </pt>
                <pt idx="173">
                  <v>469.6520165829875</v>
                </pt>
                <pt idx="174">
                  <v>468.3328401607716</v>
                </pt>
                <pt idx="175">
                  <v>469.8006598240982</v>
                </pt>
                <pt idx="176">
                  <v>473.0583844474181</v>
                </pt>
                <pt idx="177">
                  <v>474.713256240218</v>
                </pt>
                <pt idx="178">
                  <v>475.6283701203217</v>
                </pt>
                <pt idx="179">
                  <v>479.7676086934662</v>
                </pt>
                <pt idx="180">
                  <v>477.0775937394691</v>
                </pt>
                <pt idx="181">
                  <v>481.3874095829543</v>
                </pt>
                <pt idx="182">
                  <v>482.237657664355</v>
                </pt>
                <pt idx="183">
                  <v>483.3909894952147</v>
                </pt>
                <pt idx="184">
                  <v>482.7712715049826</v>
                </pt>
                <pt idx="185">
                  <v>480.7435925478287</v>
                </pt>
                <pt idx="186">
                  <v>484.1358747742927</v>
                </pt>
                <pt idx="187">
                  <v>484.4571632911409</v>
                </pt>
                <pt idx="188">
                  <v>483.2878092282187</v>
                </pt>
                <pt idx="189">
                  <v>483.7076489746225</v>
                </pt>
                <pt idx="190">
                  <v>484.2955420521973</v>
                </pt>
                <pt idx="191">
                  <v>487.1239109747414</v>
                </pt>
                <pt idx="192">
                  <v>488.9561873838671</v>
                </pt>
                <pt idx="193">
                  <v>487.5866491701898</v>
                </pt>
                <pt idx="194">
                  <v>489.4588736679949</v>
                </pt>
                <pt idx="195">
                  <v>495.8658293400562</v>
                </pt>
                <pt idx="196">
                  <v>492.9978125318022</v>
                </pt>
                <pt idx="197">
                  <v>491.6879713630138</v>
                </pt>
                <pt idx="198">
                  <v>493.6903209203032</v>
                </pt>
                <pt idx="199">
                  <v>492.1218744173946</v>
                </pt>
                <pt idx="200">
                  <v>491.2113740701261</v>
                </pt>
                <pt idx="201">
                  <v>492.3107423622957</v>
                </pt>
                <pt idx="202">
                  <v>492.749224655239</v>
                </pt>
                <pt idx="203">
                  <v>488.5359344806099</v>
                </pt>
                <pt idx="204">
                  <v>487.7968189931495</v>
                </pt>
                <pt idx="205">
                  <v>489.4938434718862</v>
                </pt>
                <pt idx="206">
                  <v>490.287890075089</v>
                </pt>
                <pt idx="207">
                  <v>489.2911357051161</v>
                </pt>
                <pt idx="208">
                  <v>489.2387845039152</v>
                </pt>
                <pt idx="209">
                  <v>493.1535332500951</v>
                </pt>
                <pt idx="210">
                  <v>488.8962325400813</v>
                </pt>
                <pt idx="211">
                  <v>489.9925838376786</v>
                </pt>
                <pt idx="212">
                  <v>490.8183001745638</v>
                </pt>
                <pt idx="213">
                  <v>489.1160315880625</v>
                </pt>
                <pt idx="214">
                  <v>488.5200005286385</v>
                </pt>
                <pt idx="215">
                  <v>488.9279540594288</v>
                </pt>
                <pt idx="216">
                  <v>485.376037207565</v>
                </pt>
                <pt idx="217">
                  <v>488.3467595564658</v>
                </pt>
                <pt idx="218">
                  <v>491.5884740455151</v>
                </pt>
                <pt idx="219">
                  <v>491.1613245967412</v>
                </pt>
                <pt idx="220">
                  <v>490.5754995882044</v>
                </pt>
                <pt idx="221">
                  <v>492.3899930731705</v>
                </pt>
                <pt idx="222">
                  <v>492.4533397954176</v>
                </pt>
                <pt idx="223">
                  <v>493.6239547536646</v>
                </pt>
                <pt idx="224">
                  <v>492.9050343054233</v>
                </pt>
                <pt idx="225">
                  <v>497.2815820644527</v>
                </pt>
                <pt idx="226">
                  <v>492.6299070071894</v>
                </pt>
                <pt idx="227">
                  <v>493.2013442161546</v>
                </pt>
                <pt idx="228">
                  <v>493.8884878358051</v>
                </pt>
                <pt idx="229">
                  <v>494.8459971021814</v>
                </pt>
                <pt idx="230">
                  <v>495.5847068011163</v>
                </pt>
                <pt idx="231">
                  <v>499.8902066582861</v>
                </pt>
                <pt idx="232">
                  <v>501.2132982972409</v>
                </pt>
                <pt idx="233">
                  <v>502.2056279047813</v>
                </pt>
                <pt idx="234">
                  <v>502.6472114297162</v>
                </pt>
                <pt idx="235">
                  <v>501.5745125268292</v>
                </pt>
                <pt idx="236">
                  <v>503.4284226587555</v>
                </pt>
                <pt idx="237">
                  <v>502.0436793680371</v>
                </pt>
                <pt idx="238">
                  <v>501.4574106562132</v>
                </pt>
                <pt idx="239">
                  <v>498.458132891785</v>
                </pt>
                <pt idx="240">
                  <v>499.3283792243051</v>
                </pt>
                <pt idx="241">
                  <v>498.0320458211455</v>
                </pt>
                <pt idx="242">
                  <v>493.5631612163727</v>
                </pt>
                <pt idx="243">
                  <v>492.7676755153485</v>
                </pt>
                <pt idx="244">
                  <v>493.6013977684358</v>
                </pt>
                <pt idx="245">
                  <v>492.2110791327934</v>
                </pt>
                <pt idx="246">
                  <v>496.4152553461561</v>
                </pt>
                <pt idx="247">
                  <v>510.1753238003429</v>
                </pt>
                <pt idx="248">
                  <v>513.1053767211267</v>
                </pt>
                <pt idx="249">
                  <v>517.224046412948</v>
                </pt>
                <pt idx="250">
                  <v>523.7313453518624</v>
                </pt>
                <pt idx="251">
                  <v>520.7483411123063</v>
                </pt>
                <pt idx="252">
                  <v>517.097209487335</v>
                </pt>
                <pt idx="253">
                  <v>514.3787208583906</v>
                </pt>
                <pt idx="254">
                  <v>510.3629056465513</v>
                </pt>
                <pt idx="255">
                  <v>529.0239693741864</v>
                </pt>
                <pt idx="256">
                  <v>528.9438292870192</v>
                </pt>
                <pt idx="257">
                  <v>522.5943240796882</v>
                </pt>
                <pt idx="258">
                  <v>522.2193980973278</v>
                </pt>
                <pt idx="259">
                  <v>522.2449123102838</v>
                </pt>
                <pt idx="260">
                  <v>521.1979509373452</v>
                </pt>
                <pt idx="261">
                  <v>520.3794681351962</v>
                </pt>
                <pt idx="262">
                  <v>516.7467633846915</v>
                </pt>
                <pt idx="263">
                  <v>525.1967873363085</v>
                </pt>
                <pt idx="264">
                  <v>517.6894021222417</v>
                </pt>
                <pt idx="265">
                  <v>515.1264590615689</v>
                </pt>
                <pt idx="266">
                  <v>524.1967098025643</v>
                </pt>
                <pt idx="267">
                  <v>509.6695485018957</v>
                </pt>
                <pt idx="268">
                  <v>506.3108698467435</v>
                </pt>
                <pt idx="269">
                  <v>507.6460074130071</v>
                </pt>
                <pt idx="270">
                  <v>502.5201533827685</v>
                </pt>
                <pt idx="271">
                  <v>504.2052307621948</v>
                </pt>
                <pt idx="272">
                  <v>500.7540566044968</v>
                </pt>
                <pt idx="273">
                  <v>499.8010417035032</v>
                </pt>
                <pt idx="274">
                  <v>500.7054469741886</v>
                </pt>
                <pt idx="275">
                  <v>499.3515690805183</v>
                </pt>
                <pt idx="276">
                  <v>500.2961651572418</v>
                </pt>
                <pt idx="277">
                  <v>500.1481461615433</v>
                </pt>
                <pt idx="278">
                  <v>502.2714356851532</v>
                </pt>
                <pt idx="279">
                  <v>504.13928213508</v>
                </pt>
                <pt idx="280">
                  <v>503.177715094895</v>
                </pt>
                <pt idx="281">
                  <v>513.2936573671471</v>
                </pt>
                <pt idx="282">
                  <v>508.7293796770006</v>
                </pt>
                <pt idx="283">
                  <v>506.9322660775817</v>
                </pt>
                <pt idx="284">
                  <v>507.7867058468962</v>
                </pt>
                <pt idx="285">
                  <v>506.8012962301462</v>
                </pt>
                <pt idx="286">
                  <v>509.1735411891175</v>
                </pt>
                <pt idx="287">
                  <v>508.6806365463399</v>
                </pt>
                <pt idx="288">
                  <v>508.9592369080323</v>
                </pt>
                <pt idx="289">
                  <v>511.8841007024816</v>
                </pt>
                <pt idx="290">
                  <v>516.3192689316164</v>
                </pt>
                <pt idx="291">
                  <v>519.7291419720707</v>
                </pt>
                <pt idx="292">
                  <v>519.7631537719475</v>
                </pt>
                <pt idx="293">
                  <v>519.2429341920189</v>
                </pt>
                <pt idx="294">
                  <v>519.5182525333007</v>
                </pt>
                <pt idx="295">
                  <v>519.8382426983419</v>
                </pt>
                <pt idx="296">
                  <v>523.6319056318453</v>
                </pt>
                <pt idx="297">
                  <v>525.4221593755489</v>
                </pt>
                <pt idx="298">
                  <v>523.0255498250269</v>
                </pt>
              </numCache>
            </numRef>
          </val>
          <smooth val="0"/>
        </ser>
        <ser>
          <idx val="1"/>
          <order val="1"/>
          <tx>
            <strRef>
              <f>'Real Wages Chart'!$D$1</f>
              <strCache>
                <ptCount val="1"/>
                <pt idx="0">
                  <v>Regular Pay</v>
                </pt>
              </strCache>
            </strRef>
          </tx>
          <spPr>
            <a:ln w="28575" cap="rnd">
              <a:solidFill>
                <a:srgbClr val="A90083"/>
              </a:solidFill>
              <a:prstDash val="solid"/>
              <a:round/>
            </a:ln>
          </spPr>
          <marker>
            <symbol val="none"/>
            <spPr>
              <a:ln>
                <a:prstDash val="solid"/>
              </a:ln>
            </spPr>
          </marker>
          <cat>
            <numRef>
              <f>'Real Wages Chart'!$A$2:$A$300</f>
              <numCache>
                <formatCode>m/d/yyyy</formatCode>
                <ptCount val="299"/>
                <pt idx="0">
                  <v>36526</v>
                </pt>
                <pt idx="1">
                  <v>36557</v>
                </pt>
                <pt idx="2">
                  <v>36586</v>
                </pt>
                <pt idx="3">
                  <v>36617</v>
                </pt>
                <pt idx="4">
                  <v>36647</v>
                </pt>
                <pt idx="5">
                  <v>36678</v>
                </pt>
                <pt idx="6">
                  <v>36708</v>
                </pt>
                <pt idx="7">
                  <v>36739</v>
                </pt>
                <pt idx="8">
                  <v>36770</v>
                </pt>
                <pt idx="9">
                  <v>36800</v>
                </pt>
                <pt idx="10">
                  <v>36831</v>
                </pt>
                <pt idx="11">
                  <v>36861</v>
                </pt>
                <pt idx="12">
                  <v>36892</v>
                </pt>
                <pt idx="13">
                  <v>36923</v>
                </pt>
                <pt idx="14">
                  <v>36951</v>
                </pt>
                <pt idx="15">
                  <v>36982</v>
                </pt>
                <pt idx="16">
                  <v>37012</v>
                </pt>
                <pt idx="17">
                  <v>37043</v>
                </pt>
                <pt idx="18">
                  <v>37073</v>
                </pt>
                <pt idx="19">
                  <v>37104</v>
                </pt>
                <pt idx="20">
                  <v>37135</v>
                </pt>
                <pt idx="21">
                  <v>37165</v>
                </pt>
                <pt idx="22">
                  <v>37196</v>
                </pt>
                <pt idx="23">
                  <v>37226</v>
                </pt>
                <pt idx="24">
                  <v>37257</v>
                </pt>
                <pt idx="25">
                  <v>37288</v>
                </pt>
                <pt idx="26">
                  <v>37316</v>
                </pt>
                <pt idx="27">
                  <v>37347</v>
                </pt>
                <pt idx="28">
                  <v>37377</v>
                </pt>
                <pt idx="29">
                  <v>37408</v>
                </pt>
                <pt idx="30">
                  <v>37438</v>
                </pt>
                <pt idx="31">
                  <v>37469</v>
                </pt>
                <pt idx="32">
                  <v>37500</v>
                </pt>
                <pt idx="33">
                  <v>37530</v>
                </pt>
                <pt idx="34">
                  <v>37561</v>
                </pt>
                <pt idx="35">
                  <v>37591</v>
                </pt>
                <pt idx="36">
                  <v>37622</v>
                </pt>
                <pt idx="37">
                  <v>37653</v>
                </pt>
                <pt idx="38">
                  <v>37681</v>
                </pt>
                <pt idx="39">
                  <v>37712</v>
                </pt>
                <pt idx="40">
                  <v>37742</v>
                </pt>
                <pt idx="41">
                  <v>37773</v>
                </pt>
                <pt idx="42">
                  <v>37803</v>
                </pt>
                <pt idx="43">
                  <v>37834</v>
                </pt>
                <pt idx="44">
                  <v>37865</v>
                </pt>
                <pt idx="45">
                  <v>37895</v>
                </pt>
                <pt idx="46">
                  <v>37926</v>
                </pt>
                <pt idx="47">
                  <v>37956</v>
                </pt>
                <pt idx="48">
                  <v>37987</v>
                </pt>
                <pt idx="49">
                  <v>38018</v>
                </pt>
                <pt idx="50">
                  <v>38047</v>
                </pt>
                <pt idx="51">
                  <v>38078</v>
                </pt>
                <pt idx="52">
                  <v>38108</v>
                </pt>
                <pt idx="53">
                  <v>38139</v>
                </pt>
                <pt idx="54">
                  <v>38169</v>
                </pt>
                <pt idx="55">
                  <v>38200</v>
                </pt>
                <pt idx="56">
                  <v>38231</v>
                </pt>
                <pt idx="57">
                  <v>38261</v>
                </pt>
                <pt idx="58">
                  <v>38292</v>
                </pt>
                <pt idx="59">
                  <v>38322</v>
                </pt>
                <pt idx="60">
                  <v>38353</v>
                </pt>
                <pt idx="61">
                  <v>38384</v>
                </pt>
                <pt idx="62">
                  <v>38412</v>
                </pt>
                <pt idx="63">
                  <v>38443</v>
                </pt>
                <pt idx="64">
                  <v>38473</v>
                </pt>
                <pt idx="65">
                  <v>38504</v>
                </pt>
                <pt idx="66">
                  <v>38534</v>
                </pt>
                <pt idx="67">
                  <v>38565</v>
                </pt>
                <pt idx="68">
                  <v>38596</v>
                </pt>
                <pt idx="69">
                  <v>38626</v>
                </pt>
                <pt idx="70">
                  <v>38657</v>
                </pt>
                <pt idx="71">
                  <v>38687</v>
                </pt>
                <pt idx="72">
                  <v>38718</v>
                </pt>
                <pt idx="73">
                  <v>38749</v>
                </pt>
                <pt idx="74">
                  <v>38777</v>
                </pt>
                <pt idx="75">
                  <v>38808</v>
                </pt>
                <pt idx="76">
                  <v>38838</v>
                </pt>
                <pt idx="77">
                  <v>38869</v>
                </pt>
                <pt idx="78">
                  <v>38899</v>
                </pt>
                <pt idx="79">
                  <v>38930</v>
                </pt>
                <pt idx="80">
                  <v>38961</v>
                </pt>
                <pt idx="81">
                  <v>38991</v>
                </pt>
                <pt idx="82">
                  <v>39022</v>
                </pt>
                <pt idx="83">
                  <v>39052</v>
                </pt>
                <pt idx="84">
                  <v>39083</v>
                </pt>
                <pt idx="85">
                  <v>39115</v>
                </pt>
                <pt idx="86">
                  <v>39142</v>
                </pt>
                <pt idx="87">
                  <v>39173</v>
                </pt>
                <pt idx="88">
                  <v>39203</v>
                </pt>
                <pt idx="89">
                  <v>39234</v>
                </pt>
                <pt idx="90">
                  <v>39264</v>
                </pt>
                <pt idx="91">
                  <v>39295</v>
                </pt>
                <pt idx="92">
                  <v>39326</v>
                </pt>
                <pt idx="93">
                  <v>39356</v>
                </pt>
                <pt idx="94">
                  <v>39388</v>
                </pt>
                <pt idx="95">
                  <v>39417</v>
                </pt>
                <pt idx="96">
                  <v>39448</v>
                </pt>
                <pt idx="97">
                  <v>39479</v>
                </pt>
                <pt idx="98">
                  <v>39508</v>
                </pt>
                <pt idx="99">
                  <v>39539</v>
                </pt>
                <pt idx="100">
                  <v>39569</v>
                </pt>
                <pt idx="101">
                  <v>39602</v>
                </pt>
                <pt idx="102">
                  <v>39630</v>
                </pt>
                <pt idx="103">
                  <v>39661</v>
                </pt>
                <pt idx="104">
                  <v>39692</v>
                </pt>
                <pt idx="105">
                  <v>39722</v>
                </pt>
                <pt idx="106">
                  <v>39753</v>
                </pt>
                <pt idx="107">
                  <v>39783</v>
                </pt>
                <pt idx="108">
                  <v>39814</v>
                </pt>
                <pt idx="109">
                  <v>39845</v>
                </pt>
                <pt idx="110">
                  <v>39873</v>
                </pt>
                <pt idx="111">
                  <v>39904</v>
                </pt>
                <pt idx="112">
                  <v>39934</v>
                </pt>
                <pt idx="113">
                  <v>39965</v>
                </pt>
                <pt idx="114">
                  <v>39995</v>
                </pt>
                <pt idx="115">
                  <v>40026</v>
                </pt>
                <pt idx="116">
                  <v>40057</v>
                </pt>
                <pt idx="117">
                  <v>40087</v>
                </pt>
                <pt idx="118">
                  <v>40118</v>
                </pt>
                <pt idx="119">
                  <v>40148</v>
                </pt>
                <pt idx="120">
                  <v>40179</v>
                </pt>
                <pt idx="121">
                  <v>40210</v>
                </pt>
                <pt idx="122">
                  <v>40238</v>
                </pt>
                <pt idx="123">
                  <v>40269</v>
                </pt>
                <pt idx="124">
                  <v>40299</v>
                </pt>
                <pt idx="125">
                  <v>40330</v>
                </pt>
                <pt idx="126">
                  <v>40360</v>
                </pt>
                <pt idx="127">
                  <v>40391</v>
                </pt>
                <pt idx="128">
                  <v>40422</v>
                </pt>
                <pt idx="129">
                  <v>40452</v>
                </pt>
                <pt idx="130">
                  <v>40483</v>
                </pt>
                <pt idx="131">
                  <v>40513</v>
                </pt>
                <pt idx="132">
                  <v>40544</v>
                </pt>
                <pt idx="133">
                  <v>40575</v>
                </pt>
                <pt idx="134">
                  <v>40603</v>
                </pt>
                <pt idx="135">
                  <v>40634</v>
                </pt>
                <pt idx="136">
                  <v>40664</v>
                </pt>
                <pt idx="137">
                  <v>40695</v>
                </pt>
                <pt idx="138">
                  <v>40725</v>
                </pt>
                <pt idx="139">
                  <v>40756</v>
                </pt>
                <pt idx="140">
                  <v>40787</v>
                </pt>
                <pt idx="141">
                  <v>40817</v>
                </pt>
                <pt idx="142">
                  <v>40848</v>
                </pt>
                <pt idx="143">
                  <v>40878</v>
                </pt>
                <pt idx="144">
                  <v>40909</v>
                </pt>
                <pt idx="145">
                  <v>40940</v>
                </pt>
                <pt idx="146">
                  <v>40969</v>
                </pt>
                <pt idx="147">
                  <v>41000</v>
                </pt>
                <pt idx="148">
                  <v>41030</v>
                </pt>
                <pt idx="149">
                  <v>41061</v>
                </pt>
                <pt idx="150">
                  <v>41091</v>
                </pt>
                <pt idx="151">
                  <v>41122</v>
                </pt>
                <pt idx="152">
                  <v>41153</v>
                </pt>
                <pt idx="153">
                  <v>41183</v>
                </pt>
                <pt idx="154">
                  <v>41214</v>
                </pt>
                <pt idx="155">
                  <v>41244</v>
                </pt>
                <pt idx="156">
                  <v>41275</v>
                </pt>
                <pt idx="157">
                  <v>41306</v>
                </pt>
                <pt idx="158">
                  <v>41334</v>
                </pt>
                <pt idx="159">
                  <v>41365</v>
                </pt>
                <pt idx="160">
                  <v>41395</v>
                </pt>
                <pt idx="161">
                  <v>41426</v>
                </pt>
                <pt idx="162">
                  <v>41456</v>
                </pt>
                <pt idx="163">
                  <v>41487</v>
                </pt>
                <pt idx="164">
                  <v>41518</v>
                </pt>
                <pt idx="165">
                  <v>41548</v>
                </pt>
                <pt idx="166">
                  <v>41579</v>
                </pt>
                <pt idx="167">
                  <v>41609</v>
                </pt>
                <pt idx="168">
                  <v>41640</v>
                </pt>
                <pt idx="169">
                  <v>41671</v>
                </pt>
                <pt idx="170">
                  <v>41699</v>
                </pt>
                <pt idx="171">
                  <v>41730</v>
                </pt>
                <pt idx="172">
                  <v>41760</v>
                </pt>
                <pt idx="173">
                  <v>41791</v>
                </pt>
                <pt idx="174">
                  <v>41821</v>
                </pt>
                <pt idx="175">
                  <v>41852</v>
                </pt>
                <pt idx="176">
                  <v>41883</v>
                </pt>
                <pt idx="177">
                  <v>41913</v>
                </pt>
                <pt idx="178">
                  <v>41944</v>
                </pt>
                <pt idx="179">
                  <v>41974</v>
                </pt>
                <pt idx="180">
                  <v>42005</v>
                </pt>
                <pt idx="181">
                  <v>42036</v>
                </pt>
                <pt idx="182">
                  <v>42064</v>
                </pt>
                <pt idx="183">
                  <v>42095</v>
                </pt>
                <pt idx="184">
                  <v>42125</v>
                </pt>
                <pt idx="185">
                  <v>42156</v>
                </pt>
                <pt idx="186">
                  <v>42186</v>
                </pt>
                <pt idx="187">
                  <v>42217</v>
                </pt>
                <pt idx="188">
                  <v>42248</v>
                </pt>
                <pt idx="189">
                  <v>42278</v>
                </pt>
                <pt idx="190">
                  <v>42309</v>
                </pt>
                <pt idx="191">
                  <v>42339</v>
                </pt>
                <pt idx="192">
                  <v>42370</v>
                </pt>
                <pt idx="193">
                  <v>42401</v>
                </pt>
                <pt idx="194">
                  <v>42430</v>
                </pt>
                <pt idx="195">
                  <v>42461</v>
                </pt>
                <pt idx="196">
                  <v>42491</v>
                </pt>
                <pt idx="197">
                  <v>42522</v>
                </pt>
                <pt idx="198">
                  <v>42552</v>
                </pt>
                <pt idx="199">
                  <v>42583</v>
                </pt>
                <pt idx="200">
                  <v>42614</v>
                </pt>
                <pt idx="201">
                  <v>42644</v>
                </pt>
                <pt idx="202">
                  <v>42675</v>
                </pt>
                <pt idx="203">
                  <v>42705</v>
                </pt>
                <pt idx="204">
                  <v>42736</v>
                </pt>
                <pt idx="205">
                  <v>42767</v>
                </pt>
                <pt idx="206">
                  <v>42795</v>
                </pt>
                <pt idx="207">
                  <v>42826</v>
                </pt>
                <pt idx="208">
                  <v>42856</v>
                </pt>
                <pt idx="209">
                  <v>42887</v>
                </pt>
                <pt idx="210">
                  <v>42917</v>
                </pt>
                <pt idx="211">
                  <v>42948</v>
                </pt>
                <pt idx="212">
                  <v>42979</v>
                </pt>
                <pt idx="213">
                  <v>43009</v>
                </pt>
                <pt idx="214">
                  <v>43040</v>
                </pt>
                <pt idx="215">
                  <v>43070</v>
                </pt>
                <pt idx="216">
                  <v>43101</v>
                </pt>
                <pt idx="217">
                  <v>43132</v>
                </pt>
                <pt idx="218">
                  <v>43160</v>
                </pt>
                <pt idx="219">
                  <v>43191</v>
                </pt>
                <pt idx="220">
                  <v>43221</v>
                </pt>
                <pt idx="221">
                  <v>43252</v>
                </pt>
                <pt idx="222">
                  <v>43282</v>
                </pt>
                <pt idx="223">
                  <v>43313</v>
                </pt>
                <pt idx="224">
                  <v>43344</v>
                </pt>
                <pt idx="225">
                  <v>43374</v>
                </pt>
                <pt idx="226">
                  <v>43405</v>
                </pt>
                <pt idx="227">
                  <v>43435</v>
                </pt>
                <pt idx="228">
                  <v>43466</v>
                </pt>
                <pt idx="229">
                  <v>43497</v>
                </pt>
                <pt idx="230">
                  <v>43525</v>
                </pt>
                <pt idx="231">
                  <v>43556</v>
                </pt>
                <pt idx="232">
                  <v>43586</v>
                </pt>
                <pt idx="233">
                  <v>43617</v>
                </pt>
                <pt idx="234">
                  <v>43647</v>
                </pt>
                <pt idx="235">
                  <v>43678</v>
                </pt>
                <pt idx="236">
                  <v>43709</v>
                </pt>
                <pt idx="237">
                  <v>43739</v>
                </pt>
                <pt idx="238">
                  <v>43770</v>
                </pt>
                <pt idx="239">
                  <v>43800</v>
                </pt>
                <pt idx="240">
                  <v>43831</v>
                </pt>
                <pt idx="241">
                  <v>43862</v>
                </pt>
                <pt idx="242">
                  <v>43891</v>
                </pt>
                <pt idx="243">
                  <v>43922</v>
                </pt>
                <pt idx="244">
                  <v>43952</v>
                </pt>
                <pt idx="245">
                  <v>43983</v>
                </pt>
                <pt idx="246">
                  <v>44013</v>
                </pt>
                <pt idx="247">
                  <v>44044</v>
                </pt>
                <pt idx="248">
                  <v>44075</v>
                </pt>
                <pt idx="249">
                  <v>44105</v>
                </pt>
                <pt idx="250">
                  <v>44136</v>
                </pt>
                <pt idx="251">
                  <v>44166</v>
                </pt>
                <pt idx="252">
                  <v>44197</v>
                </pt>
                <pt idx="253">
                  <v>44228</v>
                </pt>
                <pt idx="254">
                  <v>44256</v>
                </pt>
                <pt idx="255">
                  <v>44287</v>
                </pt>
                <pt idx="256">
                  <v>44317</v>
                </pt>
                <pt idx="257">
                  <v>44348</v>
                </pt>
                <pt idx="258">
                  <v>44378</v>
                </pt>
                <pt idx="259">
                  <v>44409</v>
                </pt>
                <pt idx="260">
                  <v>44440</v>
                </pt>
                <pt idx="261">
                  <v>44470</v>
                </pt>
                <pt idx="262">
                  <v>44501</v>
                </pt>
                <pt idx="263">
                  <v>44531</v>
                </pt>
                <pt idx="264">
                  <v>44562</v>
                </pt>
                <pt idx="265">
                  <v>44593</v>
                </pt>
                <pt idx="266">
                  <v>44621</v>
                </pt>
                <pt idx="267">
                  <v>44652</v>
                </pt>
                <pt idx="268">
                  <v>44682</v>
                </pt>
                <pt idx="269">
                  <v>44713</v>
                </pt>
                <pt idx="270">
                  <v>44743</v>
                </pt>
                <pt idx="271">
                  <v>44774</v>
                </pt>
                <pt idx="272">
                  <v>44805</v>
                </pt>
                <pt idx="273">
                  <v>44835</v>
                </pt>
                <pt idx="274">
                  <v>44866</v>
                </pt>
                <pt idx="275">
                  <v>44896</v>
                </pt>
                <pt idx="276">
                  <v>44927</v>
                </pt>
                <pt idx="277">
                  <v>44958</v>
                </pt>
                <pt idx="278">
                  <v>44986</v>
                </pt>
                <pt idx="279">
                  <v>45017</v>
                </pt>
                <pt idx="280">
                  <v>45047</v>
                </pt>
                <pt idx="281">
                  <v>45078</v>
                </pt>
                <pt idx="282">
                  <v>45108</v>
                </pt>
                <pt idx="283">
                  <v>45139</v>
                </pt>
                <pt idx="284">
                  <v>45170</v>
                </pt>
                <pt idx="285">
                  <v>45200</v>
                </pt>
                <pt idx="286">
                  <v>45231</v>
                </pt>
                <pt idx="287">
                  <v>45261</v>
                </pt>
                <pt idx="288">
                  <v>45292</v>
                </pt>
                <pt idx="289">
                  <v>45323</v>
                </pt>
                <pt idx="290">
                  <v>45352</v>
                </pt>
                <pt idx="291">
                  <v>45383</v>
                </pt>
                <pt idx="292">
                  <v>45413</v>
                </pt>
                <pt idx="293">
                  <v>45444</v>
                </pt>
                <pt idx="294">
                  <v>45474</v>
                </pt>
                <pt idx="295">
                  <v>45505</v>
                </pt>
                <pt idx="296">
                  <v>45536</v>
                </pt>
                <pt idx="297">
                  <v>45566</v>
                </pt>
                <pt idx="298">
                  <v>45597</v>
                </pt>
              </numCache>
            </numRef>
          </cat>
          <val>
            <numRef>
              <f>'Real Wages Chart'!$D$2:$D$300</f>
              <numCache>
                <formatCode>0</formatCode>
                <ptCount val="299"/>
                <pt idx="0">
                  <v>406.3316301652112</v>
                </pt>
                <pt idx="1">
                  <v>405.8086424382722</v>
                </pt>
                <pt idx="2">
                  <v>405.0211541884419</v>
                </pt>
                <pt idx="3">
                  <v>404.9834799766647</v>
                </pt>
                <pt idx="4">
                  <v>407.1437067250858</v>
                </pt>
                <pt idx="5">
                  <v>406.552674226079</v>
                </pt>
                <pt idx="6">
                  <v>407.7506835864476</v>
                </pt>
                <pt idx="7">
                  <v>410.1005882980665</v>
                </pt>
                <pt idx="8">
                  <v>411.1310212114778</v>
                </pt>
                <pt idx="9">
                  <v>412.5145867701145</v>
                </pt>
                <pt idx="10">
                  <v>413.1367260380956</v>
                </pt>
                <pt idx="11">
                  <v>415.1589357638378</v>
                </pt>
                <pt idx="12">
                  <v>416.8295818060185</v>
                </pt>
                <pt idx="13">
                  <v>417.6834180538561</v>
                </pt>
                <pt idx="14">
                  <v>419.0218796256868</v>
                </pt>
                <pt idx="15">
                  <v>422.1682274539625</v>
                </pt>
                <pt idx="16">
                  <v>419.8624736612351</v>
                </pt>
                <pt idx="17">
                  <v>419.2914973492817</v>
                </pt>
                <pt idx="18">
                  <v>423.2203117230512</v>
                </pt>
                <pt idx="19">
                  <v>424.6644613006042</v>
                </pt>
                <pt idx="20">
                  <v>425.1279523433737</v>
                </pt>
                <pt idx="21">
                  <v>427.4700294111484</v>
                </pt>
                <pt idx="22">
                  <v>429.4685389753707</v>
                </pt>
                <pt idx="23">
                  <v>429.2034163934326</v>
                </pt>
                <pt idx="24">
                  <v>429.1311073698455</v>
                </pt>
                <pt idx="25">
                  <v>433.1527457913307</v>
                </pt>
                <pt idx="26">
                  <v>433.2636115681627</v>
                </pt>
                <pt idx="27">
                  <v>433.2738261627396</v>
                </pt>
                <pt idx="28">
                  <v>433.4980480297147</v>
                </pt>
                <pt idx="29">
                  <v>435.6715152816427</v>
                </pt>
                <pt idx="30">
                  <v>435.9556155632822</v>
                </pt>
                <pt idx="31">
                  <v>433.8048707249883</v>
                </pt>
                <pt idx="32">
                  <v>434.9931499752253</v>
                </pt>
                <pt idx="33">
                  <v>435.1655049205976</v>
                </pt>
                <pt idx="34">
                  <v>435.7468284513956</v>
                </pt>
                <pt idx="35">
                  <v>434.6832374253441</v>
                </pt>
                <pt idx="36">
                  <v>437.8083046637866</v>
                </pt>
                <pt idx="37">
                  <v>438.6232137019799</v>
                </pt>
                <pt idx="38">
                  <v>437.9498478742082</v>
                </pt>
                <pt idx="39">
                  <v>440.3487082348227</v>
                </pt>
                <pt idx="40">
                  <v>442.1365753872909</v>
                </pt>
                <pt idx="41">
                  <v>443.4745399559696</v>
                </pt>
                <pt idx="42">
                  <v>443.2054817387448</v>
                </pt>
                <pt idx="43">
                  <v>443.8346530867569</v>
                </pt>
                <pt idx="44">
                  <v>444.4372216826537</v>
                </pt>
                <pt idx="45">
                  <v>444.64410569055</v>
                </pt>
                <pt idx="46">
                  <v>446.0984862229237</v>
                </pt>
                <pt idx="47">
                  <v>447.3817451085977</v>
                </pt>
                <pt idx="48">
                  <v>446.5095803156759</v>
                </pt>
                <pt idx="49">
                  <v>446.8705293061869</v>
                </pt>
                <pt idx="50">
                  <v>448.3389603357941</v>
                </pt>
                <pt idx="51">
                  <v>450.7881737835189</v>
                </pt>
                <pt idx="52">
                  <v>451.6847303764837</v>
                </pt>
                <pt idx="53">
                  <v>452.1952261963395</v>
                </pt>
                <pt idx="54">
                  <v>453.6065085419297</v>
                </pt>
                <pt idx="55">
                  <v>455.2612597528043</v>
                </pt>
                <pt idx="56">
                  <v>455.6843083265979</v>
                </pt>
                <pt idx="57">
                  <v>456.8100645667791</v>
                </pt>
                <pt idx="58">
                  <v>456.4487430730468</v>
                </pt>
                <pt idx="59">
                  <v>458.2409970136351</v>
                </pt>
                <pt idx="60">
                  <v>457.9490711897836</v>
                </pt>
                <pt idx="61">
                  <v>458.332501391913</v>
                </pt>
                <pt idx="62">
                  <v>460.3232787653532</v>
                </pt>
                <pt idx="63">
                  <v>461.0029664446258</v>
                </pt>
                <pt idx="64">
                  <v>461.2331665925466</v>
                </pt>
                <pt idx="65">
                  <v>462.2557637521175</v>
                </pt>
                <pt idx="66">
                  <v>462.6495648008392</v>
                </pt>
                <pt idx="67">
                  <v>464.0290409052366</v>
                </pt>
                <pt idx="68">
                  <v>465.0868632403949</v>
                </pt>
                <pt idx="69">
                  <v>464.8442244112342</v>
                </pt>
                <pt idx="70">
                  <v>465.4389443529573</v>
                </pt>
                <pt idx="71">
                  <v>466.3525826424805</v>
                </pt>
                <pt idx="72">
                  <v>467.5475032760143</v>
                </pt>
                <pt idx="73">
                  <v>468.4784375418837</v>
                </pt>
                <pt idx="74">
                  <v>469.1088648566704</v>
                </pt>
                <pt idx="75">
                  <v>469.0349505156947</v>
                </pt>
                <pt idx="76">
                  <v>468.9122111915895</v>
                </pt>
                <pt idx="77">
                  <v>469.579344769874</v>
                </pt>
                <pt idx="78">
                  <v>468.5525642367274</v>
                </pt>
                <pt idx="79">
                  <v>468.249911950783</v>
                </pt>
                <pt idx="80">
                  <v>469.9483992444295</v>
                </pt>
                <pt idx="81">
                  <v>472.4368954457683</v>
                </pt>
                <pt idx="82">
                  <v>471.2034704191727</v>
                </pt>
                <pt idx="83">
                  <v>470.8499026443667</v>
                </pt>
                <pt idx="84">
                  <v>472.1793372750475</v>
                </pt>
                <pt idx="85">
                  <v>473.6088572215727</v>
                </pt>
                <pt idx="86">
                  <v>473.58150493637</v>
                </pt>
                <pt idx="87">
                  <v>474.581555880351</v>
                </pt>
                <pt idx="88">
                  <v>477.0572587139426</v>
                </pt>
                <pt idx="89">
                  <v>477.814980508121</v>
                </pt>
                <pt idx="90">
                  <v>481.279819704699</v>
                </pt>
                <pt idx="91">
                  <v>482.3710370464446</v>
                </pt>
                <pt idx="92">
                  <v>482.576271472108</v>
                </pt>
                <pt idx="93">
                  <v>480.5039514097246</v>
                </pt>
                <pt idx="94">
                  <v>481.0348484097916</v>
                </pt>
                <pt idx="95">
                  <v>479.870937619923</v>
                </pt>
                <pt idx="96">
                  <v>480.9013047133829</v>
                </pt>
                <pt idx="97">
                  <v>481.9139834637355</v>
                </pt>
                <pt idx="98">
                  <v>481.9831678176888</v>
                </pt>
                <pt idx="99">
                  <v>482.1243735220328</v>
                </pt>
                <pt idx="100">
                  <v>478.3979590141527</v>
                </pt>
                <pt idx="101">
                  <v>476.0184397844722</v>
                </pt>
                <pt idx="102">
                  <v>476.3102965056676</v>
                </pt>
                <pt idx="103">
                  <v>475.5876431700991</v>
                </pt>
                <pt idx="104">
                  <v>474.4114100200518</v>
                </pt>
                <pt idx="105">
                  <v>477.2042937119721</v>
                </pt>
                <pt idx="106">
                  <v>477.7090471955411</v>
                </pt>
                <pt idx="107">
                  <v>480.2511346845326</v>
                </pt>
                <pt idx="108">
                  <v>480.069917907651</v>
                </pt>
                <pt idx="109">
                  <v>479.2946428481947</v>
                </pt>
                <pt idx="110">
                  <v>478.1814838099645</v>
                </pt>
                <pt idx="111">
                  <v>479.7378708334145</v>
                </pt>
                <pt idx="112">
                  <v>479.2783313250342</v>
                </pt>
                <pt idx="113">
                  <v>477.3596020475949</v>
                </pt>
                <pt idx="114">
                  <v>474.0422062074661</v>
                </pt>
                <pt idx="115">
                  <v>474.2615056575376</v>
                </pt>
                <pt idx="116">
                  <v>475.3024433982249</v>
                </pt>
                <pt idx="117">
                  <v>474.7908811943419</v>
                </pt>
                <pt idx="118">
                  <v>473.0737850629674</v>
                </pt>
                <pt idx="119">
                  <v>472.9086364159635</v>
                </pt>
                <pt idx="120">
                  <v>472.8676238559256</v>
                </pt>
                <pt idx="121">
                  <v>472.1401456094417</v>
                </pt>
                <pt idx="122">
                  <v>471.9864710434299</v>
                </pt>
                <pt idx="123">
                  <v>469.373083819874</v>
                </pt>
                <pt idx="124">
                  <v>468.7667657737311</v>
                </pt>
                <pt idx="125">
                  <v>468.7232608568575</v>
                </pt>
                <pt idx="126">
                  <v>470.3744482191153</v>
                </pt>
                <pt idx="127">
                  <v>469.7634334797957</v>
                </pt>
                <pt idx="128">
                  <v>471.1845645309723</v>
                </pt>
                <pt idx="129">
                  <v>470.1312730900738</v>
                </pt>
                <pt idx="130">
                  <v>469.3982939574063</v>
                </pt>
                <pt idx="131">
                  <v>465.5458154335707</v>
                </pt>
                <pt idx="132">
                  <v>464.7409446980855</v>
                </pt>
                <pt idx="133">
                  <v>462.2685962848988</v>
                </pt>
                <pt idx="134">
                  <v>461.7368772767853</v>
                </pt>
                <pt idx="135">
                  <v>458.4890685432445</v>
                </pt>
                <pt idx="136">
                  <v>459.1720598452384</v>
                </pt>
                <pt idx="137">
                  <v>458.7074604599184</v>
                </pt>
                <pt idx="138">
                  <v>457.6731362857065</v>
                </pt>
                <pt idx="139">
                  <v>456.6450579205896</v>
                </pt>
                <pt idx="140">
                  <v>455.7285844273113</v>
                </pt>
                <pt idx="141">
                  <v>455.9366101494858</v>
                </pt>
                <pt idx="142">
                  <v>456.2116076881866</v>
                </pt>
                <pt idx="143">
                  <v>454.9738010025504</v>
                </pt>
                <pt idx="144">
                  <v>452.986541988188</v>
                </pt>
                <pt idx="145">
                  <v>454.6621679763362</v>
                </pt>
                <pt idx="146">
                  <v>454.6629246697724</v>
                </pt>
                <pt idx="147">
                  <v>452.5677388823592</v>
                </pt>
                <pt idx="148">
                  <v>454.5864427335347</v>
                </pt>
                <pt idx="149">
                  <v>456.8406819888853</v>
                </pt>
                <pt idx="150">
                  <v>454.5373860742017</v>
                </pt>
                <pt idx="151">
                  <v>455.3260994482283</v>
                </pt>
                <pt idx="152">
                  <v>452.5339548472998</v>
                </pt>
                <pt idx="153">
                  <v>449.9609968129391</v>
                </pt>
                <pt idx="154">
                  <v>450.2717503923556</v>
                </pt>
                <pt idx="155">
                  <v>448.5053935513928</v>
                </pt>
                <pt idx="156">
                  <v>445.7390002136105</v>
                </pt>
                <pt idx="157">
                  <v>445.166562497569</v>
                </pt>
                <pt idx="158">
                  <v>445.096872073769</v>
                </pt>
                <pt idx="159">
                  <v>446.8477196435007</v>
                </pt>
                <pt idx="160">
                  <v>446.8703022995721</v>
                </pt>
                <pt idx="161">
                  <v>447.2513234922409</v>
                </pt>
                <pt idx="162">
                  <v>446.4493002295137</v>
                </pt>
                <pt idx="163">
                  <v>445.3808979269045</v>
                </pt>
                <pt idx="164">
                  <v>443.5003287719261</v>
                </pt>
                <pt idx="165">
                  <v>444.426804863944</v>
                </pt>
                <pt idx="166">
                  <v>443.3978701524176</v>
                </pt>
                <pt idx="167">
                  <v>444.7467537270449</v>
                </pt>
                <pt idx="168">
                  <v>444.358357567078</v>
                </pt>
                <pt idx="169">
                  <v>441.9877874821461</v>
                </pt>
                <pt idx="170">
                  <v>440.9579357327688</v>
                </pt>
                <pt idx="171">
                  <v>440.7206520452793</v>
                </pt>
                <pt idx="172">
                  <v>442.3254529234536</v>
                </pt>
                <pt idx="173">
                  <v>441.7832952256562</v>
                </pt>
                <pt idx="174">
                  <v>442.012153276908</v>
                </pt>
                <pt idx="175">
                  <v>443.1162365773248</v>
                </pt>
                <pt idx="176">
                  <v>445.8305834642371</v>
                </pt>
                <pt idx="177">
                  <v>446.1819531011876</v>
                </pt>
                <pt idx="178">
                  <v>446.5236340770238</v>
                </pt>
                <pt idx="179">
                  <v>448.6476782092839</v>
                </pt>
                <pt idx="180">
                  <v>449.798913811836</v>
                </pt>
                <pt idx="181">
                  <v>451.9282322290135</v>
                </pt>
                <pt idx="182">
                  <v>453.4119033820909</v>
                </pt>
                <pt idx="183">
                  <v>453.8104486659806</v>
                </pt>
                <pt idx="184">
                  <v>454.1766416900069</v>
                </pt>
                <pt idx="185">
                  <v>453.6363420429521</v>
                </pt>
                <pt idx="186">
                  <v>454.3423080062081</v>
                </pt>
                <pt idx="187">
                  <v>454.015709269934</v>
                </pt>
                <pt idx="188">
                  <v>454.5142168960684</v>
                </pt>
                <pt idx="189">
                  <v>453.8158137078228</v>
                </pt>
                <pt idx="190">
                  <v>455.1226054639057</v>
                </pt>
                <pt idx="191">
                  <v>456.5577908949078</v>
                </pt>
                <pt idx="192">
                  <v>459.2778959578864</v>
                </pt>
                <pt idx="193">
                  <v>461.4833136541686</v>
                </pt>
                <pt idx="194">
                  <v>461.1536573122405</v>
                </pt>
                <pt idx="195">
                  <v>462.9838959483165</v>
                </pt>
                <pt idx="196">
                  <v>461.936076752743</v>
                </pt>
                <pt idx="197">
                  <v>462.3851767648189</v>
                </pt>
                <pt idx="198">
                  <v>461.6676791631796</v>
                </pt>
                <pt idx="199">
                  <v>461.7951327290037</v>
                </pt>
                <pt idx="200">
                  <v>462.1974487495589</v>
                </pt>
                <pt idx="201">
                  <v>461.4184710053866</v>
                </pt>
                <pt idx="202">
                  <v>462.4156935039404</v>
                </pt>
                <pt idx="203">
                  <v>459.4906046952739</v>
                </pt>
                <pt idx="204">
                  <v>459.618687605563</v>
                </pt>
                <pt idx="205">
                  <v>458.755772687031</v>
                </pt>
                <pt idx="206">
                  <v>458.8147456784212</v>
                </pt>
                <pt idx="207">
                  <v>459.105651188878</v>
                </pt>
                <pt idx="208">
                  <v>459.738176106375</v>
                </pt>
                <pt idx="209">
                  <v>459.8919770545906</v>
                </pt>
                <pt idx="210">
                  <v>459.4539994327157</v>
                </pt>
                <pt idx="211">
                  <v>459.5942335882067</v>
                </pt>
                <pt idx="212">
                  <v>458.87325940659</v>
                </pt>
                <pt idx="213">
                  <v>459.0688898234537</v>
                </pt>
                <pt idx="214">
                  <v>458.7525567951166</v>
                </pt>
                <pt idx="215">
                  <v>458.4317182388432</v>
                </pt>
                <pt idx="216">
                  <v>458.1185809225733</v>
                </pt>
                <pt idx="217">
                  <v>459.1715853320791</v>
                </pt>
                <pt idx="218">
                  <v>461.4570072807336</v>
                </pt>
                <pt idx="219">
                  <v>459.7609157056775</v>
                </pt>
                <pt idx="220">
                  <v>460.7545057018164</v>
                </pt>
                <pt idx="221">
                  <v>461.5287380989603</v>
                </pt>
                <pt idx="222">
                  <v>462.2126320519791</v>
                </pt>
                <pt idx="223">
                  <v>462.8192675036285</v>
                </pt>
                <pt idx="224">
                  <v>462.3882939874929</v>
                </pt>
                <pt idx="225">
                  <v>464.0063399448771</v>
                </pt>
                <pt idx="226">
                  <v>463.6565278557435</v>
                </pt>
                <pt idx="227">
                  <v>463.7331910042589</v>
                </pt>
                <pt idx="228">
                  <v>466.6113780172697</v>
                </pt>
                <pt idx="229">
                  <v>465.429633293372</v>
                </pt>
                <pt idx="230">
                  <v>466.7510464482285</v>
                </pt>
                <pt idx="231">
                  <v>468.228834673399</v>
                </pt>
                <pt idx="232">
                  <v>469.0527131436226</v>
                </pt>
                <pt idx="233">
                  <v>470.8506437992652</v>
                </pt>
                <pt idx="234">
                  <v>470.4680784605163</v>
                </pt>
                <pt idx="235">
                  <v>470.569668562558</v>
                </pt>
                <pt idx="236">
                  <v>470.4736564833882</v>
                </pt>
                <pt idx="237">
                  <v>471.6848662256695</v>
                </pt>
                <pt idx="238">
                  <v>472.1256614236735</v>
                </pt>
                <pt idx="239">
                  <v>472.1346619848981</v>
                </pt>
                <pt idx="240">
                  <v>471.1112771027516</v>
                </pt>
                <pt idx="241">
                  <v>470.7795398131576</v>
                </pt>
                <pt idx="242">
                  <v>470.9130886812424</v>
                </pt>
                <pt idx="243">
                  <v>464.2223342266036</v>
                </pt>
                <pt idx="244">
                  <v>465.548959945701</v>
                </pt>
                <pt idx="245">
                  <v>467.4398628660445</v>
                </pt>
                <pt idx="246">
                  <v>469.6194768116762</v>
                </pt>
                <pt idx="247">
                  <v>478.7675891951949</v>
                </pt>
                <pt idx="248">
                  <v>481.3461579655932</v>
                </pt>
                <pt idx="249">
                  <v>484.7926721881423</v>
                </pt>
                <pt idx="250">
                  <v>489.6947290263543</v>
                </pt>
                <pt idx="251">
                  <v>489.5759333975628</v>
                </pt>
                <pt idx="252">
                  <v>487.8826036556937</v>
                </pt>
                <pt idx="253">
                  <v>489.3079636339598</v>
                </pt>
                <pt idx="254">
                  <v>490.4811623947675</v>
                </pt>
                <pt idx="255">
                  <v>492.0079931124682</v>
                </pt>
                <pt idx="256">
                  <v>490.1610857956067</v>
                </pt>
                <pt idx="257">
                  <v>488.5152021902321</v>
                </pt>
                <pt idx="258">
                  <v>488.3062649204192</v>
                </pt>
                <pt idx="259">
                  <v>487.4284971410591</v>
                </pt>
                <pt idx="260">
                  <v>486.714258476133</v>
                </pt>
                <pt idx="261">
                  <v>484.7381863706182</v>
                </pt>
                <pt idx="262">
                  <v>482.7859744611326</v>
                </pt>
                <pt idx="263">
                  <v>483.0004110119966</v>
                </pt>
                <pt idx="264">
                  <v>483.7884368128705</v>
                </pt>
                <pt idx="265">
                  <v>481.5330230056954</v>
                </pt>
                <pt idx="266">
                  <v>479.1778016393104</v>
                </pt>
                <pt idx="267">
                  <v>471.2287223448703</v>
                </pt>
                <pt idx="268">
                  <v>472.5574718155959</v>
                </pt>
                <pt idx="269">
                  <v>469.6323999726582</v>
                </pt>
                <pt idx="270">
                  <v>468.3776826082797</v>
                </pt>
                <pt idx="271">
                  <v>470.1858594725265</v>
                </pt>
                <pt idx="272">
                  <v>468.9098854031491</v>
                </pt>
                <pt idx="273">
                  <v>465.216056529721</v>
                </pt>
                <pt idx="274">
                  <v>466.8096965449172</v>
                </pt>
                <pt idx="275">
                  <v>465.6059532273075</v>
                </pt>
                <pt idx="276">
                  <v>467.4323404403706</v>
                </pt>
                <pt idx="277">
                  <v>466.969948307679</v>
                </pt>
                <pt idx="278">
                  <v>466.5156263886443</v>
                </pt>
                <pt idx="279">
                  <v>467.2157300786296</v>
                </pt>
                <pt idx="280">
                  <v>468.5454902948352</v>
                </pt>
                <pt idx="281">
                  <v>469.7963547131336</v>
                </pt>
                <pt idx="282">
                  <v>472.4856726943363</v>
                </pt>
                <pt idx="283">
                  <v>475.1759904333927</v>
                </pt>
                <pt idx="284">
                  <v>473.3209012344328</v>
                </pt>
                <pt idx="285">
                  <v>472.0361837152023</v>
                </pt>
                <pt idx="286">
                  <v>476.7275103979258</v>
                </pt>
                <pt idx="287">
                  <v>475.9285272724296</v>
                </pt>
                <pt idx="288">
                  <v>476.0463914298847</v>
                </pt>
                <pt idx="289">
                  <v>477.7081476600536</v>
                </pt>
                <pt idx="290">
                  <v>480.1512066975575</v>
                </pt>
                <pt idx="291">
                  <v>482.144381966211</v>
                </pt>
                <pt idx="292">
                  <v>484.1556316282931</v>
                </pt>
                <pt idx="293">
                  <v>485.7778003909373</v>
                </pt>
                <pt idx="294">
                  <v>486.8528324534875</v>
                </pt>
                <pt idx="295">
                  <v>487.3500744811046</v>
                </pt>
                <pt idx="296">
                  <v>488.9920154087416</v>
                </pt>
                <pt idx="297">
                  <v>489.620671668531</v>
                </pt>
                <pt idx="298">
                  <v>490.2980241867452</v>
                </pt>
              </numCache>
            </numRef>
          </val>
          <smooth val="0"/>
        </ser>
        <dLbls>
          <showLegendKey val="0"/>
          <showVal val="0"/>
          <showCatName val="0"/>
          <showSerName val="0"/>
          <showPercent val="0"/>
          <showBubbleSize val="0"/>
        </dLbls>
        <smooth val="0"/>
        <axId val="1455011000"/>
        <axId val="1455014600"/>
      </lineChart>
      <dateAx>
        <axId val="1455011000"/>
        <scaling>
          <orientation val="minMax"/>
        </scaling>
        <delete val="0"/>
        <axPos val="b"/>
        <numFmt formatCode="yyyy" sourceLinked="0"/>
        <majorTickMark val="out"/>
        <minorTickMark val="none"/>
        <tickLblPos val="nextTo"/>
        <spPr>
          <a:noFill/>
          <a:ln w="9525" cap="flat" cmpd="sng" algn="ctr">
            <a:solidFill>
              <a:schemeClr val="tx1"/>
            </a:solidFill>
            <a:prstDash val="solid"/>
            <a:round/>
          </a:ln>
        </spPr>
        <txPr>
          <a:bodyPr rot="-60000000" spcFirstLastPara="1" vertOverflow="ellipsis" vert="horz" wrap="square" anchor="ctr" anchorCtr="1"/>
          <a:lstStyle/>
          <a:p>
            <a:pPr>
              <a:defRPr sz="900" b="0" i="0" strike="noStrike" kern="1200" baseline="0">
                <a:solidFill>
                  <a:schemeClr val="tx1"/>
                </a:solidFill>
                <a:latin typeface="Arial" panose="020B0604020202020204" pitchFamily="34" charset="0"/>
                <a:ea typeface="+mn-ea"/>
                <a:cs typeface="Arial" panose="020B0604020202020204" pitchFamily="34" charset="0"/>
              </a:defRPr>
            </a:pPr>
            <a:r>
              <a:t/>
            </a:r>
            <a:endParaRPr lang="en-US"/>
          </a:p>
        </txPr>
        <crossAx val="1455014600"/>
        <crosses val="autoZero"/>
        <lblOffset val="100"/>
        <baseTimeUnit val="months"/>
        <majorUnit val="12"/>
        <majorTimeUnit val="months"/>
        <minorUnit val="1"/>
        <minorTimeUnit val="years"/>
      </dateAx>
      <valAx>
        <axId val="1455014600"/>
        <scaling>
          <orientation val="minMax"/>
          <min val="390"/>
        </scaling>
        <delete val="0"/>
        <axPos val="l"/>
        <majorGridlines>
          <spPr>
            <a:ln w="9525" cap="flat" cmpd="sng" algn="ctr">
              <a:solidFill>
                <a:schemeClr val="tx1">
                  <a:lumMod val="15000"/>
                  <a:lumOff val="85000"/>
                </a:schemeClr>
              </a:solidFill>
              <a:prstDash val="solid"/>
              <a:round/>
            </a:ln>
          </spPr>
        </majorGridlines>
        <numFmt formatCode="0" sourceLinked="1"/>
        <majorTickMark val="out"/>
        <minorTickMark val="none"/>
        <tickLblPos val="nextTo"/>
        <spPr>
          <a:noFill/>
          <a:ln>
            <a:solidFill>
              <a:schemeClr val="tx1"/>
            </a:solidFill>
            <a:prstDash val="solid"/>
          </a:ln>
        </spPr>
        <txPr>
          <a:bodyPr rot="-60000000" spcFirstLastPara="1" vertOverflow="ellipsis" vert="horz" wrap="square" anchor="ctr" anchorCtr="1"/>
          <a:lstStyle/>
          <a:p>
            <a:pPr>
              <a:defRPr sz="900" b="0" i="0" strike="noStrike" kern="1200" baseline="0">
                <a:solidFill>
                  <a:schemeClr val="tx1"/>
                </a:solidFill>
                <a:latin typeface="Arial" panose="020B0604020202020204" pitchFamily="34" charset="0"/>
                <a:ea typeface="+mn-ea"/>
                <a:cs typeface="Arial" panose="020B0604020202020204" pitchFamily="34" charset="0"/>
              </a:defRPr>
            </a:pPr>
            <a:r>
              <a:t/>
            </a:r>
            <a:endParaRPr lang="en-US"/>
          </a:p>
        </txPr>
        <crossAx val="1455011000"/>
        <crosses val="autoZero"/>
        <crossBetween val="between"/>
      </valAx>
    </plotArea>
    <legend>
      <legendPos val="b"/>
      <overlay val="0"/>
      <spPr>
        <a:noFill/>
        <a:ln>
          <a:noFill/>
          <a:prstDash val="solid"/>
        </a:ln>
      </spPr>
      <txPr>
        <a:bodyPr rot="0" spcFirstLastPara="1" vertOverflow="ellipsis" vert="horz" wrap="square" anchor="ctr" anchorCtr="1"/>
        <a:lstStyle/>
        <a:p>
          <a:pPr>
            <a:defRPr sz="900" b="0" i="0" strike="noStrike" kern="1200" baseline="0">
              <a:solidFill>
                <a:schemeClr val="tx1"/>
              </a:solidFill>
              <a:latin typeface="Arial" panose="020B0604020202020204" pitchFamily="34" charset="0"/>
              <a:ea typeface="+mn-ea"/>
              <a:cs typeface="Arial" panose="020B0604020202020204" pitchFamily="34" charset="0"/>
            </a:defRPr>
          </a:pPr>
          <a:r>
            <a:t/>
          </a:r>
          <a:endParaRPr lang="en-US"/>
        </a:p>
      </txPr>
    </legend>
    <plotVisOnly val="1"/>
    <dispBlanksAs val="gap"/>
  </chart>
  <spPr>
    <a:solidFill>
      <a:schemeClr val="bg1"/>
    </a:solidFill>
    <a:ln w="9525" cap="flat" cmpd="sng" algn="ctr">
      <a:noFill/>
      <a:prstDash val="solid"/>
      <a:round/>
    </a:ln>
  </spPr>
</chartSpace>
</file>

<file path=xl/charts/chart31.xml><?xml version="1.0" encoding="utf-8"?>
<chartSpace xmlns:a="http://schemas.openxmlformats.org/drawingml/2006/main" xmlns="http://schemas.openxmlformats.org/drawingml/2006/chart">
  <chart>
    <plotArea>
      <layout>
        <manualLayout>
          <layoutTarget val="inner"/>
          <xMode val="edge"/>
          <yMode val="edge"/>
          <wMode val="factor"/>
          <hMode val="factor"/>
          <x val="0.09145531895042711"/>
          <y val="0.04460408684546616"/>
          <w val="0.8676967366034479"/>
          <h val="0.8386280049820273"/>
        </manualLayout>
      </layout>
      <lineChart>
        <grouping val="standard"/>
        <varyColors val="0"/>
        <ser>
          <idx val="0"/>
          <order val="0"/>
          <tx>
            <strRef>
              <f>'Emp, Unemp &amp; Inac Chart'!$C$1</f>
              <strCache>
                <ptCount val="1"/>
                <pt idx="0">
                  <v>Employment Rate</v>
                </pt>
              </strCache>
            </strRef>
          </tx>
          <spPr>
            <a:ln w="28575" cap="rnd">
              <a:solidFill>
                <a:srgbClr val="002060"/>
              </a:solidFill>
              <a:prstDash val="solid"/>
              <a:round/>
            </a:ln>
          </spPr>
          <marker>
            <symbol val="none"/>
            <spPr>
              <a:ln>
                <a:prstDash val="solid"/>
              </a:ln>
            </spPr>
          </marker>
          <dLbls>
            <dLbl>
              <idx val="1"/>
              <showLegendKey val="0"/>
              <showVal val="1"/>
              <showCatName val="0"/>
              <showSerName val="0"/>
              <showPercent val="0"/>
              <showBubbleSize val="0"/>
            </dLbl>
            <dLbl>
              <idx val="119"/>
              <dLblPos val="t"/>
              <showLegendKey val="0"/>
              <showVal val="1"/>
              <showCatName val="0"/>
              <showSerName val="0"/>
              <showPercent val="0"/>
              <showBubbleSize val="0"/>
            </dLbl>
            <dLbl>
              <idx val="130"/>
              <dLblPos val="b"/>
              <showLegendKey val="0"/>
              <showVal val="1"/>
              <showCatName val="0"/>
              <showSerName val="0"/>
              <showPercent val="0"/>
              <showBubbleSize val="0"/>
            </dLbl>
            <dLbl>
              <idx val="178"/>
              <dLblPos val="t"/>
              <showLegendKey val="0"/>
              <showVal val="1"/>
              <showCatName val="0"/>
              <showSerName val="0"/>
              <showPercent val="0"/>
              <showBubbleSize val="0"/>
            </dLbl>
            <numFmt formatCode="#,##0.0"/>
            <spPr>
              <a:noFill/>
              <a:ln>
                <a:noFill/>
                <a:prstDash val="solid"/>
              </a:ln>
            </spPr>
            <txPr>
              <a:bodyPr rot="0" vert="horz"/>
              <a:lstStyle/>
              <a:p>
                <a:pPr>
                  <a:defRPr/>
                </a:pPr>
                <a:r>
                  <a:t/>
                </a:r>
                <a:endParaRPr lang="en-US"/>
              </a:p>
            </txPr>
            <showLegendKey val="0"/>
            <showVal val="0"/>
            <showCatName val="0"/>
            <showSerName val="0"/>
            <showPercent val="0"/>
            <showBubbleSize val="0"/>
          </dLbls>
          <cat>
            <strRef>
              <f>'Emp, Unemp &amp; Inac Chart'!$B$2:$B$180</f>
              <strCache>
                <ptCount val="179"/>
                <pt idx="0">
                  <v>2010</v>
                </pt>
                <pt idx="1">
                  <v>2010</v>
                </pt>
                <pt idx="2">
                  <v>2010</v>
                </pt>
                <pt idx="3">
                  <v>2010</v>
                </pt>
                <pt idx="4">
                  <v>2010</v>
                </pt>
                <pt idx="5">
                  <v>2010</v>
                </pt>
                <pt idx="6">
                  <v>2010</v>
                </pt>
                <pt idx="7">
                  <v>2010</v>
                </pt>
                <pt idx="8">
                  <v>2010</v>
                </pt>
                <pt idx="9">
                  <v>2010</v>
                </pt>
                <pt idx="10">
                  <v>2011</v>
                </pt>
                <pt idx="11">
                  <v>2011</v>
                </pt>
                <pt idx="12">
                  <v>2011</v>
                </pt>
                <pt idx="13">
                  <v>2011</v>
                </pt>
                <pt idx="14">
                  <v>2011</v>
                </pt>
                <pt idx="15">
                  <v>2011</v>
                </pt>
                <pt idx="16">
                  <v>2011</v>
                </pt>
                <pt idx="17">
                  <v>2011</v>
                </pt>
                <pt idx="18">
                  <v>2011</v>
                </pt>
                <pt idx="19">
                  <v>2011</v>
                </pt>
                <pt idx="20">
                  <v>2011</v>
                </pt>
                <pt idx="21">
                  <v>2011</v>
                </pt>
                <pt idx="22">
                  <v>2012</v>
                </pt>
                <pt idx="23">
                  <v>2012</v>
                </pt>
                <pt idx="24">
                  <v>2012</v>
                </pt>
                <pt idx="25">
                  <v>2012</v>
                </pt>
                <pt idx="26">
                  <v>2012</v>
                </pt>
                <pt idx="27">
                  <v>2012</v>
                </pt>
                <pt idx="28">
                  <v>2012</v>
                </pt>
                <pt idx="29">
                  <v>2012</v>
                </pt>
                <pt idx="30">
                  <v>2012</v>
                </pt>
                <pt idx="31">
                  <v>2012</v>
                </pt>
                <pt idx="32">
                  <v>2012</v>
                </pt>
                <pt idx="33">
                  <v>2012</v>
                </pt>
                <pt idx="34">
                  <v>2013</v>
                </pt>
                <pt idx="35">
                  <v>2013</v>
                </pt>
                <pt idx="36">
                  <v>2013</v>
                </pt>
                <pt idx="37">
                  <v>2013</v>
                </pt>
                <pt idx="38">
                  <v>2013</v>
                </pt>
                <pt idx="39">
                  <v>2013</v>
                </pt>
                <pt idx="40">
                  <v>2013</v>
                </pt>
                <pt idx="41">
                  <v>2013</v>
                </pt>
                <pt idx="42">
                  <v>2013</v>
                </pt>
                <pt idx="43">
                  <v>2013</v>
                </pt>
                <pt idx="44">
                  <v>2013</v>
                </pt>
                <pt idx="45">
                  <v>2013</v>
                </pt>
                <pt idx="46">
                  <v>2014</v>
                </pt>
                <pt idx="47">
                  <v>2014</v>
                </pt>
                <pt idx="48">
                  <v>2014</v>
                </pt>
                <pt idx="49">
                  <v>2014</v>
                </pt>
                <pt idx="50">
                  <v>2014</v>
                </pt>
                <pt idx="51">
                  <v>2014</v>
                </pt>
                <pt idx="52">
                  <v>2014</v>
                </pt>
                <pt idx="53">
                  <v>2014</v>
                </pt>
                <pt idx="54">
                  <v>2014</v>
                </pt>
                <pt idx="55">
                  <v>2014</v>
                </pt>
                <pt idx="56">
                  <v>2014</v>
                </pt>
                <pt idx="57">
                  <v>2014</v>
                </pt>
                <pt idx="58">
                  <v>2015</v>
                </pt>
                <pt idx="59">
                  <v>2015</v>
                </pt>
                <pt idx="60">
                  <v>2015</v>
                </pt>
                <pt idx="61">
                  <v>2015</v>
                </pt>
                <pt idx="62">
                  <v>2015</v>
                </pt>
                <pt idx="63">
                  <v>2015</v>
                </pt>
                <pt idx="64">
                  <v>2015</v>
                </pt>
                <pt idx="65">
                  <v>2015</v>
                </pt>
                <pt idx="66">
                  <v>2015</v>
                </pt>
                <pt idx="67">
                  <v>2015</v>
                </pt>
                <pt idx="68">
                  <v>2015</v>
                </pt>
                <pt idx="69">
                  <v>2015</v>
                </pt>
                <pt idx="70">
                  <v>2016</v>
                </pt>
                <pt idx="71">
                  <v>2016</v>
                </pt>
                <pt idx="72">
                  <v>2016</v>
                </pt>
                <pt idx="73">
                  <v>2016</v>
                </pt>
                <pt idx="74">
                  <v>2016</v>
                </pt>
                <pt idx="75">
                  <v>2016</v>
                </pt>
                <pt idx="76">
                  <v>2016</v>
                </pt>
                <pt idx="77">
                  <v>2016</v>
                </pt>
                <pt idx="78">
                  <v>2016</v>
                </pt>
                <pt idx="79">
                  <v>2016</v>
                </pt>
                <pt idx="80">
                  <v>2016</v>
                </pt>
                <pt idx="81">
                  <v>2016</v>
                </pt>
                <pt idx="82">
                  <v>2017</v>
                </pt>
                <pt idx="83">
                  <v>2017</v>
                </pt>
                <pt idx="84">
                  <v>2017</v>
                </pt>
                <pt idx="85">
                  <v>2017</v>
                </pt>
                <pt idx="86">
                  <v>2017</v>
                </pt>
                <pt idx="87">
                  <v>2017</v>
                </pt>
                <pt idx="88">
                  <v>2017</v>
                </pt>
                <pt idx="89">
                  <v>2017</v>
                </pt>
                <pt idx="90">
                  <v>2017</v>
                </pt>
                <pt idx="91">
                  <v>2017</v>
                </pt>
                <pt idx="92">
                  <v>2017</v>
                </pt>
                <pt idx="93">
                  <v>2017</v>
                </pt>
                <pt idx="94">
                  <v>2018</v>
                </pt>
                <pt idx="95">
                  <v>2018</v>
                </pt>
                <pt idx="96">
                  <v>2018</v>
                </pt>
                <pt idx="97">
                  <v>2018</v>
                </pt>
                <pt idx="98">
                  <v>2018</v>
                </pt>
                <pt idx="99">
                  <v>2018</v>
                </pt>
                <pt idx="100">
                  <v>2018</v>
                </pt>
                <pt idx="101">
                  <v>2018</v>
                </pt>
                <pt idx="102">
                  <v>2018</v>
                </pt>
                <pt idx="103">
                  <v>2018</v>
                </pt>
                <pt idx="104">
                  <v>2018</v>
                </pt>
                <pt idx="105">
                  <v>2018</v>
                </pt>
                <pt idx="106">
                  <v>2019</v>
                </pt>
                <pt idx="107">
                  <v>2019</v>
                </pt>
                <pt idx="108">
                  <v>2019</v>
                </pt>
                <pt idx="109">
                  <v>2019</v>
                </pt>
                <pt idx="110">
                  <v>2019</v>
                </pt>
                <pt idx="111">
                  <v>2019</v>
                </pt>
                <pt idx="112">
                  <v>2019</v>
                </pt>
                <pt idx="113">
                  <v>2019</v>
                </pt>
                <pt idx="114">
                  <v>2019</v>
                </pt>
                <pt idx="115">
                  <v>2019</v>
                </pt>
                <pt idx="116">
                  <v>2019</v>
                </pt>
                <pt idx="117">
                  <v>2019</v>
                </pt>
                <pt idx="118">
                  <v>2020</v>
                </pt>
                <pt idx="119">
                  <v>2020</v>
                </pt>
                <pt idx="120">
                  <v>2020</v>
                </pt>
                <pt idx="121">
                  <v>2020</v>
                </pt>
                <pt idx="122">
                  <v>2020</v>
                </pt>
                <pt idx="123">
                  <v>2020</v>
                </pt>
                <pt idx="124">
                  <v>2020</v>
                </pt>
                <pt idx="125">
                  <v>2020</v>
                </pt>
                <pt idx="126">
                  <v>2020</v>
                </pt>
                <pt idx="127">
                  <v>2020</v>
                </pt>
                <pt idx="128">
                  <v>2020</v>
                </pt>
                <pt idx="129">
                  <v>2020</v>
                </pt>
                <pt idx="130">
                  <v>2021</v>
                </pt>
                <pt idx="131">
                  <v>2021</v>
                </pt>
                <pt idx="132">
                  <v>2021</v>
                </pt>
                <pt idx="133">
                  <v>2021</v>
                </pt>
                <pt idx="134">
                  <v>2021</v>
                </pt>
                <pt idx="135">
                  <v>2021</v>
                </pt>
                <pt idx="136">
                  <v>2021</v>
                </pt>
                <pt idx="137">
                  <v>2021</v>
                </pt>
                <pt idx="138">
                  <v>2021</v>
                </pt>
                <pt idx="139">
                  <v>2021</v>
                </pt>
                <pt idx="140">
                  <v>2021</v>
                </pt>
                <pt idx="141">
                  <v>2021</v>
                </pt>
                <pt idx="142">
                  <v>2022</v>
                </pt>
                <pt idx="143">
                  <v>2022</v>
                </pt>
                <pt idx="144">
                  <v>2022</v>
                </pt>
                <pt idx="145">
                  <v>2022</v>
                </pt>
                <pt idx="146">
                  <v>2022</v>
                </pt>
                <pt idx="147">
                  <v>2022</v>
                </pt>
                <pt idx="148">
                  <v>2022</v>
                </pt>
                <pt idx="149">
                  <v>2022</v>
                </pt>
                <pt idx="150">
                  <v>2022</v>
                </pt>
                <pt idx="151">
                  <v>2022</v>
                </pt>
                <pt idx="152">
                  <v>2022</v>
                </pt>
                <pt idx="153">
                  <v>2022</v>
                </pt>
                <pt idx="154">
                  <v>2023</v>
                </pt>
                <pt idx="155">
                  <v>2023</v>
                </pt>
                <pt idx="156">
                  <v>2023</v>
                </pt>
                <pt idx="157">
                  <v>2023</v>
                </pt>
                <pt idx="158">
                  <v>2023</v>
                </pt>
                <pt idx="159">
                  <v>2023</v>
                </pt>
                <pt idx="160">
                  <v>2023</v>
                </pt>
                <pt idx="161">
                  <v>2023</v>
                </pt>
                <pt idx="162">
                  <v>2023</v>
                </pt>
                <pt idx="163">
                  <v>2023</v>
                </pt>
                <pt idx="164">
                  <v>2023</v>
                </pt>
                <pt idx="165">
                  <v>2023</v>
                </pt>
                <pt idx="166">
                  <v>2024</v>
                </pt>
                <pt idx="167">
                  <v>2024</v>
                </pt>
                <pt idx="168">
                  <v>2024</v>
                </pt>
                <pt idx="169">
                  <v>2024</v>
                </pt>
                <pt idx="170">
                  <v>2024</v>
                </pt>
                <pt idx="171">
                  <v>2024</v>
                </pt>
                <pt idx="172">
                  <v>2024</v>
                </pt>
                <pt idx="173">
                  <v>2024</v>
                </pt>
                <pt idx="174">
                  <v>2024</v>
                </pt>
                <pt idx="175">
                  <v>2024</v>
                </pt>
                <pt idx="176">
                  <v>2024</v>
                </pt>
                <pt idx="177">
                  <v>2024</v>
                </pt>
                <pt idx="178">
                  <v>2025</v>
                </pt>
              </strCache>
            </strRef>
          </cat>
          <val>
            <numRef>
              <f>'Emp, Unemp &amp; Inac Chart'!$C$2:$C$180</f>
              <numCache>
                <formatCode>General</formatCode>
                <ptCount val="179"/>
                <pt idx="0">
                  <v>70.19506233571616</v>
                </pt>
                <pt idx="1">
                  <v>70.21358318165471</v>
                </pt>
                <pt idx="2">
                  <v>70.39761588514109</v>
                </pt>
                <pt idx="3">
                  <v>70.42266739085805</v>
                </pt>
                <pt idx="4">
                  <v>70.62148615162398</v>
                </pt>
                <pt idx="5">
                  <v>70.6385936803868</v>
                </pt>
                <pt idx="6">
                  <v>70.7053995562033</v>
                </pt>
                <pt idx="7">
                  <v>70.49040918716814</v>
                </pt>
                <pt idx="8">
                  <v>70.33870207789259</v>
                </pt>
                <pt idx="9">
                  <v>70.38984940855012</v>
                </pt>
                <pt idx="10">
                  <v>70.46886514397892</v>
                </pt>
                <pt idx="11">
                  <v>70.5863967384833</v>
                </pt>
                <pt idx="12">
                  <v>70.54614688519727</v>
                </pt>
                <pt idx="13">
                  <v>70.48174477557745</v>
                </pt>
                <pt idx="14">
                  <v>70.51215847624927</v>
                </pt>
                <pt idx="15">
                  <v>70.45046186280268</v>
                </pt>
                <pt idx="16">
                  <v>70.2195568503123</v>
                </pt>
                <pt idx="17">
                  <v>70.19652540160183</v>
                </pt>
                <pt idx="18">
                  <v>70.1070736229214</v>
                </pt>
                <pt idx="19">
                  <v>70.14623683621126</v>
                </pt>
                <pt idx="20">
                  <v>70.14757177489574</v>
                </pt>
                <pt idx="21">
                  <v>70.22135722397837</v>
                </pt>
                <pt idx="22">
                  <v>70.24362636256249</v>
                </pt>
                <pt idx="23">
                  <v>70.31670416548363</v>
                </pt>
                <pt idx="24">
                  <v>70.4712208167288</v>
                </pt>
                <pt idx="25">
                  <v>70.53264335973792</v>
                </pt>
                <pt idx="26">
                  <v>70.66556279936987</v>
                </pt>
                <pt idx="27">
                  <v>70.91269018918838</v>
                </pt>
                <pt idx="28">
                  <v>71.06892101049669</v>
                </pt>
                <pt idx="29">
                  <v>71.1680422566354</v>
                </pt>
                <pt idx="30">
                  <v>71.13396263134302</v>
                </pt>
                <pt idx="31">
                  <v>71.0745423121583</v>
                </pt>
                <pt idx="32">
                  <v>71.29134205301078</v>
                </pt>
                <pt idx="33">
                  <v>71.40467654974798</v>
                </pt>
                <pt idx="34">
                  <v>71.35622363978855</v>
                </pt>
                <pt idx="35">
                  <v>71.16190684307637</v>
                </pt>
                <pt idx="36">
                  <v>71.17821878992392</v>
                </pt>
                <pt idx="37">
                  <v>71.23657673750758</v>
                </pt>
                <pt idx="38">
                  <v>71.20158841708715</v>
                </pt>
                <pt idx="39">
                  <v>71.32764658495712</v>
                </pt>
                <pt idx="40">
                  <v>71.47911939293444</v>
                </pt>
                <pt idx="41">
                  <v>71.50330009889693</v>
                </pt>
                <pt idx="42">
                  <v>71.6478013132844</v>
                </pt>
                <pt idx="43">
                  <v>71.86829449412558</v>
                </pt>
                <pt idx="44">
                  <v>72.02633622341098</v>
                </pt>
                <pt idx="45">
                  <v>71.98728903938103</v>
                </pt>
                <pt idx="46">
                  <v>72.09632570177457</v>
                </pt>
                <pt idx="47">
                  <v>72.36517162782093</v>
                </pt>
                <pt idx="48">
                  <v>72.45196144309159</v>
                </pt>
                <pt idx="49">
                  <v>72.68089282577358</v>
                </pt>
                <pt idx="50">
                  <v>72.89321057258411</v>
                </pt>
                <pt idx="51">
                  <v>72.81970445205404</v>
                </pt>
                <pt idx="52">
                  <v>72.77474493288787</v>
                </pt>
                <pt idx="53">
                  <v>72.96262563066769</v>
                </pt>
                <pt idx="54">
                  <v>73.03028471564627</v>
                </pt>
                <pt idx="55">
                  <v>72.99368424106179</v>
                </pt>
                <pt idx="56">
                  <v>72.97818663560045</v>
                </pt>
                <pt idx="57">
                  <v>73.18705172230247</v>
                </pt>
                <pt idx="58">
                  <v>73.28044552067894</v>
                </pt>
                <pt idx="59">
                  <v>73.41419964406624</v>
                </pt>
                <pt idx="60">
                  <v>73.41690240141652</v>
                </pt>
                <pt idx="61">
                  <v>73.41303272915106</v>
                </pt>
                <pt idx="62">
                  <v>73.28680444812818</v>
                </pt>
                <pt idx="63">
                  <v>73.35966154026707</v>
                </pt>
                <pt idx="64">
                  <v>73.4564543877693</v>
                </pt>
                <pt idx="65">
                  <v>73.53110668204816</v>
                </pt>
                <pt idx="66">
                  <v>73.74528316269787</v>
                </pt>
                <pt idx="67">
                  <v>73.94663773139524</v>
                </pt>
                <pt idx="68">
                  <v>74.01307566625121</v>
                </pt>
                <pt idx="69">
                  <v>74.07432305443305</v>
                </pt>
                <pt idx="70">
                  <v>74.04894354288308</v>
                </pt>
                <pt idx="71">
                  <v>74.09765628913061</v>
                </pt>
                <pt idx="72">
                  <v>74.08990735877896</v>
                </pt>
                <pt idx="73">
                  <v>74.14434138600392</v>
                </pt>
                <pt idx="74">
                  <v>74.30714632298397</v>
                </pt>
                <pt idx="75">
                  <v>74.36519897497456</v>
                </pt>
                <pt idx="76">
                  <v>74.45016364869883</v>
                </pt>
                <pt idx="77">
                  <v>74.42991378029483</v>
                </pt>
                <pt idx="78">
                  <v>74.38981353593891</v>
                </pt>
                <pt idx="79">
                  <v>74.37488066825644</v>
                </pt>
                <pt idx="80">
                  <v>74.38771026904277</v>
                </pt>
                <pt idx="81">
                  <v>74.50479356730145</v>
                </pt>
                <pt idx="82">
                  <v>74.47386708448667</v>
                </pt>
                <pt idx="83">
                  <v>74.55955963345289</v>
                </pt>
                <pt idx="84">
                  <v>74.70237517521598</v>
                </pt>
                <pt idx="85">
                  <v>74.69889643699389</v>
                </pt>
                <pt idx="86">
                  <v>74.83906059523143</v>
                </pt>
                <pt idx="87">
                  <v>75.03206757979919</v>
                </pt>
                <pt idx="88">
                  <v>75.18941158552613</v>
                </pt>
                <pt idx="89">
                  <v>75.06004772241972</v>
                </pt>
                <pt idx="90">
                  <v>74.92520086604266</v>
                </pt>
                <pt idx="91">
                  <v>74.99004529117279</v>
                </pt>
                <pt idx="92">
                  <v>75.24669849149666</v>
                </pt>
                <pt idx="93">
                  <v>75.07991259979227</v>
                </pt>
                <pt idx="94">
                  <v>75.2026292241279</v>
                </pt>
                <pt idx="95">
                  <v>75.27034435386472</v>
                </pt>
                <pt idx="96">
                  <v>75.45097505430819</v>
                </pt>
                <pt idx="97">
                  <v>75.47903385519183</v>
                </pt>
                <pt idx="98">
                  <v>75.51297984725608</v>
                </pt>
                <pt idx="99">
                  <v>75.42587302573253</v>
                </pt>
                <pt idx="100">
                  <v>75.39167187801853</v>
                </pt>
                <pt idx="101">
                  <v>75.42616613436471</v>
                </pt>
                <pt idx="102">
                  <v>75.41790934162768</v>
                </pt>
                <pt idx="103">
                  <v>75.57208095497343</v>
                </pt>
                <pt idx="104">
                  <v>75.61695787148753</v>
                </pt>
                <pt idx="105">
                  <v>75.68493545094618</v>
                </pt>
                <pt idx="106">
                  <v>75.95276409046544</v>
                </pt>
                <pt idx="107">
                  <v>75.9704412659988</v>
                </pt>
                <pt idx="108">
                  <v>75.90274526483755</v>
                </pt>
                <pt idx="109">
                  <v>76.00805927935248</v>
                </pt>
                <pt idx="110">
                  <v>75.99980984436198</v>
                </pt>
                <pt idx="111">
                  <v>76.08777945766555</v>
                </pt>
                <pt idx="112">
                  <v>76.03963300798307</v>
                </pt>
                <pt idx="113">
                  <v>75.92364283869189</v>
                </pt>
                <pt idx="114">
                  <v>76.00730194543705</v>
                </pt>
                <pt idx="115">
                  <v>76.03864054371282</v>
                </pt>
                <pt idx="116">
                  <v>76.21873449887609</v>
                </pt>
                <pt idx="117">
                  <v>76.37831051824415</v>
                </pt>
                <pt idx="118">
                  <v>76.37872994260856</v>
                </pt>
                <pt idx="119">
                  <v>76.49086673688674</v>
                </pt>
                <pt idx="120">
                  <v>75.92812184739972</v>
                </pt>
                <pt idx="121">
                  <v>75.66080276584752</v>
                </pt>
                <pt idx="122">
                  <v>75.50395262063516</v>
                </pt>
                <pt idx="123">
                  <v>75.42019535402868</v>
                </pt>
                <pt idx="124">
                  <v>75.25116829575515</v>
                </pt>
                <pt idx="125">
                  <v>74.98792779724094</v>
                </pt>
                <pt idx="126">
                  <v>74.60090532232304</v>
                </pt>
                <pt idx="127">
                  <v>74.45723898619127</v>
                </pt>
                <pt idx="128">
                  <v>74.51576148293523</v>
                </pt>
                <pt idx="129">
                  <v>74.31978475138945</v>
                </pt>
                <pt idx="130">
                  <v>74.32328008387103</v>
                </pt>
                <pt idx="131">
                  <v>74.50033343692523</v>
                </pt>
                <pt idx="132">
                  <v>74.41926929111908</v>
                </pt>
                <pt idx="133">
                  <v>74.42601658093224</v>
                </pt>
                <pt idx="134">
                  <v>74.47047431599461</v>
                </pt>
                <pt idx="135">
                  <v>74.72743223967015</v>
                </pt>
                <pt idx="136">
                  <v>74.82402686486087</v>
                </pt>
                <pt idx="137">
                  <v>74.93524184133635</v>
                </pt>
                <pt idx="138">
                  <v>75.04603121707957</v>
                </pt>
                <pt idx="139">
                  <v>74.98659400943762</v>
                </pt>
                <pt idx="140">
                  <v>74.99131088162873</v>
                </pt>
                <pt idx="141">
                  <v>75.05785834596099</v>
                </pt>
                <pt idx="142">
                  <v>75.03885014624159</v>
                </pt>
                <pt idx="143">
                  <v>75.03754910605151</v>
                </pt>
                <pt idx="144">
                  <v>75.10935239952008</v>
                </pt>
                <pt idx="145">
                  <v>75.15694781990979</v>
                </pt>
                <pt idx="146">
                  <v>75.39873856809442</v>
                </pt>
                <pt idx="147">
                  <v>75.06673268346958</v>
                </pt>
                <pt idx="148">
                  <v>74.95082054482374</v>
                </pt>
                <pt idx="149">
                  <v>75.04120213525364</v>
                </pt>
                <pt idx="150">
                  <v>74.95668282911967</v>
                </pt>
                <pt idx="151">
                  <v>75.02175481523166</v>
                </pt>
                <pt idx="152">
                  <v>75.01031592703418</v>
                </pt>
                <pt idx="153">
                  <v>75.13618825055353</v>
                </pt>
                <pt idx="154">
                  <v>75.16007543739542</v>
                </pt>
                <pt idx="155">
                  <v>75.15151207009346</v>
                </pt>
                <pt idx="156">
                  <v>75.28328338883118</v>
                </pt>
                <pt idx="157">
                  <v>75.47518903481077</v>
                </pt>
                <pt idx="158">
                  <v>75.44449718583836</v>
                </pt>
                <pt idx="159">
                  <v>75.19841988539167</v>
                </pt>
                <pt idx="160">
                  <v>74.9104963213847</v>
                </pt>
                <pt idx="161">
                  <v>74.68865668248679</v>
                </pt>
                <pt idx="162">
                  <v>74.88773337599443</v>
                </pt>
                <pt idx="163">
                  <v>74.8831570635769</v>
                </pt>
                <pt idx="164">
                  <v>74.85989503049854</v>
                </pt>
                <pt idx="165">
                  <v>74.85297439627406</v>
                </pt>
                <pt idx="166">
                  <v>74.6591772796388</v>
                </pt>
                <pt idx="167">
                  <v>74.55901190200197</v>
                </pt>
                <pt idx="168">
                  <v>74.49567541498907</v>
                </pt>
                <pt idx="169">
                  <v>74.39620853370684</v>
                </pt>
                <pt idx="170">
                  <v>74.40776432391547</v>
                </pt>
                <pt idx="171">
                  <v>74.57439705715015</v>
                </pt>
                <pt idx="172">
                  <v>74.72290267414503</v>
                </pt>
                <pt idx="173">
                  <v>74.98570383166185</v>
                </pt>
                <pt idx="174">
                  <v>74.93797558047748</v>
                </pt>
                <pt idx="175">
                  <v>74.90247258678717</v>
                </pt>
                <pt idx="176">
                  <v>74.85093479628866</v>
                </pt>
                <pt idx="177">
                  <v>74.95600711518506</v>
                </pt>
                <pt idx="178">
                  <v>75.0060177655139</v>
                </pt>
              </numCache>
            </numRef>
          </val>
          <smooth val="0"/>
        </ser>
        <dLbls>
          <showLegendKey val="0"/>
          <showVal val="0"/>
          <showCatName val="0"/>
          <showSerName val="0"/>
          <showPercent val="0"/>
          <showBubbleSize val="0"/>
        </dLbls>
        <smooth val="0"/>
        <axId val="1454969600"/>
        <axId val="1454969960"/>
      </lineChart>
      <catAx>
        <axId val="1454969600"/>
        <scaling>
          <orientation val="minMax"/>
        </scaling>
        <delete val="0"/>
        <axPos val="b"/>
        <numFmt formatCode="General" sourceLinked="1"/>
        <majorTickMark val="out"/>
        <minorTickMark val="none"/>
        <tickLblPos val="nextTo"/>
        <spPr>
          <a:noFill/>
          <a:ln w="9525" cap="flat" cmpd="sng" algn="ctr">
            <a:solidFill>
              <a:sysClr val="windowText" lastClr="000000"/>
            </a:solidFill>
            <a:prstDash val="solid"/>
            <a:round/>
          </a:ln>
        </spPr>
        <txPr>
          <a:bodyPr rot="-60000000" vert="horz"/>
          <a:lstStyle/>
          <a:p>
            <a:pPr>
              <a:defRPr/>
            </a:pPr>
            <a:r>
              <a:t/>
            </a:r>
            <a:endParaRPr lang="en-US"/>
          </a:p>
        </txPr>
        <crossAx val="1454969960"/>
        <crosses val="autoZero"/>
        <auto val="1"/>
        <lblAlgn val="ctr"/>
        <lblOffset val="100"/>
        <tickLblSkip val="12"/>
        <tickMarkSkip val="12"/>
        <noMultiLvlLbl val="0"/>
      </catAx>
      <valAx>
        <axId val="1454969960"/>
        <scaling>
          <orientation val="minMax"/>
          <min val="69"/>
        </scaling>
        <delete val="0"/>
        <axPos val="l"/>
        <majorGridlines>
          <spPr>
            <a:ln w="9525" cap="flat" cmpd="sng" algn="ctr">
              <a:solidFill>
                <a:schemeClr val="tx1">
                  <a:lumMod val="15000"/>
                  <a:lumOff val="85000"/>
                </a:schemeClr>
              </a:solidFill>
              <a:prstDash val="solid"/>
              <a:round/>
            </a:ln>
          </spPr>
        </majorGridlines>
        <title>
          <tx>
            <rich>
              <a:bodyPr rot="-5400000" vert="horz"/>
              <a:lstStyle/>
              <a:p>
                <a:pPr>
                  <a:defRPr/>
                </a:pPr>
                <a:r>
                  <a:rPr lang="en-GB"/>
                  <a:t>Percent</a:t>
                </a:r>
              </a:p>
            </rich>
          </tx>
          <layout>
            <manualLayout>
              <xMode val="edge"/>
              <yMode val="edge"/>
              <wMode val="factor"/>
              <hMode val="factor"/>
              <x val="0.01114035087719298"/>
              <y val="0.3785284163473819"/>
            </manualLayout>
          </layout>
          <overlay val="0"/>
          <spPr>
            <a:noFill/>
            <a:ln>
              <a:noFill/>
              <a:prstDash val="solid"/>
            </a:ln>
          </spPr>
        </title>
        <numFmt formatCode="General" sourceLinked="1"/>
        <majorTickMark val="out"/>
        <minorTickMark val="none"/>
        <tickLblPos val="nextTo"/>
        <spPr>
          <a:noFill/>
          <a:ln>
            <a:solidFill>
              <a:sysClr val="windowText" lastClr="000000"/>
            </a:solidFill>
            <a:prstDash val="solid"/>
          </a:ln>
        </spPr>
        <txPr>
          <a:bodyPr rot="-60000000" vert="horz"/>
          <a:lstStyle/>
          <a:p>
            <a:pPr>
              <a:defRPr/>
            </a:pPr>
            <a:r>
              <a:t/>
            </a:r>
            <a:endParaRPr lang="en-US"/>
          </a:p>
        </txPr>
        <crossAx val="1454969600"/>
        <crosses val="autoZero"/>
        <crossBetween val="between"/>
      </valAx>
    </plotArea>
    <plotVisOnly val="1"/>
    <dispBlanksAs val="gap"/>
  </chart>
  <spPr>
    <a:solidFill>
      <a:schemeClr val="bg1"/>
    </a:solidFill>
    <a:ln w="9525" cap="flat" cmpd="sng" algn="ctr">
      <a:noFill/>
      <a:prstDash val="solid"/>
      <a:round/>
    </a:ln>
  </spPr>
</chartSpace>
</file>

<file path=xl/charts/chart32.xml><?xml version="1.0" encoding="utf-8"?>
<chartSpace xmlns:a="http://schemas.openxmlformats.org/drawingml/2006/main" xmlns="http://schemas.openxmlformats.org/drawingml/2006/chart">
  <chart>
    <plotArea>
      <layout>
        <manualLayout>
          <layoutTarget val="inner"/>
          <xMode val="edge"/>
          <yMode val="edge"/>
          <wMode val="factor"/>
          <hMode val="factor"/>
          <x val="0.08268068118927532"/>
          <y val="0.04460408684546616"/>
          <w val="0.8764713018027468"/>
          <h val="0.820131880852935"/>
        </manualLayout>
      </layout>
      <lineChart>
        <grouping val="standard"/>
        <varyColors val="0"/>
        <ser>
          <idx val="0"/>
          <order val="0"/>
          <tx>
            <strRef>
              <f>'Emp, Unemp &amp; Inac Chart'!$D$1</f>
              <strCache>
                <ptCount val="1"/>
                <pt idx="0">
                  <v>Unemployment Rate</v>
                </pt>
              </strCache>
            </strRef>
          </tx>
          <spPr>
            <a:ln w="28575" cap="rnd">
              <a:solidFill>
                <a:srgbClr val="002060"/>
              </a:solidFill>
              <a:prstDash val="solid"/>
              <a:round/>
            </a:ln>
          </spPr>
          <marker>
            <symbol val="none"/>
            <spPr>
              <a:ln>
                <a:prstDash val="solid"/>
              </a:ln>
            </spPr>
          </marker>
          <dLbls>
            <dLbl>
              <idx val="20"/>
              <dLblPos val="t"/>
              <showLegendKey val="0"/>
              <showVal val="1"/>
              <showCatName val="0"/>
              <showSerName val="0"/>
              <showPercent val="0"/>
              <showBubbleSize val="0"/>
            </dLbl>
            <dLbl>
              <idx val="23"/>
            </dLbl>
            <dLbl>
              <idx val="129"/>
              <dLblPos val="t"/>
              <showLegendKey val="0"/>
              <showVal val="1"/>
              <showCatName val="0"/>
              <showSerName val="0"/>
              <showPercent val="0"/>
              <showBubbleSize val="0"/>
            </dLbl>
            <dLbl>
              <idx val="131"/>
            </dLbl>
            <dLbl>
              <idx val="174"/>
            </dLbl>
            <dLbl>
              <idx val="178"/>
            </dLbl>
            <dLbl>
              <idx val="186"/>
            </dLbl>
            <dLbl>
              <idx val="187"/>
              <dLblPos val="t"/>
              <showLegendKey val="0"/>
              <showVal val="1"/>
              <showCatName val="0"/>
              <showSerName val="0"/>
              <showPercent val="0"/>
              <showBubbleSize val="0"/>
            </dLbl>
            <numFmt formatCode="#,##0.0"/>
            <spPr>
              <a:noFill/>
              <a:ln>
                <a:noFill/>
                <a:prstDash val="solid"/>
              </a:ln>
            </spPr>
            <txPr>
              <a:bodyPr rot="0" vert="horz"/>
              <a:lstStyle/>
              <a:p>
                <a:pPr>
                  <a:defRPr/>
                </a:pPr>
                <a:r>
                  <a:t/>
                </a:r>
                <a:endParaRPr lang="en-US"/>
              </a:p>
            </txPr>
            <showLegendKey val="0"/>
            <showVal val="0"/>
            <showCatName val="0"/>
            <showSerName val="0"/>
            <showPercent val="0"/>
            <showBubbleSize val="0"/>
          </dLbls>
          <cat>
            <strRef>
              <f>'Emp, Unemp &amp; Inac Chart'!$B$2:$B$189</f>
              <strCache>
                <ptCount val="188"/>
                <pt idx="0">
                  <v>2010</v>
                </pt>
                <pt idx="1">
                  <v>2010</v>
                </pt>
                <pt idx="2">
                  <v>2010</v>
                </pt>
                <pt idx="3">
                  <v>2010</v>
                </pt>
                <pt idx="4">
                  <v>2010</v>
                </pt>
                <pt idx="5">
                  <v>2010</v>
                </pt>
                <pt idx="6">
                  <v>2010</v>
                </pt>
                <pt idx="7">
                  <v>2010</v>
                </pt>
                <pt idx="8">
                  <v>2010</v>
                </pt>
                <pt idx="9">
                  <v>2010</v>
                </pt>
                <pt idx="10">
                  <v>2011</v>
                </pt>
                <pt idx="11">
                  <v>2011</v>
                </pt>
                <pt idx="12">
                  <v>2011</v>
                </pt>
                <pt idx="13">
                  <v>2011</v>
                </pt>
                <pt idx="14">
                  <v>2011</v>
                </pt>
                <pt idx="15">
                  <v>2011</v>
                </pt>
                <pt idx="16">
                  <v>2011</v>
                </pt>
                <pt idx="17">
                  <v>2011</v>
                </pt>
                <pt idx="18">
                  <v>2011</v>
                </pt>
                <pt idx="19">
                  <v>2011</v>
                </pt>
                <pt idx="20">
                  <v>2011</v>
                </pt>
                <pt idx="21">
                  <v>2011</v>
                </pt>
                <pt idx="22">
                  <v>2012</v>
                </pt>
                <pt idx="23">
                  <v>2012</v>
                </pt>
                <pt idx="24">
                  <v>2012</v>
                </pt>
                <pt idx="25">
                  <v>2012</v>
                </pt>
                <pt idx="26">
                  <v>2012</v>
                </pt>
                <pt idx="27">
                  <v>2012</v>
                </pt>
                <pt idx="28">
                  <v>2012</v>
                </pt>
                <pt idx="29">
                  <v>2012</v>
                </pt>
                <pt idx="30">
                  <v>2012</v>
                </pt>
                <pt idx="31">
                  <v>2012</v>
                </pt>
                <pt idx="32">
                  <v>2012</v>
                </pt>
                <pt idx="33">
                  <v>2012</v>
                </pt>
                <pt idx="34">
                  <v>2013</v>
                </pt>
                <pt idx="35">
                  <v>2013</v>
                </pt>
                <pt idx="36">
                  <v>2013</v>
                </pt>
                <pt idx="37">
                  <v>2013</v>
                </pt>
                <pt idx="38">
                  <v>2013</v>
                </pt>
                <pt idx="39">
                  <v>2013</v>
                </pt>
                <pt idx="40">
                  <v>2013</v>
                </pt>
                <pt idx="41">
                  <v>2013</v>
                </pt>
                <pt idx="42">
                  <v>2013</v>
                </pt>
                <pt idx="43">
                  <v>2013</v>
                </pt>
                <pt idx="44">
                  <v>2013</v>
                </pt>
                <pt idx="45">
                  <v>2013</v>
                </pt>
                <pt idx="46">
                  <v>2014</v>
                </pt>
                <pt idx="47">
                  <v>2014</v>
                </pt>
                <pt idx="48">
                  <v>2014</v>
                </pt>
                <pt idx="49">
                  <v>2014</v>
                </pt>
                <pt idx="50">
                  <v>2014</v>
                </pt>
                <pt idx="51">
                  <v>2014</v>
                </pt>
                <pt idx="52">
                  <v>2014</v>
                </pt>
                <pt idx="53">
                  <v>2014</v>
                </pt>
                <pt idx="54">
                  <v>2014</v>
                </pt>
                <pt idx="55">
                  <v>2014</v>
                </pt>
                <pt idx="56">
                  <v>2014</v>
                </pt>
                <pt idx="57">
                  <v>2014</v>
                </pt>
                <pt idx="58">
                  <v>2015</v>
                </pt>
                <pt idx="59">
                  <v>2015</v>
                </pt>
                <pt idx="60">
                  <v>2015</v>
                </pt>
                <pt idx="61">
                  <v>2015</v>
                </pt>
                <pt idx="62">
                  <v>2015</v>
                </pt>
                <pt idx="63">
                  <v>2015</v>
                </pt>
                <pt idx="64">
                  <v>2015</v>
                </pt>
                <pt idx="65">
                  <v>2015</v>
                </pt>
                <pt idx="66">
                  <v>2015</v>
                </pt>
                <pt idx="67">
                  <v>2015</v>
                </pt>
                <pt idx="68">
                  <v>2015</v>
                </pt>
                <pt idx="69">
                  <v>2015</v>
                </pt>
                <pt idx="70">
                  <v>2016</v>
                </pt>
                <pt idx="71">
                  <v>2016</v>
                </pt>
                <pt idx="72">
                  <v>2016</v>
                </pt>
                <pt idx="73">
                  <v>2016</v>
                </pt>
                <pt idx="74">
                  <v>2016</v>
                </pt>
                <pt idx="75">
                  <v>2016</v>
                </pt>
                <pt idx="76">
                  <v>2016</v>
                </pt>
                <pt idx="77">
                  <v>2016</v>
                </pt>
                <pt idx="78">
                  <v>2016</v>
                </pt>
                <pt idx="79">
                  <v>2016</v>
                </pt>
                <pt idx="80">
                  <v>2016</v>
                </pt>
                <pt idx="81">
                  <v>2016</v>
                </pt>
                <pt idx="82">
                  <v>2017</v>
                </pt>
                <pt idx="83">
                  <v>2017</v>
                </pt>
                <pt idx="84">
                  <v>2017</v>
                </pt>
                <pt idx="85">
                  <v>2017</v>
                </pt>
                <pt idx="86">
                  <v>2017</v>
                </pt>
                <pt idx="87">
                  <v>2017</v>
                </pt>
                <pt idx="88">
                  <v>2017</v>
                </pt>
                <pt idx="89">
                  <v>2017</v>
                </pt>
                <pt idx="90">
                  <v>2017</v>
                </pt>
                <pt idx="91">
                  <v>2017</v>
                </pt>
                <pt idx="92">
                  <v>2017</v>
                </pt>
                <pt idx="93">
                  <v>2017</v>
                </pt>
                <pt idx="94">
                  <v>2018</v>
                </pt>
                <pt idx="95">
                  <v>2018</v>
                </pt>
                <pt idx="96">
                  <v>2018</v>
                </pt>
                <pt idx="97">
                  <v>2018</v>
                </pt>
                <pt idx="98">
                  <v>2018</v>
                </pt>
                <pt idx="99">
                  <v>2018</v>
                </pt>
                <pt idx="100">
                  <v>2018</v>
                </pt>
                <pt idx="101">
                  <v>2018</v>
                </pt>
                <pt idx="102">
                  <v>2018</v>
                </pt>
                <pt idx="103">
                  <v>2018</v>
                </pt>
                <pt idx="104">
                  <v>2018</v>
                </pt>
                <pt idx="105">
                  <v>2018</v>
                </pt>
                <pt idx="106">
                  <v>2019</v>
                </pt>
                <pt idx="107">
                  <v>2019</v>
                </pt>
                <pt idx="108">
                  <v>2019</v>
                </pt>
                <pt idx="109">
                  <v>2019</v>
                </pt>
                <pt idx="110">
                  <v>2019</v>
                </pt>
                <pt idx="111">
                  <v>2019</v>
                </pt>
                <pt idx="112">
                  <v>2019</v>
                </pt>
                <pt idx="113">
                  <v>2019</v>
                </pt>
                <pt idx="114">
                  <v>2019</v>
                </pt>
                <pt idx="115">
                  <v>2019</v>
                </pt>
                <pt idx="116">
                  <v>2019</v>
                </pt>
                <pt idx="117">
                  <v>2019</v>
                </pt>
                <pt idx="118">
                  <v>2020</v>
                </pt>
                <pt idx="119">
                  <v>2020</v>
                </pt>
                <pt idx="120">
                  <v>2020</v>
                </pt>
                <pt idx="121">
                  <v>2020</v>
                </pt>
                <pt idx="122">
                  <v>2020</v>
                </pt>
                <pt idx="123">
                  <v>2020</v>
                </pt>
                <pt idx="124">
                  <v>2020</v>
                </pt>
                <pt idx="125">
                  <v>2020</v>
                </pt>
                <pt idx="126">
                  <v>2020</v>
                </pt>
                <pt idx="127">
                  <v>2020</v>
                </pt>
                <pt idx="128">
                  <v>2020</v>
                </pt>
                <pt idx="129">
                  <v>2020</v>
                </pt>
                <pt idx="130">
                  <v>2021</v>
                </pt>
                <pt idx="131">
                  <v>2021</v>
                </pt>
                <pt idx="132">
                  <v>2021</v>
                </pt>
                <pt idx="133">
                  <v>2021</v>
                </pt>
                <pt idx="134">
                  <v>2021</v>
                </pt>
                <pt idx="135">
                  <v>2021</v>
                </pt>
                <pt idx="136">
                  <v>2021</v>
                </pt>
                <pt idx="137">
                  <v>2021</v>
                </pt>
                <pt idx="138">
                  <v>2021</v>
                </pt>
                <pt idx="139">
                  <v>2021</v>
                </pt>
                <pt idx="140">
                  <v>2021</v>
                </pt>
                <pt idx="141">
                  <v>2021</v>
                </pt>
                <pt idx="142">
                  <v>2022</v>
                </pt>
                <pt idx="143">
                  <v>2022</v>
                </pt>
                <pt idx="144">
                  <v>2022</v>
                </pt>
                <pt idx="145">
                  <v>2022</v>
                </pt>
                <pt idx="146">
                  <v>2022</v>
                </pt>
                <pt idx="147">
                  <v>2022</v>
                </pt>
                <pt idx="148">
                  <v>2022</v>
                </pt>
                <pt idx="149">
                  <v>2022</v>
                </pt>
                <pt idx="150">
                  <v>2022</v>
                </pt>
                <pt idx="151">
                  <v>2022</v>
                </pt>
                <pt idx="152">
                  <v>2022</v>
                </pt>
                <pt idx="153">
                  <v>2022</v>
                </pt>
                <pt idx="154">
                  <v>2023</v>
                </pt>
                <pt idx="155">
                  <v>2023</v>
                </pt>
                <pt idx="156">
                  <v>2023</v>
                </pt>
                <pt idx="157">
                  <v>2023</v>
                </pt>
                <pt idx="158">
                  <v>2023</v>
                </pt>
                <pt idx="159">
                  <v>2023</v>
                </pt>
                <pt idx="160">
                  <v>2023</v>
                </pt>
                <pt idx="161">
                  <v>2023</v>
                </pt>
                <pt idx="162">
                  <v>2023</v>
                </pt>
                <pt idx="163">
                  <v>2023</v>
                </pt>
                <pt idx="164">
                  <v>2023</v>
                </pt>
                <pt idx="165">
                  <v>2023</v>
                </pt>
                <pt idx="166">
                  <v>2024</v>
                </pt>
                <pt idx="167">
                  <v>2024</v>
                </pt>
                <pt idx="168">
                  <v>2024</v>
                </pt>
                <pt idx="169">
                  <v>2024</v>
                </pt>
                <pt idx="170">
                  <v>2024</v>
                </pt>
                <pt idx="171">
                  <v>2024</v>
                </pt>
                <pt idx="172">
                  <v>2024</v>
                </pt>
                <pt idx="173">
                  <v>2024</v>
                </pt>
                <pt idx="174">
                  <v>2024</v>
                </pt>
                <pt idx="175">
                  <v>2024</v>
                </pt>
                <pt idx="176">
                  <v>2024</v>
                </pt>
                <pt idx="177">
                  <v>2024</v>
                </pt>
                <pt idx="178">
                  <v>2025</v>
                </pt>
                <pt idx="179">
                  <v>2025</v>
                </pt>
                <pt idx="180">
                  <v>2025</v>
                </pt>
                <pt idx="181">
                  <v>2025</v>
                </pt>
                <pt idx="182">
                  <v>2025</v>
                </pt>
                <pt idx="183">
                  <v>2025</v>
                </pt>
                <pt idx="184">
                  <v>2025</v>
                </pt>
                <pt idx="185">
                  <v>2025</v>
                </pt>
                <pt idx="186">
                  <v>2025</v>
                </pt>
                <pt idx="187">
                  <v>2025</v>
                </pt>
              </strCache>
            </strRef>
          </cat>
          <val>
            <numRef>
              <f>'Emp, Unemp &amp; Inac Chart'!$D$2:$D$189</f>
              <numCache>
                <formatCode>General</formatCode>
                <ptCount val="188"/>
                <pt idx="0">
                  <v>8.009586729025017</v>
                </pt>
                <pt idx="1">
                  <v>7.952375417358229</v>
                </pt>
                <pt idx="2">
                  <v>7.922887015034062</v>
                </pt>
                <pt idx="3">
                  <v>7.852351583284964</v>
                </pt>
                <pt idx="4">
                  <v>7.820322392815586</v>
                </pt>
                <pt idx="5">
                  <v>7.78201843831829</v>
                </pt>
                <pt idx="6">
                  <v>7.754645833470739</v>
                </pt>
                <pt idx="7">
                  <v>7.89715091223551</v>
                </pt>
                <pt idx="8">
                  <v>7.871096661442908</v>
                </pt>
                <pt idx="9">
                  <v>7.863268630338387</v>
                </pt>
                <pt idx="10">
                  <v>7.908611227852726</v>
                </pt>
                <pt idx="11">
                  <v>7.802659343300253</v>
                </pt>
                <pt idx="12">
                  <v>7.778466706955086</v>
                </pt>
                <pt idx="13">
                  <v>7.716984327492511</v>
                </pt>
                <pt idx="14">
                  <v>7.821959083620771</v>
                </pt>
                <pt idx="15">
                  <v>7.940033426316908</v>
                </pt>
                <pt idx="16">
                  <v>8.012875366077724</v>
                </pt>
                <pt idx="17">
                  <v>8.180127903347428</v>
                </pt>
                <pt idx="18">
                  <v>8.330712737807634</v>
                </pt>
                <pt idx="19">
                  <v>8.368640160424492</v>
                </pt>
                <pt idx="20">
                  <v>8.463469957707433</v>
                </pt>
                <pt idx="21">
                  <v>8.389359973531747</v>
                </pt>
                <pt idx="22">
                  <v>8.346672608146999</v>
                </pt>
                <pt idx="23">
                  <v>8.282301731822658</v>
                </pt>
                <pt idx="24">
                  <v>8.203264811937329</v>
                </pt>
                <pt idx="25">
                  <v>8.16584885237374</v>
                </pt>
                <pt idx="26">
                  <v>8.071605048464157</v>
                </pt>
                <pt idx="27">
                  <v>7.982309021000788</v>
                </pt>
                <pt idx="28">
                  <v>8.028222052263375</v>
                </pt>
                <pt idx="29">
                  <v>7.879512361553741</v>
                </pt>
                <pt idx="30">
                  <v>7.849712999682255</v>
                </pt>
                <pt idx="31">
                  <v>7.841455789484073</v>
                </pt>
                <pt idx="32">
                  <v>7.809342800856922</v>
                </pt>
                <pt idx="33">
                  <v>7.803037554477807</v>
                </pt>
                <pt idx="34">
                  <v>7.811480268694591</v>
                </pt>
                <pt idx="35">
                  <v>7.964811060332275</v>
                </pt>
                <pt idx="36">
                  <v>7.833812986891372</v>
                </pt>
                <pt idx="37">
                  <v>7.781208292066066</v>
                </pt>
                <pt idx="38">
                  <v>7.747022855194761</v>
                </pt>
                <pt idx="39">
                  <v>7.73703069795209</v>
                </pt>
                <pt idx="40">
                  <v>7.659876649949638</v>
                </pt>
                <pt idx="41">
                  <v>7.6858773151816</v>
                </pt>
                <pt idx="42">
                  <v>7.606247754459962</v>
                </pt>
                <pt idx="43">
                  <v>7.357112127027638</v>
                </pt>
                <pt idx="44">
                  <v>7.157902837190207</v>
                </pt>
                <pt idx="45">
                  <v>7.20847652911353</v>
                </pt>
                <pt idx="46">
                  <v>7.149465573534238</v>
                </pt>
                <pt idx="47">
                  <v>6.877524239632934</v>
                </pt>
                <pt idx="48">
                  <v>6.742594420217727</v>
                </pt>
                <pt idx="49">
                  <v>6.576247239113264</v>
                </pt>
                <pt idx="50">
                  <v>6.416806106622669</v>
                </pt>
                <pt idx="51">
                  <v>6.277952703340739</v>
                </pt>
                <pt idx="52">
                  <v>6.131813286622293</v>
                </pt>
                <pt idx="53">
                  <v>6.007700858058593</v>
                </pt>
                <pt idx="54">
                  <v>5.969453382477931</v>
                </pt>
                <pt idx="55">
                  <v>5.944006303413492</v>
                </pt>
                <pt idx="56">
                  <v>5.859658383010152</v>
                </pt>
                <pt idx="57">
                  <v>5.687834093806306</v>
                </pt>
                <pt idx="58">
                  <v>5.643817114634175</v>
                </pt>
                <pt idx="59">
                  <v>5.571976980745555</v>
                </pt>
                <pt idx="60">
                  <v>5.525542469938678</v>
                </pt>
                <pt idx="61">
                  <v>5.492981610557845</v>
                </pt>
                <pt idx="62">
                  <v>5.606200991583524</v>
                </pt>
                <pt idx="63">
                  <v>5.597406256652698</v>
                </pt>
                <pt idx="64">
                  <v>5.507642506484712</v>
                </pt>
                <pt idx="65">
                  <v>5.381728578722663</v>
                </pt>
                <pt idx="66">
                  <v>5.309662469578337</v>
                </pt>
                <pt idx="67">
                  <v>5.165372479044444</v>
                </pt>
                <pt idx="68">
                  <v>5.072832725766097</v>
                </pt>
                <pt idx="69">
                  <v>5.070637857441494</v>
                </pt>
                <pt idx="70">
                  <v>5.061309275506027</v>
                </pt>
                <pt idx="71">
                  <v>5.105604965192907</v>
                </pt>
                <pt idx="72">
                  <v>5.064005546010695</v>
                </pt>
                <pt idx="73">
                  <v>5.000593637847687</v>
                </pt>
                <pt idx="74">
                  <v>4.932940366249394</v>
                </pt>
                <pt idx="75">
                  <v>4.915612419528445</v>
                </pt>
                <pt idx="76">
                  <v>4.888230197109493</v>
                </pt>
                <pt idx="77">
                  <v>4.977679429106892</v>
                </pt>
                <pt idx="78">
                  <v>4.834029681671604</v>
                </pt>
                <pt idx="79">
                  <v>4.824515682663465</v>
                </pt>
                <pt idx="80">
                  <v>4.789962058980356</v>
                </pt>
                <pt idx="81">
                  <v>4.738329268843756</v>
                </pt>
                <pt idx="82">
                  <v>4.703511392731619</v>
                </pt>
                <pt idx="83">
                  <v>4.637506766963133</v>
                </pt>
                <pt idx="84">
                  <v>4.560795628153913</v>
                </pt>
                <pt idx="85">
                  <v>4.538350698114292</v>
                </pt>
                <pt idx="86">
                  <v>4.443886182958903</v>
                </pt>
                <pt idx="87">
                  <v>4.42434425794745</v>
                </pt>
                <pt idx="88">
                  <v>4.337498330189553</v>
                </pt>
                <pt idx="89">
                  <v>4.328099182388107</v>
                </pt>
                <pt idx="90">
                  <v>4.267475327133345</v>
                </pt>
                <pt idx="91">
                  <v>4.244464709926448</v>
                </pt>
                <pt idx="92">
                  <v>4.273604746887326</v>
                </pt>
                <pt idx="93">
                  <v>4.354315189462894</v>
                </pt>
                <pt idx="94">
                  <v>4.308961071339144</v>
                </pt>
                <pt idx="95">
                  <v>4.216605183376567</v>
                </pt>
                <pt idx="96">
                  <v>4.202200396588367</v>
                </pt>
                <pt idx="97">
                  <v>4.193386014888852</v>
                </pt>
                <pt idx="98">
                  <v>4.170258925673012</v>
                </pt>
                <pt idx="99">
                  <v>4.04204923894063</v>
                </pt>
                <pt idx="100">
                  <v>4.027192374365027</v>
                </pt>
                <pt idx="101">
                  <v>4.041190588485919</v>
                </pt>
                <pt idx="102">
                  <v>4.080200669580554</v>
                </pt>
                <pt idx="103">
                  <v>4.062583337068837</v>
                </pt>
                <pt idx="104">
                  <v>4.046984872597436</v>
                </pt>
                <pt idx="105">
                  <v>4.021813217053309</v>
                </pt>
                <pt idx="106">
                  <v>3.939576773008687</v>
                </pt>
                <pt idx="107">
                  <v>3.950755714880946</v>
                </pt>
                <pt idx="108">
                  <v>3.826888929493176</v>
                </pt>
                <pt idx="109">
                  <v>3.841848236154834</v>
                </pt>
                <pt idx="110">
                  <v>3.803493299629713</v>
                </pt>
                <pt idx="111">
                  <v>3.882963695642732</v>
                </pt>
                <pt idx="112">
                  <v>3.858333850745167</v>
                </pt>
                <pt idx="113">
                  <v>3.883519397487573</v>
                </pt>
                <pt idx="114">
                  <v>3.871518968973857</v>
                </pt>
                <pt idx="115">
                  <v>3.800134038571751</v>
                </pt>
                <pt idx="116">
                  <v>3.826280027297879</v>
                </pt>
                <pt idx="117">
                  <v>3.737451629723585</v>
                </pt>
                <pt idx="118">
                  <v>3.89380015962906</v>
                </pt>
                <pt idx="119">
                  <v>3.947664661613623</v>
                </pt>
                <pt idx="120">
                  <v>4.102695528341473</v>
                </pt>
                <pt idx="121">
                  <v>4.092608129640788</v>
                </pt>
                <pt idx="122">
                  <v>4.127944672676015</v>
                </pt>
                <pt idx="123">
                  <v>4.084742438627011</v>
                </pt>
                <pt idx="124">
                  <v>4.36834361985289</v>
                </pt>
                <pt idx="125">
                  <v>4.634425526194625</v>
                </pt>
                <pt idx="126">
                  <v>4.959493420854674</v>
                </pt>
                <pt idx="127">
                  <v>5.157954915373643</v>
                </pt>
                <pt idx="128">
                  <v>5.218542792635041</v>
                </pt>
                <pt idx="129">
                  <v>5.25921991180122</v>
                </pt>
                <pt idx="130">
                  <v>5.175197570524317</v>
                </pt>
                <pt idx="131">
                  <v>5.044050585757957</v>
                </pt>
                <pt idx="132">
                  <v>4.906948865907212</v>
                </pt>
                <pt idx="133">
                  <v>4.83099969706559</v>
                </pt>
                <pt idx="134">
                  <v>4.795117881813391</v>
                </pt>
                <pt idx="135">
                  <v>4.669203140278063</v>
                </pt>
                <pt idx="136">
                  <v>4.589364046565452</v>
                </pt>
                <pt idx="137">
                  <v>4.523712343344308</v>
                </pt>
                <pt idx="138">
                  <v>4.373852605592408</v>
                </pt>
                <pt idx="139">
                  <v>4.310349397913083</v>
                </pt>
                <pt idx="140">
                  <v>4.204976544876256</v>
                </pt>
                <pt idx="141">
                  <v>4.173423949579649</v>
                </pt>
                <pt idx="142">
                  <v>4.107599244731837</v>
                </pt>
                <pt idx="143">
                  <v>3.914065488761194</v>
                </pt>
                <pt idx="144">
                  <v>3.79024931588195</v>
                </pt>
                <pt idx="145">
                  <v>3.823194496977575</v>
                </pt>
                <pt idx="146">
                  <v>3.731350278823395</v>
                </pt>
                <pt idx="147">
                  <v>3.783738770340446</v>
                </pt>
                <pt idx="148">
                  <v>3.636233916324687</v>
                </pt>
                <pt idx="149">
                  <v>3.602998430485985</v>
                </pt>
                <pt idx="150">
                  <v>3.728675221590188</v>
                </pt>
                <pt idx="151">
                  <v>3.838614125902207</v>
                </pt>
                <pt idx="152">
                  <v>3.870740780423386</v>
                </pt>
                <pt idx="153">
                  <v>3.915890767914647</v>
                </pt>
                <pt idx="154">
                  <v>3.870720459243629</v>
                </pt>
                <pt idx="155">
                  <v>3.974123462004205</v>
                </pt>
                <pt idx="156">
                  <v>3.999989707845595</v>
                </pt>
                <pt idx="157">
                  <v>3.877243801086084</v>
                </pt>
                <pt idx="158">
                  <v>4.004565318130545</v>
                </pt>
                <pt idx="159">
                  <v>4.225939295750967</v>
                </pt>
                <pt idx="160">
                  <v>4.343335878362127</v>
                </pt>
                <pt idx="161">
                  <v>4.287339454499397</v>
                </pt>
                <pt idx="162">
                  <v>4.104691908592614</v>
                </pt>
                <pt idx="163">
                  <v>4.019000372770134</v>
                </pt>
                <pt idx="164">
                  <v>3.954334178913098</v>
                </pt>
                <pt idx="165">
                  <v>3.856357728652482</v>
                </pt>
                <pt idx="166">
                  <v>4.071040318277946</v>
                </pt>
                <pt idx="167">
                  <v>4.199824639120393</v>
                </pt>
                <pt idx="168">
                  <v>4.342872432447057</v>
                </pt>
                <pt idx="169">
                  <v>4.371996513796061</v>
                </pt>
                <pt idx="170">
                  <v>4.43576957216931</v>
                </pt>
                <pt idx="171">
                  <v>4.196185686056687</v>
                </pt>
                <pt idx="172">
                  <v>4.221136862518565</v>
                </pt>
                <pt idx="173">
                  <v>4.09145894666664</v>
                </pt>
                <pt idx="174">
                  <v>4.270492491739037</v>
                </pt>
                <pt idx="175">
                  <v>4.265542488621042</v>
                </pt>
                <pt idx="176">
                  <v>4.4133023671125</v>
                </pt>
                <pt idx="177">
                  <v>4.382052912098812</v>
                </pt>
                <pt idx="178">
                  <v>4.357488466650864</v>
                </pt>
                <pt idx="179">
                  <v>4.426205366360879</v>
                </pt>
                <pt idx="180">
                  <v>4.534514640820783</v>
                </pt>
                <pt idx="181">
                  <v>4.599884019084734</v>
                </pt>
                <pt idx="182">
                  <v>4.672422592329657</v>
                </pt>
                <pt idx="183">
                  <v>4.660112016859193</v>
                </pt>
                <pt idx="184">
                  <v>4.660854589070201</v>
                </pt>
                <pt idx="185">
                  <v>4.829894786150752</v>
                </pt>
                <pt idx="186">
                  <v>4.972275584789109</v>
                </pt>
                <pt idx="187">
                  <v>5.080366129287464</v>
                </pt>
              </numCache>
            </numRef>
          </val>
          <smooth val="0"/>
        </ser>
        <dLbls>
          <showLegendKey val="0"/>
          <showVal val="0"/>
          <showCatName val="0"/>
          <showSerName val="0"/>
          <showPercent val="0"/>
          <showBubbleSize val="0"/>
        </dLbls>
        <smooth val="0"/>
        <axId val="1454969600"/>
        <axId val="1454969960"/>
      </lineChart>
      <catAx>
        <axId val="1454969600"/>
        <scaling>
          <orientation val="minMax"/>
        </scaling>
        <delete val="0"/>
        <axPos val="b"/>
        <numFmt formatCode="General" sourceLinked="1"/>
        <majorTickMark val="out"/>
        <minorTickMark val="none"/>
        <tickLblPos val="nextTo"/>
        <spPr>
          <a:noFill/>
          <a:ln w="9525" cap="flat" cmpd="sng" algn="ctr">
            <a:solidFill>
              <a:sysClr val="windowText" lastClr="000000"/>
            </a:solidFill>
            <a:prstDash val="solid"/>
            <a:round/>
          </a:ln>
        </spPr>
        <txPr>
          <a:bodyPr rot="-60000000" vert="horz"/>
          <a:lstStyle/>
          <a:p>
            <a:pPr>
              <a:defRPr/>
            </a:pPr>
            <a:r>
              <a:t/>
            </a:r>
            <a:endParaRPr lang="en-US"/>
          </a:p>
        </txPr>
        <crossAx val="1454969960"/>
        <crosses val="autoZero"/>
        <auto val="1"/>
        <lblAlgn val="ctr"/>
        <lblOffset val="100"/>
        <tickLblSkip val="12"/>
        <tickMarkSkip val="12"/>
        <noMultiLvlLbl val="0"/>
      </catAx>
      <valAx>
        <axId val="1454969960"/>
        <scaling>
          <orientation val="minMax"/>
        </scaling>
        <delete val="0"/>
        <axPos val="l"/>
        <majorGridlines>
          <spPr>
            <a:ln w="9525" cap="flat" cmpd="sng" algn="ctr">
              <a:solidFill>
                <a:schemeClr val="tx1">
                  <a:lumMod val="15000"/>
                  <a:lumOff val="85000"/>
                </a:schemeClr>
              </a:solidFill>
              <a:prstDash val="solid"/>
              <a:round/>
            </a:ln>
          </spPr>
        </majorGridlines>
        <title>
          <tx>
            <rich>
              <a:bodyPr rot="-5400000" vert="horz"/>
              <a:lstStyle/>
              <a:p>
                <a:pPr>
                  <a:defRPr/>
                </a:pPr>
                <a:r>
                  <a:rPr lang="en-GB"/>
                  <a:t>Percent</a:t>
                </a:r>
              </a:p>
            </rich>
          </tx>
          <layout>
            <manualLayout>
              <xMode val="edge"/>
              <yMode val="edge"/>
              <wMode val="factor"/>
              <hMode val="factor"/>
              <x val="0.007426900584795322"/>
              <y val="0.384661558109834"/>
            </manualLayout>
          </layout>
          <overlay val="0"/>
          <spPr>
            <a:noFill/>
            <a:ln>
              <a:noFill/>
              <a:prstDash val="solid"/>
            </a:ln>
          </spPr>
        </title>
        <numFmt formatCode="General" sourceLinked="1"/>
        <majorTickMark val="out"/>
        <minorTickMark val="none"/>
        <tickLblPos val="nextTo"/>
        <spPr>
          <a:noFill/>
          <a:ln>
            <a:solidFill>
              <a:sysClr val="windowText" lastClr="000000"/>
            </a:solidFill>
            <a:prstDash val="solid"/>
          </a:ln>
        </spPr>
        <txPr>
          <a:bodyPr rot="-60000000" vert="horz"/>
          <a:lstStyle/>
          <a:p>
            <a:pPr>
              <a:defRPr/>
            </a:pPr>
            <a:r>
              <a:t/>
            </a:r>
            <a:endParaRPr lang="en-US"/>
          </a:p>
        </txPr>
        <crossAx val="1454969600"/>
        <crosses val="autoZero"/>
        <crossBetween val="between"/>
      </valAx>
    </plotArea>
    <plotVisOnly val="1"/>
    <dispBlanksAs val="gap"/>
  </chart>
  <spPr>
    <a:solidFill>
      <a:schemeClr val="bg1"/>
    </a:solidFill>
    <a:ln w="9525" cap="flat" cmpd="sng" algn="ctr">
      <a:noFill/>
      <a:prstDash val="solid"/>
      <a:round/>
    </a:ln>
  </spPr>
</chartSpace>
</file>

<file path=xl/charts/chart33.xml><?xml version="1.0" encoding="utf-8"?>
<chartSpace xmlns:a="http://schemas.openxmlformats.org/drawingml/2006/main" xmlns="http://schemas.openxmlformats.org/drawingml/2006/chart">
  <chart>
    <plotArea>
      <layout>
        <manualLayout>
          <layoutTarget val="inner"/>
          <xMode val="edge"/>
          <yMode val="edge"/>
          <wMode val="factor"/>
          <hMode val="factor"/>
          <x val="0.1105442519698094"/>
          <y val="0.04460408684546616"/>
          <w val="0.8486077903903937"/>
          <h val="0.8339441368710478"/>
        </manualLayout>
      </layout>
      <lineChart>
        <grouping val="standard"/>
        <varyColors val="0"/>
        <ser>
          <idx val="0"/>
          <order val="0"/>
          <tx>
            <strRef>
              <f>'Emp, Unemp &amp; Inac Chart'!$E$1</f>
              <strCache>
                <ptCount val="1"/>
                <pt idx="0">
                  <v>Inactivity Rate</v>
                </pt>
              </strCache>
            </strRef>
          </tx>
          <spPr>
            <a:ln w="28575" cap="rnd">
              <a:solidFill>
                <a:srgbClr val="002060"/>
              </a:solidFill>
              <a:prstDash val="solid"/>
              <a:round/>
            </a:ln>
          </spPr>
          <marker>
            <symbol val="none"/>
            <spPr>
              <a:ln>
                <a:prstDash val="solid"/>
              </a:ln>
            </spPr>
          </marker>
          <dLbls>
            <dLbl>
              <idx val="0"/>
              <showLegendKey val="0"/>
              <showVal val="1"/>
              <showCatName val="0"/>
              <showSerName val="0"/>
              <showPercent val="0"/>
              <showBubbleSize val="0"/>
            </dLbl>
            <dLbl>
              <idx val="119"/>
              <showLegendKey val="0"/>
              <showVal val="1"/>
              <showCatName val="0"/>
              <showSerName val="0"/>
              <showPercent val="0"/>
              <showBubbleSize val="0"/>
            </dLbl>
            <dLbl>
              <idx val="186"/>
              <dLblPos val="b"/>
              <showLegendKey val="0"/>
              <showVal val="1"/>
              <showCatName val="0"/>
              <showSerName val="0"/>
              <showPercent val="0"/>
              <showBubbleSize val="0"/>
            </dLbl>
            <numFmt formatCode="#,##0.0"/>
            <spPr>
              <a:noFill/>
              <a:ln>
                <a:noFill/>
                <a:prstDash val="solid"/>
              </a:ln>
            </spPr>
            <txPr>
              <a:bodyPr rot="0" vert="horz"/>
              <a:lstStyle/>
              <a:p>
                <a:pPr>
                  <a:defRPr/>
                </a:pPr>
                <a:r>
                  <a:t/>
                </a:r>
                <a:endParaRPr lang="en-US"/>
              </a:p>
            </txPr>
            <showLegendKey val="0"/>
            <showVal val="0"/>
            <showCatName val="0"/>
            <showSerName val="0"/>
            <showPercent val="0"/>
            <showBubbleSize val="0"/>
          </dLbls>
          <cat>
            <strRef>
              <f>'Emp, Unemp &amp; Inac Chart'!$B$2:$B$188</f>
              <strCache>
                <ptCount val="187"/>
                <pt idx="0">
                  <v>2010</v>
                </pt>
                <pt idx="1">
                  <v>2010</v>
                </pt>
                <pt idx="2">
                  <v>2010</v>
                </pt>
                <pt idx="3">
                  <v>2010</v>
                </pt>
                <pt idx="4">
                  <v>2010</v>
                </pt>
                <pt idx="5">
                  <v>2010</v>
                </pt>
                <pt idx="6">
                  <v>2010</v>
                </pt>
                <pt idx="7">
                  <v>2010</v>
                </pt>
                <pt idx="8">
                  <v>2010</v>
                </pt>
                <pt idx="9">
                  <v>2010</v>
                </pt>
                <pt idx="10">
                  <v>2011</v>
                </pt>
                <pt idx="11">
                  <v>2011</v>
                </pt>
                <pt idx="12">
                  <v>2011</v>
                </pt>
                <pt idx="13">
                  <v>2011</v>
                </pt>
                <pt idx="14">
                  <v>2011</v>
                </pt>
                <pt idx="15">
                  <v>2011</v>
                </pt>
                <pt idx="16">
                  <v>2011</v>
                </pt>
                <pt idx="17">
                  <v>2011</v>
                </pt>
                <pt idx="18">
                  <v>2011</v>
                </pt>
                <pt idx="19">
                  <v>2011</v>
                </pt>
                <pt idx="20">
                  <v>2011</v>
                </pt>
                <pt idx="21">
                  <v>2011</v>
                </pt>
                <pt idx="22">
                  <v>2012</v>
                </pt>
                <pt idx="23">
                  <v>2012</v>
                </pt>
                <pt idx="24">
                  <v>2012</v>
                </pt>
                <pt idx="25">
                  <v>2012</v>
                </pt>
                <pt idx="26">
                  <v>2012</v>
                </pt>
                <pt idx="27">
                  <v>2012</v>
                </pt>
                <pt idx="28">
                  <v>2012</v>
                </pt>
                <pt idx="29">
                  <v>2012</v>
                </pt>
                <pt idx="30">
                  <v>2012</v>
                </pt>
                <pt idx="31">
                  <v>2012</v>
                </pt>
                <pt idx="32">
                  <v>2012</v>
                </pt>
                <pt idx="33">
                  <v>2012</v>
                </pt>
                <pt idx="34">
                  <v>2013</v>
                </pt>
                <pt idx="35">
                  <v>2013</v>
                </pt>
                <pt idx="36">
                  <v>2013</v>
                </pt>
                <pt idx="37">
                  <v>2013</v>
                </pt>
                <pt idx="38">
                  <v>2013</v>
                </pt>
                <pt idx="39">
                  <v>2013</v>
                </pt>
                <pt idx="40">
                  <v>2013</v>
                </pt>
                <pt idx="41">
                  <v>2013</v>
                </pt>
                <pt idx="42">
                  <v>2013</v>
                </pt>
                <pt idx="43">
                  <v>2013</v>
                </pt>
                <pt idx="44">
                  <v>2013</v>
                </pt>
                <pt idx="45">
                  <v>2013</v>
                </pt>
                <pt idx="46">
                  <v>2014</v>
                </pt>
                <pt idx="47">
                  <v>2014</v>
                </pt>
                <pt idx="48">
                  <v>2014</v>
                </pt>
                <pt idx="49">
                  <v>2014</v>
                </pt>
                <pt idx="50">
                  <v>2014</v>
                </pt>
                <pt idx="51">
                  <v>2014</v>
                </pt>
                <pt idx="52">
                  <v>2014</v>
                </pt>
                <pt idx="53">
                  <v>2014</v>
                </pt>
                <pt idx="54">
                  <v>2014</v>
                </pt>
                <pt idx="55">
                  <v>2014</v>
                </pt>
                <pt idx="56">
                  <v>2014</v>
                </pt>
                <pt idx="57">
                  <v>2014</v>
                </pt>
                <pt idx="58">
                  <v>2015</v>
                </pt>
                <pt idx="59">
                  <v>2015</v>
                </pt>
                <pt idx="60">
                  <v>2015</v>
                </pt>
                <pt idx="61">
                  <v>2015</v>
                </pt>
                <pt idx="62">
                  <v>2015</v>
                </pt>
                <pt idx="63">
                  <v>2015</v>
                </pt>
                <pt idx="64">
                  <v>2015</v>
                </pt>
                <pt idx="65">
                  <v>2015</v>
                </pt>
                <pt idx="66">
                  <v>2015</v>
                </pt>
                <pt idx="67">
                  <v>2015</v>
                </pt>
                <pt idx="68">
                  <v>2015</v>
                </pt>
                <pt idx="69">
                  <v>2015</v>
                </pt>
                <pt idx="70">
                  <v>2016</v>
                </pt>
                <pt idx="71">
                  <v>2016</v>
                </pt>
                <pt idx="72">
                  <v>2016</v>
                </pt>
                <pt idx="73">
                  <v>2016</v>
                </pt>
                <pt idx="74">
                  <v>2016</v>
                </pt>
                <pt idx="75">
                  <v>2016</v>
                </pt>
                <pt idx="76">
                  <v>2016</v>
                </pt>
                <pt idx="77">
                  <v>2016</v>
                </pt>
                <pt idx="78">
                  <v>2016</v>
                </pt>
                <pt idx="79">
                  <v>2016</v>
                </pt>
                <pt idx="80">
                  <v>2016</v>
                </pt>
                <pt idx="81">
                  <v>2016</v>
                </pt>
                <pt idx="82">
                  <v>2017</v>
                </pt>
                <pt idx="83">
                  <v>2017</v>
                </pt>
                <pt idx="84">
                  <v>2017</v>
                </pt>
                <pt idx="85">
                  <v>2017</v>
                </pt>
                <pt idx="86">
                  <v>2017</v>
                </pt>
                <pt idx="87">
                  <v>2017</v>
                </pt>
                <pt idx="88">
                  <v>2017</v>
                </pt>
                <pt idx="89">
                  <v>2017</v>
                </pt>
                <pt idx="90">
                  <v>2017</v>
                </pt>
                <pt idx="91">
                  <v>2017</v>
                </pt>
                <pt idx="92">
                  <v>2017</v>
                </pt>
                <pt idx="93">
                  <v>2017</v>
                </pt>
                <pt idx="94">
                  <v>2018</v>
                </pt>
                <pt idx="95">
                  <v>2018</v>
                </pt>
                <pt idx="96">
                  <v>2018</v>
                </pt>
                <pt idx="97">
                  <v>2018</v>
                </pt>
                <pt idx="98">
                  <v>2018</v>
                </pt>
                <pt idx="99">
                  <v>2018</v>
                </pt>
                <pt idx="100">
                  <v>2018</v>
                </pt>
                <pt idx="101">
                  <v>2018</v>
                </pt>
                <pt idx="102">
                  <v>2018</v>
                </pt>
                <pt idx="103">
                  <v>2018</v>
                </pt>
                <pt idx="104">
                  <v>2018</v>
                </pt>
                <pt idx="105">
                  <v>2018</v>
                </pt>
                <pt idx="106">
                  <v>2019</v>
                </pt>
                <pt idx="107">
                  <v>2019</v>
                </pt>
                <pt idx="108">
                  <v>2019</v>
                </pt>
                <pt idx="109">
                  <v>2019</v>
                </pt>
                <pt idx="110">
                  <v>2019</v>
                </pt>
                <pt idx="111">
                  <v>2019</v>
                </pt>
                <pt idx="112">
                  <v>2019</v>
                </pt>
                <pt idx="113">
                  <v>2019</v>
                </pt>
                <pt idx="114">
                  <v>2019</v>
                </pt>
                <pt idx="115">
                  <v>2019</v>
                </pt>
                <pt idx="116">
                  <v>2019</v>
                </pt>
                <pt idx="117">
                  <v>2019</v>
                </pt>
                <pt idx="118">
                  <v>2020</v>
                </pt>
                <pt idx="119">
                  <v>2020</v>
                </pt>
                <pt idx="120">
                  <v>2020</v>
                </pt>
                <pt idx="121">
                  <v>2020</v>
                </pt>
                <pt idx="122">
                  <v>2020</v>
                </pt>
                <pt idx="123">
                  <v>2020</v>
                </pt>
                <pt idx="124">
                  <v>2020</v>
                </pt>
                <pt idx="125">
                  <v>2020</v>
                </pt>
                <pt idx="126">
                  <v>2020</v>
                </pt>
                <pt idx="127">
                  <v>2020</v>
                </pt>
                <pt idx="128">
                  <v>2020</v>
                </pt>
                <pt idx="129">
                  <v>2020</v>
                </pt>
                <pt idx="130">
                  <v>2021</v>
                </pt>
                <pt idx="131">
                  <v>2021</v>
                </pt>
                <pt idx="132">
                  <v>2021</v>
                </pt>
                <pt idx="133">
                  <v>2021</v>
                </pt>
                <pt idx="134">
                  <v>2021</v>
                </pt>
                <pt idx="135">
                  <v>2021</v>
                </pt>
                <pt idx="136">
                  <v>2021</v>
                </pt>
                <pt idx="137">
                  <v>2021</v>
                </pt>
                <pt idx="138">
                  <v>2021</v>
                </pt>
                <pt idx="139">
                  <v>2021</v>
                </pt>
                <pt idx="140">
                  <v>2021</v>
                </pt>
                <pt idx="141">
                  <v>2021</v>
                </pt>
                <pt idx="142">
                  <v>2022</v>
                </pt>
                <pt idx="143">
                  <v>2022</v>
                </pt>
                <pt idx="144">
                  <v>2022</v>
                </pt>
                <pt idx="145">
                  <v>2022</v>
                </pt>
                <pt idx="146">
                  <v>2022</v>
                </pt>
                <pt idx="147">
                  <v>2022</v>
                </pt>
                <pt idx="148">
                  <v>2022</v>
                </pt>
                <pt idx="149">
                  <v>2022</v>
                </pt>
                <pt idx="150">
                  <v>2022</v>
                </pt>
                <pt idx="151">
                  <v>2022</v>
                </pt>
                <pt idx="152">
                  <v>2022</v>
                </pt>
                <pt idx="153">
                  <v>2022</v>
                </pt>
                <pt idx="154">
                  <v>2023</v>
                </pt>
                <pt idx="155">
                  <v>2023</v>
                </pt>
                <pt idx="156">
                  <v>2023</v>
                </pt>
                <pt idx="157">
                  <v>2023</v>
                </pt>
                <pt idx="158">
                  <v>2023</v>
                </pt>
                <pt idx="159">
                  <v>2023</v>
                </pt>
                <pt idx="160">
                  <v>2023</v>
                </pt>
                <pt idx="161">
                  <v>2023</v>
                </pt>
                <pt idx="162">
                  <v>2023</v>
                </pt>
                <pt idx="163">
                  <v>2023</v>
                </pt>
                <pt idx="164">
                  <v>2023</v>
                </pt>
                <pt idx="165">
                  <v>2023</v>
                </pt>
                <pt idx="166">
                  <v>2024</v>
                </pt>
                <pt idx="167">
                  <v>2024</v>
                </pt>
                <pt idx="168">
                  <v>2024</v>
                </pt>
                <pt idx="169">
                  <v>2024</v>
                </pt>
                <pt idx="170">
                  <v>2024</v>
                </pt>
                <pt idx="171">
                  <v>2024</v>
                </pt>
                <pt idx="172">
                  <v>2024</v>
                </pt>
                <pt idx="173">
                  <v>2024</v>
                </pt>
                <pt idx="174">
                  <v>2024</v>
                </pt>
                <pt idx="175">
                  <v>2024</v>
                </pt>
                <pt idx="176">
                  <v>2024</v>
                </pt>
                <pt idx="177">
                  <v>2024</v>
                </pt>
                <pt idx="178">
                  <v>2025</v>
                </pt>
                <pt idx="179">
                  <v>2025</v>
                </pt>
                <pt idx="180">
                  <v>2025</v>
                </pt>
                <pt idx="181">
                  <v>2025</v>
                </pt>
                <pt idx="182">
                  <v>2025</v>
                </pt>
                <pt idx="183">
                  <v>2025</v>
                </pt>
                <pt idx="184">
                  <v>2025</v>
                </pt>
                <pt idx="185">
                  <v>2025</v>
                </pt>
                <pt idx="186">
                  <v>2025</v>
                </pt>
              </strCache>
            </strRef>
          </cat>
          <val>
            <numRef>
              <f>'Emp, Unemp &amp; Inac Chart'!$E$2:$E$188</f>
              <numCache>
                <formatCode>General</formatCode>
                <ptCount val="187"/>
                <pt idx="0">
                  <v>23.58758855923547</v>
                </pt>
                <pt idx="1">
                  <v>23.60642033525548</v>
                </pt>
                <pt idx="2">
                  <v>23.42858565598975</v>
                </pt>
                <pt idx="3">
                  <v>23.45059840400384</v>
                </pt>
                <pt idx="4">
                  <v>23.25226218027096</v>
                </pt>
                <pt idx="5">
                  <v>23.27008043590958</v>
                </pt>
                <pt idx="6">
                  <v>23.21916064913809</v>
                </pt>
                <pt idx="7">
                  <v>23.32901278174262</v>
                </pt>
                <pt idx="8">
                  <v>23.51792398062706</v>
                </pt>
                <pt idx="9">
                  <v>23.4683017217499</v>
                </pt>
                <pt idx="10">
                  <v>23.33954031897929</v>
                </pt>
                <pt idx="11">
                  <v>23.29737946589145</v>
                </pt>
                <pt idx="12">
                  <v>23.36033416373373</v>
                </pt>
                <pt idx="13">
                  <v>23.48347437792911</v>
                </pt>
                <pt idx="14">
                  <v>23.36219158697931</v>
                </pt>
                <pt idx="15">
                  <v>23.32860865691555</v>
                </pt>
                <pt idx="16">
                  <v>23.53132177383212</v>
                </pt>
                <pt idx="17">
                  <v>23.42282343978388</v>
                </pt>
                <pt idx="18">
                  <v>23.39757855545912</v>
                </pt>
                <pt idx="19">
                  <v>23.33117729753759</v>
                </pt>
                <pt idx="20">
                  <v>23.23648637911877</v>
                </pt>
                <pt idx="21">
                  <v>23.21616458365395</v>
                </pt>
                <pt idx="22">
                  <v>23.22108322657949</v>
                </pt>
                <pt idx="23">
                  <v>23.19591756449708</v>
                </pt>
                <pt idx="24">
                  <v>23.10415116099837</v>
                </pt>
                <pt idx="25">
                  <v>23.06094370083304</v>
                </pt>
                <pt idx="26">
                  <v>22.98243763420552</v>
                </pt>
                <pt idx="27">
                  <v>22.78077976754996</v>
                </pt>
                <pt idx="28">
                  <v>22.57488638679254</v>
                </pt>
                <pt idx="29">
                  <v>22.59322526178883</v>
                </pt>
                <pt idx="30">
                  <v>22.65613489276109</v>
                </pt>
                <pt idx="31">
                  <v>22.72973653317713</v>
                </pt>
                <pt idx="32">
                  <v>22.52724097000308</v>
                </pt>
                <pt idx="33">
                  <v>22.4030628755028</v>
                </pt>
                <pt idx="34">
                  <v>22.43544879466437</v>
                </pt>
                <pt idx="35">
                  <v>22.51035083044079</v>
                </pt>
                <pt idx="36">
                  <v>22.60780977811571</v>
                </pt>
                <pt idx="37">
                  <v>22.59429807506892</v>
                </pt>
                <pt idx="38">
                  <v>22.66382977934181</v>
                </pt>
                <pt idx="39">
                  <v>22.54154013039069</v>
                </pt>
                <pt idx="40">
                  <v>22.44262515297758</v>
                </pt>
                <pt idx="41">
                  <v>22.39497486160843</v>
                </pt>
                <pt idx="42">
                  <v>22.29455436543482</v>
                </pt>
                <pt idx="43">
                  <v>22.27791496866313</v>
                </pt>
                <pt idx="44">
                  <v>22.276685660357</v>
                </pt>
                <pt idx="45">
                  <v>22.2918801746783</v>
                </pt>
                <pt idx="46">
                  <v>22.227408216429</v>
                </pt>
                <pt idx="47">
                  <v>22.16758291837462</v>
                </pt>
                <pt idx="48">
                  <v>22.18014690574827</v>
                </pt>
                <pt idx="49">
                  <v>22.08285693547356</v>
                </pt>
                <pt idx="50">
                  <v>21.9905839427045</v>
                </pt>
                <pt idx="51">
                  <v>22.18404552547261</v>
                </pt>
                <pt idx="52">
                  <v>22.34221405705263</v>
                </pt>
                <pt idx="53">
                  <v>22.24714166353</v>
                </pt>
                <pt idx="54">
                  <v>22.21243920936188</v>
                </pt>
                <pt idx="55">
                  <v>22.26743642483886</v>
                </pt>
                <pt idx="56">
                  <v>22.35696592139095</v>
                </pt>
                <pt idx="57">
                  <v>22.27949695956605</v>
                </pt>
                <pt idx="58">
                  <v>22.22245662583259</v>
                </pt>
                <pt idx="59">
                  <v>22.13255248215933</v>
                </pt>
                <pt idx="60">
                  <v>22.17340361484419</v>
                </pt>
                <pt idx="61">
                  <v>22.20396265138498</v>
                </pt>
                <pt idx="62">
                  <v>22.24214014049988</v>
                </pt>
                <pt idx="63">
                  <v>22.18066234057815</v>
                </pt>
                <pt idx="64">
                  <v>22.15292626596664</v>
                </pt>
                <pt idx="65">
                  <v>22.18637995338251</v>
                </pt>
                <pt idx="66">
                  <v>22.0114834453143</v>
                </pt>
                <pt idx="67">
                  <v>21.9207571559682</v>
                </pt>
                <pt idx="68">
                  <v>21.92162978574341</v>
                </pt>
                <pt idx="69">
                  <v>21.86027867206303</v>
                </pt>
                <pt idx="70">
                  <v>21.89553444451978</v>
                </pt>
                <pt idx="71">
                  <v>21.81444573959213</v>
                </pt>
                <pt idx="72">
                  <v>21.85762778200538</v>
                </pt>
                <pt idx="73">
                  <v>21.85807356178928</v>
                </pt>
                <pt idx="74">
                  <v>21.73901000134464</v>
                </pt>
                <pt idx="75">
                  <v>21.68409921195978</v>
                </pt>
                <pt idx="76">
                  <v>21.61864832675955</v>
                </pt>
                <pt idx="77">
                  <v>21.55382923630626</v>
                </pt>
                <pt idx="78">
                  <v>21.72143671880106</v>
                </pt>
                <pt idx="79">
                  <v>21.74759941433442</v>
                </pt>
                <pt idx="80">
                  <v>21.76369365527704</v>
                </pt>
                <pt idx="81">
                  <v>21.68812900666305</v>
                </pt>
                <pt idx="82">
                  <v>21.74553853695008</v>
                </pt>
                <pt idx="83">
                  <v>21.71002663305164</v>
                </pt>
                <pt idx="84">
                  <v>21.62318208935969</v>
                </pt>
                <pt idx="85">
                  <v>21.64303518394968</v>
                </pt>
                <pt idx="86">
                  <v>21.58041721112946</v>
                </pt>
                <pt idx="87">
                  <v>21.41134404264106</v>
                </pt>
                <pt idx="88">
                  <v>21.33654545951711</v>
                </pt>
                <pt idx="89">
                  <v>21.47604846131711</v>
                </pt>
                <pt idx="90">
                  <v>21.66195029416926</v>
                </pt>
                <pt idx="91">
                  <v>21.61555562555684</v>
                </pt>
                <pt idx="92">
                  <v>21.32190293301852</v>
                </pt>
                <pt idx="93">
                  <v>21.42455638834858</v>
                </pt>
                <pt idx="94">
                  <v>21.32158762106251</v>
                </pt>
                <pt idx="95">
                  <v>21.33776878407932</v>
                </pt>
                <pt idx="96">
                  <v>21.16808216754242</v>
                </pt>
                <pt idx="97">
                  <v>21.14170084651499</v>
                </pt>
                <pt idx="98">
                  <v>21.12845253390924</v>
                </pt>
                <pt idx="99">
                  <v>21.3136453630341</v>
                </pt>
                <pt idx="100">
                  <v>21.35874085728608</v>
                </pt>
                <pt idx="101">
                  <v>21.31548336908267</v>
                </pt>
                <pt idx="102">
                  <v>21.28348389627782</v>
                </pt>
                <pt idx="103">
                  <v>21.13836116446561</v>
                </pt>
                <pt idx="104">
                  <v>21.10151065131947</v>
                </pt>
                <pt idx="105">
                  <v>21.05870130407061</v>
                </pt>
                <pt idx="106">
                  <v>20.85726330734633</v>
                </pt>
                <pt idx="107">
                  <v>20.82747014751345</v>
                </pt>
                <pt idx="108">
                  <v>20.99764528238485</v>
                </pt>
                <pt idx="109">
                  <v>20.87550826110476</v>
                </pt>
                <pt idx="110">
                  <v>20.91276919041525</v>
                </pt>
                <pt idx="111">
                  <v>20.74856719853828</v>
                </pt>
                <pt idx="112">
                  <v>20.81977324113937</v>
                </pt>
                <pt idx="113">
                  <v>20.92212451093351</v>
                </pt>
                <pt idx="114">
                  <v>20.84550701327036</v>
                </pt>
                <pt idx="115">
                  <v>20.88804380482419</v>
                </pt>
                <pt idx="116">
                  <v>20.68289684479593</v>
                </pt>
                <pt idx="117">
                  <v>20.61385871032384</v>
                </pt>
                <pt idx="118">
                  <v>20.47298515311819</v>
                </pt>
                <pt idx="119">
                  <v>20.30626647604136</v>
                </pt>
                <pt idx="120">
                  <v>20.74683375166671</v>
                </pt>
                <pt idx="121">
                  <v>21.02446678043663</v>
                </pt>
                <pt idx="122">
                  <v>21.17300668653614</v>
                </pt>
                <pt idx="123">
                  <v>21.28861984492315</v>
                </pt>
                <pt idx="124">
                  <v>21.23328273975895</v>
                </pt>
                <pt idx="125">
                  <v>21.27884451199097</v>
                </pt>
                <pt idx="126">
                  <v>21.41668062030581</v>
                </pt>
                <pt idx="127">
                  <v>21.39232031460935</v>
                </pt>
                <pt idx="128">
                  <v>21.29687150802329</v>
                </pt>
                <pt idx="129">
                  <v>21.45911283815207</v>
                </pt>
                <pt idx="130">
                  <v>21.53102910706112</v>
                </pt>
                <pt idx="131">
                  <v>21.45972340851571</v>
                </pt>
                <pt idx="132">
                  <v>21.65928281815786</v>
                </pt>
                <pt idx="133">
                  <v>21.72318333515784</v>
                </pt>
                <pt idx="134">
                  <v>21.71659084233247</v>
                </pt>
                <pt idx="135">
                  <v>21.55099756760522</v>
                </pt>
                <pt idx="136">
                  <v>21.51000737806274</v>
                </pt>
                <pt idx="137">
                  <v>21.4465277625748</v>
                </pt>
                <pt idx="138">
                  <v>21.44888070207787</v>
                </pt>
                <pt idx="139">
                  <v>21.5719889461851</v>
                </pt>
                <pt idx="140">
                  <v>21.65172567137589</v>
                </pt>
                <pt idx="141">
                  <v>21.61105393400921</v>
                </pt>
                <pt idx="142">
                  <v>21.68600892769439</v>
                </pt>
                <pt idx="143">
                  <v>21.84294494200248</v>
                </pt>
                <pt idx="144">
                  <v>21.87213657203644</v>
                </pt>
                <pt idx="145">
                  <v>21.78710258981721</v>
                </pt>
                <pt idx="146">
                  <v>21.61762489446845</v>
                </pt>
                <pt idx="147">
                  <v>21.92101877686864</v>
                </pt>
                <pt idx="148">
                  <v>22.16702142823171</v>
                </pt>
                <pt idx="149">
                  <v>22.09450502556604</v>
                </pt>
                <pt idx="150">
                  <v>22.07343993222663</v>
                </pt>
                <pt idx="151">
                  <v>21.9278180332668</v>
                </pt>
                <pt idx="152">
                  <v>21.9160195414518</v>
                </pt>
                <pt idx="153">
                  <v>21.73645577940589</v>
                </pt>
                <pt idx="154">
                  <v>21.74273883878284</v>
                </pt>
                <pt idx="155">
                  <v>21.66441383458759</v>
                </pt>
                <pt idx="156">
                  <v>21.5098776758941</v>
                </pt>
                <pt idx="157">
                  <v>21.40347390216323</v>
                </pt>
                <pt idx="158">
                  <v>21.32442449542324</v>
                </pt>
                <pt idx="159">
                  <v>21.40641523432527</v>
                </pt>
                <pt idx="160">
                  <v>21.61425432852079</v>
                </pt>
                <pt idx="161">
                  <v>21.87864218744774</v>
                </pt>
                <pt idx="162">
                  <v>21.80970683646166</v>
                </pt>
                <pt idx="163">
                  <v>21.88579376080193</v>
                </pt>
                <pt idx="164">
                  <v>21.97429174147017</v>
                </pt>
                <pt idx="165">
                  <v>22.0538703673791</v>
                </pt>
                <pt idx="166">
                  <v>22.08448760010492</v>
                </pt>
                <pt idx="167">
                  <v>22.1081350180806</v>
                </pt>
                <pt idx="168">
                  <v>22.06631358451301</v>
                </pt>
                <pt idx="169">
                  <v>22.1547393940717</v>
                </pt>
                <pt idx="170">
                  <v>22.06764226901169</v>
                </pt>
                <pt idx="171">
                  <v>22.08814294106608</v>
                </pt>
                <pt idx="172">
                  <v>21.91562021805971</v>
                </pt>
                <pt idx="173">
                  <v>21.76394593201952</v>
                </pt>
                <pt idx="174">
                  <v>21.64262134598933</v>
                </pt>
                <pt idx="175">
                  <v>21.6892826227286</v>
                </pt>
                <pt idx="176">
                  <v>21.61308185734259</v>
                </pt>
                <pt idx="177">
                  <v>21.5433888408883</v>
                </pt>
                <pt idx="178">
                  <v>21.49290173257829</v>
                </pt>
                <pt idx="179">
                  <v>21.37820996972523</v>
                </pt>
                <pt idx="180">
                  <v>21.37443025088994</v>
                </pt>
                <pt idx="181">
                  <v>21.26309973488183</v>
                </pt>
                <pt idx="182">
                  <v>21.01351758427678</v>
                </pt>
                <pt idx="183">
                  <v>20.97118861553167</v>
                </pt>
                <pt idx="184">
                  <v>21.07450379744185</v>
                </pt>
                <pt idx="185">
                  <v>21.0413716236488</v>
                </pt>
                <pt idx="186">
                  <v>20.95034469373323</v>
                </pt>
              </numCache>
            </numRef>
          </val>
          <smooth val="0"/>
        </ser>
        <dLbls>
          <showLegendKey val="0"/>
          <showVal val="0"/>
          <showCatName val="0"/>
          <showSerName val="0"/>
          <showPercent val="0"/>
          <showBubbleSize val="0"/>
        </dLbls>
        <smooth val="0"/>
        <axId val="1454969600"/>
        <axId val="1454969960"/>
      </lineChart>
      <catAx>
        <axId val="1454969600"/>
        <scaling>
          <orientation val="minMax"/>
        </scaling>
        <delete val="0"/>
        <axPos val="b"/>
        <numFmt formatCode="General" sourceLinked="1"/>
        <majorTickMark val="out"/>
        <minorTickMark val="none"/>
        <tickLblPos val="nextTo"/>
        <spPr>
          <a:noFill/>
          <a:ln w="9525" cap="flat" cmpd="sng" algn="ctr">
            <a:solidFill>
              <a:sysClr val="windowText" lastClr="000000"/>
            </a:solidFill>
            <a:prstDash val="solid"/>
            <a:round/>
          </a:ln>
        </spPr>
        <txPr>
          <a:bodyPr rot="-60000000" vert="horz"/>
          <a:lstStyle/>
          <a:p>
            <a:pPr>
              <a:defRPr/>
            </a:pPr>
            <a:r>
              <a:t/>
            </a:r>
            <a:endParaRPr lang="en-US"/>
          </a:p>
        </txPr>
        <crossAx val="1454969960"/>
        <crosses val="autoZero"/>
        <auto val="1"/>
        <lblAlgn val="ctr"/>
        <lblOffset val="100"/>
        <tickLblSkip val="12"/>
        <tickMarkSkip val="12"/>
        <noMultiLvlLbl val="0"/>
      </catAx>
      <valAx>
        <axId val="1454969960"/>
        <scaling>
          <orientation val="minMax"/>
          <min val="20"/>
        </scaling>
        <delete val="0"/>
        <axPos val="l"/>
        <majorGridlines>
          <spPr>
            <a:ln w="9525" cap="flat" cmpd="sng" algn="ctr">
              <a:solidFill>
                <a:schemeClr val="tx1">
                  <a:lumMod val="15000"/>
                  <a:lumOff val="85000"/>
                </a:schemeClr>
              </a:solidFill>
              <a:prstDash val="solid"/>
              <a:round/>
            </a:ln>
          </spPr>
        </majorGridlines>
        <title>
          <tx>
            <rich>
              <a:bodyPr rot="-5400000" vert="horz"/>
              <a:lstStyle/>
              <a:p>
                <a:pPr>
                  <a:defRPr/>
                </a:pPr>
                <a:r>
                  <a:rPr lang="en-GB"/>
                  <a:t>Percent</a:t>
                </a:r>
              </a:p>
            </rich>
          </tx>
          <layout>
            <manualLayout>
              <xMode val="edge"/>
              <yMode val="edge"/>
              <wMode val="factor"/>
              <hMode val="factor"/>
              <x val="0.01485380116959064"/>
              <y val="0.3785284163473819"/>
            </manualLayout>
          </layout>
          <overlay val="0"/>
          <spPr>
            <a:noFill/>
            <a:ln>
              <a:noFill/>
              <a:prstDash val="solid"/>
            </a:ln>
          </spPr>
        </title>
        <numFmt formatCode="General" sourceLinked="1"/>
        <majorTickMark val="out"/>
        <minorTickMark val="none"/>
        <tickLblPos val="nextTo"/>
        <spPr>
          <a:noFill/>
          <a:ln>
            <a:solidFill>
              <a:sysClr val="windowText" lastClr="000000"/>
            </a:solidFill>
            <a:prstDash val="solid"/>
          </a:ln>
        </spPr>
        <txPr>
          <a:bodyPr rot="-60000000" vert="horz"/>
          <a:lstStyle/>
          <a:p>
            <a:pPr>
              <a:defRPr/>
            </a:pPr>
            <a:r>
              <a:t/>
            </a:r>
            <a:endParaRPr lang="en-US"/>
          </a:p>
        </txPr>
        <crossAx val="1454969600"/>
        <crosses val="autoZero"/>
        <crossBetween val="between"/>
      </valAx>
    </plotArea>
    <plotVisOnly val="1"/>
    <dispBlanksAs val="gap"/>
  </chart>
  <spPr>
    <a:solidFill>
      <a:schemeClr val="bg1"/>
    </a:solidFill>
    <a:ln w="9525" cap="flat" cmpd="sng" algn="ctr">
      <a:noFill/>
      <a:prstDash val="solid"/>
      <a:round/>
    </a:ln>
  </spPr>
</chartSpace>
</file>

<file path=xl/charts/chart34.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0" i="0" strike="noStrike" kern="1200" spc="0" baseline="0">
                <a:solidFill>
                  <a:schemeClr val="tx1"/>
                </a:solidFill>
                <a:latin typeface="Arial" panose="020B0604020202020204" pitchFamily="34" charset="0"/>
                <a:ea typeface="+mn-ea"/>
                <a:cs typeface="Arial" panose="020B0604020202020204" pitchFamily="34" charset="0"/>
              </a:defRPr>
            </a:pPr>
            <a:r>
              <a:rPr lang="en-GB"/>
              <a:t>Number of Vacancies (thousands)</a:t>
            </a:r>
          </a:p>
        </rich>
      </tx>
      <overlay val="0"/>
      <spPr>
        <a:noFill/>
        <a:ln>
          <a:noFill/>
          <a:prstDash val="solid"/>
        </a:ln>
      </spPr>
      <txPr>
        <a:bodyPr rot="0" spcFirstLastPara="1" vertOverflow="ellipsis" vert="horz" wrap="square" anchor="ctr" anchorCtr="1"/>
        <a:lstStyle/>
        <a:p>
          <a:pPr>
            <a:defRPr sz="1400" b="0" i="0" strike="noStrike" kern="1200" spc="0" baseline="0">
              <a:solidFill>
                <a:schemeClr val="tx1"/>
              </a:solidFill>
              <a:latin typeface="Arial" panose="020B0604020202020204" pitchFamily="34" charset="0"/>
              <a:ea typeface="+mn-ea"/>
              <a:cs typeface="Arial" panose="020B0604020202020204" pitchFamily="34" charset="0"/>
            </a:defRPr>
          </a:pPr>
          <a:r>
            <a:t/>
          </a:r>
          <a:endParaRPr lang="en-US"/>
        </a:p>
      </txPr>
    </title>
    <plotArea>
      <layout>
        <manualLayout>
          <layoutTarget val="inner"/>
          <xMode val="edge"/>
          <yMode val="edge"/>
          <wMode val="factor"/>
          <hMode val="factor"/>
          <x val="0.1004951881014873"/>
          <y val="0.0980614545060572"/>
          <w val="0.8667672790901139"/>
          <h val="0.7580405012375261"/>
        </manualLayout>
      </layout>
      <lineChart>
        <grouping val="standard"/>
        <varyColors val="0"/>
        <ser>
          <idx val="0"/>
          <order val="0"/>
          <tx>
            <strRef>
              <f>'Vacancies Chart'!$C$1</f>
              <strCache>
                <ptCount val="1"/>
                <pt idx="0">
                  <v>AP2Y</v>
                </pt>
              </strCache>
            </strRef>
          </tx>
          <spPr>
            <a:ln w="28575" cap="rnd">
              <a:solidFill>
                <a:srgbClr val="00285F"/>
              </a:solidFill>
              <a:prstDash val="solid"/>
              <a:round/>
            </a:ln>
          </spPr>
          <marker>
            <symbol val="none"/>
            <spPr>
              <a:ln>
                <a:prstDash val="solid"/>
              </a:ln>
            </spPr>
          </marker>
          <cat>
            <strRef>
              <f>'Vacancies Chart'!$A$2:$A$294</f>
              <strCache>
                <ptCount val="293"/>
                <pt idx="0">
                  <v>2001</v>
                </pt>
                <pt idx="1">
                  <v>2001</v>
                </pt>
                <pt idx="2">
                  <v>2001</v>
                </pt>
                <pt idx="3">
                  <v>2001</v>
                </pt>
                <pt idx="4">
                  <v>2001</v>
                </pt>
                <pt idx="5">
                  <v>2001</v>
                </pt>
                <pt idx="6">
                  <v>2001</v>
                </pt>
                <pt idx="7">
                  <v>2002</v>
                </pt>
                <pt idx="8">
                  <v>2002</v>
                </pt>
                <pt idx="9">
                  <v>2002</v>
                </pt>
                <pt idx="10">
                  <v>2002</v>
                </pt>
                <pt idx="11">
                  <v>2002</v>
                </pt>
                <pt idx="12">
                  <v>2002</v>
                </pt>
                <pt idx="13">
                  <v>2002</v>
                </pt>
                <pt idx="14">
                  <v>2002</v>
                </pt>
                <pt idx="15">
                  <v>2002</v>
                </pt>
                <pt idx="16">
                  <v>2002</v>
                </pt>
                <pt idx="17">
                  <v>2002</v>
                </pt>
                <pt idx="18">
                  <v>2002</v>
                </pt>
                <pt idx="19">
                  <v>2003</v>
                </pt>
                <pt idx="20">
                  <v>2003</v>
                </pt>
                <pt idx="21">
                  <v>2003</v>
                </pt>
                <pt idx="22">
                  <v>2003</v>
                </pt>
                <pt idx="23">
                  <v>2003</v>
                </pt>
                <pt idx="24">
                  <v>2003</v>
                </pt>
                <pt idx="25">
                  <v>2003</v>
                </pt>
                <pt idx="26">
                  <v>2003</v>
                </pt>
                <pt idx="27">
                  <v>2003</v>
                </pt>
                <pt idx="28">
                  <v>2003</v>
                </pt>
                <pt idx="29">
                  <v>2003</v>
                </pt>
                <pt idx="30">
                  <v>2003</v>
                </pt>
                <pt idx="31">
                  <v>2004</v>
                </pt>
                <pt idx="32">
                  <v>2004</v>
                </pt>
                <pt idx="33">
                  <v>2004</v>
                </pt>
                <pt idx="34">
                  <v>2004</v>
                </pt>
                <pt idx="35">
                  <v>2004</v>
                </pt>
                <pt idx="36">
                  <v>2004</v>
                </pt>
                <pt idx="37">
                  <v>2004</v>
                </pt>
                <pt idx="38">
                  <v>2004</v>
                </pt>
                <pt idx="39">
                  <v>2004</v>
                </pt>
                <pt idx="40">
                  <v>2004</v>
                </pt>
                <pt idx="41">
                  <v>2004</v>
                </pt>
                <pt idx="42">
                  <v>2004</v>
                </pt>
                <pt idx="43">
                  <v>2005</v>
                </pt>
                <pt idx="44">
                  <v>2005</v>
                </pt>
                <pt idx="45">
                  <v>2005</v>
                </pt>
                <pt idx="46">
                  <v>2005</v>
                </pt>
                <pt idx="47">
                  <v>2005</v>
                </pt>
                <pt idx="48">
                  <v>2005</v>
                </pt>
                <pt idx="49">
                  <v>2005</v>
                </pt>
                <pt idx="50">
                  <v>2005</v>
                </pt>
                <pt idx="51">
                  <v>2005</v>
                </pt>
                <pt idx="52">
                  <v>2005</v>
                </pt>
                <pt idx="53">
                  <v>2005</v>
                </pt>
                <pt idx="54">
                  <v>2005</v>
                </pt>
                <pt idx="55">
                  <v>2006</v>
                </pt>
                <pt idx="56">
                  <v>2006</v>
                </pt>
                <pt idx="57">
                  <v>2006</v>
                </pt>
                <pt idx="58">
                  <v>2006</v>
                </pt>
                <pt idx="59">
                  <v>2006</v>
                </pt>
                <pt idx="60">
                  <v>2006</v>
                </pt>
                <pt idx="61">
                  <v>2006</v>
                </pt>
                <pt idx="62">
                  <v>2006</v>
                </pt>
                <pt idx="63">
                  <v>2006</v>
                </pt>
                <pt idx="64">
                  <v>2006</v>
                </pt>
                <pt idx="65">
                  <v>2006</v>
                </pt>
                <pt idx="66">
                  <v>2006</v>
                </pt>
                <pt idx="67">
                  <v>2007</v>
                </pt>
                <pt idx="68">
                  <v>2007</v>
                </pt>
                <pt idx="69">
                  <v>2007</v>
                </pt>
                <pt idx="70">
                  <v>2007</v>
                </pt>
                <pt idx="71">
                  <v>2007</v>
                </pt>
                <pt idx="72">
                  <v>2007</v>
                </pt>
                <pt idx="73">
                  <v>2007</v>
                </pt>
                <pt idx="74">
                  <v>2007</v>
                </pt>
                <pt idx="75">
                  <v>2007</v>
                </pt>
                <pt idx="76">
                  <v>2007</v>
                </pt>
                <pt idx="77">
                  <v>2007</v>
                </pt>
                <pt idx="78">
                  <v>2007</v>
                </pt>
                <pt idx="79">
                  <v>2008</v>
                </pt>
                <pt idx="80">
                  <v>2008</v>
                </pt>
                <pt idx="81">
                  <v>2008</v>
                </pt>
                <pt idx="82">
                  <v>2008</v>
                </pt>
                <pt idx="83">
                  <v>2008</v>
                </pt>
                <pt idx="84">
                  <v>2008</v>
                </pt>
                <pt idx="85">
                  <v>2008</v>
                </pt>
                <pt idx="86">
                  <v>2008</v>
                </pt>
                <pt idx="87">
                  <v>2008</v>
                </pt>
                <pt idx="88">
                  <v>2008</v>
                </pt>
                <pt idx="89">
                  <v>2008</v>
                </pt>
                <pt idx="90">
                  <v>2008</v>
                </pt>
                <pt idx="91">
                  <v>2009</v>
                </pt>
                <pt idx="92">
                  <v>2009</v>
                </pt>
                <pt idx="93">
                  <v>2009</v>
                </pt>
                <pt idx="94">
                  <v>2009</v>
                </pt>
                <pt idx="95">
                  <v>2009</v>
                </pt>
                <pt idx="96">
                  <v>2009</v>
                </pt>
                <pt idx="97">
                  <v>2009</v>
                </pt>
                <pt idx="98">
                  <v>2009</v>
                </pt>
                <pt idx="99">
                  <v>2009</v>
                </pt>
                <pt idx="100">
                  <v>2009</v>
                </pt>
                <pt idx="101">
                  <v>2009</v>
                </pt>
                <pt idx="102">
                  <v>2009</v>
                </pt>
                <pt idx="103">
                  <v>2010</v>
                </pt>
                <pt idx="104">
                  <v>2010</v>
                </pt>
                <pt idx="105">
                  <v>2010</v>
                </pt>
                <pt idx="106">
                  <v>2010</v>
                </pt>
                <pt idx="107">
                  <v>2010</v>
                </pt>
                <pt idx="108">
                  <v>2010</v>
                </pt>
                <pt idx="109">
                  <v>2010</v>
                </pt>
                <pt idx="110">
                  <v>2010</v>
                </pt>
                <pt idx="111">
                  <v>2010</v>
                </pt>
                <pt idx="112">
                  <v>2010</v>
                </pt>
                <pt idx="113">
                  <v>2010</v>
                </pt>
                <pt idx="114">
                  <v>2010</v>
                </pt>
                <pt idx="115">
                  <v>2011</v>
                </pt>
                <pt idx="116">
                  <v>2011</v>
                </pt>
                <pt idx="117">
                  <v>2011</v>
                </pt>
                <pt idx="118">
                  <v>2011</v>
                </pt>
                <pt idx="119">
                  <v>2011</v>
                </pt>
                <pt idx="120">
                  <v>2011</v>
                </pt>
                <pt idx="121">
                  <v>2011</v>
                </pt>
                <pt idx="122">
                  <v>2011</v>
                </pt>
                <pt idx="123">
                  <v>2011</v>
                </pt>
                <pt idx="124">
                  <v>2011</v>
                </pt>
                <pt idx="125">
                  <v>2011</v>
                </pt>
                <pt idx="126">
                  <v>2011</v>
                </pt>
                <pt idx="127">
                  <v>2012</v>
                </pt>
                <pt idx="128">
                  <v>2012</v>
                </pt>
                <pt idx="129">
                  <v>2012</v>
                </pt>
                <pt idx="130">
                  <v>2012</v>
                </pt>
                <pt idx="131">
                  <v>2012</v>
                </pt>
                <pt idx="132">
                  <v>2012</v>
                </pt>
                <pt idx="133">
                  <v>2012</v>
                </pt>
                <pt idx="134">
                  <v>2012</v>
                </pt>
                <pt idx="135">
                  <v>2012</v>
                </pt>
                <pt idx="136">
                  <v>2012</v>
                </pt>
                <pt idx="137">
                  <v>2012</v>
                </pt>
                <pt idx="138">
                  <v>2012</v>
                </pt>
                <pt idx="139">
                  <v>2013</v>
                </pt>
                <pt idx="140">
                  <v>2013</v>
                </pt>
                <pt idx="141">
                  <v>2013</v>
                </pt>
                <pt idx="142">
                  <v>2013</v>
                </pt>
                <pt idx="143">
                  <v>2013</v>
                </pt>
                <pt idx="144">
                  <v>2013</v>
                </pt>
                <pt idx="145">
                  <v>2013</v>
                </pt>
                <pt idx="146">
                  <v>2013</v>
                </pt>
                <pt idx="147">
                  <v>2013</v>
                </pt>
                <pt idx="148">
                  <v>2013</v>
                </pt>
                <pt idx="149">
                  <v>2013</v>
                </pt>
                <pt idx="150">
                  <v>2013</v>
                </pt>
                <pt idx="151">
                  <v>2014</v>
                </pt>
                <pt idx="152">
                  <v>2014</v>
                </pt>
                <pt idx="153">
                  <v>2014</v>
                </pt>
                <pt idx="154">
                  <v>2014</v>
                </pt>
                <pt idx="155">
                  <v>2014</v>
                </pt>
                <pt idx="156">
                  <v>2014</v>
                </pt>
                <pt idx="157">
                  <v>2014</v>
                </pt>
                <pt idx="158">
                  <v>2014</v>
                </pt>
                <pt idx="159">
                  <v>2014</v>
                </pt>
                <pt idx="160">
                  <v>2014</v>
                </pt>
                <pt idx="161">
                  <v>2014</v>
                </pt>
                <pt idx="162">
                  <v>2014</v>
                </pt>
                <pt idx="163">
                  <v>2015</v>
                </pt>
                <pt idx="164">
                  <v>2015</v>
                </pt>
                <pt idx="165">
                  <v>2015</v>
                </pt>
                <pt idx="166">
                  <v>2015</v>
                </pt>
                <pt idx="167">
                  <v>2015</v>
                </pt>
                <pt idx="168">
                  <v>2015</v>
                </pt>
                <pt idx="169">
                  <v>2015</v>
                </pt>
                <pt idx="170">
                  <v>2015</v>
                </pt>
                <pt idx="171">
                  <v>2015</v>
                </pt>
                <pt idx="172">
                  <v>2015</v>
                </pt>
                <pt idx="173">
                  <v>2015</v>
                </pt>
                <pt idx="174">
                  <v>2015</v>
                </pt>
                <pt idx="175">
                  <v>2016</v>
                </pt>
                <pt idx="176">
                  <v>2016</v>
                </pt>
                <pt idx="177">
                  <v>2016</v>
                </pt>
                <pt idx="178">
                  <v>2016</v>
                </pt>
                <pt idx="179">
                  <v>2016</v>
                </pt>
                <pt idx="180">
                  <v>2016</v>
                </pt>
                <pt idx="181">
                  <v>2016</v>
                </pt>
                <pt idx="182">
                  <v>2016</v>
                </pt>
                <pt idx="183">
                  <v>2016</v>
                </pt>
                <pt idx="184">
                  <v>2016</v>
                </pt>
                <pt idx="185">
                  <v>2016</v>
                </pt>
                <pt idx="186">
                  <v>2016</v>
                </pt>
                <pt idx="187">
                  <v>2017</v>
                </pt>
                <pt idx="188">
                  <v>2017</v>
                </pt>
                <pt idx="189">
                  <v>2017</v>
                </pt>
                <pt idx="190">
                  <v>2017</v>
                </pt>
                <pt idx="191">
                  <v>2017</v>
                </pt>
                <pt idx="192">
                  <v>2017</v>
                </pt>
                <pt idx="193">
                  <v>2017</v>
                </pt>
                <pt idx="194">
                  <v>2017</v>
                </pt>
                <pt idx="195">
                  <v>2017</v>
                </pt>
                <pt idx="196">
                  <v>2017</v>
                </pt>
                <pt idx="197">
                  <v>2017</v>
                </pt>
                <pt idx="198">
                  <v>2017</v>
                </pt>
                <pt idx="199">
                  <v>2018</v>
                </pt>
                <pt idx="200">
                  <v>2018</v>
                </pt>
                <pt idx="201">
                  <v>2018</v>
                </pt>
                <pt idx="202">
                  <v>2018</v>
                </pt>
                <pt idx="203">
                  <v>2018</v>
                </pt>
                <pt idx="204">
                  <v>2018</v>
                </pt>
                <pt idx="205">
                  <v>2018</v>
                </pt>
                <pt idx="206">
                  <v>2018</v>
                </pt>
                <pt idx="207">
                  <v>2018</v>
                </pt>
                <pt idx="208">
                  <v>2018</v>
                </pt>
                <pt idx="209">
                  <v>2018</v>
                </pt>
                <pt idx="210">
                  <v>2018</v>
                </pt>
                <pt idx="211">
                  <v>2019</v>
                </pt>
                <pt idx="212">
                  <v>2019</v>
                </pt>
                <pt idx="213">
                  <v>2019</v>
                </pt>
                <pt idx="214">
                  <v>2019</v>
                </pt>
                <pt idx="215">
                  <v>2019</v>
                </pt>
                <pt idx="216">
                  <v>2019</v>
                </pt>
                <pt idx="217">
                  <v>2019</v>
                </pt>
                <pt idx="218">
                  <v>2019</v>
                </pt>
                <pt idx="219">
                  <v>2019</v>
                </pt>
                <pt idx="220">
                  <v>2019</v>
                </pt>
                <pt idx="221">
                  <v>2019</v>
                </pt>
                <pt idx="222">
                  <v>2019</v>
                </pt>
                <pt idx="223">
                  <v>2020</v>
                </pt>
                <pt idx="224">
                  <v>2020</v>
                </pt>
                <pt idx="225">
                  <v>2020</v>
                </pt>
                <pt idx="226">
                  <v>2020</v>
                </pt>
                <pt idx="227">
                  <v>2020</v>
                </pt>
                <pt idx="228">
                  <v>2020</v>
                </pt>
                <pt idx="229">
                  <v>2020</v>
                </pt>
                <pt idx="230">
                  <v>2020</v>
                </pt>
                <pt idx="231">
                  <v>2020</v>
                </pt>
                <pt idx="232">
                  <v>2020</v>
                </pt>
                <pt idx="233">
                  <v>2020</v>
                </pt>
                <pt idx="234">
                  <v>2020</v>
                </pt>
                <pt idx="235">
                  <v>2021</v>
                </pt>
                <pt idx="236">
                  <v>2021</v>
                </pt>
                <pt idx="237">
                  <v>2021</v>
                </pt>
                <pt idx="238">
                  <v>2021</v>
                </pt>
                <pt idx="239">
                  <v>2021</v>
                </pt>
                <pt idx="240">
                  <v>2021</v>
                </pt>
                <pt idx="241">
                  <v>2021</v>
                </pt>
                <pt idx="242">
                  <v>2021</v>
                </pt>
                <pt idx="243">
                  <v>2021</v>
                </pt>
                <pt idx="244">
                  <v>2021</v>
                </pt>
                <pt idx="245">
                  <v>2021</v>
                </pt>
                <pt idx="246">
                  <v>2021</v>
                </pt>
                <pt idx="247">
                  <v>2022</v>
                </pt>
                <pt idx="248">
                  <v>2022</v>
                </pt>
                <pt idx="249">
                  <v>2022</v>
                </pt>
                <pt idx="250">
                  <v>2022</v>
                </pt>
                <pt idx="251">
                  <v>2022</v>
                </pt>
                <pt idx="252">
                  <v>2022</v>
                </pt>
                <pt idx="253">
                  <v>2022</v>
                </pt>
                <pt idx="254">
                  <v>2022</v>
                </pt>
                <pt idx="255">
                  <v>2022</v>
                </pt>
                <pt idx="256">
                  <v>2022</v>
                </pt>
                <pt idx="257">
                  <v>2022</v>
                </pt>
                <pt idx="258">
                  <v>2022</v>
                </pt>
                <pt idx="259">
                  <v>2023</v>
                </pt>
                <pt idx="260">
                  <v>2023</v>
                </pt>
                <pt idx="261">
                  <v>2023</v>
                </pt>
                <pt idx="262">
                  <v>2023</v>
                </pt>
                <pt idx="263">
                  <v>2023</v>
                </pt>
                <pt idx="264">
                  <v>2023</v>
                </pt>
                <pt idx="265">
                  <v>2023</v>
                </pt>
                <pt idx="266">
                  <v>2023</v>
                </pt>
                <pt idx="267">
                  <v>2023</v>
                </pt>
                <pt idx="268">
                  <v>2023</v>
                </pt>
                <pt idx="269">
                  <v>2023</v>
                </pt>
                <pt idx="270">
                  <v>2023</v>
                </pt>
                <pt idx="271">
                  <v>2024</v>
                </pt>
                <pt idx="272">
                  <v>2024</v>
                </pt>
                <pt idx="273">
                  <v>2024</v>
                </pt>
                <pt idx="274">
                  <v>2024</v>
                </pt>
                <pt idx="275">
                  <v>2024</v>
                </pt>
                <pt idx="276">
                  <v>2024</v>
                </pt>
                <pt idx="277">
                  <v>2024</v>
                </pt>
                <pt idx="278">
                  <v>2024</v>
                </pt>
                <pt idx="279">
                  <v>2024</v>
                </pt>
                <pt idx="280">
                  <v>2024</v>
                </pt>
                <pt idx="281">
                  <v>2024</v>
                </pt>
                <pt idx="282">
                  <v>2024</v>
                </pt>
                <pt idx="283">
                  <v>2025</v>
                </pt>
                <pt idx="284">
                  <v>2025</v>
                </pt>
                <pt idx="285">
                  <v>2025</v>
                </pt>
                <pt idx="286">
                  <v>2025</v>
                </pt>
                <pt idx="287">
                  <v>2025</v>
                </pt>
                <pt idx="288">
                  <v>2025</v>
                </pt>
                <pt idx="289">
                  <v>2025</v>
                </pt>
                <pt idx="290">
                  <v>2025</v>
                </pt>
                <pt idx="291">
                  <v>2025</v>
                </pt>
                <pt idx="292">
                  <v>2025</v>
                </pt>
              </strCache>
            </strRef>
          </cat>
          <val>
            <numRef>
              <f>'Vacancies Chart'!$C$2:$C$294</f>
              <numCache>
                <formatCode>General</formatCode>
                <ptCount val="293"/>
                <pt idx="0">
                  <v>680</v>
                </pt>
                <pt idx="1">
                  <v>674</v>
                </pt>
                <pt idx="2">
                  <v>663</v>
                </pt>
                <pt idx="3">
                  <v>663</v>
                </pt>
                <pt idx="4">
                  <v>639</v>
                </pt>
                <pt idx="5">
                  <v>626</v>
                </pt>
                <pt idx="6">
                  <v>601</v>
                </pt>
                <pt idx="7">
                  <v>606</v>
                </pt>
                <pt idx="8">
                  <v>616</v>
                </pt>
                <pt idx="9">
                  <v>619</v>
                </pt>
                <pt idx="10">
                  <v>619</v>
                </pt>
                <pt idx="11">
                  <v>613</v>
                </pt>
                <pt idx="12">
                  <v>616</v>
                </pt>
                <pt idx="13">
                  <v>611</v>
                </pt>
                <pt idx="14">
                  <v>613</v>
                </pt>
                <pt idx="15">
                  <v>609</v>
                </pt>
                <pt idx="16">
                  <v>609</v>
                </pt>
                <pt idx="17">
                  <v>608</v>
                </pt>
                <pt idx="18">
                  <v>603</v>
                </pt>
                <pt idx="19">
                  <v>602</v>
                </pt>
                <pt idx="20">
                  <v>596</v>
                </pt>
                <pt idx="21">
                  <v>593</v>
                </pt>
                <pt idx="22">
                  <v>585</v>
                </pt>
                <pt idx="23">
                  <v>589</v>
                </pt>
                <pt idx="24">
                  <v>579</v>
                </pt>
                <pt idx="25">
                  <v>574</v>
                </pt>
                <pt idx="26">
                  <v>576</v>
                </pt>
                <pt idx="27">
                  <v>592</v>
                </pt>
                <pt idx="28">
                  <v>604</v>
                </pt>
                <pt idx="29">
                  <v>610</v>
                </pt>
                <pt idx="30">
                  <v>614</v>
                </pt>
                <pt idx="31">
                  <v>613</v>
                </pt>
                <pt idx="32">
                  <v>617</v>
                </pt>
                <pt idx="33">
                  <v>624</v>
                </pt>
                <pt idx="34">
                  <v>630</v>
                </pt>
                <pt idx="35">
                  <v>637</v>
                </pt>
                <pt idx="36">
                  <v>641</v>
                </pt>
                <pt idx="37">
                  <v>652</v>
                </pt>
                <pt idx="38">
                  <v>654</v>
                </pt>
                <pt idx="39">
                  <v>654</v>
                </pt>
                <pt idx="40">
                  <v>655</v>
                </pt>
                <pt idx="41">
                  <v>658</v>
                </pt>
                <pt idx="42">
                  <v>662</v>
                </pt>
                <pt idx="43">
                  <v>661</v>
                </pt>
                <pt idx="44">
                  <v>655</v>
                </pt>
                <pt idx="45">
                  <v>644</v>
                </pt>
                <pt idx="46">
                  <v>636</v>
                </pt>
                <pt idx="47">
                  <v>642</v>
                </pt>
                <pt idx="48">
                  <v>642</v>
                </pt>
                <pt idx="49">
                  <v>633</v>
                </pt>
                <pt idx="50">
                  <v>624</v>
                </pt>
                <pt idx="51">
                  <v>622</v>
                </pt>
                <pt idx="52">
                  <v>608</v>
                </pt>
                <pt idx="53">
                  <v>606</v>
                </pt>
                <pt idx="54">
                  <v>609</v>
                </pt>
                <pt idx="55">
                  <v>615</v>
                </pt>
                <pt idx="56">
                  <v>612</v>
                </pt>
                <pt idx="57">
                  <v>600</v>
                </pt>
                <pt idx="58">
                  <v>597</v>
                </pt>
                <pt idx="59">
                  <v>597</v>
                </pt>
                <pt idx="60">
                  <v>604</v>
                </pt>
                <pt idx="61">
                  <v>607</v>
                </pt>
                <pt idx="62">
                  <v>610</v>
                </pt>
                <pt idx="63">
                  <v>611</v>
                </pt>
                <pt idx="64">
                  <v>618</v>
                </pt>
                <pt idx="65">
                  <v>620</v>
                </pt>
                <pt idx="66">
                  <v>620</v>
                </pt>
                <pt idx="67">
                  <v>619</v>
                </pt>
                <pt idx="68">
                  <v>629</v>
                </pt>
                <pt idx="69">
                  <v>642</v>
                </pt>
                <pt idx="70">
                  <v>647</v>
                </pt>
                <pt idx="71">
                  <v>651</v>
                </pt>
                <pt idx="72">
                  <v>659</v>
                </pt>
                <pt idx="73">
                  <v>670</v>
                </pt>
                <pt idx="74">
                  <v>681</v>
                </pt>
                <pt idx="75">
                  <v>684</v>
                </pt>
                <pt idx="76">
                  <v>686</v>
                </pt>
                <pt idx="77">
                  <v>691</v>
                </pt>
                <pt idx="78">
                  <v>687</v>
                </pt>
                <pt idx="79">
                  <v>679</v>
                </pt>
                <pt idx="80">
                  <v>687</v>
                </pt>
                <pt idx="81">
                  <v>698</v>
                </pt>
                <pt idx="82">
                  <v>694</v>
                </pt>
                <pt idx="83">
                  <v>679</v>
                </pt>
                <pt idx="84">
                  <v>657</v>
                </pt>
                <pt idx="85">
                  <v>643</v>
                </pt>
                <pt idx="86">
                  <v>624</v>
                </pt>
                <pt idx="87">
                  <v>615</v>
                </pt>
                <pt idx="88">
                  <v>596</v>
                </pt>
                <pt idx="89">
                  <v>562</v>
                </pt>
                <pt idx="90">
                  <v>527</v>
                </pt>
                <pt idx="91">
                  <v>498</v>
                </pt>
                <pt idx="92">
                  <v>478</v>
                </pt>
                <pt idx="93">
                  <v>464</v>
                </pt>
                <pt idx="94">
                  <v>454</v>
                </pt>
                <pt idx="95">
                  <v>444</v>
                </pt>
                <pt idx="96">
                  <v>431</v>
                </pt>
                <pt idx="97">
                  <v>429</v>
                </pt>
                <pt idx="98">
                  <v>438</v>
                </pt>
                <pt idx="99">
                  <v>436</v>
                </pt>
                <pt idx="100">
                  <v>432</v>
                </pt>
                <pt idx="101">
                  <v>437</v>
                </pt>
                <pt idx="102">
                  <v>454</v>
                </pt>
                <pt idx="103">
                  <v>464</v>
                </pt>
                <pt idx="104">
                  <v>467</v>
                </pt>
                <pt idx="105">
                  <v>465</v>
                </pt>
                <pt idx="106">
                  <v>467</v>
                </pt>
                <pt idx="107">
                  <v>479</v>
                </pt>
                <pt idx="108">
                  <v>484</v>
                </pt>
                <pt idx="109">
                  <v>479</v>
                </pt>
                <pt idx="110">
                  <v>461</v>
                </pt>
                <pt idx="111">
                  <v>455</v>
                </pt>
                <pt idx="112">
                  <v>455</v>
                </pt>
                <pt idx="113">
                  <v>474</v>
                </pt>
                <pt idx="114">
                  <v>483</v>
                </pt>
                <pt idx="115">
                  <v>495</v>
                </pt>
                <pt idx="116">
                  <v>490</v>
                </pt>
                <pt idx="117">
                  <v>483</v>
                </pt>
                <pt idx="118">
                  <v>472</v>
                </pt>
                <pt idx="119">
                  <v>461</v>
                </pt>
                <pt idx="120">
                  <v>460</v>
                </pt>
                <pt idx="121">
                  <v>457</v>
                </pt>
                <pt idx="122">
                  <v>462</v>
                </pt>
                <pt idx="123">
                  <v>464</v>
                </pt>
                <pt idx="124">
                  <v>467</v>
                </pt>
                <pt idx="125">
                  <v>462</v>
                </pt>
                <pt idx="126">
                  <v>465</v>
                </pt>
                <pt idx="127">
                  <v>476</v>
                </pt>
                <pt idx="128">
                  <v>473</v>
                </pt>
                <pt idx="129">
                  <v>467</v>
                </pt>
                <pt idx="130">
                  <v>465</v>
                </pt>
                <pt idx="131">
                  <v>470</v>
                </pt>
                <pt idx="132">
                  <v>474</v>
                </pt>
                <pt idx="133">
                  <v>479</v>
                </pt>
                <pt idx="134">
                  <v>483</v>
                </pt>
                <pt idx="135">
                  <v>487</v>
                </pt>
                <pt idx="136">
                  <v>490</v>
                </pt>
                <pt idx="137">
                  <v>493</v>
                </pt>
                <pt idx="138">
                  <v>501</v>
                </pt>
                <pt idx="139">
                  <v>503</v>
                </pt>
                <pt idx="140">
                  <v>505</v>
                </pt>
                <pt idx="141">
                  <v>506</v>
                </pt>
                <pt idx="142">
                  <v>515</v>
                </pt>
                <pt idx="143">
                  <v>522</v>
                </pt>
                <pt idx="144">
                  <v>533</v>
                </pt>
                <pt idx="145">
                  <v>539</v>
                </pt>
                <pt idx="146">
                  <v>536</v>
                </pt>
                <pt idx="147">
                  <v>547</v>
                </pt>
                <pt idx="148">
                  <v>552</v>
                </pt>
                <pt idx="149">
                  <v>567</v>
                </pt>
                <pt idx="150">
                  <v>573</v>
                </pt>
                <pt idx="151">
                  <v>584</v>
                </pt>
                <pt idx="152">
                  <v>596</v>
                </pt>
                <pt idx="153">
                  <v>616</v>
                </pt>
                <pt idx="154">
                  <v>639</v>
                </pt>
                <pt idx="155">
                  <v>653</v>
                </pt>
                <pt idx="156">
                  <v>661</v>
                </pt>
                <pt idx="157">
                  <v>669</v>
                </pt>
                <pt idx="158">
                  <v>681</v>
                </pt>
                <pt idx="159">
                  <v>686</v>
                </pt>
                <pt idx="160">
                  <v>702</v>
                </pt>
                <pt idx="161">
                  <v>702</v>
                </pt>
                <pt idx="162">
                  <v>708</v>
                </pt>
                <pt idx="163">
                  <v>712</v>
                </pt>
                <pt idx="164">
                  <v>722</v>
                </pt>
                <pt idx="165">
                  <v>730</v>
                </pt>
                <pt idx="166">
                  <v>726</v>
                </pt>
                <pt idx="167">
                  <v>727</v>
                </pt>
                <pt idx="168">
                  <v>730</v>
                </pt>
                <pt idx="169">
                  <v>741</v>
                </pt>
                <pt idx="170">
                  <v>742</v>
                </pt>
                <pt idx="171">
                  <v>741</v>
                </pt>
                <pt idx="172">
                  <v>741</v>
                </pt>
                <pt idx="173">
                  <v>741</v>
                </pt>
                <pt idx="174">
                  <v>746</v>
                </pt>
                <pt idx="175">
                  <v>750</v>
                </pt>
                <pt idx="176">
                  <v>748</v>
                </pt>
                <pt idx="177">
                  <v>748</v>
                </pt>
                <pt idx="178">
                  <v>742</v>
                </pt>
                <pt idx="179">
                  <v>745</v>
                </pt>
                <pt idx="180">
                  <v>746</v>
                </pt>
                <pt idx="181">
                  <v>747</v>
                </pt>
                <pt idx="182">
                  <v>752</v>
                </pt>
                <pt idx="183">
                  <v>753</v>
                </pt>
                <pt idx="184">
                  <v>765</v>
                </pt>
                <pt idx="185">
                  <v>758</v>
                </pt>
                <pt idx="186">
                  <v>755</v>
                </pt>
                <pt idx="187">
                  <v>748</v>
                </pt>
                <pt idx="188">
                  <v>764</v>
                </pt>
                <pt idx="189">
                  <v>771</v>
                </pt>
                <pt idx="190">
                  <v>791</v>
                </pt>
                <pt idx="191">
                  <v>786</v>
                </pt>
                <pt idx="192">
                  <v>786</v>
                </pt>
                <pt idx="193">
                  <v>784</v>
                </pt>
                <pt idx="194">
                  <v>793</v>
                </pt>
                <pt idx="195">
                  <v>800</v>
                </pt>
                <pt idx="196">
                  <v>812</v>
                </pt>
                <pt idx="197">
                  <v>819</v>
                </pt>
                <pt idx="198">
                  <v>820</v>
                </pt>
                <pt idx="199">
                  <v>817</v>
                </pt>
                <pt idx="200">
                  <v>814</v>
                </pt>
                <pt idx="201">
                  <v>815</v>
                </pt>
                <pt idx="202">
                  <v>811</v>
                </pt>
                <pt idx="203">
                  <v>821</v>
                </pt>
                <pt idx="204">
                  <v>832</v>
                </pt>
                <pt idx="205">
                  <v>837</v>
                </pt>
                <pt idx="206">
                  <v>842</v>
                </pt>
                <pt idx="207">
                  <v>846</v>
                </pt>
                <pt idx="208">
                  <v>864</v>
                </pt>
                <pt idx="209">
                  <v>862</v>
                </pt>
                <pt idx="210">
                  <v>856</v>
                </pt>
                <pt idx="211">
                  <v>855</v>
                </pt>
                <pt idx="212">
                  <v>847</v>
                </pt>
                <pt idx="213">
                  <v>845</v>
                </pt>
                <pt idx="214">
                  <v>840</v>
                </pt>
                <pt idx="215">
                  <v>835</v>
                </pt>
                <pt idx="216">
                  <v>822</v>
                </pt>
                <pt idx="217">
                  <v>821</v>
                </pt>
                <pt idx="218">
                  <v>815</v>
                </pt>
                <pt idx="219">
                  <v>818</v>
                </pt>
                <pt idx="220">
                  <v>813</v>
                </pt>
                <pt idx="221">
                  <v>809</v>
                </pt>
                <pt idx="222">
                  <v>811</v>
                </pt>
                <pt idx="223">
                  <v>812</v>
                </pt>
                <pt idx="224">
                  <v>819</v>
                </pt>
                <pt idx="225">
                  <v>795</v>
                </pt>
                <pt idx="226">
                  <v>637</v>
                </pt>
                <pt idx="227">
                  <v>471</v>
                </pt>
                <pt idx="228">
                  <v>328</v>
                </pt>
                <pt idx="229">
                  <v>369</v>
                </pt>
                <pt idx="230">
                  <v>428</v>
                </pt>
                <pt idx="231">
                  <v>490</v>
                </pt>
                <pt idx="232">
                  <v>535</v>
                </pt>
                <pt idx="233">
                  <v>560</v>
                </pt>
                <pt idx="234">
                  <v>602</v>
                </pt>
                <pt idx="235">
                  <v>617</v>
                </pt>
                <pt idx="236">
                  <v>621</v>
                </pt>
                <pt idx="237">
                  <v>626</v>
                </pt>
                <pt idx="238">
                  <v>659</v>
                </pt>
                <pt idx="239">
                  <v>764</v>
                </pt>
                <pt idx="240">
                  <v>867</v>
                </pt>
                <pt idx="241">
                  <v>968</v>
                </pt>
                <pt idx="242">
                  <v>1052</v>
                </pt>
                <pt idx="243">
                  <v>1125</v>
                </pt>
                <pt idx="244">
                  <v>1198</v>
                </pt>
                <pt idx="245">
                  <v>1223</v>
                </pt>
                <pt idx="246">
                  <v>1243</v>
                </pt>
                <pt idx="247">
                  <v>1250</v>
                </pt>
                <pt idx="248">
                  <v>1267</v>
                </pt>
                <pt idx="249">
                  <v>1276</v>
                </pt>
                <pt idx="250">
                  <v>1291</v>
                </pt>
                <pt idx="251">
                  <v>1300</v>
                </pt>
                <pt idx="252">
                  <v>1290</v>
                </pt>
                <pt idx="253">
                  <v>1263</v>
                </pt>
                <pt idx="254">
                  <v>1244</v>
                </pt>
                <pt idx="255">
                  <v>1222</v>
                </pt>
                <pt idx="256">
                  <v>1208</v>
                </pt>
                <pt idx="257">
                  <v>1167</v>
                </pt>
                <pt idx="258">
                  <v>1138</v>
                </pt>
                <pt idx="259">
                  <v>1114</v>
                </pt>
                <pt idx="260">
                  <v>1112</v>
                </pt>
                <pt idx="261">
                  <v>1104</v>
                </pt>
                <pt idx="262">
                  <v>1075</v>
                </pt>
                <pt idx="263">
                  <v>1043</v>
                </pt>
                <pt idx="264">
                  <v>1025</v>
                </pt>
                <pt idx="265">
                  <v>1010</v>
                </pt>
                <pt idx="266">
                  <v>988</v>
                </pt>
                <pt idx="267">
                  <v>973</v>
                </pt>
                <pt idx="268">
                  <v>952</v>
                </pt>
                <pt idx="269">
                  <v>948</v>
                </pt>
                <pt idx="270">
                  <v>924</v>
                </pt>
                <pt idx="271">
                  <v>916</v>
                </pt>
                <pt idx="272">
                  <v>904</v>
                </pt>
                <pt idx="273">
                  <v>905</v>
                </pt>
                <pt idx="274">
                  <v>892</v>
                </pt>
                <pt idx="275">
                  <v>886</v>
                </pt>
                <pt idx="276">
                  <v>870</v>
                </pt>
                <pt idx="277">
                  <v>863</v>
                </pt>
                <pt idx="278">
                  <v>847</v>
                </pt>
                <pt idx="279">
                  <v>832</v>
                </pt>
                <pt idx="280">
                  <v>822</v>
                </pt>
                <pt idx="281">
                  <v>807</v>
                </pt>
                <pt idx="282">
                  <v>806</v>
                </pt>
                <pt idx="283">
                  <v>804</v>
                </pt>
                <pt idx="284">
                  <v>799</v>
                </pt>
                <pt idx="285">
                  <v>783</v>
                </pt>
                <pt idx="286">
                  <v>762</v>
                </pt>
                <pt idx="287">
                  <v>739</v>
                </pt>
                <pt idx="288">
                  <v>726</v>
                </pt>
                <pt idx="289">
                  <v>722</v>
                </pt>
                <pt idx="290">
                  <v>731</v>
                </pt>
                <pt idx="291">
                  <v>725</v>
                </pt>
                <pt idx="292">
                  <v>725</v>
                </pt>
              </numCache>
            </numRef>
          </val>
          <smooth val="0"/>
        </ser>
        <dLbls>
          <showLegendKey val="0"/>
          <showVal val="0"/>
          <showCatName val="0"/>
          <showSerName val="0"/>
          <showPercent val="0"/>
          <showBubbleSize val="0"/>
        </dLbls>
        <smooth val="0"/>
        <axId val="1685189407"/>
        <axId val="1685191327"/>
      </lineChart>
      <dateAx>
        <axId val="1685189407"/>
        <scaling>
          <orientation val="minMax"/>
        </scaling>
        <delete val="0"/>
        <axPos val="b"/>
        <numFmt formatCode="[$-F400]h:mm:ss\ AM/PM" sourceLinked="0"/>
        <majorTickMark val="out"/>
        <minorTickMark val="none"/>
        <tickLblPos val="nextTo"/>
        <spPr>
          <a:noFill/>
          <a:ln w="9525" cap="flat" cmpd="sng" algn="ctr">
            <a:solidFill>
              <a:schemeClr val="tx1"/>
            </a:solidFill>
            <a:prstDash val="solid"/>
            <a:round/>
          </a:ln>
        </spPr>
        <txPr>
          <a:bodyPr rot="-60000000" spcFirstLastPara="1" vertOverflow="ellipsis" vert="horz" wrap="square" anchor="ctr" anchorCtr="1"/>
          <a:lstStyle/>
          <a:p>
            <a:pPr>
              <a:defRPr sz="800" b="0" i="0" strike="noStrike" kern="1200" baseline="0">
                <a:solidFill>
                  <a:schemeClr val="tx1"/>
                </a:solidFill>
                <a:latin typeface="Arial" panose="020B0604020202020204" pitchFamily="34" charset="0"/>
                <a:ea typeface="+mn-ea"/>
                <a:cs typeface="Arial" panose="020B0604020202020204" pitchFamily="34" charset="0"/>
              </a:defRPr>
            </a:pPr>
            <a:r>
              <a:t/>
            </a:r>
            <a:endParaRPr lang="en-US"/>
          </a:p>
        </txPr>
        <crossAx val="1685191327"/>
        <crosses val="autoZero"/>
        <lblOffset val="100"/>
        <baseTimeUnit val="days"/>
        <majorUnit val="12"/>
        <minorUnit val="12"/>
      </dateAx>
      <valAx>
        <axId val="1685191327"/>
        <scaling>
          <orientation val="minMax"/>
          <min val="200"/>
        </scaling>
        <delete val="0"/>
        <axPos val="l"/>
        <majorGridlines>
          <spPr>
            <a:ln w="9525" cap="flat" cmpd="sng" algn="ctr">
              <a:solidFill>
                <a:schemeClr val="tx1">
                  <a:lumMod val="15000"/>
                  <a:lumOff val="85000"/>
                </a:schemeClr>
              </a:solidFill>
              <a:prstDash val="solid"/>
              <a:round/>
            </a:ln>
          </spPr>
        </majorGridlines>
        <numFmt formatCode="General" sourceLinked="1"/>
        <majorTickMark val="out"/>
        <minorTickMark val="none"/>
        <tickLblPos val="nextTo"/>
        <spPr>
          <a:noFill/>
          <a:ln>
            <a:solidFill>
              <a:schemeClr val="tx1"/>
            </a:solidFill>
            <a:prstDash val="solid"/>
          </a:ln>
        </spPr>
        <txPr>
          <a:bodyPr rot="-60000000" spcFirstLastPara="1" vertOverflow="ellipsis" vert="horz" wrap="square" anchor="ctr" anchorCtr="1"/>
          <a:lstStyle/>
          <a:p>
            <a:pPr>
              <a:defRPr sz="900" b="0" i="0" strike="noStrike" kern="1200" baseline="0">
                <a:solidFill>
                  <a:schemeClr val="tx1"/>
                </a:solidFill>
                <a:latin typeface="Arial" panose="020B0604020202020204" pitchFamily="34" charset="0"/>
                <a:ea typeface="+mn-ea"/>
                <a:cs typeface="Arial" panose="020B0604020202020204" pitchFamily="34" charset="0"/>
              </a:defRPr>
            </a:pPr>
            <a:r>
              <a:t/>
            </a:r>
            <a:endParaRPr lang="en-US"/>
          </a:p>
        </txPr>
        <crossAx val="1685189407"/>
        <crosses val="autoZero"/>
        <crossBetween val="between"/>
      </valAx>
    </plotArea>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35.xml><?xml version="1.0" encoding="utf-8"?>
<chartSpace xmlns:a="http://schemas.openxmlformats.org/drawingml/2006/main" xmlns="http://schemas.openxmlformats.org/drawingml/2006/chart">
  <chart>
    <plotArea>
      <layout>
        <manualLayout>
          <layoutTarget val="inner"/>
          <xMode val="edge"/>
          <yMode val="edge"/>
          <wMode val="factor"/>
          <hMode val="factor"/>
          <x val="0.1914751063325489"/>
          <y val="0.04460408684546616"/>
          <w val="0.7586759708035737"/>
          <h val="0.8411815073129407"/>
        </manualLayout>
      </layout>
      <lineChart>
        <grouping val="standard"/>
        <varyColors val="0"/>
        <ser>
          <idx val="0"/>
          <order val="0"/>
          <tx>
            <strRef>
              <f>'Payrolled Employees Chart'!$B$2</f>
              <strCache>
                <ptCount val="1"/>
                <pt idx="0">
                  <v>Payrolled employees</v>
                </pt>
              </strCache>
            </strRef>
          </tx>
          <spPr>
            <a:ln w="28575" cap="rnd">
              <a:solidFill>
                <a:srgbClr val="002060"/>
              </a:solidFill>
              <a:prstDash val="solid"/>
              <a:round/>
            </a:ln>
          </spPr>
          <marker>
            <symbol val="none"/>
            <spPr>
              <a:ln>
                <a:prstDash val="solid"/>
              </a:ln>
            </spPr>
          </marker>
          <dLbls>
            <dLbl>
              <idx val="123"/>
              <spPr>
                <a:solidFill>
                  <a:sysClr val="window" lastClr="FFFFFF"/>
                </a:solidFill>
                <a:ln>
                  <a:solidFill>
                    <a:sysClr val="windowText" lastClr="000000">
                      <a:lumOff val="35000"/>
                      <a:lumMod val="65000"/>
                    </a:sysClr>
                  </a:solidFill>
                  <a:prstDash val="solid"/>
                </a:ln>
              </spPr>
              <txPr>
                <a:bodyPr/>
                <a:lstStyle/>
                <a:p>
                  <a:pPr>
                    <a:defRPr/>
                  </a:pPr>
                  <a:r>
                    <a:t/>
                  </a:r>
                  <a:endParaRPr lang="en-US"/>
                </a:p>
              </txPr>
              <dLblPos val="r"/>
              <showLegendKey val="0"/>
              <showVal val="1"/>
              <showCatName val="0"/>
              <showSerName val="0"/>
              <showPercent val="0"/>
              <showBubbleSize val="0"/>
            </dLbl>
            <dLbl>
              <idx val="136"/>
              <spPr>
                <a:solidFill>
                  <a:sysClr val="window" lastClr="FFFFFF"/>
                </a:solidFill>
                <a:ln>
                  <a:solidFill>
                    <a:sysClr val="windowText" lastClr="000000">
                      <a:lumOff val="35000"/>
                      <a:lumMod val="65000"/>
                    </a:sysClr>
                  </a:solidFill>
                  <a:prstDash val="solid"/>
                </a:ln>
              </spPr>
              <txPr>
                <a:bodyPr wrap="square" lIns="38100" tIns="19050" rIns="38100" bIns="19050" anchor="ctr">
                  <a:spAutoFit/>
                </a:bodyPr>
                <a:lstStyle/>
                <a:p>
                  <a:pPr>
                    <a:defRPr/>
                  </a:pPr>
                  <a:r>
                    <a:t/>
                  </a:r>
                  <a:endParaRPr lang="en-US"/>
                </a:p>
              </txPr>
              <dLblPos val="r"/>
              <showLegendKey val="0"/>
              <showVal val="1"/>
              <showCatName val="0"/>
              <showSerName val="0"/>
              <showPercent val="0"/>
              <showBubbleSize val="0"/>
            </dLbl>
            <spPr>
              <a:noFill/>
              <a:ln>
                <a:noFill/>
                <a:prstDash val="solid"/>
              </a:ln>
            </spPr>
            <dLblPos val="t"/>
            <showLegendKey val="0"/>
            <showVal val="0"/>
            <showCatName val="0"/>
            <showSerName val="0"/>
            <showPercent val="0"/>
            <showBubbleSize val="0"/>
          </dLbls>
          <cat>
            <numRef>
              <f>'Payrolled Employees Chart'!$A$3:$A$139</f>
              <numCache>
                <formatCode>m/d/yyyy</formatCode>
                <ptCount val="137"/>
                <pt idx="0">
                  <v>41821</v>
                </pt>
                <pt idx="1">
                  <v>41852</v>
                </pt>
                <pt idx="2">
                  <v>41883</v>
                </pt>
                <pt idx="3">
                  <v>41913</v>
                </pt>
                <pt idx="4">
                  <v>41944</v>
                </pt>
                <pt idx="5">
                  <v>41974</v>
                </pt>
                <pt idx="6">
                  <v>42005</v>
                </pt>
                <pt idx="7">
                  <v>42036</v>
                </pt>
                <pt idx="8">
                  <v>42064</v>
                </pt>
                <pt idx="9">
                  <v>42095</v>
                </pt>
                <pt idx="10">
                  <v>42125</v>
                </pt>
                <pt idx="11">
                  <v>42156</v>
                </pt>
                <pt idx="12">
                  <v>42186</v>
                </pt>
                <pt idx="13">
                  <v>42217</v>
                </pt>
                <pt idx="14">
                  <v>42248</v>
                </pt>
                <pt idx="15">
                  <v>42278</v>
                </pt>
                <pt idx="16">
                  <v>42309</v>
                </pt>
                <pt idx="17">
                  <v>42339</v>
                </pt>
                <pt idx="18">
                  <v>42370</v>
                </pt>
                <pt idx="19">
                  <v>42401</v>
                </pt>
                <pt idx="20">
                  <v>42430</v>
                </pt>
                <pt idx="21">
                  <v>42461</v>
                </pt>
                <pt idx="22">
                  <v>42491</v>
                </pt>
                <pt idx="23">
                  <v>42522</v>
                </pt>
                <pt idx="24">
                  <v>42552</v>
                </pt>
                <pt idx="25">
                  <v>42583</v>
                </pt>
                <pt idx="26">
                  <v>42614</v>
                </pt>
                <pt idx="27">
                  <v>42644</v>
                </pt>
                <pt idx="28">
                  <v>42675</v>
                </pt>
                <pt idx="29">
                  <v>42705</v>
                </pt>
                <pt idx="30">
                  <v>42736</v>
                </pt>
                <pt idx="31">
                  <v>42767</v>
                </pt>
                <pt idx="32">
                  <v>42795</v>
                </pt>
                <pt idx="33">
                  <v>42826</v>
                </pt>
                <pt idx="34">
                  <v>42856</v>
                </pt>
                <pt idx="35">
                  <v>42887</v>
                </pt>
                <pt idx="36">
                  <v>42917</v>
                </pt>
                <pt idx="37">
                  <v>42948</v>
                </pt>
                <pt idx="38">
                  <v>42979</v>
                </pt>
                <pt idx="39">
                  <v>43009</v>
                </pt>
                <pt idx="40">
                  <v>43040</v>
                </pt>
                <pt idx="41">
                  <v>43070</v>
                </pt>
                <pt idx="42">
                  <v>43101</v>
                </pt>
                <pt idx="43">
                  <v>43132</v>
                </pt>
                <pt idx="44">
                  <v>43160</v>
                </pt>
                <pt idx="45">
                  <v>43191</v>
                </pt>
                <pt idx="46">
                  <v>43221</v>
                </pt>
                <pt idx="47">
                  <v>43252</v>
                </pt>
                <pt idx="48">
                  <v>43282</v>
                </pt>
                <pt idx="49">
                  <v>43313</v>
                </pt>
                <pt idx="50">
                  <v>43344</v>
                </pt>
                <pt idx="51">
                  <v>43374</v>
                </pt>
                <pt idx="52">
                  <v>43405</v>
                </pt>
                <pt idx="53">
                  <v>43435</v>
                </pt>
                <pt idx="54">
                  <v>43466</v>
                </pt>
                <pt idx="55">
                  <v>43497</v>
                </pt>
                <pt idx="56">
                  <v>43525</v>
                </pt>
                <pt idx="57">
                  <v>43556</v>
                </pt>
                <pt idx="58">
                  <v>43586</v>
                </pt>
                <pt idx="59">
                  <v>43617</v>
                </pt>
                <pt idx="60">
                  <v>43647</v>
                </pt>
                <pt idx="61">
                  <v>43678</v>
                </pt>
                <pt idx="62">
                  <v>43709</v>
                </pt>
                <pt idx="63">
                  <v>43739</v>
                </pt>
                <pt idx="64">
                  <v>43770</v>
                </pt>
                <pt idx="65">
                  <v>43800</v>
                </pt>
                <pt idx="66">
                  <v>43831</v>
                </pt>
                <pt idx="67">
                  <v>43862</v>
                </pt>
                <pt idx="68">
                  <v>43891</v>
                </pt>
                <pt idx="69">
                  <v>43922</v>
                </pt>
                <pt idx="70">
                  <v>43952</v>
                </pt>
                <pt idx="71">
                  <v>43983</v>
                </pt>
                <pt idx="72">
                  <v>44013</v>
                </pt>
                <pt idx="73">
                  <v>44044</v>
                </pt>
                <pt idx="74">
                  <v>44075</v>
                </pt>
                <pt idx="75">
                  <v>44105</v>
                </pt>
                <pt idx="76">
                  <v>44136</v>
                </pt>
                <pt idx="77">
                  <v>44166</v>
                </pt>
                <pt idx="78">
                  <v>44197</v>
                </pt>
                <pt idx="79">
                  <v>44228</v>
                </pt>
                <pt idx="80">
                  <v>44256</v>
                </pt>
                <pt idx="81">
                  <v>44287</v>
                </pt>
                <pt idx="82">
                  <v>44317</v>
                </pt>
                <pt idx="83">
                  <v>44348</v>
                </pt>
                <pt idx="84">
                  <v>44378</v>
                </pt>
                <pt idx="85">
                  <v>44409</v>
                </pt>
                <pt idx="86">
                  <v>44440</v>
                </pt>
                <pt idx="87">
                  <v>44470</v>
                </pt>
                <pt idx="88">
                  <v>44501</v>
                </pt>
                <pt idx="89">
                  <v>44531</v>
                </pt>
                <pt idx="90">
                  <v>44562</v>
                </pt>
                <pt idx="91">
                  <v>44593</v>
                </pt>
                <pt idx="92">
                  <v>44621</v>
                </pt>
                <pt idx="93">
                  <v>44652</v>
                </pt>
                <pt idx="94">
                  <v>44682</v>
                </pt>
                <pt idx="95">
                  <v>44713</v>
                </pt>
                <pt idx="96">
                  <v>44743</v>
                </pt>
                <pt idx="97">
                  <v>44774</v>
                </pt>
                <pt idx="98">
                  <v>44805</v>
                </pt>
                <pt idx="99">
                  <v>44835</v>
                </pt>
                <pt idx="100">
                  <v>44866</v>
                </pt>
                <pt idx="101">
                  <v>44896</v>
                </pt>
                <pt idx="102">
                  <v>44927</v>
                </pt>
                <pt idx="103">
                  <v>44958</v>
                </pt>
                <pt idx="104">
                  <v>44986</v>
                </pt>
                <pt idx="105">
                  <v>45017</v>
                </pt>
                <pt idx="106">
                  <v>45047</v>
                </pt>
                <pt idx="107">
                  <v>45078</v>
                </pt>
                <pt idx="108">
                  <v>45108</v>
                </pt>
                <pt idx="109">
                  <v>45139</v>
                </pt>
                <pt idx="110">
                  <v>45170</v>
                </pt>
                <pt idx="111">
                  <v>45200</v>
                </pt>
                <pt idx="112">
                  <v>45231</v>
                </pt>
                <pt idx="113">
                  <v>45261</v>
                </pt>
                <pt idx="114">
                  <v>45292</v>
                </pt>
                <pt idx="115">
                  <v>45323</v>
                </pt>
                <pt idx="116">
                  <v>45352</v>
                </pt>
                <pt idx="117">
                  <v>45383</v>
                </pt>
                <pt idx="118">
                  <v>45413</v>
                </pt>
                <pt idx="119">
                  <v>45444</v>
                </pt>
                <pt idx="120">
                  <v>45474</v>
                </pt>
                <pt idx="121">
                  <v>45505</v>
                </pt>
                <pt idx="122">
                  <v>45536</v>
                </pt>
                <pt idx="123">
                  <v>45566</v>
                </pt>
                <pt idx="124">
                  <v>45597</v>
                </pt>
                <pt idx="125">
                  <v>45627</v>
                </pt>
                <pt idx="126">
                  <v>45658</v>
                </pt>
                <pt idx="127">
                  <v>45689</v>
                </pt>
                <pt idx="128">
                  <v>45717</v>
                </pt>
                <pt idx="129">
                  <v>45748</v>
                </pt>
                <pt idx="130">
                  <v>45778</v>
                </pt>
                <pt idx="131">
                  <v>45809</v>
                </pt>
                <pt idx="132">
                  <v>45839</v>
                </pt>
                <pt idx="133">
                  <v>45870</v>
                </pt>
                <pt idx="134">
                  <v>45901</v>
                </pt>
                <pt idx="135">
                  <v>45931</v>
                </pt>
                <pt idx="136">
                  <v>45962</v>
                </pt>
              </numCache>
            </numRef>
          </cat>
          <val>
            <numRef>
              <f>'Payrolled Employees Chart'!$B$3:$B$139</f>
              <numCache>
                <formatCode>_-* #,##0_-;\-* #,##0_-;_-* "-"??_-;_-@_-</formatCode>
                <ptCount val="137"/>
                <pt idx="0">
                  <v>26762113</v>
                </pt>
                <pt idx="1">
                  <v>26837223</v>
                </pt>
                <pt idx="2">
                  <v>26892127</v>
                </pt>
                <pt idx="3">
                  <v>26906169</v>
                </pt>
                <pt idx="4">
                  <v>27000958</v>
                </pt>
                <pt idx="5">
                  <v>26998286</v>
                </pt>
                <pt idx="6">
                  <v>27157573</v>
                </pt>
                <pt idx="7">
                  <v>27214499</v>
                </pt>
                <pt idx="8">
                  <v>27294543</v>
                </pt>
                <pt idx="9">
                  <v>27340654</v>
                </pt>
                <pt idx="10">
                  <v>27398974</v>
                </pt>
                <pt idx="11">
                  <v>27461315</v>
                </pt>
                <pt idx="12">
                  <v>27519284</v>
                </pt>
                <pt idx="13">
                  <v>27559106</v>
                </pt>
                <pt idx="14">
                  <v>27613070</v>
                </pt>
                <pt idx="15">
                  <v>27671808</v>
                </pt>
                <pt idx="16">
                  <v>27716938</v>
                </pt>
                <pt idx="17">
                  <v>27685188</v>
                </pt>
                <pt idx="18">
                  <v>27762533</v>
                </pt>
                <pt idx="19">
                  <v>27798048</v>
                </pt>
                <pt idx="20">
                  <v>27821586</v>
                </pt>
                <pt idx="21">
                  <v>27818856</v>
                </pt>
                <pt idx="22">
                  <v>27873444</v>
                </pt>
                <pt idx="23">
                  <v>27911854</v>
                </pt>
                <pt idx="24">
                  <v>27950733</v>
                </pt>
                <pt idx="25">
                  <v>27954486</v>
                </pt>
                <pt idx="26">
                  <v>27988083</v>
                </pt>
                <pt idx="27">
                  <v>28015973</v>
                </pt>
                <pt idx="28">
                  <v>28050902</v>
                </pt>
                <pt idx="29">
                  <v>28083321</v>
                </pt>
                <pt idx="30">
                  <v>28092182</v>
                </pt>
                <pt idx="31">
                  <v>28132334</v>
                </pt>
                <pt idx="32">
                  <v>28173200</v>
                </pt>
                <pt idx="33">
                  <v>28205337</v>
                </pt>
                <pt idx="34">
                  <v>28245381</v>
                </pt>
                <pt idx="35">
                  <v>28279585</v>
                </pt>
                <pt idx="36">
                  <v>28300112</v>
                </pt>
                <pt idx="37">
                  <v>28335935</v>
                </pt>
                <pt idx="38">
                  <v>28373344</v>
                </pt>
                <pt idx="39">
                  <v>28405106</v>
                </pt>
                <pt idx="40">
                  <v>28437177</v>
                </pt>
                <pt idx="41">
                  <v>28465436</v>
                </pt>
                <pt idx="42">
                  <v>28486582</v>
                </pt>
                <pt idx="43">
                  <v>28494775</v>
                </pt>
                <pt idx="44">
                  <v>28502456</v>
                </pt>
                <pt idx="45">
                  <v>28537166</v>
                </pt>
                <pt idx="46">
                  <v>28564050</v>
                </pt>
                <pt idx="47">
                  <v>28582196</v>
                </pt>
                <pt idx="48">
                  <v>28621403</v>
                </pt>
                <pt idx="49">
                  <v>28660842</v>
                </pt>
                <pt idx="50">
                  <v>28670804</v>
                </pt>
                <pt idx="51">
                  <v>28703198</v>
                </pt>
                <pt idx="52">
                  <v>28757764</v>
                </pt>
                <pt idx="53">
                  <v>28759035</v>
                </pt>
                <pt idx="54">
                  <v>28799283</v>
                </pt>
                <pt idx="55">
                  <v>28826251</v>
                </pt>
                <pt idx="56">
                  <v>28882937</v>
                </pt>
                <pt idx="57">
                  <v>28890223</v>
                </pt>
                <pt idx="58">
                  <v>28902192</v>
                </pt>
                <pt idx="59">
                  <v>28903688</v>
                </pt>
                <pt idx="60">
                  <v>28897501</v>
                </pt>
                <pt idx="61">
                  <v>28932302</v>
                </pt>
                <pt idx="62">
                  <v>28963103</v>
                </pt>
                <pt idx="63">
                  <v>28969211</v>
                </pt>
                <pt idx="64">
                  <v>28975525</v>
                </pt>
                <pt idx="65">
                  <v>28994628</v>
                </pt>
                <pt idx="66">
                  <v>29054506</v>
                </pt>
                <pt idx="67">
                  <v>29040642</v>
                </pt>
                <pt idx="68">
                  <v>29015447</v>
                </pt>
                <pt idx="69">
                  <v>28561484</v>
                </pt>
                <pt idx="70">
                  <v>28406852</v>
                </pt>
                <pt idx="71">
                  <v>28352191</v>
                </pt>
                <pt idx="72">
                  <v>28321060</v>
                </pt>
                <pt idx="73">
                  <v>28256016</v>
                </pt>
                <pt idx="74">
                  <v>28193180</v>
                </pt>
                <pt idx="75">
                  <v>28162587</v>
                </pt>
                <pt idx="76">
                  <v>28086479</v>
                </pt>
                <pt idx="77">
                  <v>28124206</v>
                </pt>
                <pt idx="78">
                  <v>28164763</v>
                </pt>
                <pt idx="79">
                  <v>28159854</v>
                </pt>
                <pt idx="80">
                  <v>28207157</v>
                </pt>
                <pt idx="81">
                  <v>28318611</v>
                </pt>
                <pt idx="82">
                  <v>28516347</v>
                </pt>
                <pt idx="83">
                  <v>28681354</v>
                </pt>
                <pt idx="84">
                  <v>28797521</v>
                </pt>
                <pt idx="85">
                  <v>28945882</v>
                </pt>
                <pt idx="86">
                  <v>29050173</v>
                </pt>
                <pt idx="87">
                  <v>29069468</v>
                </pt>
                <pt idx="88">
                  <v>29169056</v>
                </pt>
                <pt idx="89">
                  <v>29251988</v>
                </pt>
                <pt idx="90">
                  <v>29304617</v>
                </pt>
                <pt idx="91">
                  <v>29420405</v>
                </pt>
                <pt idx="92">
                  <v>29506751</v>
                </pt>
                <pt idx="93">
                  <v>29522864</v>
                </pt>
                <pt idx="94">
                  <v>29559812</v>
                </pt>
                <pt idx="95">
                  <v>29579302</v>
                </pt>
                <pt idx="96">
                  <v>29652451</v>
                </pt>
                <pt idx="97">
                  <v>29707174</v>
                </pt>
                <pt idx="98">
                  <v>29778792</v>
                </pt>
                <pt idx="99">
                  <v>29814550</v>
                </pt>
                <pt idx="100">
                  <v>29882301</v>
                </pt>
                <pt idx="101">
                  <v>29927502</v>
                </pt>
                <pt idx="102">
                  <v>29957540</v>
                </pt>
                <pt idx="103">
                  <v>30012792</v>
                </pt>
                <pt idx="104">
                  <v>30071815</v>
                </pt>
                <pt idx="105">
                  <v>30109039</v>
                </pt>
                <pt idx="106">
                  <v>30141014</v>
                </pt>
                <pt idx="107">
                  <v>30183001</v>
                </pt>
                <pt idx="108">
                  <v>30189008</v>
                </pt>
                <pt idx="109">
                  <v>30208771</v>
                </pt>
                <pt idx="110">
                  <v>30246162</v>
                </pt>
                <pt idx="111">
                  <v>30270873</v>
                </pt>
                <pt idx="112">
                  <v>30305281</v>
                </pt>
                <pt idx="113">
                  <v>30353839</v>
                </pt>
                <pt idx="114">
                  <v>30368351</v>
                </pt>
                <pt idx="115">
                  <v>30374926</v>
                </pt>
                <pt idx="116">
                  <v>30400655</v>
                </pt>
                <pt idx="117">
                  <v>30399922</v>
                </pt>
                <pt idx="118">
                  <v>30441102</v>
                </pt>
                <pt idx="119">
                  <v>30443913</v>
                </pt>
                <pt idx="120">
                  <v>30450219</v>
                </pt>
                <pt idx="121">
                  <v>30424845</v>
                </pt>
                <pt idx="122">
                  <v>30424465</v>
                </pt>
                <pt idx="123">
                  <v>30443578</v>
                </pt>
                <pt idx="124">
                  <v>30427167</v>
                </pt>
                <pt idx="125">
                  <v>30410459</v>
                </pt>
                <pt idx="126">
                  <v>30411382</v>
                </pt>
                <pt idx="127">
                  <v>30388501</v>
                </pt>
                <pt idx="128">
                  <v>30370994</v>
                </pt>
                <pt idx="129">
                  <v>30371269</v>
                </pt>
                <pt idx="130">
                  <v>30357171</v>
                </pt>
                <pt idx="131">
                  <v>30335268</v>
                </pt>
                <pt idx="132">
                  <v>30335167</v>
                </pt>
                <pt idx="133">
                  <v>30344181</v>
                </pt>
                <pt idx="134">
                  <v>30316369</v>
                </pt>
                <pt idx="135">
                  <v>30294478</v>
                </pt>
                <pt idx="136">
                  <v>30256482</v>
                </pt>
              </numCache>
            </numRef>
          </val>
          <smooth val="0"/>
        </ser>
        <dLbls>
          <showLegendKey val="0"/>
          <showVal val="0"/>
          <showCatName val="0"/>
          <showSerName val="0"/>
          <showPercent val="0"/>
          <showBubbleSize val="0"/>
        </dLbls>
        <smooth val="0"/>
        <axId val="1454969600"/>
        <axId val="1454969960"/>
      </lineChart>
      <dateAx>
        <axId val="1454969600"/>
        <scaling>
          <orientation val="minMax"/>
        </scaling>
        <delete val="0"/>
        <axPos val="b"/>
        <numFmt formatCode="yyyy" sourceLinked="0"/>
        <majorTickMark val="none"/>
        <minorTickMark val="none"/>
        <tickLblPos val="nextTo"/>
        <spPr>
          <a:noFill/>
          <a:ln w="9525" cap="flat" cmpd="sng" algn="ctr">
            <a:noFill/>
            <a:prstDash val="solid"/>
            <a:round/>
          </a:ln>
        </spPr>
        <txPr>
          <a:bodyPr rot="-60000000" vert="horz"/>
          <a:lstStyle/>
          <a:p>
            <a:pPr>
              <a:defRPr/>
            </a:pPr>
            <a:r>
              <a:t/>
            </a:r>
            <a:endParaRPr lang="en-US"/>
          </a:p>
        </txPr>
        <crossAx val="1454969960"/>
        <crosses val="autoZero"/>
        <lblOffset val="100"/>
        <baseTimeUnit val="months"/>
        <majorUnit val="12"/>
      </dateAx>
      <valAx>
        <axId val="1454969960"/>
        <scaling>
          <orientation val="minMax"/>
          <min val="26000000"/>
        </scaling>
        <delete val="0"/>
        <axPos val="l"/>
        <majorGridlines>
          <spPr>
            <a:ln w="9525" cap="flat" cmpd="sng" algn="ctr">
              <a:solidFill>
                <a:schemeClr val="tx1">
                  <a:lumMod val="15000"/>
                  <a:lumOff val="85000"/>
                </a:schemeClr>
              </a:solidFill>
              <a:prstDash val="solid"/>
              <a:round/>
            </a:ln>
          </spPr>
        </majorGridlines>
        <numFmt formatCode="_-* #,##0_-;\-* #,##0_-;_-* &quot;-&quot;??_-;_-@_-" sourceLinked="1"/>
        <majorTickMark val="none"/>
        <minorTickMark val="none"/>
        <tickLblPos val="nextTo"/>
        <spPr>
          <a:noFill/>
          <a:ln>
            <a:noFill/>
            <a:prstDash val="solid"/>
          </a:ln>
        </spPr>
        <txPr>
          <a:bodyPr rot="-60000000" vert="horz"/>
          <a:lstStyle/>
          <a:p>
            <a:pPr>
              <a:defRPr/>
            </a:pPr>
            <a:r>
              <a:t/>
            </a:r>
            <a:endParaRPr lang="en-US"/>
          </a:p>
        </txPr>
        <crossAx val="1454969600"/>
        <crosses val="autoZero"/>
        <crossBetween val="between"/>
      </valAx>
    </plotArea>
    <plotVisOnly val="1"/>
    <dispBlanksAs val="gap"/>
  </chart>
  <spPr>
    <a:solidFill>
      <a:schemeClr val="bg1"/>
    </a:solidFill>
    <a:ln w="9525" cap="flat" cmpd="sng" algn="ctr">
      <a:noFill/>
      <a:prstDash val="solid"/>
      <a:round/>
    </a:ln>
  </spPr>
</chartSpace>
</file>

<file path=xl/comments/comment1.xml><?xml version="1.0" encoding="utf-8"?>
<comments xmlns="http://schemas.openxmlformats.org/spreadsheetml/2006/main">
  <authors>
    <author>tc={32B22622-F37D-41B5-B684-4C6E99986483}</author>
  </authors>
  <commentList>
    <comment ref="E12" authorId="0" shapeId="0">
      <text>
        <t>[Threaded comment]
Your version of Excel allows you to read this threaded comment; however, any edits to it will get removed if the file is opened in a newer version of Excel. Learn more: https://go.microsoft.com/fwlink/?linkid=870924
Comment:
    Minor but should be green</t>
      </text>
    </comment>
  </commentList>
</comments>
</file>

<file path=xl/comments/comment2.xml><?xml version="1.0" encoding="utf-8"?>
<comments xmlns="http://schemas.openxmlformats.org/spreadsheetml/2006/main">
  <authors>
    <author>tc={2D31E7F4-F719-44FD-AB6F-4E73FFACC531}</author>
  </authors>
  <commentList>
    <comment ref="K4" authorId="0" shapeId="0">
      <text>
        <t>[Threaded comment]
Your version of Excel allows you to read this threaded comment; however, any edits to it will get removed if the file is opened in a newer version of Excel. Learn more: https://go.microsoft.com/fwlink/?linkid=870924
Comment:
    Think these calcs need updating?</t>
      </text>
    </comment>
  </commentList>
</comments>
</file>

<file path=xl/comments/comment3.xml><?xml version="1.0" encoding="utf-8"?>
<comments xmlns="http://schemas.openxmlformats.org/spreadsheetml/2006/main">
  <authors>
    <author>tc={5B084D9B-CAC7-4621-8DE4-FC4A8DA89393}</author>
  </authors>
  <commentList>
    <comment ref="B1" authorId="0" shapeId="0">
      <text>
        <t>[Threaded comment]
Your version of Excel allows you to read this threaded comment; however, any edits to it will get removed if the file is opened in a newer version of Excel. Learn more: https://go.microsoft.com/fwlink/?linkid=870924
Comment:
    Are these calcs right? It says 2019 average is 19.5 but that the difference between today and 2019 is 1,256?</t>
      </text>
    </comment>
  </commentList>
</comments>
</file>

<file path=xl/comments/comment4.xml><?xml version="1.0" encoding="utf-8"?>
<comments xmlns="http://schemas.openxmlformats.org/spreadsheetml/2006/main">
  <authors>
    <author>tc={A9A629FE-1E36-4E8D-8914-16B8645025D9}</author>
  </authors>
  <commentList>
    <comment ref="A7" authorId="0" shapeId="0">
      <text>
        <t>[Threaded comment]
Your version of Excel allows you to read this threaded comment; however, any edits to it will get removed if the file is opened in a newer version of Excel. Learn more: https://go.microsoft.com/fwlink/?linkid=870924
Comment:
    Which time period, Dec 2007?</t>
      </text>
    </comment>
  </commentList>
</comments>
</file>

<file path=xl/comments/comment5.xml><?xml version="1.0" encoding="utf-8"?>
<comments xmlns="http://schemas.openxmlformats.org/spreadsheetml/2006/main">
  <authors>
    <author>xlsx-populate</author>
  </authors>
  <commentList>
    <comment ref="D11" authorId="0" shapeId="0">
      <text>
        <t>Observation status: Estimated value</t>
      </text>
    </comment>
    <comment ref="E11" authorId="0" shapeId="0">
      <text>
        <t>Observation status: Estimated value</t>
      </text>
    </comment>
    <comment ref="F11" authorId="0" shapeId="0">
      <text>
        <t>Observation status: Estimated value</t>
      </text>
    </comment>
    <comment ref="G11" authorId="0" shapeId="0">
      <text>
        <t>Observation status: Estimated value</t>
      </text>
    </comment>
    <comment ref="H11" authorId="0" shapeId="0">
      <text>
        <t>Observation status: Estimated value</t>
      </text>
    </comment>
    <comment ref="I11" authorId="0" shapeId="0">
      <text>
        <t>Observation status: Estimated value</t>
      </text>
    </comment>
  </commentList>
</comments>
</file>

<file path=xl/comments/comment6.xml><?xml version="1.0" encoding="utf-8"?>
<comments xmlns="http://schemas.openxmlformats.org/spreadsheetml/2006/main">
  <authors>
    <author>xlsx-populate</author>
  </authors>
  <commentList>
    <comment ref="D11" authorId="0" shapeId="0">
      <text>
        <t>Observation status: Estimated value</t>
      </text>
    </comment>
    <comment ref="E11" authorId="0" shapeId="0">
      <text>
        <t>Observation status: Estimated value</t>
      </text>
    </comment>
    <comment ref="F11" authorId="0" shapeId="0">
      <text>
        <t>Observation status: Estimated value</t>
      </text>
    </comment>
    <comment ref="G11" authorId="0" shapeId="0">
      <text>
        <t>Observation status: Estimated value</t>
      </text>
    </comment>
    <comment ref="H11" authorId="0" shapeId="0">
      <text>
        <t>Observation status: Estimated value</t>
      </text>
    </comment>
    <comment ref="I11" authorId="0" shapeId="0">
      <text>
        <t>Observation status: Estimated value</t>
      </text>
    </comment>
  </commentList>
</comments>
</file>

<file path=xl/comments/comment7.xml><?xml version="1.0" encoding="utf-8"?>
<comments xmlns="http://schemas.openxmlformats.org/spreadsheetml/2006/main">
  <authors>
    <author>xlsx-populate</author>
  </authors>
  <commentList>
    <comment ref="D11" authorId="0" shapeId="0">
      <text>
        <t>Observation status: Estimated value</t>
      </text>
    </comment>
    <comment ref="E11" authorId="0" shapeId="0">
      <text>
        <t>Observation status: Estimated value</t>
      </text>
    </comment>
    <comment ref="F11" authorId="0" shapeId="0">
      <text>
        <t>Observation status: Estimated value</t>
      </text>
    </comment>
    <comment ref="G11" authorId="0" shapeId="0">
      <text>
        <t>Observation status: Estimated value</t>
      </text>
    </comment>
    <comment ref="H11" authorId="0" shapeId="0">
      <text>
        <t>Observation status: Estimated value</t>
      </text>
    </comment>
    <comment ref="I11" authorId="0" shapeId="0">
      <text>
        <t>Observation status: Estimated value</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_rels/drawing2.xml.rels><Relationships xmlns="http://schemas.openxmlformats.org/package/2006/relationships"><Relationship Type="http://schemas.openxmlformats.org/officeDocument/2006/relationships/chart" Target="/xl/charts/chart3.xml" Id="rId1" /></Relationships>
</file>

<file path=xl/drawings/_rels/drawing3.xml.rels><Relationships xmlns="http://schemas.openxmlformats.org/package/2006/relationships"><Relationship Type="http://schemas.openxmlformats.org/officeDocument/2006/relationships/chart" Target="/xl/charts/chart4.xml" Id="rId1" /><Relationship Type="http://schemas.openxmlformats.org/officeDocument/2006/relationships/chart" Target="/xl/charts/chart5.xml" Id="rId2" /></Relationships>
</file>

<file path=xl/drawings/_rels/drawing4.xml.rels><Relationships xmlns="http://schemas.openxmlformats.org/package/2006/relationships"><Relationship Type="http://schemas.openxmlformats.org/officeDocument/2006/relationships/chart" Target="/xl/charts/chart6.xml" Id="rId1" /><Relationship Type="http://schemas.openxmlformats.org/officeDocument/2006/relationships/chart" Target="/xl/charts/chart7.xml" Id="rId2" /><Relationship Type="http://schemas.openxmlformats.org/officeDocument/2006/relationships/chart" Target="/xl/charts/chart8.xml" Id="rId3" /><Relationship Type="http://schemas.openxmlformats.org/officeDocument/2006/relationships/chart" Target="/xl/charts/chart9.xml" Id="rId4" /><Relationship Type="http://schemas.openxmlformats.org/officeDocument/2006/relationships/chart" Target="/xl/charts/chart10.xml" Id="rId5" /><Relationship Type="http://schemas.openxmlformats.org/officeDocument/2006/relationships/chart" Target="/xl/charts/chart11.xml" Id="rId6" /><Relationship Type="http://schemas.openxmlformats.org/officeDocument/2006/relationships/chart" Target="/xl/charts/chart12.xml" Id="rId7" /><Relationship Type="http://schemas.openxmlformats.org/officeDocument/2006/relationships/chart" Target="/xl/charts/chart13.xml" Id="rId8" /><Relationship Type="http://schemas.openxmlformats.org/officeDocument/2006/relationships/chart" Target="/xl/charts/chart14.xml" Id="rId9" /><Relationship Type="http://schemas.openxmlformats.org/officeDocument/2006/relationships/chart" Target="/xl/charts/chart15.xml" Id="rId10" /><Relationship Type="http://schemas.openxmlformats.org/officeDocument/2006/relationships/chart" Target="/xl/charts/chart16.xml" Id="rId11" /><Relationship Type="http://schemas.openxmlformats.org/officeDocument/2006/relationships/chart" Target="/xl/charts/chart17.xml" Id="rId12" /><Relationship Type="http://schemas.openxmlformats.org/officeDocument/2006/relationships/chart" Target="/xl/charts/chart18.xml" Id="rId13" /><Relationship Type="http://schemas.openxmlformats.org/officeDocument/2006/relationships/chart" Target="/xl/charts/chart19.xml" Id="rId14" /><Relationship Type="http://schemas.openxmlformats.org/officeDocument/2006/relationships/chart" Target="/xl/charts/chart20.xml" Id="rId15" /><Relationship Type="http://schemas.openxmlformats.org/officeDocument/2006/relationships/chart" Target="/xl/charts/chart21.xml" Id="rId16" /><Relationship Type="http://schemas.openxmlformats.org/officeDocument/2006/relationships/chart" Target="/xl/charts/chart22.xml" Id="rId17" /><Relationship Type="http://schemas.openxmlformats.org/officeDocument/2006/relationships/chart" Target="/xl/charts/chart23.xml" Id="rId18" /><Relationship Type="http://schemas.openxmlformats.org/officeDocument/2006/relationships/chart" Target="/xl/charts/chart24.xml" Id="rId19" /><Relationship Type="http://schemas.openxmlformats.org/officeDocument/2006/relationships/chart" Target="/xl/charts/chart25.xml" Id="rId20" /><Relationship Type="http://schemas.openxmlformats.org/officeDocument/2006/relationships/chart" Target="/xl/charts/chart26.xml" Id="rId21" /><Relationship Type="http://schemas.openxmlformats.org/officeDocument/2006/relationships/chart" Target="/xl/charts/chart27.xml" Id="rId22" /><Relationship Type="http://schemas.openxmlformats.org/officeDocument/2006/relationships/chart" Target="/xl/charts/chart28.xml" Id="rId23" /><Relationship Type="http://schemas.openxmlformats.org/officeDocument/2006/relationships/chart" Target="/xl/charts/chart29.xml" Id="rId24" /></Relationships>
</file>

<file path=xl/drawings/_rels/drawing5.xml.rels><Relationships xmlns="http://schemas.openxmlformats.org/package/2006/relationships"><Relationship Type="http://schemas.openxmlformats.org/officeDocument/2006/relationships/chart" Target="/xl/charts/chart30.xml" Id="rId1" /></Relationships>
</file>

<file path=xl/drawings/_rels/drawing6.xml.rels><Relationships xmlns="http://schemas.openxmlformats.org/package/2006/relationships"><Relationship Type="http://schemas.openxmlformats.org/officeDocument/2006/relationships/chart" Target="/xl/charts/chart31.xml" Id="rId1" /><Relationship Type="http://schemas.openxmlformats.org/officeDocument/2006/relationships/chart" Target="/xl/charts/chart32.xml" Id="rId2" /><Relationship Type="http://schemas.openxmlformats.org/officeDocument/2006/relationships/chart" Target="/xl/charts/chart33.xml" Id="rId3" /></Relationships>
</file>

<file path=xl/drawings/_rels/drawing7.xml.rels><Relationships xmlns="http://schemas.openxmlformats.org/package/2006/relationships"><Relationship Type="http://schemas.openxmlformats.org/officeDocument/2006/relationships/chart" Target="/xl/charts/chart34.xml" Id="rId1" /></Relationships>
</file>

<file path=xl/drawings/_rels/drawing8.xml.rels><Relationships xmlns="http://schemas.openxmlformats.org/package/2006/relationships"><Relationship Type="http://schemas.openxmlformats.org/officeDocument/2006/relationships/chart" Target="/xl/charts/chart35.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5</col>
      <colOff>95792</colOff>
      <row>119</row>
      <rowOff>179115</rowOff>
    </from>
    <to>
      <col>8</col>
      <colOff>35158</colOff>
      <row>134</row>
      <rowOff>134511</rowOff>
    </to>
    <graphicFrame>
      <nvGraphicFramePr>
        <cNvPr id="1" name="Chart 1"/>
        <cNvGraphicFramePr/>
      </nvGraphicFramePr>
      <xfrm/>
      <a:graphic>
        <a:graphicData uri="http://schemas.openxmlformats.org/drawingml/2006/chart">
          <c:chart r:id="rId1"/>
        </a:graphicData>
      </a:graphic>
    </graphicFrame>
    <clientData/>
  </twoCellAnchor>
  <twoCellAnchor>
    <from>
      <col>5</col>
      <colOff>54594</colOff>
      <row>136</row>
      <rowOff>132652</rowOff>
    </from>
    <to>
      <col>7</col>
      <colOff>1862021</colOff>
      <row>151</row>
      <rowOff>88048</rowOff>
    </to>
    <graphicFrame>
      <nvGraphicFramePr>
        <cNvPr id="2" name="Chart 2"/>
        <cNvGraphicFramePr/>
      </nvGraphicFramePr>
      <xfrm/>
      <a:graphic>
        <a:graphicData uri="http://schemas.openxmlformats.org/drawingml/2006/chart">
          <c:chart r:id="rId2"/>
        </a:graphicData>
      </a:graphic>
    </graphicFrame>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7</col>
      <colOff>336021</colOff>
      <row>254</row>
      <rowOff>148167</rowOff>
    </from>
    <to>
      <col>16</col>
      <colOff>266806</colOff>
      <row>271</row>
      <rowOff>119592</rowOff>
    </to>
    <graphicFrame>
      <nvGraphicFramePr>
        <cNvPr id="1" name="Chart 1"/>
        <cNvGraphicFramePr/>
      </nvGraphicFramePr>
      <xfrm/>
      <a:graphic>
        <a:graphicData uri="http://schemas.openxmlformats.org/drawingml/2006/chart">
          <c:chart r:id="rId1"/>
        </a:graphicData>
      </a:graphic>
    </graphicFrame>
    <clientData/>
  </two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10</col>
      <colOff>119343</colOff>
      <row>287</row>
      <rowOff>47623</rowOff>
    </from>
    <to>
      <col>20</col>
      <colOff>71717</colOff>
      <row>307</row>
      <rowOff>105336</rowOff>
    </to>
    <graphicFrame>
      <nvGraphicFramePr>
        <cNvPr id="1" name="Chart 1"/>
        <cNvGraphicFramePr/>
      </nvGraphicFramePr>
      <xfrm/>
      <a:graphic>
        <a:graphicData uri="http://schemas.openxmlformats.org/drawingml/2006/chart">
          <c:chart r:id="rId1"/>
        </a:graphicData>
      </a:graphic>
    </graphicFrame>
    <clientData/>
  </twoCellAnchor>
  <twoCellAnchor>
    <from>
      <col>13</col>
      <colOff>178167</colOff>
      <row>259</row>
      <rowOff>125168</rowOff>
    </from>
    <to>
      <col>26</col>
      <colOff>184639</colOff>
      <row>278</row>
      <rowOff>174381</rowOff>
    </to>
    <graphicFrame>
      <nvGraphicFramePr>
        <cNvPr id="2" name="Chart 2"/>
        <cNvGraphicFramePr/>
      </nvGraphicFramePr>
      <xfrm/>
      <a:graphic>
        <a:graphicData uri="http://schemas.openxmlformats.org/drawingml/2006/chart">
          <c:chart r:id="rId2"/>
        </a:graphicData>
      </a:graphic>
    </graphicFrame>
    <clientData/>
  </two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47</col>
      <colOff>0</colOff>
      <row>28</row>
      <rowOff>0</rowOff>
    </from>
    <to>
      <col>63</col>
      <colOff>456444</colOff>
      <row>59</row>
      <rowOff>73932</rowOff>
    </to>
    <graphicFrame>
      <nvGraphicFramePr>
        <cNvPr id="1" name="Chart 1"/>
        <cNvGraphicFramePr/>
      </nvGraphicFramePr>
      <xfrm/>
      <a:graphic>
        <a:graphicData uri="http://schemas.openxmlformats.org/drawingml/2006/chart">
          <c:chart r:id="rId1"/>
        </a:graphicData>
      </a:graphic>
    </graphicFrame>
    <clientData/>
  </twoCellAnchor>
  <twoCellAnchor>
    <from>
      <col>47</col>
      <colOff>0</colOff>
      <row>61</row>
      <rowOff>0</rowOff>
    </from>
    <to>
      <col>63</col>
      <colOff>456444</colOff>
      <row>92</row>
      <rowOff>52765</rowOff>
    </to>
    <graphicFrame>
      <nvGraphicFramePr>
        <cNvPr id="2" name="Chart 2"/>
        <cNvGraphicFramePr/>
      </nvGraphicFramePr>
      <xfrm/>
      <a:graphic>
        <a:graphicData uri="http://schemas.openxmlformats.org/drawingml/2006/chart">
          <c:chart r:id="rId2"/>
        </a:graphicData>
      </a:graphic>
    </graphicFrame>
    <clientData/>
  </twoCellAnchor>
  <twoCellAnchor>
    <from>
      <col>35</col>
      <colOff>231774</colOff>
      <row>8</row>
      <rowOff>38902</rowOff>
    </from>
    <to>
      <col>45</col>
      <colOff>381000</colOff>
      <row>35</row>
      <rowOff>107156</rowOff>
    </to>
    <graphicFrame>
      <nvGraphicFramePr>
        <cNvPr id="3" name="Chart 3"/>
        <cNvGraphicFramePr/>
      </nvGraphicFramePr>
      <xfrm/>
      <a:graphic>
        <a:graphicData uri="http://schemas.openxmlformats.org/drawingml/2006/chart">
          <c:chart r:id="rId3"/>
        </a:graphicData>
      </a:graphic>
    </graphicFrame>
    <clientData/>
  </twoCellAnchor>
  <twoCellAnchor>
    <from>
      <col>64</col>
      <colOff>315915</colOff>
      <row>7</row>
      <rowOff>121452</rowOff>
    </from>
    <to>
      <col>75</col>
      <colOff>369093</colOff>
      <row>31</row>
      <rowOff>83344</rowOff>
    </to>
    <graphicFrame>
      <nvGraphicFramePr>
        <cNvPr id="4" name="Chart 4"/>
        <cNvGraphicFramePr/>
      </nvGraphicFramePr>
      <xfrm/>
      <a:graphic>
        <a:graphicData uri="http://schemas.openxmlformats.org/drawingml/2006/chart">
          <c:chart r:id="rId4"/>
        </a:graphicData>
      </a:graphic>
    </graphicFrame>
    <clientData/>
  </twoCellAnchor>
  <twoCellAnchor>
    <from>
      <col>64</col>
      <colOff>345282</colOff>
      <row>32</row>
      <rowOff>95250</rowOff>
    </from>
    <to>
      <col>75</col>
      <colOff>404810</colOff>
      <row>56</row>
      <rowOff>72223</rowOff>
    </to>
    <graphicFrame>
      <nvGraphicFramePr>
        <cNvPr id="5" name="Chart 5"/>
        <cNvGraphicFramePr/>
      </nvGraphicFramePr>
      <xfrm/>
      <a:graphic>
        <a:graphicData uri="http://schemas.openxmlformats.org/drawingml/2006/chart">
          <c:chart r:id="rId5"/>
        </a:graphicData>
      </a:graphic>
    </graphicFrame>
    <clientData/>
  </twoCellAnchor>
  <twoCellAnchor>
    <from>
      <col>64</col>
      <colOff>381000</colOff>
      <row>57</row>
      <rowOff>119063</rowOff>
    </from>
    <to>
      <col>75</col>
      <colOff>446878</colOff>
      <row>81</row>
      <rowOff>77780</rowOff>
    </to>
    <graphicFrame>
      <nvGraphicFramePr>
        <cNvPr id="6" name="Chart 6"/>
        <cNvGraphicFramePr/>
      </nvGraphicFramePr>
      <xfrm/>
      <a:graphic>
        <a:graphicData uri="http://schemas.openxmlformats.org/drawingml/2006/chart">
          <c:chart r:id="rId6"/>
        </a:graphicData>
      </a:graphic>
    </graphicFrame>
    <clientData/>
  </twoCellAnchor>
  <twoCellAnchor>
    <from>
      <col>75</col>
      <colOff>562768</colOff>
      <row>7</row>
      <rowOff>130969</rowOff>
    </from>
    <to>
      <col>86</col>
      <colOff>622297</colOff>
      <row>31</row>
      <rowOff>86511</rowOff>
    </to>
    <graphicFrame>
      <nvGraphicFramePr>
        <cNvPr id="7" name="Chart 7"/>
        <cNvGraphicFramePr/>
      </nvGraphicFramePr>
      <xfrm/>
      <a:graphic>
        <a:graphicData uri="http://schemas.openxmlformats.org/drawingml/2006/chart">
          <c:chart r:id="rId7"/>
        </a:graphicData>
      </a:graphic>
    </graphicFrame>
    <clientData/>
  </twoCellAnchor>
  <twoCellAnchor>
    <from>
      <col>76</col>
      <colOff>0</colOff>
      <row>33</row>
      <rowOff>0</rowOff>
    </from>
    <to>
      <col>87</col>
      <colOff>62703</colOff>
      <row>56</row>
      <rowOff>140485</rowOff>
    </to>
    <graphicFrame>
      <nvGraphicFramePr>
        <cNvPr id="8" name="Chart 8"/>
        <cNvGraphicFramePr/>
      </nvGraphicFramePr>
      <xfrm/>
      <a:graphic>
        <a:graphicData uri="http://schemas.openxmlformats.org/drawingml/2006/chart">
          <c:chart r:id="rId8"/>
        </a:graphicData>
      </a:graphic>
    </graphicFrame>
    <clientData/>
  </twoCellAnchor>
  <twoCellAnchor>
    <from>
      <col>75</col>
      <colOff>619124</colOff>
      <row>58</row>
      <rowOff>0</rowOff>
    </from>
    <to>
      <col>87</col>
      <colOff>33334</colOff>
      <row>81</row>
      <rowOff>131755</rowOff>
    </to>
    <graphicFrame>
      <nvGraphicFramePr>
        <cNvPr id="9" name="Chart 9"/>
        <cNvGraphicFramePr/>
      </nvGraphicFramePr>
      <xfrm/>
      <a:graphic>
        <a:graphicData uri="http://schemas.openxmlformats.org/drawingml/2006/chart">
          <c:chart r:id="rId9"/>
        </a:graphicData>
      </a:graphic>
    </graphicFrame>
    <clientData/>
  </twoCellAnchor>
  <twoCellAnchor>
    <from>
      <col>87</col>
      <colOff>83344</colOff>
      <row>7</row>
      <rowOff>130969</rowOff>
    </from>
    <to>
      <col>98</col>
      <colOff>142873</colOff>
      <row>31</row>
      <rowOff>86511</rowOff>
    </to>
    <graphicFrame>
      <nvGraphicFramePr>
        <cNvPr id="10" name="Chart 10"/>
        <cNvGraphicFramePr/>
      </nvGraphicFramePr>
      <xfrm/>
      <a:graphic>
        <a:graphicData uri="http://schemas.openxmlformats.org/drawingml/2006/chart">
          <c:chart r:id="rId10"/>
        </a:graphicData>
      </a:graphic>
    </graphicFrame>
    <clientData/>
  </twoCellAnchor>
  <twoCellAnchor>
    <from>
      <col>87</col>
      <colOff>190500</colOff>
      <row>32</row>
      <rowOff>119062</rowOff>
    </from>
    <to>
      <col>98</col>
      <colOff>259554</colOff>
      <row>56</row>
      <rowOff>92860</rowOff>
    </to>
    <graphicFrame>
      <nvGraphicFramePr>
        <cNvPr id="11" name="Chart 11"/>
        <cNvGraphicFramePr/>
      </nvGraphicFramePr>
      <xfrm/>
      <a:graphic>
        <a:graphicData uri="http://schemas.openxmlformats.org/drawingml/2006/chart">
          <c:chart r:id="rId11"/>
        </a:graphicData>
      </a:graphic>
    </graphicFrame>
    <clientData/>
  </twoCellAnchor>
  <twoCellAnchor>
    <from>
      <col>87</col>
      <colOff>226219</colOff>
      <row>57</row>
      <rowOff>130969</rowOff>
    </from>
    <to>
      <col>98</col>
      <colOff>295273</colOff>
      <row>81</row>
      <rowOff>86511</rowOff>
    </to>
    <graphicFrame>
      <nvGraphicFramePr>
        <cNvPr id="12" name="Chart 12"/>
        <cNvGraphicFramePr/>
      </nvGraphicFramePr>
      <xfrm/>
      <a:graphic>
        <a:graphicData uri="http://schemas.openxmlformats.org/drawingml/2006/chart">
          <c:chart r:id="rId12"/>
        </a:graphicData>
      </a:graphic>
    </graphicFrame>
    <clientData/>
  </twoCellAnchor>
  <twoCellAnchor>
    <from>
      <col>101</col>
      <colOff>571500</colOff>
      <row>7</row>
      <rowOff>119062</rowOff>
    </from>
    <to>
      <col>112</col>
      <colOff>631029</colOff>
      <row>31</row>
      <rowOff>74604</rowOff>
    </to>
    <graphicFrame>
      <nvGraphicFramePr>
        <cNvPr id="13" name="Chart 13"/>
        <cNvGraphicFramePr/>
      </nvGraphicFramePr>
      <xfrm/>
      <a:graphic>
        <a:graphicData uri="http://schemas.openxmlformats.org/drawingml/2006/chart">
          <c:chart r:id="rId13"/>
        </a:graphicData>
      </a:graphic>
    </graphicFrame>
    <clientData/>
  </twoCellAnchor>
  <twoCellAnchor>
    <from>
      <col>101</col>
      <colOff>535782</colOff>
      <row>32</row>
      <rowOff>23812</rowOff>
    </from>
    <to>
      <col>112</col>
      <colOff>601661</colOff>
      <row>55</row>
      <rowOff>164298</rowOff>
    </to>
    <graphicFrame>
      <nvGraphicFramePr>
        <cNvPr id="14" name="Chart 14"/>
        <cNvGraphicFramePr/>
      </nvGraphicFramePr>
      <xfrm/>
      <a:graphic>
        <a:graphicData uri="http://schemas.openxmlformats.org/drawingml/2006/chart">
          <c:chart r:id="rId14"/>
        </a:graphicData>
      </a:graphic>
    </graphicFrame>
    <clientData/>
  </twoCellAnchor>
  <twoCellAnchor>
    <from>
      <col>101</col>
      <colOff>535781</colOff>
      <row>57</row>
      <rowOff>71438</rowOff>
    </from>
    <to>
      <col>112</col>
      <colOff>604835</colOff>
      <row>81</row>
      <rowOff>26980</rowOff>
    </to>
    <graphicFrame>
      <nvGraphicFramePr>
        <cNvPr id="15" name="Chart 15"/>
        <cNvGraphicFramePr/>
      </nvGraphicFramePr>
      <xfrm/>
      <a:graphic>
        <a:graphicData uri="http://schemas.openxmlformats.org/drawingml/2006/chart">
          <c:chart r:id="rId15"/>
        </a:graphicData>
      </a:graphic>
    </graphicFrame>
    <clientData/>
  </twoCellAnchor>
  <twoCellAnchor>
    <from>
      <col>113</col>
      <colOff>166688</colOff>
      <row>7</row>
      <rowOff>142874</rowOff>
    </from>
    <to>
      <col>124</col>
      <colOff>226217</colOff>
      <row>31</row>
      <rowOff>98416</rowOff>
    </to>
    <graphicFrame>
      <nvGraphicFramePr>
        <cNvPr id="16" name="Chart 16"/>
        <cNvGraphicFramePr/>
      </nvGraphicFramePr>
      <xfrm/>
      <a:graphic>
        <a:graphicData uri="http://schemas.openxmlformats.org/drawingml/2006/chart">
          <c:chart r:id="rId16"/>
        </a:graphicData>
      </a:graphic>
    </graphicFrame>
    <clientData/>
  </twoCellAnchor>
  <twoCellAnchor>
    <from>
      <col>113</col>
      <colOff>142875</colOff>
      <row>57</row>
      <rowOff>59531</rowOff>
    </from>
    <to>
      <col>124</col>
      <colOff>208754</colOff>
      <row>81</row>
      <rowOff>18248</rowOff>
    </to>
    <graphicFrame>
      <nvGraphicFramePr>
        <cNvPr id="17" name="Chart 17"/>
        <cNvGraphicFramePr/>
      </nvGraphicFramePr>
      <xfrm/>
      <a:graphic>
        <a:graphicData uri="http://schemas.openxmlformats.org/drawingml/2006/chart">
          <c:chart r:id="rId17"/>
        </a:graphicData>
      </a:graphic>
    </graphicFrame>
    <clientData/>
  </twoCellAnchor>
  <twoCellAnchor>
    <from>
      <col>113</col>
      <colOff>142875</colOff>
      <row>32</row>
      <rowOff>23812</rowOff>
    </from>
    <to>
      <col>124</col>
      <colOff>211929</colOff>
      <row>55</row>
      <rowOff>164298</rowOff>
    </to>
    <graphicFrame>
      <nvGraphicFramePr>
        <cNvPr id="18" name="Chart 18"/>
        <cNvGraphicFramePr/>
      </nvGraphicFramePr>
      <xfrm/>
      <a:graphic>
        <a:graphicData uri="http://schemas.openxmlformats.org/drawingml/2006/chart">
          <c:chart r:id="rId18"/>
        </a:graphicData>
      </a:graphic>
    </graphicFrame>
    <clientData/>
  </twoCellAnchor>
  <twoCellAnchor>
    <from>
      <col>124</col>
      <colOff>452438</colOff>
      <row>7</row>
      <rowOff>107156</rowOff>
    </from>
    <to>
      <col>135</col>
      <colOff>511966</colOff>
      <row>31</row>
      <rowOff>62698</rowOff>
    </to>
    <graphicFrame>
      <nvGraphicFramePr>
        <cNvPr id="19" name="Chart 19"/>
        <cNvGraphicFramePr/>
      </nvGraphicFramePr>
      <xfrm/>
      <a:graphic>
        <a:graphicData uri="http://schemas.openxmlformats.org/drawingml/2006/chart">
          <c:chart r:id="rId19"/>
        </a:graphicData>
      </a:graphic>
    </graphicFrame>
    <clientData/>
  </twoCellAnchor>
  <twoCellAnchor>
    <from>
      <col>124</col>
      <colOff>464344</colOff>
      <row>32</row>
      <rowOff>23812</rowOff>
    </from>
    <to>
      <col>135</col>
      <colOff>533397</colOff>
      <row>55</row>
      <rowOff>164298</rowOff>
    </to>
    <graphicFrame>
      <nvGraphicFramePr>
        <cNvPr id="20" name="Chart 20"/>
        <cNvGraphicFramePr/>
      </nvGraphicFramePr>
      <xfrm/>
      <a:graphic>
        <a:graphicData uri="http://schemas.openxmlformats.org/drawingml/2006/chart">
          <c:chart r:id="rId20"/>
        </a:graphicData>
      </a:graphic>
    </graphicFrame>
    <clientData/>
  </twoCellAnchor>
  <twoCellAnchor>
    <from>
      <col>124</col>
      <colOff>440531</colOff>
      <row>57</row>
      <rowOff>35719</rowOff>
    </from>
    <to>
      <col>135</col>
      <colOff>506409</colOff>
      <row>80</row>
      <rowOff>161123</rowOff>
    </to>
    <graphicFrame>
      <nvGraphicFramePr>
        <cNvPr id="21" name="Chart 21"/>
        <cNvGraphicFramePr/>
      </nvGraphicFramePr>
      <xfrm/>
      <a:graphic>
        <a:graphicData uri="http://schemas.openxmlformats.org/drawingml/2006/chart">
          <c:chart r:id="rId21"/>
        </a:graphicData>
      </a:graphic>
    </graphicFrame>
    <clientData/>
  </twoCellAnchor>
  <twoCellAnchor>
    <from>
      <col>35</col>
      <colOff>226216</colOff>
      <row>36</row>
      <rowOff>45243</rowOff>
    </from>
    <to>
      <col>45</col>
      <colOff>369092</colOff>
      <row>60</row>
      <rowOff>50006</rowOff>
    </to>
    <graphicFrame>
      <nvGraphicFramePr>
        <cNvPr id="22" name="Chart 22"/>
        <cNvGraphicFramePr/>
      </nvGraphicFramePr>
      <xfrm/>
      <a:graphic>
        <a:graphicData uri="http://schemas.openxmlformats.org/drawingml/2006/chart">
          <c:chart r:id="rId22"/>
        </a:graphicData>
      </a:graphic>
    </graphicFrame>
    <clientData/>
  </twoCellAnchor>
  <twoCellAnchor>
    <from>
      <col>35</col>
      <colOff>209639</colOff>
      <row>61</row>
      <rowOff>13424</rowOff>
    </from>
    <to>
      <col>45</col>
      <colOff>308557</colOff>
      <row>89</row>
      <rowOff>40247</rowOff>
    </to>
    <graphicFrame>
      <nvGraphicFramePr>
        <cNvPr id="23" name="Chart 23"/>
        <cNvGraphicFramePr/>
      </nvGraphicFramePr>
      <xfrm/>
      <a:graphic>
        <a:graphicData uri="http://schemas.openxmlformats.org/drawingml/2006/chart">
          <c:chart r:id="rId23"/>
        </a:graphicData>
      </a:graphic>
    </graphicFrame>
    <clientData/>
  </twoCellAnchor>
  <twoCellAnchor>
    <from>
      <col>49</col>
      <colOff>1420812</colOff>
      <row>28</row>
      <rowOff>1586</rowOff>
    </from>
    <to>
      <col>61</col>
      <colOff>0</colOff>
      <row>58</row>
      <rowOff>63499</rowOff>
    </to>
    <graphicFrame>
      <nvGraphicFramePr>
        <cNvPr id="24" name="Chart 24"/>
        <cNvGraphicFramePr/>
      </nvGraphicFramePr>
      <xfrm/>
      <a:graphic>
        <a:graphicData uri="http://schemas.openxmlformats.org/drawingml/2006/chart">
          <c:chart r:id="rId24"/>
        </a:graphicData>
      </a:graphic>
    </graphicFrame>
    <clientData/>
  </two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5</col>
      <colOff>528637</colOff>
      <row>259</row>
      <rowOff>147636</rowOff>
    </from>
    <to>
      <col>18</col>
      <colOff>600075</colOff>
      <row>283</row>
      <rowOff>171449</rowOff>
    </to>
    <graphicFrame>
      <nvGraphicFramePr>
        <cNvPr id="1" name="Chart 1"/>
        <cNvGraphicFramePr/>
      </nvGraphicFramePr>
      <xfrm/>
      <a:graphic>
        <a:graphicData uri="http://schemas.openxmlformats.org/drawingml/2006/chart">
          <c:chart r:id="rId1"/>
        </a:graphicData>
      </a:graphic>
    </graphicFrame>
    <clientData/>
  </two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14</col>
      <colOff>71887</colOff>
      <row>129</row>
      <rowOff>153867</rowOff>
    </from>
    <to>
      <col>20</col>
      <colOff>161745</colOff>
      <row>150</row>
      <rowOff>123705</rowOff>
    </to>
    <graphicFrame>
      <nvGraphicFramePr>
        <cNvPr id="1" name="Chart 1"/>
        <cNvGraphicFramePr/>
      </nvGraphicFramePr>
      <xfrm/>
      <a:graphic>
        <a:graphicData uri="http://schemas.openxmlformats.org/drawingml/2006/chart">
          <c:chart r:id="rId1"/>
        </a:graphicData>
      </a:graphic>
    </graphicFrame>
    <clientData/>
  </twoCellAnchor>
  <twoCellAnchor>
    <from>
      <col>14</col>
      <colOff>2816</colOff>
      <row>152</row>
      <rowOff>172437</rowOff>
    </from>
    <to>
      <col>20</col>
      <colOff>35584</colOff>
      <row>172</row>
      <rowOff>144043</rowOff>
    </to>
    <graphicFrame>
      <nvGraphicFramePr>
        <cNvPr id="2" name="Chart 2"/>
        <cNvGraphicFramePr/>
      </nvGraphicFramePr>
      <xfrm/>
      <a:graphic>
        <a:graphicData uri="http://schemas.openxmlformats.org/drawingml/2006/chart">
          <c:chart r:id="rId2"/>
        </a:graphicData>
      </a:graphic>
    </graphicFrame>
    <clientData/>
  </twoCellAnchor>
  <twoCellAnchor>
    <from>
      <col>14</col>
      <colOff>86684</colOff>
      <row>174</row>
      <rowOff>39279</rowOff>
    </from>
    <to>
      <col>20</col>
      <colOff>0</colOff>
      <row>195</row>
      <rowOff>29018</rowOff>
    </to>
    <graphicFrame>
      <nvGraphicFramePr>
        <cNvPr id="3" name="Chart 3"/>
        <cNvGraphicFramePr/>
      </nvGraphicFramePr>
      <xfrm/>
      <a:graphic>
        <a:graphicData uri="http://schemas.openxmlformats.org/drawingml/2006/chart">
          <c:chart r:id="rId3"/>
        </a:graphicData>
      </a:graphic>
    </graphicFrame>
    <clientData/>
  </two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4</col>
      <colOff>0</colOff>
      <row>1</row>
      <rowOff>0</rowOff>
    </from>
    <to>
      <col>11</col>
      <colOff>304800</colOff>
      <row>22</row>
      <rowOff>2273</rowOff>
    </to>
    <graphicFrame>
      <nvGraphicFramePr>
        <cNvPr id="1" name="Chart 1"/>
        <cNvGraphicFramePr/>
      </nvGraphicFramePr>
      <xfrm/>
      <a:graphic>
        <a:graphicData uri="http://schemas.openxmlformats.org/drawingml/2006/chart">
          <c:chart r:id="rId1"/>
        </a:graphicData>
      </a:graphic>
    </graphicFrame>
    <clientData/>
  </twoCellAnchor>
</wsDr>
</file>

<file path=xl/drawings/drawing8.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2</col>
      <colOff>560010</colOff>
      <row>5</row>
      <rowOff>46944</rowOff>
    </from>
    <to>
      <col>10</col>
      <colOff>377976</colOff>
      <row>30</row>
      <rowOff>127909</rowOff>
    </to>
    <graphicFrame>
      <nvGraphicFramePr>
        <cNvPr id="1" name="Chart 1"/>
        <cNvGraphicFramePr/>
      </nvGraphicFramePr>
      <xfrm/>
      <a:graphic>
        <a:graphicData uri="http://schemas.openxmlformats.org/drawingml/2006/chart">
          <c:chart r:id="rId1"/>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T:\TEMP\ie5\Temporary%20Internet%20Files\OLK52\TEMP\ie5\Temporary%20Internet%20Files\OLK52\TEMP\ie5\Temporary%20Internet%20Files\OLK52\WORLDECO\ARCHIVE\UK\Clientwork\coreprices.xls" TargetMode="External" Id="rId1" /></Relationships>
</file>

<file path=xl/externalLinks/_rels/externalLink2.xml.rels><Relationships xmlns="http://schemas.openxmlformats.org/package/2006/relationships"><Relationship Type="http://schemas.openxmlformats.org/officeDocument/2006/relationships/externalLinkPath" Target="file:///T:\Phil\UK%20data\Labour.xlsm" TargetMode="External" Id="rId1" /></Relationships>
</file>

<file path=xl/externalLinks/_rels/externalLink3.xml.rels><Relationships xmlns="http://schemas.openxmlformats.org/package/2006/relationships"><Relationship Type="http://schemas.openxmlformats.org/officeDocument/2006/relationships/externalLinkPath" Target="file:///T:\Documents%20and%20Settings\rushp\Application%20Data\Microsoft\Excel\UWCM.xls" TargetMode="External" Id="rId1" /></Relationships>
</file>

<file path=xl/externalLinks/_rels/externalLink4.xml.rels><Relationships xmlns="http://schemas.openxmlformats.org/package/2006/relationships"><Relationship Type="http://schemas.openxmlformats.org/officeDocument/2006/relationships/externalLinkPath" Target="file:///T:\Documents%20and%20Settings\rushp\Application%20Data\Microsoft\Excel\IDS.xls" TargetMode="External" Id="rId1" /></Relationships>
</file>

<file path=xl/externalLinks/_rels/externalLink5.xml.rels><Relationships xmlns="http://schemas.openxmlformats.org/package/2006/relationships"><Relationship Type="http://schemas.openxmlformats.org/officeDocument/2006/relationships/externalLinkPath" Target="file:///C:\Users\JevanREYNOLDS(DBT)\Downloads\x02aug2025%20(1).xls" TargetMode="External" Id="rId2" /></Relationships>
</file>

<file path=xl/externalLinks/_rels/externalLink6.xml.rels><Relationships xmlns="http://schemas.openxmlformats.org/package/2006/relationships"><Relationship Type="http://schemas.openxmlformats.org/officeDocument/2006/relationships/externalLinkPath" Target="/sites/NACDFI/FI/Publications/23_November_2021/25_Nov_2021/Shelf%20availability/Shelf_availability_PIPELINE%20v3.xlsm" TargetMode="External" Id="rId1" /></Relationships>
</file>

<file path=xl/externalLinks/_rels/externalLink7.xml.rels><Relationships xmlns="http://schemas.openxmlformats.org/package/2006/relationships"><Relationship Type="http://schemas.openxmlformats.org/officeDocument/2006/relationships/externalLinkPath" Target="http://sphmt/Economic%20Assessment/Labour%20Markets%20Branch/Releases/1st%20Release/regional%20table%20flex2.xlsm" TargetMode="External" Id="rId1" /></Relationships>
</file>

<file path=xl/externalLinks/_rels/externalLink8.xml.rels><Relationships xmlns="http://schemas.openxmlformats.org/package/2006/relationships"><Relationship Type="http://schemas.openxmlformats.org/officeDocument/2006/relationships/externalLinkPath" Target="file:///V:\vsadj\VacsRefTableBuilder_v1.xlsm" TargetMode="External" Id="rId2" /></Relationships>
</file>

<file path=xl/externalLinks/_rels/externalLink9.xml.rels><Relationships xmlns="http://schemas.openxmlformats.org/package/2006/relationships"><Relationship Type="http://schemas.openxmlformats.org/officeDocument/2006/relationships/externalLinkPath" Target="/Users/watsob1/AppData/Local/Temp/notesEF89B6/Working%20tables.xls" TargetMode="External" Id="rId1" /></Relationships>
</file>

<file path=xl/externalLinks/_rels/externalLink10.xml.rels><Relationships xmlns="http://schemas.openxmlformats.org/package/2006/relationships"><Relationship Type="http://schemas.openxmlformats.org/officeDocument/2006/relationships/externalLinkPath" Target="file:///T:\WINNT\Profiles\chandm\LOCALS~1\Temp\notes86390B\a06jan2012_tcm77-248924(1).xlsm" TargetMode="External" Id="rId1" /></Relationships>
</file>

<file path=xl/externalLinks/_rels/externalLink11.xml.rels><Relationships xmlns="http://schemas.openxmlformats.org/package/2006/relationships"><Relationship Type="http://schemas.openxmlformats.org/officeDocument/2006/relationships/externalLinkPath" Target="file:///G:\LFS%20LADB\1998%20ladb\Table13data.xls" TargetMode="External" Id="rId1" /></Relationships>
</file>

<file path=xl/externalLinks/_rels/externalLink12.xml.rels><Relationships xmlns="http://schemas.openxmlformats.org/package/2006/relationships"><Relationship Type="http://schemas.openxmlformats.org/officeDocument/2006/relationships/externalLinkPath" Target="/Users/hmccurry/Downloads/bicswave612final.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RPI"/>
    </sheetNames>
    <sheetDataSet>
      <sheetData sheetId="0"/>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Waves"/>
      <sheetName val="DS Q"/>
      <sheetName val="DataStream"/>
      <sheetName val="Wages"/>
      <sheetName val="Unemployment"/>
      <sheetName val="IDS"/>
      <sheetName val="Natural"/>
      <sheetName val="16-24"/>
      <sheetName val="Employee jobs"/>
    </sheetNames>
    <sheetDataSet>
      <sheetData sheetId="0"/>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UWCM"/>
      <sheetName val="Sheet1"/>
      <sheetName val="Sheet2"/>
      <sheetName val="Sheet3"/>
    </sheetNames>
    <sheetDataSet>
      <sheetData sheetId="0"/>
      <sheetData sheetId="1"/>
      <sheetData sheetId="2"/>
      <sheetData sheetId="3"/>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IDS"/>
      <sheetName val="Vocalink"/>
      <sheetName val="Sheet1"/>
      <sheetName val="Sheet2"/>
      <sheetName val="Sheet3"/>
    </sheetNames>
    <sheetDataSet>
      <sheetData sheetId="0"/>
      <sheetData sheetId="1" refreshError="1"/>
      <sheetData sheetId="2" refreshError="1"/>
      <sheetData sheetId="3" refreshError="1"/>
      <sheetData sheetId="4" refreshError="1"/>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Note"/>
      <sheetName val="Introduction"/>
      <sheetName val="Methodology"/>
      <sheetName val="Labour market flows NSA"/>
      <sheetName val="Labour market flows hazard rate"/>
      <sheetName val="Employee &amp; self employed flows"/>
      <sheetName val="Reason for job moves"/>
      <sheetName val="Industry moves"/>
      <sheetName val="Job moves - Skill from (SOC10)"/>
      <sheetName val="Job moves - Skill to (SOC10)"/>
      <sheetName val="Job moves - Skill from (SOC20)"/>
      <sheetName val="Job moves - Skill to (SOC20)"/>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Raw"/>
      <sheetName val="None Product Group"/>
      <sheetName val="None Regional"/>
      <sheetName val="None Regional Items"/>
      <sheetName val="None Regional WEvsWD"/>
      <sheetName val="None Item"/>
      <sheetName val="Low Item"/>
      <sheetName val="Low Product Group"/>
      <sheetName val="Low Regional"/>
      <sheetName val="Low Regional Items"/>
      <sheetName val="Low Regional WEvsWD"/>
      <sheetName val="Med Item"/>
      <sheetName val="Med Product Group"/>
      <sheetName val="Med Regional"/>
      <sheetName val="Med Regional Items"/>
      <sheetName val="Med Regional WEvsWD"/>
      <sheetName val="High Item"/>
      <sheetName val="High Product Group"/>
      <sheetName val="High Regional"/>
      <sheetName val="High Regional Items"/>
      <sheetName val="High Regional WEvsWD"/>
      <sheetName val="None Regional (Daily)"/>
      <sheetName val="Sheet1"/>
      <sheetName val="Item Charts"/>
      <sheetName val="Product Group Charts"/>
      <sheetName val="Product Group Change"/>
      <sheetName val="Region Charts"/>
      <sheetName val="Region Totals Sup."/>
      <sheetName val="Region Change"/>
      <sheetName val="Region Change Sup."/>
      <sheetName val="Item WEvsWD Charts"/>
      <sheetName val="Product Group WEvsWD Charts"/>
      <sheetName val="Items by Region Charts"/>
      <sheetName val="Regions map"/>
      <sheetName val="Unique Store Counts"/>
      <sheetName val="Product groups"/>
      <sheetName val="Unique Loca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7.xml><?xml version="1.0" encoding="utf-8"?>
<externalLink xmlns:r="http://schemas.openxmlformats.org/officeDocument/2006/relationships" xmlns="http://schemas.openxmlformats.org/spreadsheetml/2006/main">
  <externalBook r:id="rId1">
    <sheetNames>
      <sheetName val="Guidance"/>
      <sheetName val="Fulltable"/>
      <sheetName val="regional briefs"/>
      <sheetName val="performance report"/>
      <sheetName val="Sheet3"/>
      <sheetName val="Information"/>
      <sheetName val="data"/>
      <sheetName val="main"/>
      <sheetName val="keyword"/>
      <sheetName val="pubn"/>
      <sheetName val="work"/>
      <sheetName val="work1"/>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8.xml><?xml version="1.0" encoding="utf-8"?>
<externalLink xmlns:r="http://schemas.openxmlformats.org/officeDocument/2006/relationships" xmlns="http://schemas.openxmlformats.org/spreadsheetml/2006/main">
  <externalBook r:id="rId1">
    <sheetNames>
      <sheetName val="Gubbins"/>
      <sheetName val="Flowchart"/>
      <sheetName val="Contents"/>
      <sheetName val="vs_sa_rounding"/>
      <sheetName val="vs_sa_ratios"/>
      <sheetName val="VACS01_Calcs"/>
      <sheetName val="Qtly Movement"/>
      <sheetName val="Qtly % Change"/>
      <sheetName val="Annual Movement"/>
      <sheetName val="Annual % Change"/>
      <sheetName val="Level Change Calcs"/>
      <sheetName val="Ratio Change Calcs"/>
      <sheetName val="Footnotes"/>
      <sheetName val="VACS01"/>
      <sheetName val="VACS02_level"/>
      <sheetName val="VACS02_ratio"/>
      <sheetName val="VACS03"/>
      <sheetName val="Tab19_20"/>
      <sheetName val="Tab21"/>
      <sheetName val="VACS01_HL"/>
      <sheetName val="VACS02_HL"/>
      <sheetName val="VACS03_HL"/>
      <sheetName val="VACS02Q_HL"/>
      <sheetName val="VACS02A_HL"/>
      <sheetName val="VACS03Q_HL"/>
      <sheetName val="VACS03A_HL"/>
      <sheetName val="Sorted Levels and Movemen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9.xml><?xml version="1.0" encoding="utf-8"?>
<externalLink xmlns:r="http://schemas.openxmlformats.org/officeDocument/2006/relationships" xmlns="http://schemas.openxmlformats.org/spreadsheetml/2006/main">
  <externalBook r:id="rId1">
    <sheetNames>
      <sheetName val="Macros"/>
      <sheetName val="neast"/>
      <sheetName val="nwest"/>
      <sheetName val="york"/>
      <sheetName val="emids"/>
      <sheetName val="wmids"/>
      <sheetName val="east"/>
      <sheetName val="lon"/>
      <sheetName val="seast"/>
      <sheetName val="swest"/>
      <sheetName val="Wales"/>
      <sheetName val="scot"/>
      <sheetName val="nire"/>
      <sheetName val="UK"/>
      <sheetName val="GB"/>
      <sheetName val="Eng"/>
      <sheetName val="Tab10"/>
      <sheetName val="Nomisa"/>
      <sheetName val="nomis"/>
      <sheetName val="UCGORNOM"/>
      <sheetName val="tab18"/>
      <sheetName val="Graph 1"/>
      <sheetName val="Graph 2"/>
      <sheetName val="Graph 3"/>
      <sheetName val="Graph Data"/>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sheetData sheetId="25"/>
    </sheetDataSet>
  </externalBook>
</externalLink>
</file>

<file path=xl/externalLinks/externalLink10.xml><?xml version="1.0" encoding="utf-8"?>
<externalLink xmlns:r="http://schemas.openxmlformats.org/officeDocument/2006/relationships" xmlns="http://schemas.openxmlformats.org/spreadsheetml/2006/main">
  <externalBook r:id="rId1">
    <sheetNames>
      <sheetName val="Rates-seasonally adjusted"/>
      <sheetName val="Levels-Not seasonally adjusted"/>
      <sheetName val="Rates-Not seasonally adjusted"/>
      <sheetName val="Pre-1992 estimates"/>
    </sheetNames>
    <sheetDataSet>
      <sheetData sheetId="0"/>
      <sheetData sheetId="1"/>
      <sheetData sheetId="2"/>
      <sheetData sheetId="3"/>
    </sheetDataSet>
  </externalBook>
</externalLink>
</file>

<file path=xl/externalLinks/externalLink11.xml><?xml version="1.0" encoding="utf-8"?>
<externalLink xmlns:r="http://schemas.openxmlformats.org/officeDocument/2006/relationships" xmlns="http://schemas.openxmlformats.org/spreadsheetml/2006/main">
  <externalBook r:id="rId1">
    <sheetNames>
      <sheetName val="Labels"/>
      <sheetName val="16+ Data"/>
      <sheetName val="Working Age Data"/>
      <sheetName val="ualad16wa"/>
      <sheetName val="Table 13(Basic)"/>
      <sheetName val="Table 13 (Final)"/>
      <sheetName val="1998-1999 Checks"/>
    </sheetNames>
    <sheetDataSet>
      <sheetData sheetId="0" refreshError="1"/>
      <sheetData sheetId="1" refreshError="1"/>
      <sheetData sheetId="2" refreshError="1"/>
      <sheetData sheetId="3" refreshError="1"/>
      <sheetData sheetId="4" refreshError="1">
        <row r="1">
          <cell r="B1" t="str">
            <v>All 16+</v>
          </cell>
          <cell r="C1" t="str">
            <v>Economically active</v>
          </cell>
          <cell r="D1" t="str">
            <v>In employment</v>
          </cell>
          <cell r="E1" t="str">
            <v>ILO unemployed</v>
          </cell>
          <cell r="F1" t="str">
            <v>Inactive</v>
          </cell>
          <cell r="G1" t="str">
            <v>Working age</v>
          </cell>
          <cell r="H1" t="str">
            <v>Economically active</v>
          </cell>
          <cell r="I1" t="str">
            <v>In employment</v>
          </cell>
          <cell r="J1" t="str">
            <v>ILO unemployed</v>
          </cell>
          <cell r="K1" t="str">
            <v>Inactive</v>
          </cell>
        </row>
        <row r="3">
          <cell r="A3" t="str">
            <v>GREAT BRITAIN</v>
          </cell>
          <cell r="B3">
            <v>45015133</v>
          </cell>
          <cell r="C3">
            <v>28277474</v>
          </cell>
          <cell r="D3">
            <v>26551656</v>
          </cell>
          <cell r="E3">
            <v>1725818</v>
          </cell>
          <cell r="F3">
            <v>16737659</v>
          </cell>
          <cell r="G3">
            <v>35026718</v>
          </cell>
          <cell r="H3">
            <v>27510025</v>
          </cell>
          <cell r="I3">
            <v>25800494</v>
          </cell>
          <cell r="J3">
            <v>1709531</v>
          </cell>
          <cell r="K3">
            <v>7516693</v>
          </cell>
        </row>
        <row r="5">
          <cell r="A5" t="str">
            <v>ENGLAND AND WALES</v>
          </cell>
          <cell r="B5">
            <v>40981009</v>
          </cell>
          <cell r="C5">
            <v>25775412</v>
          </cell>
          <cell r="D5">
            <v>24237533</v>
          </cell>
          <cell r="E5">
            <v>1537879</v>
          </cell>
          <cell r="F5">
            <v>15205597</v>
          </cell>
          <cell r="G5">
            <v>31867139</v>
          </cell>
          <cell r="H5">
            <v>25065427</v>
          </cell>
          <cell r="I5">
            <v>23541141</v>
          </cell>
          <cell r="J5">
            <v>1524286</v>
          </cell>
          <cell r="K5">
            <v>6801712</v>
          </cell>
        </row>
        <row r="7">
          <cell r="A7" t="str">
            <v>ENGLAND</v>
          </cell>
          <cell r="B7">
            <v>38684207</v>
          </cell>
          <cell r="C7">
            <v>24469440</v>
          </cell>
          <cell r="D7">
            <v>23025454</v>
          </cell>
          <cell r="E7">
            <v>1443986</v>
          </cell>
          <cell r="F7">
            <v>14214767</v>
          </cell>
          <cell r="G7">
            <v>30128573</v>
          </cell>
          <cell r="H7">
            <v>23794847</v>
          </cell>
          <cell r="I7">
            <v>22364232</v>
          </cell>
          <cell r="J7">
            <v>1430615</v>
          </cell>
          <cell r="K7">
            <v>6333726</v>
          </cell>
        </row>
        <row r="9">
          <cell r="A9" t="str">
            <v>NORTH EAST</v>
          </cell>
          <cell r="B9">
            <v>2034804</v>
          </cell>
          <cell r="C9">
            <v>1173479</v>
          </cell>
          <cell r="D9">
            <v>1076356</v>
          </cell>
          <cell r="E9">
            <v>97123</v>
          </cell>
          <cell r="F9">
            <v>861325</v>
          </cell>
          <cell r="G9">
            <v>1573845</v>
          </cell>
          <cell r="H9">
            <v>1152700</v>
          </cell>
          <cell r="I9">
            <v>1055577</v>
          </cell>
          <cell r="J9">
            <v>97123</v>
          </cell>
          <cell r="K9">
            <v>421145</v>
          </cell>
        </row>
        <row r="10">
          <cell r="A10" t="str">
            <v> </v>
          </cell>
        </row>
        <row r="11">
          <cell r="A11" t="str">
            <v>Darlington UA</v>
          </cell>
          <cell r="B11">
            <v>77357</v>
          </cell>
          <cell r="C11">
            <v>49043</v>
          </cell>
          <cell r="D11">
            <v>46531</v>
          </cell>
          <cell r="E11">
            <v>2512</v>
          </cell>
          <cell r="F11">
            <v>28314</v>
          </cell>
          <cell r="G11">
            <v>62375</v>
          </cell>
          <cell r="H11">
            <v>48839</v>
          </cell>
          <cell r="I11">
            <v>46327</v>
          </cell>
          <cell r="J11">
            <v>2512</v>
          </cell>
          <cell r="K11">
            <v>13536</v>
          </cell>
        </row>
        <row r="12">
          <cell r="A12" t="str">
            <v>Hartlepool UA</v>
          </cell>
          <cell r="B12">
            <v>70645</v>
          </cell>
          <cell r="C12">
            <v>39974</v>
          </cell>
          <cell r="D12">
            <v>35437</v>
          </cell>
          <cell r="E12">
            <v>4537</v>
          </cell>
          <cell r="F12">
            <v>30671</v>
          </cell>
          <cell r="G12">
            <v>52709</v>
          </cell>
          <cell r="H12">
            <v>39974</v>
          </cell>
          <cell r="I12">
            <v>35437</v>
          </cell>
          <cell r="J12">
            <v>4537</v>
          </cell>
          <cell r="K12">
            <v>12735</v>
          </cell>
        </row>
        <row r="13">
          <cell r="A13" t="str">
            <v>Middlesbrough UA</v>
          </cell>
          <cell r="B13">
            <v>107339</v>
          </cell>
          <cell r="C13">
            <v>64323</v>
          </cell>
          <cell r="D13">
            <v>55330</v>
          </cell>
          <cell r="E13">
            <v>8993</v>
          </cell>
          <cell r="F13">
            <v>43016</v>
          </cell>
          <cell r="G13">
            <v>87418</v>
          </cell>
          <cell r="H13">
            <v>62215</v>
          </cell>
          <cell r="I13">
            <v>53222</v>
          </cell>
          <cell r="J13">
            <v>8993</v>
          </cell>
          <cell r="K13">
            <v>25203</v>
          </cell>
        </row>
        <row r="14">
          <cell r="A14" t="str">
            <v>Redcar and Cleveland UA</v>
          </cell>
          <cell r="B14">
            <v>107084</v>
          </cell>
          <cell r="C14">
            <v>61216</v>
          </cell>
          <cell r="D14">
            <v>57551</v>
          </cell>
          <cell r="E14">
            <v>3665</v>
          </cell>
          <cell r="F14">
            <v>45868</v>
          </cell>
          <cell r="G14">
            <v>86863</v>
          </cell>
          <cell r="H14">
            <v>60992</v>
          </cell>
          <cell r="I14">
            <v>57327</v>
          </cell>
          <cell r="J14">
            <v>3665</v>
          </cell>
          <cell r="K14">
            <v>25871</v>
          </cell>
        </row>
        <row r="15">
          <cell r="A15" t="str">
            <v>Stockton-on-Tees UA</v>
          </cell>
          <cell r="B15">
            <v>139407</v>
          </cell>
          <cell r="C15">
            <v>86816</v>
          </cell>
          <cell r="D15">
            <v>79737</v>
          </cell>
          <cell r="E15">
            <v>7079</v>
          </cell>
          <cell r="F15">
            <v>52591</v>
          </cell>
          <cell r="G15">
            <v>113756</v>
          </cell>
          <cell r="H15">
            <v>86579</v>
          </cell>
          <cell r="I15">
            <v>79500</v>
          </cell>
          <cell r="J15">
            <v>7079</v>
          </cell>
          <cell r="K15">
            <v>27177</v>
          </cell>
        </row>
        <row r="17">
          <cell r="A17" t="str">
            <v xml:space="preserve">Durham </v>
          </cell>
          <cell r="B17">
            <v>405407</v>
          </cell>
          <cell r="C17">
            <v>235115</v>
          </cell>
          <cell r="D17">
            <v>216551</v>
          </cell>
          <cell r="E17">
            <v>18564</v>
          </cell>
          <cell r="F17">
            <v>170292</v>
          </cell>
          <cell r="G17">
            <v>314085</v>
          </cell>
          <cell r="H17">
            <v>229438</v>
          </cell>
          <cell r="I17">
            <v>210874</v>
          </cell>
          <cell r="J17">
            <v>18564</v>
          </cell>
          <cell r="K17">
            <v>84647</v>
          </cell>
        </row>
        <row r="18">
          <cell r="A18" t="str">
            <v>Chester-le-Street</v>
          </cell>
          <cell r="B18">
            <v>46282</v>
          </cell>
          <cell r="C18">
            <v>26518</v>
          </cell>
          <cell r="D18">
            <v>24765</v>
          </cell>
          <cell r="E18">
            <v>1753</v>
          </cell>
          <cell r="F18">
            <v>19764</v>
          </cell>
          <cell r="G18">
            <v>36942</v>
          </cell>
          <cell r="H18">
            <v>25867</v>
          </cell>
          <cell r="I18">
            <v>24114</v>
          </cell>
          <cell r="J18">
            <v>1753</v>
          </cell>
          <cell r="K18">
            <v>11075</v>
          </cell>
        </row>
        <row r="19">
          <cell r="A19" t="str">
            <v>Derwentside</v>
          </cell>
          <cell r="B19">
            <v>70942</v>
          </cell>
          <cell r="C19">
            <v>41074</v>
          </cell>
          <cell r="D19">
            <v>37765</v>
          </cell>
          <cell r="E19">
            <v>3309</v>
          </cell>
          <cell r="F19">
            <v>29868</v>
          </cell>
          <cell r="G19">
            <v>53894</v>
          </cell>
          <cell r="H19">
            <v>40351</v>
          </cell>
          <cell r="I19">
            <v>37042</v>
          </cell>
          <cell r="J19">
            <v>3309</v>
          </cell>
          <cell r="K19">
            <v>13543</v>
          </cell>
        </row>
        <row r="20">
          <cell r="A20" t="str">
            <v>Durham</v>
          </cell>
          <cell r="B20">
            <v>72724</v>
          </cell>
          <cell r="C20">
            <v>47400</v>
          </cell>
          <cell r="D20">
            <v>44891</v>
          </cell>
          <cell r="E20">
            <v>2509</v>
          </cell>
          <cell r="F20">
            <v>25324</v>
          </cell>
          <cell r="G20">
            <v>57855</v>
          </cell>
          <cell r="H20">
            <v>45739</v>
          </cell>
          <cell r="I20">
            <v>43230</v>
          </cell>
          <cell r="J20">
            <v>2509</v>
          </cell>
          <cell r="K20">
            <v>12116</v>
          </cell>
        </row>
        <row r="21">
          <cell r="A21" t="str">
            <v>Easington</v>
          </cell>
          <cell r="B21">
            <v>71652</v>
          </cell>
          <cell r="C21">
            <v>35265</v>
          </cell>
          <cell r="D21">
            <v>31567</v>
          </cell>
          <cell r="E21">
            <v>3698</v>
          </cell>
          <cell r="F21">
            <v>36387</v>
          </cell>
          <cell r="G21">
            <v>53919</v>
          </cell>
          <cell r="H21">
            <v>35052</v>
          </cell>
          <cell r="I21">
            <v>31354</v>
          </cell>
          <cell r="J21">
            <v>3698</v>
          </cell>
          <cell r="K21">
            <v>18867</v>
          </cell>
        </row>
        <row r="22">
          <cell r="A22" t="str">
            <v>Sedgefield</v>
          </cell>
          <cell r="B22">
            <v>73342</v>
          </cell>
          <cell r="C22">
            <v>41909</v>
          </cell>
          <cell r="D22">
            <v>37398</v>
          </cell>
          <cell r="E22">
            <v>4511</v>
          </cell>
          <cell r="F22">
            <v>31433</v>
          </cell>
          <cell r="G22">
            <v>56374</v>
          </cell>
          <cell r="H22">
            <v>40728</v>
          </cell>
          <cell r="I22">
            <v>36217</v>
          </cell>
          <cell r="J22">
            <v>4511</v>
          </cell>
          <cell r="K22">
            <v>15646</v>
          </cell>
        </row>
        <row r="23">
          <cell r="A23" t="str">
            <v>Teesdale</v>
          </cell>
          <cell r="B23">
            <v>20128</v>
          </cell>
          <cell r="C23">
            <v>13471</v>
          </cell>
          <cell r="D23">
            <v>12813</v>
          </cell>
          <cell r="E23">
            <v>658</v>
          </cell>
          <cell r="F23">
            <v>6657</v>
          </cell>
          <cell r="G23">
            <v>15498</v>
          </cell>
          <cell r="H23">
            <v>12873</v>
          </cell>
          <cell r="I23">
            <v>12215</v>
          </cell>
          <cell r="J23">
            <v>658</v>
          </cell>
          <cell r="K23">
            <v>2625</v>
          </cell>
        </row>
        <row r="24">
          <cell r="A24" t="str">
            <v>Wear Valley</v>
          </cell>
          <cell r="B24">
            <v>50337</v>
          </cell>
          <cell r="C24">
            <v>29478</v>
          </cell>
          <cell r="D24">
            <v>27352</v>
          </cell>
          <cell r="E24">
            <v>2126</v>
          </cell>
          <cell r="F24">
            <v>20859</v>
          </cell>
          <cell r="G24">
            <v>39603</v>
          </cell>
          <cell r="H24">
            <v>28828</v>
          </cell>
          <cell r="I24">
            <v>26702</v>
          </cell>
          <cell r="J24">
            <v>2126</v>
          </cell>
          <cell r="K24">
            <v>10775</v>
          </cell>
        </row>
        <row r="26">
          <cell r="A26" t="str">
            <v xml:space="preserve">Northumberland </v>
          </cell>
          <cell r="B26">
            <v>246777</v>
          </cell>
          <cell r="C26">
            <v>141090</v>
          </cell>
          <cell r="D26">
            <v>135454</v>
          </cell>
          <cell r="E26">
            <v>5636</v>
          </cell>
          <cell r="F26">
            <v>105687</v>
          </cell>
          <cell r="G26">
            <v>178868</v>
          </cell>
          <cell r="H26">
            <v>136782</v>
          </cell>
          <cell r="I26">
            <v>131146</v>
          </cell>
          <cell r="J26">
            <v>5636</v>
          </cell>
          <cell r="K26">
            <v>42086</v>
          </cell>
        </row>
        <row r="27">
          <cell r="A27" t="str">
            <v>Alnwick</v>
          </cell>
          <cell r="B27">
            <v>24808</v>
          </cell>
          <cell r="C27">
            <v>12608</v>
          </cell>
          <cell r="D27">
            <v>11571</v>
          </cell>
          <cell r="E27">
            <v>1037</v>
          </cell>
          <cell r="F27">
            <v>12200</v>
          </cell>
          <cell r="G27">
            <v>17684</v>
          </cell>
          <cell r="H27">
            <v>12608</v>
          </cell>
          <cell r="I27">
            <v>11571</v>
          </cell>
          <cell r="J27">
            <v>1037</v>
          </cell>
          <cell r="K27">
            <v>5076</v>
          </cell>
        </row>
        <row r="28">
          <cell r="A28" t="str">
            <v>Berwick-upon-Tweed</v>
          </cell>
          <cell r="B28">
            <v>22925</v>
          </cell>
          <cell r="C28">
            <v>14227</v>
          </cell>
          <cell r="D28">
            <v>14227</v>
          </cell>
          <cell r="E28">
            <v>0</v>
          </cell>
          <cell r="F28">
            <v>8698</v>
          </cell>
          <cell r="G28">
            <v>17348</v>
          </cell>
          <cell r="H28">
            <v>14227</v>
          </cell>
          <cell r="I28">
            <v>14227</v>
          </cell>
          <cell r="J28">
            <v>0</v>
          </cell>
          <cell r="K28">
            <v>3121</v>
          </cell>
        </row>
        <row r="29">
          <cell r="A29" t="str">
            <v>Blyth Valley</v>
          </cell>
          <cell r="B29">
            <v>62731</v>
          </cell>
          <cell r="C29">
            <v>41126</v>
          </cell>
          <cell r="D29">
            <v>39253</v>
          </cell>
          <cell r="E29">
            <v>1873</v>
          </cell>
          <cell r="F29">
            <v>21605</v>
          </cell>
          <cell r="G29">
            <v>51656</v>
          </cell>
          <cell r="H29">
            <v>39951</v>
          </cell>
          <cell r="I29">
            <v>38078</v>
          </cell>
          <cell r="J29">
            <v>1873</v>
          </cell>
          <cell r="K29">
            <v>11705</v>
          </cell>
        </row>
        <row r="30">
          <cell r="A30" t="str">
            <v>Castle Morpeth</v>
          </cell>
          <cell r="B30">
            <v>37388</v>
          </cell>
          <cell r="C30">
            <v>17464</v>
          </cell>
          <cell r="D30">
            <v>16525</v>
          </cell>
          <cell r="E30">
            <v>939</v>
          </cell>
          <cell r="F30">
            <v>19924</v>
          </cell>
          <cell r="G30">
            <v>21585</v>
          </cell>
          <cell r="H30">
            <v>16305</v>
          </cell>
          <cell r="I30">
            <v>15366</v>
          </cell>
          <cell r="J30">
            <v>939</v>
          </cell>
          <cell r="K30">
            <v>5280</v>
          </cell>
        </row>
        <row r="31">
          <cell r="A31" t="str">
            <v>Tynedale</v>
          </cell>
          <cell r="B31">
            <v>48836</v>
          </cell>
          <cell r="C31">
            <v>28440</v>
          </cell>
          <cell r="D31">
            <v>28440</v>
          </cell>
          <cell r="E31">
            <v>0</v>
          </cell>
          <cell r="F31">
            <v>20396</v>
          </cell>
          <cell r="G31">
            <v>34509</v>
          </cell>
          <cell r="H31">
            <v>26902</v>
          </cell>
          <cell r="I31">
            <v>26902</v>
          </cell>
          <cell r="J31">
            <v>0</v>
          </cell>
          <cell r="K31">
            <v>7607</v>
          </cell>
        </row>
        <row r="32">
          <cell r="A32" t="str">
            <v>Wansbeck</v>
          </cell>
          <cell r="B32">
            <v>50089</v>
          </cell>
          <cell r="C32">
            <v>27225</v>
          </cell>
          <cell r="D32">
            <v>25438</v>
          </cell>
          <cell r="E32">
            <v>1787</v>
          </cell>
          <cell r="F32">
            <v>22864</v>
          </cell>
          <cell r="G32">
            <v>36086</v>
          </cell>
          <cell r="H32">
            <v>26789</v>
          </cell>
          <cell r="I32">
            <v>25002</v>
          </cell>
          <cell r="J32">
            <v>1787</v>
          </cell>
          <cell r="K32">
            <v>9297</v>
          </cell>
        </row>
        <row r="34">
          <cell r="A34" t="str">
            <v>Tyne and Wear (Met County)</v>
          </cell>
          <cell r="B34">
            <v>880788</v>
          </cell>
          <cell r="C34">
            <v>495902</v>
          </cell>
          <cell r="D34">
            <v>449765</v>
          </cell>
          <cell r="E34">
            <v>46137</v>
          </cell>
          <cell r="F34">
            <v>384886</v>
          </cell>
          <cell r="G34">
            <v>677771</v>
          </cell>
          <cell r="H34">
            <v>487881</v>
          </cell>
          <cell r="I34">
            <v>441744</v>
          </cell>
          <cell r="J34">
            <v>46137</v>
          </cell>
          <cell r="K34">
            <v>189890</v>
          </cell>
        </row>
        <row r="35">
          <cell r="A35" t="str">
            <v>Gateshead</v>
          </cell>
          <cell r="B35">
            <v>158957</v>
          </cell>
          <cell r="C35">
            <v>92819</v>
          </cell>
          <cell r="D35">
            <v>82453</v>
          </cell>
          <cell r="E35">
            <v>10366</v>
          </cell>
          <cell r="F35">
            <v>66138</v>
          </cell>
          <cell r="G35">
            <v>119587</v>
          </cell>
          <cell r="H35">
            <v>91400</v>
          </cell>
          <cell r="I35">
            <v>81034</v>
          </cell>
          <cell r="J35">
            <v>10366</v>
          </cell>
          <cell r="K35">
            <v>28187</v>
          </cell>
        </row>
        <row r="36">
          <cell r="A36" t="str">
            <v>Newcastle upon Tyne</v>
          </cell>
          <cell r="B36">
            <v>215673</v>
          </cell>
          <cell r="C36">
            <v>123079</v>
          </cell>
          <cell r="D36">
            <v>112381</v>
          </cell>
          <cell r="E36">
            <v>10698</v>
          </cell>
          <cell r="F36">
            <v>92594</v>
          </cell>
          <cell r="G36">
            <v>174495</v>
          </cell>
          <cell r="H36">
            <v>120182</v>
          </cell>
          <cell r="I36">
            <v>109484</v>
          </cell>
          <cell r="J36">
            <v>10698</v>
          </cell>
          <cell r="K36">
            <v>54313</v>
          </cell>
        </row>
        <row r="37">
          <cell r="A37" t="str">
            <v>North Tyneside</v>
          </cell>
          <cell r="B37">
            <v>153384</v>
          </cell>
          <cell r="C37">
            <v>93890</v>
          </cell>
          <cell r="D37">
            <v>88298</v>
          </cell>
          <cell r="E37">
            <v>5592</v>
          </cell>
          <cell r="F37">
            <v>59494</v>
          </cell>
          <cell r="G37">
            <v>119429</v>
          </cell>
          <cell r="H37">
            <v>92915</v>
          </cell>
          <cell r="I37">
            <v>87323</v>
          </cell>
          <cell r="J37">
            <v>5592</v>
          </cell>
          <cell r="K37">
            <v>26514</v>
          </cell>
        </row>
        <row r="38">
          <cell r="A38" t="str">
            <v>South Tyneside</v>
          </cell>
          <cell r="B38">
            <v>122752</v>
          </cell>
          <cell r="C38">
            <v>66190</v>
          </cell>
          <cell r="D38">
            <v>59103</v>
          </cell>
          <cell r="E38">
            <v>7087</v>
          </cell>
          <cell r="F38">
            <v>56562</v>
          </cell>
          <cell r="G38">
            <v>89222</v>
          </cell>
          <cell r="H38">
            <v>64728</v>
          </cell>
          <cell r="I38">
            <v>57641</v>
          </cell>
          <cell r="J38">
            <v>7087</v>
          </cell>
          <cell r="K38">
            <v>24494</v>
          </cell>
        </row>
        <row r="39">
          <cell r="A39" t="str">
            <v>Sunderland</v>
          </cell>
          <cell r="B39">
            <v>230022</v>
          </cell>
          <cell r="C39">
            <v>119924</v>
          </cell>
          <cell r="D39">
            <v>107530</v>
          </cell>
          <cell r="E39">
            <v>12394</v>
          </cell>
          <cell r="F39">
            <v>110098</v>
          </cell>
          <cell r="G39">
            <v>175038</v>
          </cell>
          <cell r="H39">
            <v>118656</v>
          </cell>
          <cell r="I39">
            <v>106262</v>
          </cell>
          <cell r="J39">
            <v>12394</v>
          </cell>
          <cell r="K39">
            <v>56382</v>
          </cell>
        </row>
        <row r="42">
          <cell r="A42" t="str">
            <v xml:space="preserve">NORTH WEST </v>
          </cell>
          <cell r="B42">
            <v>5358996</v>
          </cell>
          <cell r="C42">
            <v>3210837</v>
          </cell>
          <cell r="D42">
            <v>3004675</v>
          </cell>
          <cell r="E42">
            <v>206162</v>
          </cell>
          <cell r="F42">
            <v>2148159</v>
          </cell>
          <cell r="G42">
            <v>4171807</v>
          </cell>
          <cell r="H42">
            <v>3138464</v>
          </cell>
          <cell r="I42">
            <v>2933309</v>
          </cell>
          <cell r="J42">
            <v>205155</v>
          </cell>
          <cell r="K42">
            <v>1033343</v>
          </cell>
        </row>
        <row r="44">
          <cell r="A44" t="str">
            <v>Blackburn with Darwen UA</v>
          </cell>
          <cell r="B44">
            <v>103835</v>
          </cell>
          <cell r="C44">
            <v>53921</v>
          </cell>
          <cell r="D44">
            <v>50509</v>
          </cell>
          <cell r="E44">
            <v>3412</v>
          </cell>
          <cell r="F44">
            <v>49914</v>
          </cell>
          <cell r="G44">
            <v>80279</v>
          </cell>
          <cell r="H44">
            <v>53218</v>
          </cell>
          <cell r="I44">
            <v>49806</v>
          </cell>
          <cell r="J44">
            <v>3412</v>
          </cell>
          <cell r="K44">
            <v>27061</v>
          </cell>
        </row>
        <row r="45">
          <cell r="A45" t="str">
            <v>Blackpool UA</v>
          </cell>
          <cell r="B45">
            <v>107878</v>
          </cell>
          <cell r="C45">
            <v>62544</v>
          </cell>
          <cell r="D45">
            <v>60521</v>
          </cell>
          <cell r="E45">
            <v>2023</v>
          </cell>
          <cell r="F45">
            <v>45334</v>
          </cell>
          <cell r="G45">
            <v>77861</v>
          </cell>
          <cell r="H45">
            <v>60388</v>
          </cell>
          <cell r="I45">
            <v>58631</v>
          </cell>
          <cell r="J45">
            <v>1757</v>
          </cell>
          <cell r="K45">
            <v>17473</v>
          </cell>
        </row>
        <row r="46">
          <cell r="A46" t="str">
            <v>Halton UA</v>
          </cell>
          <cell r="B46">
            <v>95111</v>
          </cell>
          <cell r="C46">
            <v>56817</v>
          </cell>
          <cell r="D46">
            <v>50238</v>
          </cell>
          <cell r="E46">
            <v>6579</v>
          </cell>
          <cell r="F46">
            <v>38294</v>
          </cell>
          <cell r="G46">
            <v>77646</v>
          </cell>
          <cell r="H46">
            <v>56287</v>
          </cell>
          <cell r="I46">
            <v>49708</v>
          </cell>
          <cell r="J46">
            <v>6579</v>
          </cell>
          <cell r="K46">
            <v>21359</v>
          </cell>
        </row>
        <row r="47">
          <cell r="A47" t="str">
            <v>Warrington UA</v>
          </cell>
          <cell r="B47">
            <v>151222</v>
          </cell>
          <cell r="C47">
            <v>101058</v>
          </cell>
          <cell r="D47">
            <v>98867</v>
          </cell>
          <cell r="E47">
            <v>2191</v>
          </cell>
          <cell r="F47">
            <v>50164</v>
          </cell>
          <cell r="G47">
            <v>121612</v>
          </cell>
          <cell r="H47">
            <v>99466</v>
          </cell>
          <cell r="I47">
            <v>97275</v>
          </cell>
          <cell r="J47">
            <v>2191</v>
          </cell>
          <cell r="K47">
            <v>22146</v>
          </cell>
        </row>
        <row r="49">
          <cell r="A49" t="str">
            <v>Cheshire</v>
          </cell>
          <cell r="B49">
            <v>545498</v>
          </cell>
          <cell r="C49">
            <v>342979</v>
          </cell>
          <cell r="D49">
            <v>325749</v>
          </cell>
          <cell r="E49">
            <v>17230</v>
          </cell>
          <cell r="F49">
            <v>202519</v>
          </cell>
          <cell r="G49">
            <v>424647</v>
          </cell>
          <cell r="H49">
            <v>333183</v>
          </cell>
          <cell r="I49">
            <v>316209</v>
          </cell>
          <cell r="J49">
            <v>16974</v>
          </cell>
          <cell r="K49">
            <v>91464</v>
          </cell>
        </row>
        <row r="50">
          <cell r="A50" t="str">
            <v>Chester</v>
          </cell>
          <cell r="B50">
            <v>96676</v>
          </cell>
          <cell r="C50">
            <v>63811</v>
          </cell>
          <cell r="D50">
            <v>61001</v>
          </cell>
          <cell r="E50">
            <v>2810</v>
          </cell>
          <cell r="F50">
            <v>32865</v>
          </cell>
          <cell r="G50">
            <v>79738</v>
          </cell>
          <cell r="H50">
            <v>61098</v>
          </cell>
          <cell r="I50">
            <v>58288</v>
          </cell>
          <cell r="J50">
            <v>2810</v>
          </cell>
          <cell r="K50">
            <v>18640</v>
          </cell>
        </row>
        <row r="51">
          <cell r="A51" t="str">
            <v>Congleton</v>
          </cell>
          <cell r="B51">
            <v>71963</v>
          </cell>
          <cell r="C51">
            <v>49494</v>
          </cell>
          <cell r="D51">
            <v>47920</v>
          </cell>
          <cell r="E51">
            <v>1574</v>
          </cell>
          <cell r="F51">
            <v>22469</v>
          </cell>
          <cell r="G51">
            <v>60442</v>
          </cell>
          <cell r="H51">
            <v>48785</v>
          </cell>
          <cell r="I51">
            <v>47211</v>
          </cell>
          <cell r="J51">
            <v>1574</v>
          </cell>
          <cell r="K51">
            <v>11657</v>
          </cell>
        </row>
        <row r="52">
          <cell r="A52" t="str">
            <v>Crewe and Nantwich</v>
          </cell>
          <cell r="B52">
            <v>93330</v>
          </cell>
          <cell r="C52">
            <v>56696</v>
          </cell>
          <cell r="D52">
            <v>52845</v>
          </cell>
          <cell r="E52">
            <v>3851</v>
          </cell>
          <cell r="F52">
            <v>36634</v>
          </cell>
          <cell r="G52">
            <v>68920</v>
          </cell>
          <cell r="H52">
            <v>54424</v>
          </cell>
          <cell r="I52">
            <v>50573</v>
          </cell>
          <cell r="J52">
            <v>3851</v>
          </cell>
          <cell r="K52">
            <v>14496</v>
          </cell>
        </row>
        <row r="53">
          <cell r="A53" t="str">
            <v>Ellesmere Port and Neston</v>
          </cell>
          <cell r="B53">
            <v>64316</v>
          </cell>
          <cell r="C53">
            <v>37956</v>
          </cell>
          <cell r="D53">
            <v>35070</v>
          </cell>
          <cell r="E53">
            <v>2886</v>
          </cell>
          <cell r="F53">
            <v>26360</v>
          </cell>
          <cell r="G53">
            <v>49728</v>
          </cell>
          <cell r="H53">
            <v>36495</v>
          </cell>
          <cell r="I53">
            <v>33609</v>
          </cell>
          <cell r="J53">
            <v>2886</v>
          </cell>
          <cell r="K53">
            <v>13233</v>
          </cell>
        </row>
        <row r="54">
          <cell r="A54" t="str">
            <v>Macclesfield</v>
          </cell>
          <cell r="B54">
            <v>125249</v>
          </cell>
          <cell r="C54">
            <v>75558</v>
          </cell>
          <cell r="D54">
            <v>72141</v>
          </cell>
          <cell r="E54">
            <v>3417</v>
          </cell>
          <cell r="F54">
            <v>49691</v>
          </cell>
          <cell r="G54">
            <v>91173</v>
          </cell>
          <cell r="H54">
            <v>73185</v>
          </cell>
          <cell r="I54">
            <v>70024</v>
          </cell>
          <cell r="J54">
            <v>3161</v>
          </cell>
          <cell r="K54">
            <v>17988</v>
          </cell>
        </row>
        <row r="55">
          <cell r="A55" t="str">
            <v>Vale Royal</v>
          </cell>
          <cell r="B55">
            <v>93964</v>
          </cell>
          <cell r="C55">
            <v>59464</v>
          </cell>
          <cell r="D55">
            <v>56772</v>
          </cell>
          <cell r="E55">
            <v>2692</v>
          </cell>
          <cell r="F55">
            <v>34500</v>
          </cell>
          <cell r="G55">
            <v>74646</v>
          </cell>
          <cell r="H55">
            <v>59196</v>
          </cell>
          <cell r="I55">
            <v>56504</v>
          </cell>
          <cell r="J55">
            <v>2692</v>
          </cell>
          <cell r="K55">
            <v>15450</v>
          </cell>
        </row>
        <row r="57">
          <cell r="A57" t="str">
            <v xml:space="preserve">Cumbria </v>
          </cell>
          <cell r="B57">
            <v>397273</v>
          </cell>
          <cell r="C57">
            <v>244301</v>
          </cell>
          <cell r="D57">
            <v>229893</v>
          </cell>
          <cell r="E57">
            <v>14408</v>
          </cell>
          <cell r="F57">
            <v>152972</v>
          </cell>
          <cell r="G57">
            <v>307023</v>
          </cell>
          <cell r="H57">
            <v>237283</v>
          </cell>
          <cell r="I57">
            <v>222875</v>
          </cell>
          <cell r="J57">
            <v>14408</v>
          </cell>
          <cell r="K57">
            <v>69740</v>
          </cell>
        </row>
        <row r="58">
          <cell r="A58" t="str">
            <v>Allerdale</v>
          </cell>
          <cell r="B58">
            <v>78835</v>
          </cell>
          <cell r="C58">
            <v>45427</v>
          </cell>
          <cell r="D58">
            <v>41622</v>
          </cell>
          <cell r="E58">
            <v>3805</v>
          </cell>
          <cell r="F58">
            <v>33408</v>
          </cell>
          <cell r="G58">
            <v>61423</v>
          </cell>
          <cell r="H58">
            <v>44751</v>
          </cell>
          <cell r="I58">
            <v>40946</v>
          </cell>
          <cell r="J58">
            <v>3805</v>
          </cell>
          <cell r="K58">
            <v>16672</v>
          </cell>
        </row>
        <row r="59">
          <cell r="A59" t="str">
            <v>Barrow-in-Furness</v>
          </cell>
          <cell r="B59">
            <v>55162</v>
          </cell>
          <cell r="C59">
            <v>30857</v>
          </cell>
          <cell r="D59">
            <v>28123</v>
          </cell>
          <cell r="E59">
            <v>2734</v>
          </cell>
          <cell r="F59">
            <v>24305</v>
          </cell>
          <cell r="G59">
            <v>42189</v>
          </cell>
          <cell r="H59">
            <v>30426</v>
          </cell>
          <cell r="I59">
            <v>27692</v>
          </cell>
          <cell r="J59">
            <v>2734</v>
          </cell>
          <cell r="K59">
            <v>11763</v>
          </cell>
        </row>
        <row r="60">
          <cell r="A60" t="str">
            <v>Carlisle</v>
          </cell>
          <cell r="B60">
            <v>80693</v>
          </cell>
          <cell r="C60">
            <v>56481</v>
          </cell>
          <cell r="D60">
            <v>53881</v>
          </cell>
          <cell r="E60">
            <v>2600</v>
          </cell>
          <cell r="F60">
            <v>24212</v>
          </cell>
          <cell r="G60">
            <v>67696</v>
          </cell>
          <cell r="H60">
            <v>56269</v>
          </cell>
          <cell r="I60">
            <v>53669</v>
          </cell>
          <cell r="J60">
            <v>2600</v>
          </cell>
          <cell r="K60">
            <v>11427</v>
          </cell>
        </row>
        <row r="61">
          <cell r="A61" t="str">
            <v>Copeland</v>
          </cell>
          <cell r="B61">
            <v>55032</v>
          </cell>
          <cell r="C61">
            <v>37021</v>
          </cell>
          <cell r="D61">
            <v>34195</v>
          </cell>
          <cell r="E61">
            <v>2826</v>
          </cell>
          <cell r="F61">
            <v>18011</v>
          </cell>
          <cell r="G61">
            <v>45743</v>
          </cell>
          <cell r="H61">
            <v>35824</v>
          </cell>
          <cell r="I61">
            <v>32998</v>
          </cell>
          <cell r="J61">
            <v>2826</v>
          </cell>
          <cell r="K61">
            <v>9919</v>
          </cell>
        </row>
        <row r="62">
          <cell r="A62" t="str">
            <v>Eden</v>
          </cell>
          <cell r="B62">
            <v>42751</v>
          </cell>
          <cell r="C62">
            <v>25484</v>
          </cell>
          <cell r="D62">
            <v>24317</v>
          </cell>
          <cell r="E62">
            <v>1167</v>
          </cell>
          <cell r="F62">
            <v>17267</v>
          </cell>
          <cell r="G62">
            <v>29399</v>
          </cell>
          <cell r="H62">
            <v>23723</v>
          </cell>
          <cell r="I62">
            <v>22556</v>
          </cell>
          <cell r="J62">
            <v>1167</v>
          </cell>
          <cell r="K62">
            <v>5676</v>
          </cell>
        </row>
        <row r="63">
          <cell r="A63" t="str">
            <v>South Lakeland</v>
          </cell>
          <cell r="B63">
            <v>84800</v>
          </cell>
          <cell r="C63">
            <v>49031</v>
          </cell>
          <cell r="D63">
            <v>47755</v>
          </cell>
          <cell r="E63">
            <v>1276</v>
          </cell>
          <cell r="F63">
            <v>35769</v>
          </cell>
          <cell r="G63">
            <v>60573</v>
          </cell>
          <cell r="H63">
            <v>46290</v>
          </cell>
          <cell r="I63">
            <v>45014</v>
          </cell>
          <cell r="J63">
            <v>1276</v>
          </cell>
          <cell r="K63">
            <v>14283</v>
          </cell>
        </row>
        <row r="65">
          <cell r="A65" t="str">
            <v>Greater Manchester (Met County)</v>
          </cell>
          <cell r="B65">
            <v>2005361</v>
          </cell>
          <cell r="C65">
            <v>1222948</v>
          </cell>
          <cell r="D65">
            <v>1148951</v>
          </cell>
          <cell r="E65">
            <v>73997</v>
          </cell>
          <cell r="F65">
            <v>782413</v>
          </cell>
          <cell r="G65">
            <v>1599160</v>
          </cell>
          <cell r="H65">
            <v>1200100</v>
          </cell>
          <cell r="I65">
            <v>1126103</v>
          </cell>
          <cell r="J65">
            <v>73997</v>
          </cell>
          <cell r="K65">
            <v>399060</v>
          </cell>
        </row>
        <row r="66">
          <cell r="A66" t="str">
            <v>Bolton</v>
          </cell>
          <cell r="B66">
            <v>203890</v>
          </cell>
          <cell r="C66">
            <v>126029</v>
          </cell>
          <cell r="D66">
            <v>120003</v>
          </cell>
          <cell r="E66">
            <v>6026</v>
          </cell>
          <cell r="F66">
            <v>77861</v>
          </cell>
          <cell r="G66">
            <v>160137</v>
          </cell>
          <cell r="H66">
            <v>122526</v>
          </cell>
          <cell r="I66">
            <v>116500</v>
          </cell>
          <cell r="J66">
            <v>6026</v>
          </cell>
          <cell r="K66">
            <v>37611</v>
          </cell>
        </row>
        <row r="67">
          <cell r="A67" t="str">
            <v>Bury</v>
          </cell>
          <cell r="B67">
            <v>138434</v>
          </cell>
          <cell r="C67">
            <v>96307</v>
          </cell>
          <cell r="D67">
            <v>93053</v>
          </cell>
          <cell r="E67">
            <v>3254</v>
          </cell>
          <cell r="F67">
            <v>42127</v>
          </cell>
          <cell r="G67">
            <v>115408</v>
          </cell>
          <cell r="H67">
            <v>94888</v>
          </cell>
          <cell r="I67">
            <v>91634</v>
          </cell>
          <cell r="J67">
            <v>3254</v>
          </cell>
          <cell r="K67">
            <v>20520</v>
          </cell>
        </row>
        <row r="68">
          <cell r="A68" t="str">
            <v>Manchester</v>
          </cell>
          <cell r="B68">
            <v>334282</v>
          </cell>
          <cell r="C68">
            <v>168013</v>
          </cell>
          <cell r="D68">
            <v>149285</v>
          </cell>
          <cell r="E68">
            <v>18728</v>
          </cell>
          <cell r="F68">
            <v>166269</v>
          </cell>
          <cell r="G68">
            <v>259339</v>
          </cell>
          <cell r="H68">
            <v>164691</v>
          </cell>
          <cell r="I68">
            <v>145963</v>
          </cell>
          <cell r="J68">
            <v>18728</v>
          </cell>
          <cell r="K68">
            <v>94648</v>
          </cell>
        </row>
        <row r="69">
          <cell r="A69" t="str">
            <v xml:space="preserve">Oldham </v>
          </cell>
          <cell r="B69">
            <v>165256</v>
          </cell>
          <cell r="C69">
            <v>105647</v>
          </cell>
          <cell r="D69">
            <v>98536</v>
          </cell>
          <cell r="E69">
            <v>7111</v>
          </cell>
          <cell r="F69">
            <v>59609</v>
          </cell>
          <cell r="G69">
            <v>134643</v>
          </cell>
          <cell r="H69">
            <v>104252</v>
          </cell>
          <cell r="I69">
            <v>97141</v>
          </cell>
          <cell r="J69">
            <v>7111</v>
          </cell>
          <cell r="K69">
            <v>30391</v>
          </cell>
        </row>
        <row r="70">
          <cell r="A70" t="str">
            <v>Rochdale</v>
          </cell>
          <cell r="B70">
            <v>164725</v>
          </cell>
          <cell r="C70">
            <v>98201</v>
          </cell>
          <cell r="D70">
            <v>92282</v>
          </cell>
          <cell r="E70">
            <v>5919</v>
          </cell>
          <cell r="F70">
            <v>66524</v>
          </cell>
          <cell r="G70">
            <v>129096</v>
          </cell>
          <cell r="H70">
            <v>97164</v>
          </cell>
          <cell r="I70">
            <v>91245</v>
          </cell>
          <cell r="J70">
            <v>5919</v>
          </cell>
          <cell r="K70">
            <v>31932</v>
          </cell>
        </row>
        <row r="71">
          <cell r="A71" t="str">
            <v>Salford</v>
          </cell>
          <cell r="B71">
            <v>166286</v>
          </cell>
          <cell r="C71">
            <v>94990</v>
          </cell>
          <cell r="D71">
            <v>90411</v>
          </cell>
          <cell r="E71">
            <v>4579</v>
          </cell>
          <cell r="F71">
            <v>71296</v>
          </cell>
          <cell r="G71">
            <v>131822</v>
          </cell>
          <cell r="H71">
            <v>93774</v>
          </cell>
          <cell r="I71">
            <v>89195</v>
          </cell>
          <cell r="J71">
            <v>4579</v>
          </cell>
          <cell r="K71">
            <v>38048</v>
          </cell>
        </row>
        <row r="72">
          <cell r="A72" t="str">
            <v>Stockport</v>
          </cell>
          <cell r="B72">
            <v>229387</v>
          </cell>
          <cell r="C72">
            <v>156324</v>
          </cell>
          <cell r="D72">
            <v>148830</v>
          </cell>
          <cell r="E72">
            <v>7494</v>
          </cell>
          <cell r="F72">
            <v>73063</v>
          </cell>
          <cell r="G72">
            <v>184017</v>
          </cell>
          <cell r="H72">
            <v>153647</v>
          </cell>
          <cell r="I72">
            <v>146153</v>
          </cell>
          <cell r="J72">
            <v>7494</v>
          </cell>
          <cell r="K72">
            <v>30370</v>
          </cell>
        </row>
        <row r="73">
          <cell r="A73" t="str">
            <v>Tameside</v>
          </cell>
          <cell r="B73">
            <v>183972</v>
          </cell>
          <cell r="C73">
            <v>120888</v>
          </cell>
          <cell r="D73">
            <v>113057</v>
          </cell>
          <cell r="E73">
            <v>7831</v>
          </cell>
          <cell r="F73">
            <v>63084</v>
          </cell>
          <cell r="G73">
            <v>150125</v>
          </cell>
          <cell r="H73">
            <v>118915</v>
          </cell>
          <cell r="I73">
            <v>111084</v>
          </cell>
          <cell r="J73">
            <v>7831</v>
          </cell>
          <cell r="K73">
            <v>31210</v>
          </cell>
        </row>
        <row r="74">
          <cell r="A74" t="str">
            <v>Trafford</v>
          </cell>
          <cell r="B74">
            <v>172686</v>
          </cell>
          <cell r="C74">
            <v>105003</v>
          </cell>
          <cell r="D74">
            <v>99455</v>
          </cell>
          <cell r="E74">
            <v>5548</v>
          </cell>
          <cell r="F74">
            <v>67683</v>
          </cell>
          <cell r="G74">
            <v>133150</v>
          </cell>
          <cell r="H74">
            <v>100614</v>
          </cell>
          <cell r="I74">
            <v>95066</v>
          </cell>
          <cell r="J74">
            <v>5548</v>
          </cell>
          <cell r="K74">
            <v>32536</v>
          </cell>
        </row>
        <row r="75">
          <cell r="A75" t="str">
            <v>Wigan</v>
          </cell>
          <cell r="B75">
            <v>246443</v>
          </cell>
          <cell r="C75">
            <v>151546</v>
          </cell>
          <cell r="D75">
            <v>144039</v>
          </cell>
          <cell r="E75">
            <v>7507</v>
          </cell>
          <cell r="F75">
            <v>94897</v>
          </cell>
          <cell r="G75">
            <v>201423</v>
          </cell>
          <cell r="H75">
            <v>149629</v>
          </cell>
          <cell r="I75">
            <v>142122</v>
          </cell>
          <cell r="J75">
            <v>7507</v>
          </cell>
          <cell r="K75">
            <v>51794</v>
          </cell>
        </row>
        <row r="77">
          <cell r="A77" t="str">
            <v>Lancashire</v>
          </cell>
          <cell r="B77">
            <v>867601</v>
          </cell>
          <cell r="C77">
            <v>535164</v>
          </cell>
          <cell r="D77">
            <v>512599</v>
          </cell>
          <cell r="E77">
            <v>22565</v>
          </cell>
          <cell r="F77">
            <v>332437</v>
          </cell>
          <cell r="G77">
            <v>660420</v>
          </cell>
          <cell r="H77">
            <v>522549</v>
          </cell>
          <cell r="I77">
            <v>500232</v>
          </cell>
          <cell r="J77">
            <v>22317</v>
          </cell>
          <cell r="K77">
            <v>137871</v>
          </cell>
        </row>
        <row r="78">
          <cell r="A78" t="str">
            <v>Burnley</v>
          </cell>
          <cell r="B78">
            <v>68860</v>
          </cell>
          <cell r="C78">
            <v>37563</v>
          </cell>
          <cell r="D78">
            <v>35480</v>
          </cell>
          <cell r="E78">
            <v>2083</v>
          </cell>
          <cell r="F78">
            <v>31297</v>
          </cell>
          <cell r="G78">
            <v>51760</v>
          </cell>
          <cell r="H78">
            <v>37022</v>
          </cell>
          <cell r="I78">
            <v>34939</v>
          </cell>
          <cell r="J78">
            <v>2083</v>
          </cell>
          <cell r="K78">
            <v>14738</v>
          </cell>
        </row>
        <row r="79">
          <cell r="A79" t="str">
            <v>Chorley</v>
          </cell>
          <cell r="B79">
            <v>76686</v>
          </cell>
          <cell r="C79">
            <v>51166</v>
          </cell>
          <cell r="D79">
            <v>49549</v>
          </cell>
          <cell r="E79">
            <v>1617</v>
          </cell>
          <cell r="F79">
            <v>25520</v>
          </cell>
          <cell r="G79">
            <v>59486</v>
          </cell>
          <cell r="H79">
            <v>50430</v>
          </cell>
          <cell r="I79">
            <v>48813</v>
          </cell>
          <cell r="J79">
            <v>1617</v>
          </cell>
          <cell r="K79">
            <v>9056</v>
          </cell>
        </row>
        <row r="80">
          <cell r="A80" t="str">
            <v>Fylde</v>
          </cell>
          <cell r="B80">
            <v>57947</v>
          </cell>
          <cell r="C80">
            <v>33528</v>
          </cell>
          <cell r="D80">
            <v>32431</v>
          </cell>
          <cell r="E80">
            <v>1097</v>
          </cell>
          <cell r="F80">
            <v>24419</v>
          </cell>
          <cell r="G80">
            <v>38672</v>
          </cell>
          <cell r="H80">
            <v>31718</v>
          </cell>
          <cell r="I80">
            <v>30621</v>
          </cell>
          <cell r="J80">
            <v>1097</v>
          </cell>
          <cell r="K80">
            <v>6954</v>
          </cell>
        </row>
        <row r="81">
          <cell r="A81" t="str">
            <v>Hyndburn</v>
          </cell>
          <cell r="B81">
            <v>58508</v>
          </cell>
          <cell r="C81">
            <v>35757</v>
          </cell>
          <cell r="D81">
            <v>34471</v>
          </cell>
          <cell r="E81">
            <v>1286</v>
          </cell>
          <cell r="F81">
            <v>22751</v>
          </cell>
          <cell r="G81">
            <v>46723</v>
          </cell>
          <cell r="H81">
            <v>34876</v>
          </cell>
          <cell r="I81">
            <v>33590</v>
          </cell>
          <cell r="J81">
            <v>1286</v>
          </cell>
          <cell r="K81">
            <v>11847</v>
          </cell>
        </row>
        <row r="82">
          <cell r="A82" t="str">
            <v>Lancaster</v>
          </cell>
          <cell r="B82">
            <v>107935</v>
          </cell>
          <cell r="C82">
            <v>63745</v>
          </cell>
          <cell r="D82">
            <v>58724</v>
          </cell>
          <cell r="E82">
            <v>5021</v>
          </cell>
          <cell r="F82">
            <v>44190</v>
          </cell>
          <cell r="G82">
            <v>78226</v>
          </cell>
          <cell r="H82">
            <v>61732</v>
          </cell>
          <cell r="I82">
            <v>56711</v>
          </cell>
          <cell r="J82">
            <v>5021</v>
          </cell>
          <cell r="K82">
            <v>16494</v>
          </cell>
        </row>
        <row r="83">
          <cell r="A83" t="str">
            <v>Pendle</v>
          </cell>
          <cell r="B83">
            <v>58211</v>
          </cell>
          <cell r="C83">
            <v>37928</v>
          </cell>
          <cell r="D83">
            <v>36656</v>
          </cell>
          <cell r="E83">
            <v>1272</v>
          </cell>
          <cell r="F83">
            <v>20283</v>
          </cell>
          <cell r="G83">
            <v>49894</v>
          </cell>
          <cell r="H83">
            <v>37535</v>
          </cell>
          <cell r="I83">
            <v>36263</v>
          </cell>
          <cell r="J83">
            <v>1272</v>
          </cell>
          <cell r="K83">
            <v>12359</v>
          </cell>
        </row>
        <row r="84">
          <cell r="A84" t="str">
            <v>Preston</v>
          </cell>
          <cell r="B84">
            <v>103231</v>
          </cell>
          <cell r="C84">
            <v>59659</v>
          </cell>
          <cell r="D84">
            <v>56581</v>
          </cell>
          <cell r="E84">
            <v>3078</v>
          </cell>
          <cell r="F84">
            <v>43572</v>
          </cell>
          <cell r="G84">
            <v>78968</v>
          </cell>
          <cell r="H84">
            <v>58591</v>
          </cell>
          <cell r="I84">
            <v>55513</v>
          </cell>
          <cell r="J84">
            <v>3078</v>
          </cell>
          <cell r="K84">
            <v>20377</v>
          </cell>
        </row>
        <row r="85">
          <cell r="A85" t="str">
            <v>Ribble Valley</v>
          </cell>
          <cell r="B85">
            <v>39373</v>
          </cell>
          <cell r="C85">
            <v>25361</v>
          </cell>
          <cell r="D85">
            <v>24286</v>
          </cell>
          <cell r="E85">
            <v>1075</v>
          </cell>
          <cell r="F85">
            <v>14012</v>
          </cell>
          <cell r="G85">
            <v>30000</v>
          </cell>
          <cell r="H85">
            <v>24392</v>
          </cell>
          <cell r="I85">
            <v>23565</v>
          </cell>
          <cell r="J85">
            <v>827</v>
          </cell>
          <cell r="K85">
            <v>5608</v>
          </cell>
        </row>
        <row r="86">
          <cell r="A86" t="str">
            <v>Rossendale</v>
          </cell>
          <cell r="B86">
            <v>50800</v>
          </cell>
          <cell r="C86">
            <v>36175</v>
          </cell>
          <cell r="D86">
            <v>34930</v>
          </cell>
          <cell r="E86">
            <v>1245</v>
          </cell>
          <cell r="F86">
            <v>14625</v>
          </cell>
          <cell r="G86">
            <v>41262</v>
          </cell>
          <cell r="H86">
            <v>35946</v>
          </cell>
          <cell r="I86">
            <v>34701</v>
          </cell>
          <cell r="J86">
            <v>1245</v>
          </cell>
          <cell r="K86">
            <v>5316</v>
          </cell>
        </row>
        <row r="87">
          <cell r="A87" t="str">
            <v>South Ribble</v>
          </cell>
          <cell r="B87">
            <v>77971</v>
          </cell>
          <cell r="C87">
            <v>54153</v>
          </cell>
          <cell r="D87">
            <v>52010</v>
          </cell>
          <cell r="E87">
            <v>2143</v>
          </cell>
          <cell r="F87">
            <v>23818</v>
          </cell>
          <cell r="G87">
            <v>60919</v>
          </cell>
          <cell r="H87">
            <v>53504</v>
          </cell>
          <cell r="I87">
            <v>51361</v>
          </cell>
          <cell r="J87">
            <v>2143</v>
          </cell>
          <cell r="K87">
            <v>7415</v>
          </cell>
        </row>
        <row r="88">
          <cell r="A88" t="str">
            <v>West Lancashire</v>
          </cell>
          <cell r="B88">
            <v>88413</v>
          </cell>
          <cell r="C88">
            <v>54397</v>
          </cell>
          <cell r="D88">
            <v>52219</v>
          </cell>
          <cell r="E88">
            <v>2178</v>
          </cell>
          <cell r="F88">
            <v>34016</v>
          </cell>
          <cell r="G88">
            <v>68433</v>
          </cell>
          <cell r="H88">
            <v>52881</v>
          </cell>
          <cell r="I88">
            <v>50703</v>
          </cell>
          <cell r="J88">
            <v>2178</v>
          </cell>
          <cell r="K88">
            <v>15552</v>
          </cell>
        </row>
        <row r="89">
          <cell r="A89" t="str">
            <v>Wyre</v>
          </cell>
          <cell r="B89">
            <v>79666</v>
          </cell>
          <cell r="C89">
            <v>45732</v>
          </cell>
          <cell r="D89">
            <v>45262</v>
          </cell>
          <cell r="E89">
            <v>470</v>
          </cell>
          <cell r="F89">
            <v>33934</v>
          </cell>
          <cell r="G89">
            <v>56077</v>
          </cell>
          <cell r="H89">
            <v>43922</v>
          </cell>
          <cell r="I89">
            <v>43452</v>
          </cell>
          <cell r="J89">
            <v>470</v>
          </cell>
          <cell r="K89">
            <v>12155</v>
          </cell>
        </row>
        <row r="91">
          <cell r="A91" t="str">
            <v>Merseyside (Met County)</v>
          </cell>
          <cell r="B91">
            <v>1085217</v>
          </cell>
          <cell r="C91">
            <v>591105</v>
          </cell>
          <cell r="D91">
            <v>527348</v>
          </cell>
          <cell r="E91">
            <v>63757</v>
          </cell>
          <cell r="F91">
            <v>494112</v>
          </cell>
          <cell r="G91">
            <v>823159</v>
          </cell>
          <cell r="H91">
            <v>575990</v>
          </cell>
          <cell r="I91">
            <v>512470</v>
          </cell>
          <cell r="J91">
            <v>63520</v>
          </cell>
          <cell r="K91">
            <v>247169</v>
          </cell>
        </row>
        <row r="92">
          <cell r="A92" t="str">
            <v xml:space="preserve">Knowsley </v>
          </cell>
          <cell r="B92">
            <v>112951</v>
          </cell>
          <cell r="C92">
            <v>58039</v>
          </cell>
          <cell r="D92">
            <v>47436</v>
          </cell>
          <cell r="E92">
            <v>10603</v>
          </cell>
          <cell r="F92">
            <v>54912</v>
          </cell>
          <cell r="G92">
            <v>88342</v>
          </cell>
          <cell r="H92">
            <v>57306</v>
          </cell>
          <cell r="I92">
            <v>46703</v>
          </cell>
          <cell r="J92">
            <v>10603</v>
          </cell>
          <cell r="K92">
            <v>31036</v>
          </cell>
        </row>
        <row r="93">
          <cell r="A93" t="str">
            <v>Liverpool</v>
          </cell>
          <cell r="B93">
            <v>351057</v>
          </cell>
          <cell r="C93">
            <v>184986</v>
          </cell>
          <cell r="D93">
            <v>159981</v>
          </cell>
          <cell r="E93">
            <v>25005</v>
          </cell>
          <cell r="F93">
            <v>166071</v>
          </cell>
          <cell r="G93">
            <v>275891</v>
          </cell>
          <cell r="H93">
            <v>180576</v>
          </cell>
          <cell r="I93">
            <v>155571</v>
          </cell>
          <cell r="J93">
            <v>25005</v>
          </cell>
          <cell r="K93">
            <v>95315</v>
          </cell>
        </row>
        <row r="94">
          <cell r="A94" t="str">
            <v>St. Helens</v>
          </cell>
          <cell r="B94">
            <v>140026</v>
          </cell>
          <cell r="C94">
            <v>84162</v>
          </cell>
          <cell r="D94">
            <v>77622</v>
          </cell>
          <cell r="E94">
            <v>6540</v>
          </cell>
          <cell r="F94">
            <v>55864</v>
          </cell>
          <cell r="G94">
            <v>108215</v>
          </cell>
          <cell r="H94">
            <v>82677</v>
          </cell>
          <cell r="I94">
            <v>76137</v>
          </cell>
          <cell r="J94">
            <v>6540</v>
          </cell>
          <cell r="K94">
            <v>25538</v>
          </cell>
        </row>
        <row r="95">
          <cell r="A95" t="str">
            <v>Sefton</v>
          </cell>
          <cell r="B95">
            <v>223918</v>
          </cell>
          <cell r="C95">
            <v>125553</v>
          </cell>
          <cell r="D95">
            <v>116069</v>
          </cell>
          <cell r="E95">
            <v>9484</v>
          </cell>
          <cell r="F95">
            <v>98365</v>
          </cell>
          <cell r="G95">
            <v>164154</v>
          </cell>
          <cell r="H95">
            <v>122309</v>
          </cell>
          <cell r="I95">
            <v>112825</v>
          </cell>
          <cell r="J95">
            <v>9484</v>
          </cell>
          <cell r="K95">
            <v>41845</v>
          </cell>
        </row>
        <row r="96">
          <cell r="A96" t="str">
            <v>Wirral</v>
          </cell>
          <cell r="B96">
            <v>257265</v>
          </cell>
          <cell r="C96">
            <v>138365</v>
          </cell>
          <cell r="D96">
            <v>126240</v>
          </cell>
          <cell r="E96">
            <v>12125</v>
          </cell>
          <cell r="F96">
            <v>118900</v>
          </cell>
          <cell r="G96">
            <v>186557</v>
          </cell>
          <cell r="H96">
            <v>133122</v>
          </cell>
          <cell r="I96">
            <v>121234</v>
          </cell>
          <cell r="J96">
            <v>11888</v>
          </cell>
          <cell r="K96">
            <v>53435</v>
          </cell>
        </row>
        <row r="98">
          <cell r="A98" t="str">
            <v>YORKSHIRE AND THE HUMBER</v>
          </cell>
          <cell r="B98">
            <v>3943062</v>
          </cell>
          <cell r="C98">
            <v>2452954</v>
          </cell>
          <cell r="D98">
            <v>2283070</v>
          </cell>
          <cell r="E98">
            <v>169884</v>
          </cell>
          <cell r="F98">
            <v>1490108</v>
          </cell>
          <cell r="G98">
            <v>3061295</v>
          </cell>
          <cell r="H98">
            <v>2398763</v>
          </cell>
          <cell r="I98">
            <v>2230329</v>
          </cell>
          <cell r="J98">
            <v>168434</v>
          </cell>
          <cell r="K98">
            <v>662532</v>
          </cell>
        </row>
        <row r="100">
          <cell r="A100" t="str">
            <v>East Riding of Yorkshire UA</v>
          </cell>
          <cell r="B100">
            <v>246649</v>
          </cell>
          <cell r="C100">
            <v>151486</v>
          </cell>
          <cell r="D100">
            <v>143884</v>
          </cell>
          <cell r="E100">
            <v>7602</v>
          </cell>
          <cell r="F100">
            <v>95163</v>
          </cell>
          <cell r="G100">
            <v>182825</v>
          </cell>
          <cell r="H100">
            <v>146155</v>
          </cell>
          <cell r="I100">
            <v>138813</v>
          </cell>
          <cell r="J100">
            <v>7342</v>
          </cell>
          <cell r="K100">
            <v>36670</v>
          </cell>
        </row>
        <row r="101">
          <cell r="A101" t="str">
            <v>Kingston upon Hull, City of UA</v>
          </cell>
          <cell r="B101">
            <v>197994</v>
          </cell>
          <cell r="C101">
            <v>117237</v>
          </cell>
          <cell r="D101">
            <v>101346</v>
          </cell>
          <cell r="E101">
            <v>15891</v>
          </cell>
          <cell r="F101">
            <v>80757</v>
          </cell>
          <cell r="G101">
            <v>153760</v>
          </cell>
          <cell r="H101">
            <v>115103</v>
          </cell>
          <cell r="I101">
            <v>99212</v>
          </cell>
          <cell r="J101">
            <v>15891</v>
          </cell>
          <cell r="K101">
            <v>38657</v>
          </cell>
        </row>
        <row r="102">
          <cell r="A102" t="str">
            <v>North East Lincolnshire UA</v>
          </cell>
          <cell r="B102">
            <v>116508</v>
          </cell>
          <cell r="C102">
            <v>68623</v>
          </cell>
          <cell r="D102">
            <v>61845</v>
          </cell>
          <cell r="E102">
            <v>6778</v>
          </cell>
          <cell r="F102">
            <v>47885</v>
          </cell>
          <cell r="G102">
            <v>91411</v>
          </cell>
          <cell r="H102">
            <v>67185</v>
          </cell>
          <cell r="I102">
            <v>60636</v>
          </cell>
          <cell r="J102">
            <v>6549</v>
          </cell>
          <cell r="K102">
            <v>24226</v>
          </cell>
        </row>
        <row r="103">
          <cell r="A103" t="str">
            <v>North Lincolnshire UA</v>
          </cell>
          <cell r="B103">
            <v>120833</v>
          </cell>
          <cell r="C103">
            <v>78219</v>
          </cell>
          <cell r="D103">
            <v>71233</v>
          </cell>
          <cell r="E103">
            <v>6986</v>
          </cell>
          <cell r="F103">
            <v>42614</v>
          </cell>
          <cell r="G103">
            <v>97424</v>
          </cell>
          <cell r="H103">
            <v>77745</v>
          </cell>
          <cell r="I103">
            <v>70759</v>
          </cell>
          <cell r="J103">
            <v>6986</v>
          </cell>
          <cell r="K103">
            <v>19679</v>
          </cell>
        </row>
        <row r="104">
          <cell r="A104" t="str">
            <v>York UA</v>
          </cell>
          <cell r="B104">
            <v>143994</v>
          </cell>
          <cell r="C104">
            <v>88917</v>
          </cell>
          <cell r="D104">
            <v>83782</v>
          </cell>
          <cell r="E104">
            <v>5135</v>
          </cell>
          <cell r="F104">
            <v>55077</v>
          </cell>
          <cell r="G104">
            <v>106439</v>
          </cell>
          <cell r="H104">
            <v>86553</v>
          </cell>
          <cell r="I104">
            <v>81418</v>
          </cell>
          <cell r="J104">
            <v>5135</v>
          </cell>
          <cell r="K104">
            <v>19886</v>
          </cell>
        </row>
        <row r="106">
          <cell r="A106" t="str">
            <v>North Yorkshire</v>
          </cell>
          <cell r="B106">
            <v>447807</v>
          </cell>
          <cell r="C106">
            <v>288761</v>
          </cell>
          <cell r="D106">
            <v>281019</v>
          </cell>
          <cell r="E106">
            <v>7742</v>
          </cell>
          <cell r="F106">
            <v>159046</v>
          </cell>
          <cell r="G106">
            <v>338017</v>
          </cell>
          <cell r="H106">
            <v>278176</v>
          </cell>
          <cell r="I106">
            <v>270434</v>
          </cell>
          <cell r="J106">
            <v>7742</v>
          </cell>
          <cell r="K106">
            <v>59841</v>
          </cell>
        </row>
        <row r="107">
          <cell r="A107" t="str">
            <v>Craven</v>
          </cell>
          <cell r="B107">
            <v>41278</v>
          </cell>
          <cell r="C107">
            <v>29056</v>
          </cell>
          <cell r="D107">
            <v>27921</v>
          </cell>
          <cell r="E107">
            <v>1135</v>
          </cell>
          <cell r="F107">
            <v>12222</v>
          </cell>
          <cell r="G107">
            <v>29990</v>
          </cell>
          <cell r="H107">
            <v>27598</v>
          </cell>
          <cell r="I107">
            <v>26463</v>
          </cell>
          <cell r="J107">
            <v>1135</v>
          </cell>
          <cell r="K107">
            <v>2392</v>
          </cell>
        </row>
        <row r="108">
          <cell r="A108" t="str">
            <v>Hambleton</v>
          </cell>
          <cell r="B108">
            <v>71084</v>
          </cell>
          <cell r="C108">
            <v>46113</v>
          </cell>
          <cell r="D108">
            <v>45084</v>
          </cell>
          <cell r="E108">
            <v>1029</v>
          </cell>
          <cell r="F108">
            <v>24971</v>
          </cell>
          <cell r="G108">
            <v>54064</v>
          </cell>
          <cell r="H108">
            <v>44559</v>
          </cell>
          <cell r="I108">
            <v>43530</v>
          </cell>
          <cell r="J108">
            <v>1029</v>
          </cell>
          <cell r="K108">
            <v>9505</v>
          </cell>
        </row>
        <row r="109">
          <cell r="A109" t="str">
            <v>Harrogate</v>
          </cell>
          <cell r="B109">
            <v>114858</v>
          </cell>
          <cell r="C109">
            <v>79762</v>
          </cell>
          <cell r="D109">
            <v>77739</v>
          </cell>
          <cell r="E109">
            <v>2023</v>
          </cell>
          <cell r="F109">
            <v>35096</v>
          </cell>
          <cell r="G109">
            <v>89500</v>
          </cell>
          <cell r="H109">
            <v>75082</v>
          </cell>
          <cell r="I109">
            <v>73059</v>
          </cell>
          <cell r="J109">
            <v>2023</v>
          </cell>
          <cell r="K109">
            <v>14418</v>
          </cell>
        </row>
        <row r="110">
          <cell r="A110" t="str">
            <v>Richmondshire</v>
          </cell>
          <cell r="B110">
            <v>37673</v>
          </cell>
          <cell r="C110">
            <v>26266</v>
          </cell>
          <cell r="D110">
            <v>25991</v>
          </cell>
          <cell r="E110">
            <v>275</v>
          </cell>
          <cell r="F110">
            <v>11407</v>
          </cell>
          <cell r="G110">
            <v>30770</v>
          </cell>
          <cell r="H110">
            <v>25700</v>
          </cell>
          <cell r="I110">
            <v>25425</v>
          </cell>
          <cell r="J110">
            <v>275</v>
          </cell>
          <cell r="K110">
            <v>5070</v>
          </cell>
        </row>
        <row r="111">
          <cell r="A111" t="str">
            <v>Ryedale</v>
          </cell>
          <cell r="B111">
            <v>39399</v>
          </cell>
          <cell r="C111">
            <v>22509</v>
          </cell>
          <cell r="D111">
            <v>22236</v>
          </cell>
          <cell r="E111">
            <v>273</v>
          </cell>
          <cell r="F111">
            <v>16890</v>
          </cell>
          <cell r="G111">
            <v>25834</v>
          </cell>
          <cell r="H111">
            <v>21712</v>
          </cell>
          <cell r="I111">
            <v>21439</v>
          </cell>
          <cell r="J111">
            <v>273</v>
          </cell>
          <cell r="K111">
            <v>4122</v>
          </cell>
        </row>
        <row r="112">
          <cell r="A112" t="str">
            <v>Scarborough</v>
          </cell>
          <cell r="B112">
            <v>84394</v>
          </cell>
          <cell r="C112">
            <v>48305</v>
          </cell>
          <cell r="D112">
            <v>46269</v>
          </cell>
          <cell r="E112">
            <v>2036</v>
          </cell>
          <cell r="F112">
            <v>36089</v>
          </cell>
          <cell r="G112">
            <v>62360</v>
          </cell>
          <cell r="H112">
            <v>47010</v>
          </cell>
          <cell r="I112">
            <v>44974</v>
          </cell>
          <cell r="J112">
            <v>2036</v>
          </cell>
          <cell r="K112">
            <v>15350</v>
          </cell>
        </row>
        <row r="113">
          <cell r="A113" t="str">
            <v>Selby</v>
          </cell>
          <cell r="B113">
            <v>59121</v>
          </cell>
          <cell r="C113">
            <v>36750</v>
          </cell>
          <cell r="D113">
            <v>35779</v>
          </cell>
          <cell r="E113">
            <v>971</v>
          </cell>
          <cell r="F113">
            <v>22371</v>
          </cell>
          <cell r="G113">
            <v>45499</v>
          </cell>
          <cell r="H113">
            <v>36515</v>
          </cell>
          <cell r="I113">
            <v>35544</v>
          </cell>
          <cell r="J113">
            <v>971</v>
          </cell>
          <cell r="K113">
            <v>8984</v>
          </cell>
        </row>
        <row r="115">
          <cell r="A115" t="str">
            <v>South Yorkshire (Met County)</v>
          </cell>
          <cell r="B115">
            <v>1016151</v>
          </cell>
          <cell r="C115">
            <v>616886</v>
          </cell>
          <cell r="D115">
            <v>561386</v>
          </cell>
          <cell r="E115">
            <v>55500</v>
          </cell>
          <cell r="F115">
            <v>399265</v>
          </cell>
          <cell r="G115">
            <v>800247</v>
          </cell>
          <cell r="H115">
            <v>605927</v>
          </cell>
          <cell r="I115">
            <v>550893</v>
          </cell>
          <cell r="J115">
            <v>55034</v>
          </cell>
          <cell r="K115">
            <v>194320</v>
          </cell>
        </row>
        <row r="116">
          <cell r="A116" t="str">
            <v>Barnsley</v>
          </cell>
          <cell r="B116">
            <v>183231</v>
          </cell>
          <cell r="C116">
            <v>107015</v>
          </cell>
          <cell r="D116">
            <v>94973</v>
          </cell>
          <cell r="E116">
            <v>12042</v>
          </cell>
          <cell r="F116">
            <v>76216</v>
          </cell>
          <cell r="G116">
            <v>145575</v>
          </cell>
          <cell r="H116">
            <v>104496</v>
          </cell>
          <cell r="I116">
            <v>92454</v>
          </cell>
          <cell r="J116">
            <v>12042</v>
          </cell>
          <cell r="K116">
            <v>41079</v>
          </cell>
        </row>
        <row r="117">
          <cell r="A117" t="str">
            <v>Doncaster</v>
          </cell>
          <cell r="B117">
            <v>225449</v>
          </cell>
          <cell r="C117">
            <v>138656</v>
          </cell>
          <cell r="D117">
            <v>126878</v>
          </cell>
          <cell r="E117">
            <v>11778</v>
          </cell>
          <cell r="F117">
            <v>86793</v>
          </cell>
          <cell r="G117">
            <v>176890</v>
          </cell>
          <cell r="H117">
            <v>136458</v>
          </cell>
          <cell r="I117">
            <v>124930</v>
          </cell>
          <cell r="J117">
            <v>11528</v>
          </cell>
          <cell r="K117">
            <v>40432</v>
          </cell>
        </row>
        <row r="118">
          <cell r="A118" t="str">
            <v xml:space="preserve">Rotherham </v>
          </cell>
          <cell r="B118">
            <v>194818</v>
          </cell>
          <cell r="C118">
            <v>118976</v>
          </cell>
          <cell r="D118">
            <v>106572</v>
          </cell>
          <cell r="E118">
            <v>12404</v>
          </cell>
          <cell r="F118">
            <v>75842</v>
          </cell>
          <cell r="G118">
            <v>153067</v>
          </cell>
          <cell r="H118">
            <v>117601</v>
          </cell>
          <cell r="I118">
            <v>105197</v>
          </cell>
          <cell r="J118">
            <v>12404</v>
          </cell>
          <cell r="K118">
            <v>35466</v>
          </cell>
        </row>
        <row r="119">
          <cell r="A119" t="str">
            <v>Sheffield</v>
          </cell>
          <cell r="B119">
            <v>412653</v>
          </cell>
          <cell r="C119">
            <v>252239</v>
          </cell>
          <cell r="D119">
            <v>232963</v>
          </cell>
          <cell r="E119">
            <v>19276</v>
          </cell>
          <cell r="F119">
            <v>160414</v>
          </cell>
          <cell r="G119">
            <v>324715</v>
          </cell>
          <cell r="H119">
            <v>247372</v>
          </cell>
          <cell r="I119">
            <v>228312</v>
          </cell>
          <cell r="J119">
            <v>19060</v>
          </cell>
          <cell r="K119">
            <v>77343</v>
          </cell>
        </row>
        <row r="121">
          <cell r="A121" t="str">
            <v>West Yorkshire (Met County)</v>
          </cell>
          <cell r="B121">
            <v>1653126</v>
          </cell>
          <cell r="C121">
            <v>1042825</v>
          </cell>
          <cell r="D121">
            <v>978575</v>
          </cell>
          <cell r="E121">
            <v>64250</v>
          </cell>
          <cell r="F121">
            <v>610301</v>
          </cell>
          <cell r="G121">
            <v>1291172</v>
          </cell>
          <cell r="H121">
            <v>1021919</v>
          </cell>
          <cell r="I121">
            <v>958164</v>
          </cell>
          <cell r="J121">
            <v>63755</v>
          </cell>
          <cell r="K121">
            <v>269253</v>
          </cell>
        </row>
        <row r="122">
          <cell r="A122" t="str">
            <v xml:space="preserve">Bradford </v>
          </cell>
          <cell r="B122">
            <v>369859</v>
          </cell>
          <cell r="C122">
            <v>215886</v>
          </cell>
          <cell r="D122">
            <v>198604</v>
          </cell>
          <cell r="E122">
            <v>17282</v>
          </cell>
          <cell r="F122">
            <v>153973</v>
          </cell>
          <cell r="G122">
            <v>274976</v>
          </cell>
          <cell r="H122">
            <v>211101</v>
          </cell>
          <cell r="I122">
            <v>193819</v>
          </cell>
          <cell r="J122">
            <v>17282</v>
          </cell>
          <cell r="K122">
            <v>63875</v>
          </cell>
        </row>
        <row r="123">
          <cell r="A123" t="str">
            <v>Calderdale</v>
          </cell>
          <cell r="B123">
            <v>149044</v>
          </cell>
          <cell r="C123">
            <v>96740</v>
          </cell>
          <cell r="D123">
            <v>90884</v>
          </cell>
          <cell r="E123">
            <v>5856</v>
          </cell>
          <cell r="F123">
            <v>52304</v>
          </cell>
          <cell r="G123">
            <v>117940</v>
          </cell>
          <cell r="H123">
            <v>95223</v>
          </cell>
          <cell r="I123">
            <v>89367</v>
          </cell>
          <cell r="J123">
            <v>5856</v>
          </cell>
          <cell r="K123">
            <v>22717</v>
          </cell>
        </row>
        <row r="124">
          <cell r="A124" t="str">
            <v xml:space="preserve">Kirklees </v>
          </cell>
          <cell r="B124">
            <v>304362</v>
          </cell>
          <cell r="C124">
            <v>198374</v>
          </cell>
          <cell r="D124">
            <v>186236</v>
          </cell>
          <cell r="E124">
            <v>12138</v>
          </cell>
          <cell r="F124">
            <v>105988</v>
          </cell>
          <cell r="G124">
            <v>246356</v>
          </cell>
          <cell r="H124">
            <v>195736</v>
          </cell>
          <cell r="I124">
            <v>183835</v>
          </cell>
          <cell r="J124">
            <v>11901</v>
          </cell>
          <cell r="K124">
            <v>50620</v>
          </cell>
        </row>
        <row r="125">
          <cell r="A125" t="str">
            <v xml:space="preserve">Leeds </v>
          </cell>
          <cell r="B125">
            <v>575994</v>
          </cell>
          <cell r="C125">
            <v>375598</v>
          </cell>
          <cell r="D125">
            <v>354748</v>
          </cell>
          <cell r="E125">
            <v>20850</v>
          </cell>
          <cell r="F125">
            <v>200396</v>
          </cell>
          <cell r="G125">
            <v>449746</v>
          </cell>
          <cell r="H125">
            <v>365022</v>
          </cell>
          <cell r="I125">
            <v>344430</v>
          </cell>
          <cell r="J125">
            <v>20592</v>
          </cell>
          <cell r="K125">
            <v>84724</v>
          </cell>
        </row>
        <row r="126">
          <cell r="A126" t="str">
            <v>Wakefield</v>
          </cell>
          <cell r="B126">
            <v>253867</v>
          </cell>
          <cell r="C126">
            <v>156227</v>
          </cell>
          <cell r="D126">
            <v>148103</v>
          </cell>
          <cell r="E126">
            <v>8124</v>
          </cell>
          <cell r="F126">
            <v>97640</v>
          </cell>
          <cell r="G126">
            <v>202154</v>
          </cell>
          <cell r="H126">
            <v>154837</v>
          </cell>
          <cell r="I126">
            <v>146713</v>
          </cell>
          <cell r="J126">
            <v>8124</v>
          </cell>
          <cell r="K126">
            <v>47317</v>
          </cell>
        </row>
        <row r="128">
          <cell r="A128" t="str">
            <v>EAST MIDLANDS</v>
          </cell>
          <cell r="B128">
            <v>3278350</v>
          </cell>
          <cell r="C128">
            <v>2084514</v>
          </cell>
          <cell r="D128">
            <v>1977666</v>
          </cell>
          <cell r="E128">
            <v>106848</v>
          </cell>
          <cell r="F128">
            <v>1193836</v>
          </cell>
          <cell r="G128">
            <v>2545253</v>
          </cell>
          <cell r="H128">
            <v>2032116</v>
          </cell>
          <cell r="I128">
            <v>1925506</v>
          </cell>
          <cell r="J128">
            <v>106610</v>
          </cell>
          <cell r="K128">
            <v>513137</v>
          </cell>
        </row>
        <row r="130">
          <cell r="A130" t="str">
            <v xml:space="preserve">Derby UA </v>
          </cell>
          <cell r="B130">
            <v>186220</v>
          </cell>
          <cell r="C130">
            <v>111294</v>
          </cell>
          <cell r="D130">
            <v>103988</v>
          </cell>
          <cell r="E130">
            <v>7306</v>
          </cell>
          <cell r="F130">
            <v>74926</v>
          </cell>
          <cell r="G130">
            <v>140757</v>
          </cell>
          <cell r="H130">
            <v>109101</v>
          </cell>
          <cell r="I130">
            <v>101795</v>
          </cell>
          <cell r="J130">
            <v>7306</v>
          </cell>
          <cell r="K130">
            <v>31656</v>
          </cell>
        </row>
        <row r="131">
          <cell r="A131" t="str">
            <v>Leicester UA</v>
          </cell>
          <cell r="B131">
            <v>217828</v>
          </cell>
          <cell r="C131">
            <v>124371</v>
          </cell>
          <cell r="D131">
            <v>113879</v>
          </cell>
          <cell r="E131">
            <v>10492</v>
          </cell>
          <cell r="F131">
            <v>93457</v>
          </cell>
          <cell r="G131">
            <v>166659</v>
          </cell>
          <cell r="H131">
            <v>122487</v>
          </cell>
          <cell r="I131">
            <v>111995</v>
          </cell>
          <cell r="J131">
            <v>10492</v>
          </cell>
          <cell r="K131">
            <v>44172</v>
          </cell>
        </row>
        <row r="132">
          <cell r="A132" t="str">
            <v>Nottingham UA</v>
          </cell>
          <cell r="B132">
            <v>229311</v>
          </cell>
          <cell r="C132">
            <v>131832</v>
          </cell>
          <cell r="D132">
            <v>121630</v>
          </cell>
          <cell r="E132">
            <v>10202</v>
          </cell>
          <cell r="F132">
            <v>97479</v>
          </cell>
          <cell r="G132">
            <v>181054</v>
          </cell>
          <cell r="H132">
            <v>129105</v>
          </cell>
          <cell r="I132">
            <v>118903</v>
          </cell>
          <cell r="J132">
            <v>10202</v>
          </cell>
          <cell r="K132">
            <v>51949</v>
          </cell>
        </row>
        <row r="133">
          <cell r="A133" t="str">
            <v xml:space="preserve">Rutland UA </v>
          </cell>
          <cell r="B133">
            <v>26265</v>
          </cell>
          <cell r="C133">
            <v>14254</v>
          </cell>
          <cell r="D133">
            <v>13929</v>
          </cell>
          <cell r="E133">
            <v>325</v>
          </cell>
          <cell r="F133">
            <v>12011</v>
          </cell>
          <cell r="G133">
            <v>17484</v>
          </cell>
          <cell r="H133">
            <v>13641</v>
          </cell>
          <cell r="I133">
            <v>13316</v>
          </cell>
          <cell r="J133">
            <v>325</v>
          </cell>
          <cell r="K133">
            <v>3843</v>
          </cell>
        </row>
        <row r="135">
          <cell r="A135" t="str">
            <v>Derbyshire</v>
          </cell>
          <cell r="B135">
            <v>584351</v>
          </cell>
          <cell r="C135">
            <v>361166</v>
          </cell>
          <cell r="D135">
            <v>342944</v>
          </cell>
          <cell r="E135">
            <v>18222</v>
          </cell>
          <cell r="F135">
            <v>223185</v>
          </cell>
          <cell r="G135">
            <v>448184</v>
          </cell>
          <cell r="H135">
            <v>354132</v>
          </cell>
          <cell r="I135">
            <v>335910</v>
          </cell>
          <cell r="J135">
            <v>18222</v>
          </cell>
          <cell r="K135">
            <v>94052</v>
          </cell>
        </row>
        <row r="136">
          <cell r="A136" t="str">
            <v>Amber Valley</v>
          </cell>
          <cell r="B136">
            <v>91433</v>
          </cell>
          <cell r="C136">
            <v>55829</v>
          </cell>
          <cell r="D136">
            <v>53243</v>
          </cell>
          <cell r="E136">
            <v>2586</v>
          </cell>
          <cell r="F136">
            <v>35604</v>
          </cell>
          <cell r="G136">
            <v>68953</v>
          </cell>
          <cell r="H136">
            <v>54437</v>
          </cell>
          <cell r="I136">
            <v>51851</v>
          </cell>
          <cell r="J136">
            <v>2586</v>
          </cell>
          <cell r="K136">
            <v>14516</v>
          </cell>
        </row>
        <row r="137">
          <cell r="A137" t="str">
            <v>Bolsover</v>
          </cell>
          <cell r="B137">
            <v>53171</v>
          </cell>
          <cell r="C137">
            <v>30402</v>
          </cell>
          <cell r="D137">
            <v>28120</v>
          </cell>
          <cell r="E137">
            <v>2282</v>
          </cell>
          <cell r="F137">
            <v>22769</v>
          </cell>
          <cell r="G137">
            <v>39829</v>
          </cell>
          <cell r="H137">
            <v>30183</v>
          </cell>
          <cell r="I137">
            <v>27901</v>
          </cell>
          <cell r="J137">
            <v>2282</v>
          </cell>
          <cell r="K137">
            <v>9646</v>
          </cell>
        </row>
        <row r="138">
          <cell r="A138" t="str">
            <v>Chesterfield</v>
          </cell>
          <cell r="B138">
            <v>80801</v>
          </cell>
          <cell r="C138">
            <v>46633</v>
          </cell>
          <cell r="D138">
            <v>42585</v>
          </cell>
          <cell r="E138">
            <v>4048</v>
          </cell>
          <cell r="F138">
            <v>34168</v>
          </cell>
          <cell r="G138">
            <v>61432</v>
          </cell>
          <cell r="H138">
            <v>45508</v>
          </cell>
          <cell r="I138">
            <v>41460</v>
          </cell>
          <cell r="J138">
            <v>4048</v>
          </cell>
          <cell r="K138">
            <v>15924</v>
          </cell>
        </row>
        <row r="139">
          <cell r="A139" t="str">
            <v>Derbyshire Dales</v>
          </cell>
          <cell r="B139">
            <v>55767</v>
          </cell>
          <cell r="C139">
            <v>36333</v>
          </cell>
          <cell r="D139">
            <v>34718</v>
          </cell>
          <cell r="E139">
            <v>1615</v>
          </cell>
          <cell r="F139">
            <v>19434</v>
          </cell>
          <cell r="G139">
            <v>42644</v>
          </cell>
          <cell r="H139">
            <v>35353</v>
          </cell>
          <cell r="I139">
            <v>33738</v>
          </cell>
          <cell r="J139">
            <v>1615</v>
          </cell>
          <cell r="K139">
            <v>7291</v>
          </cell>
        </row>
        <row r="140">
          <cell r="A140" t="str">
            <v>Erewash</v>
          </cell>
          <cell r="B140">
            <v>85037</v>
          </cell>
          <cell r="C140">
            <v>54413</v>
          </cell>
          <cell r="D140">
            <v>53232</v>
          </cell>
          <cell r="E140">
            <v>1181</v>
          </cell>
          <cell r="F140">
            <v>30624</v>
          </cell>
          <cell r="G140">
            <v>64211</v>
          </cell>
          <cell r="H140">
            <v>53181</v>
          </cell>
          <cell r="I140">
            <v>52000</v>
          </cell>
          <cell r="J140">
            <v>1181</v>
          </cell>
          <cell r="K140">
            <v>11030</v>
          </cell>
        </row>
        <row r="141">
          <cell r="A141" t="str">
            <v>High Peak</v>
          </cell>
          <cell r="B141">
            <v>71438</v>
          </cell>
          <cell r="C141">
            <v>47611</v>
          </cell>
          <cell r="D141">
            <v>44666</v>
          </cell>
          <cell r="E141">
            <v>2945</v>
          </cell>
          <cell r="F141">
            <v>23827</v>
          </cell>
          <cell r="G141">
            <v>56637</v>
          </cell>
          <cell r="H141">
            <v>46267</v>
          </cell>
          <cell r="I141">
            <v>43322</v>
          </cell>
          <cell r="J141">
            <v>2945</v>
          </cell>
          <cell r="K141">
            <v>10370</v>
          </cell>
        </row>
        <row r="142">
          <cell r="A142" t="str">
            <v>North East Derbyshire</v>
          </cell>
          <cell r="B142">
            <v>80916</v>
          </cell>
          <cell r="C142">
            <v>50071</v>
          </cell>
          <cell r="D142">
            <v>48091</v>
          </cell>
          <cell r="E142">
            <v>1980</v>
          </cell>
          <cell r="F142">
            <v>30845</v>
          </cell>
          <cell r="G142">
            <v>62250</v>
          </cell>
          <cell r="H142">
            <v>49854</v>
          </cell>
          <cell r="I142">
            <v>47874</v>
          </cell>
          <cell r="J142">
            <v>1980</v>
          </cell>
          <cell r="K142">
            <v>12396</v>
          </cell>
        </row>
        <row r="143">
          <cell r="A143" t="str">
            <v>South Derbyshire</v>
          </cell>
          <cell r="B143">
            <v>65788</v>
          </cell>
          <cell r="C143">
            <v>39874</v>
          </cell>
          <cell r="D143">
            <v>38289</v>
          </cell>
          <cell r="E143">
            <v>1585</v>
          </cell>
          <cell r="F143">
            <v>25914</v>
          </cell>
          <cell r="G143">
            <v>52228</v>
          </cell>
          <cell r="H143">
            <v>39349</v>
          </cell>
          <cell r="I143">
            <v>37764</v>
          </cell>
          <cell r="J143">
            <v>1585</v>
          </cell>
          <cell r="K143">
            <v>12879</v>
          </cell>
        </row>
        <row r="145">
          <cell r="A145" t="str">
            <v>Leicestershire</v>
          </cell>
          <cell r="B145">
            <v>481731</v>
          </cell>
          <cell r="C145">
            <v>334408</v>
          </cell>
          <cell r="D145">
            <v>323220</v>
          </cell>
          <cell r="E145">
            <v>11188</v>
          </cell>
          <cell r="F145">
            <v>147323</v>
          </cell>
          <cell r="G145">
            <v>378181</v>
          </cell>
          <cell r="H145">
            <v>325007</v>
          </cell>
          <cell r="I145">
            <v>313819</v>
          </cell>
          <cell r="J145">
            <v>11188</v>
          </cell>
          <cell r="K145">
            <v>53174</v>
          </cell>
        </row>
        <row r="146">
          <cell r="A146" t="str">
            <v>Blaby</v>
          </cell>
          <cell r="B146">
            <v>70528</v>
          </cell>
          <cell r="C146">
            <v>48455</v>
          </cell>
          <cell r="D146">
            <v>46387</v>
          </cell>
          <cell r="E146">
            <v>2068</v>
          </cell>
          <cell r="F146">
            <v>22073</v>
          </cell>
          <cell r="G146">
            <v>54981</v>
          </cell>
          <cell r="H146">
            <v>46662</v>
          </cell>
          <cell r="I146">
            <v>44594</v>
          </cell>
          <cell r="J146">
            <v>2068</v>
          </cell>
          <cell r="K146">
            <v>8319</v>
          </cell>
        </row>
        <row r="147">
          <cell r="A147" t="str">
            <v>Charnwood</v>
          </cell>
          <cell r="B147">
            <v>122223</v>
          </cell>
          <cell r="C147">
            <v>84122</v>
          </cell>
          <cell r="D147">
            <v>81787</v>
          </cell>
          <cell r="E147">
            <v>2335</v>
          </cell>
          <cell r="F147">
            <v>38101</v>
          </cell>
          <cell r="G147">
            <v>98159</v>
          </cell>
          <cell r="H147">
            <v>82911</v>
          </cell>
          <cell r="I147">
            <v>80576</v>
          </cell>
          <cell r="J147">
            <v>2335</v>
          </cell>
          <cell r="K147">
            <v>15248</v>
          </cell>
        </row>
        <row r="148">
          <cell r="A148" t="str">
            <v>Harborough</v>
          </cell>
          <cell r="B148">
            <v>58024</v>
          </cell>
          <cell r="C148">
            <v>44771</v>
          </cell>
          <cell r="D148">
            <v>43986</v>
          </cell>
          <cell r="E148">
            <v>785</v>
          </cell>
          <cell r="F148">
            <v>13253</v>
          </cell>
          <cell r="G148">
            <v>47274</v>
          </cell>
          <cell r="H148">
            <v>42253</v>
          </cell>
          <cell r="I148">
            <v>41468</v>
          </cell>
          <cell r="J148">
            <v>785</v>
          </cell>
          <cell r="K148">
            <v>5021</v>
          </cell>
        </row>
        <row r="149">
          <cell r="A149" t="str">
            <v>Hinckley and Bosworth</v>
          </cell>
          <cell r="B149">
            <v>81363</v>
          </cell>
          <cell r="C149">
            <v>58977</v>
          </cell>
          <cell r="D149">
            <v>56110</v>
          </cell>
          <cell r="E149">
            <v>2867</v>
          </cell>
          <cell r="F149">
            <v>22386</v>
          </cell>
          <cell r="G149">
            <v>64658</v>
          </cell>
          <cell r="H149">
            <v>58354</v>
          </cell>
          <cell r="I149">
            <v>55487</v>
          </cell>
          <cell r="J149">
            <v>2867</v>
          </cell>
          <cell r="K149">
            <v>6304</v>
          </cell>
        </row>
        <row r="150">
          <cell r="A150" t="str">
            <v>Melton</v>
          </cell>
          <cell r="B150">
            <v>37334</v>
          </cell>
          <cell r="C150">
            <v>26429</v>
          </cell>
          <cell r="D150">
            <v>26146</v>
          </cell>
          <cell r="E150">
            <v>283</v>
          </cell>
          <cell r="F150">
            <v>10905</v>
          </cell>
          <cell r="G150">
            <v>29798</v>
          </cell>
          <cell r="H150">
            <v>25639</v>
          </cell>
          <cell r="I150">
            <v>25356</v>
          </cell>
          <cell r="J150">
            <v>283</v>
          </cell>
          <cell r="K150">
            <v>4159</v>
          </cell>
        </row>
        <row r="151">
          <cell r="A151" t="str">
            <v>North West Leicestershire</v>
          </cell>
          <cell r="B151">
            <v>69401</v>
          </cell>
          <cell r="C151">
            <v>44004</v>
          </cell>
          <cell r="D151">
            <v>41963</v>
          </cell>
          <cell r="E151">
            <v>2041</v>
          </cell>
          <cell r="F151">
            <v>25397</v>
          </cell>
          <cell r="G151">
            <v>52559</v>
          </cell>
          <cell r="H151">
            <v>42781</v>
          </cell>
          <cell r="I151">
            <v>40740</v>
          </cell>
          <cell r="J151">
            <v>2041</v>
          </cell>
          <cell r="K151">
            <v>9778</v>
          </cell>
        </row>
        <row r="152">
          <cell r="A152" t="str">
            <v>Oadby and Wigston</v>
          </cell>
          <cell r="B152">
            <v>42858</v>
          </cell>
          <cell r="C152">
            <v>27650</v>
          </cell>
          <cell r="D152">
            <v>26841</v>
          </cell>
          <cell r="E152">
            <v>809</v>
          </cell>
          <cell r="F152">
            <v>15208</v>
          </cell>
          <cell r="G152">
            <v>30752</v>
          </cell>
          <cell r="H152">
            <v>26407</v>
          </cell>
          <cell r="I152">
            <v>25598</v>
          </cell>
          <cell r="J152">
            <v>809</v>
          </cell>
          <cell r="K152">
            <v>4345</v>
          </cell>
        </row>
        <row r="154">
          <cell r="A154" t="str">
            <v xml:space="preserve">Lincolnshire </v>
          </cell>
          <cell r="B154">
            <v>490388</v>
          </cell>
          <cell r="C154">
            <v>307650</v>
          </cell>
          <cell r="D154">
            <v>293192</v>
          </cell>
          <cell r="E154">
            <v>14458</v>
          </cell>
          <cell r="F154">
            <v>182738</v>
          </cell>
          <cell r="G154">
            <v>376047</v>
          </cell>
          <cell r="H154">
            <v>296820</v>
          </cell>
          <cell r="I154">
            <v>282362</v>
          </cell>
          <cell r="J154">
            <v>14458</v>
          </cell>
          <cell r="K154">
            <v>79227</v>
          </cell>
        </row>
        <row r="155">
          <cell r="A155" t="str">
            <v>Boston</v>
          </cell>
          <cell r="B155">
            <v>46752</v>
          </cell>
          <cell r="C155">
            <v>27834</v>
          </cell>
          <cell r="D155">
            <v>26391</v>
          </cell>
          <cell r="E155">
            <v>1443</v>
          </cell>
          <cell r="F155">
            <v>18918</v>
          </cell>
          <cell r="G155">
            <v>34205</v>
          </cell>
          <cell r="H155">
            <v>26118</v>
          </cell>
          <cell r="I155">
            <v>24675</v>
          </cell>
          <cell r="J155">
            <v>1443</v>
          </cell>
          <cell r="K155">
            <v>8087</v>
          </cell>
        </row>
        <row r="156">
          <cell r="A156" t="str">
            <v>East Lindsey</v>
          </cell>
          <cell r="B156">
            <v>100556</v>
          </cell>
          <cell r="C156">
            <v>57715</v>
          </cell>
          <cell r="D156">
            <v>55500</v>
          </cell>
          <cell r="E156">
            <v>2215</v>
          </cell>
          <cell r="F156">
            <v>42841</v>
          </cell>
          <cell r="G156">
            <v>71417</v>
          </cell>
          <cell r="H156">
            <v>54561</v>
          </cell>
          <cell r="I156">
            <v>52346</v>
          </cell>
          <cell r="J156">
            <v>2215</v>
          </cell>
          <cell r="K156">
            <v>16856</v>
          </cell>
        </row>
        <row r="157">
          <cell r="A157" t="str">
            <v>Lincoln</v>
          </cell>
          <cell r="B157">
            <v>65938</v>
          </cell>
          <cell r="C157">
            <v>35955</v>
          </cell>
          <cell r="D157">
            <v>34741</v>
          </cell>
          <cell r="E157">
            <v>1214</v>
          </cell>
          <cell r="F157">
            <v>29983</v>
          </cell>
          <cell r="G157">
            <v>46735</v>
          </cell>
          <cell r="H157">
            <v>35143</v>
          </cell>
          <cell r="I157">
            <v>33929</v>
          </cell>
          <cell r="J157">
            <v>1214</v>
          </cell>
          <cell r="K157">
            <v>11592</v>
          </cell>
        </row>
        <row r="158">
          <cell r="A158" t="str">
            <v>North Kesteven</v>
          </cell>
          <cell r="B158">
            <v>67620</v>
          </cell>
          <cell r="C158">
            <v>47179</v>
          </cell>
          <cell r="D158">
            <v>45641</v>
          </cell>
          <cell r="E158">
            <v>1538</v>
          </cell>
          <cell r="F158">
            <v>20441</v>
          </cell>
          <cell r="G158">
            <v>56293</v>
          </cell>
          <cell r="H158">
            <v>46201</v>
          </cell>
          <cell r="I158">
            <v>44663</v>
          </cell>
          <cell r="J158">
            <v>1538</v>
          </cell>
          <cell r="K158">
            <v>10092</v>
          </cell>
        </row>
        <row r="159">
          <cell r="A159" t="str">
            <v>South Holland</v>
          </cell>
          <cell r="B159">
            <v>57313</v>
          </cell>
          <cell r="C159">
            <v>33540</v>
          </cell>
          <cell r="D159">
            <v>32478</v>
          </cell>
          <cell r="E159">
            <v>1062</v>
          </cell>
          <cell r="F159">
            <v>23773</v>
          </cell>
          <cell r="G159">
            <v>41691</v>
          </cell>
          <cell r="H159">
            <v>32730</v>
          </cell>
          <cell r="I159">
            <v>31668</v>
          </cell>
          <cell r="J159">
            <v>1062</v>
          </cell>
          <cell r="K159">
            <v>8961</v>
          </cell>
        </row>
        <row r="160">
          <cell r="A160" t="str">
            <v>South Kesteven</v>
          </cell>
          <cell r="B160">
            <v>93637</v>
          </cell>
          <cell r="C160">
            <v>66240</v>
          </cell>
          <cell r="D160">
            <v>61502</v>
          </cell>
          <cell r="E160">
            <v>4738</v>
          </cell>
          <cell r="F160">
            <v>27397</v>
          </cell>
          <cell r="G160">
            <v>76644</v>
          </cell>
          <cell r="H160">
            <v>63530</v>
          </cell>
          <cell r="I160">
            <v>58792</v>
          </cell>
          <cell r="J160">
            <v>4738</v>
          </cell>
          <cell r="K160">
            <v>13114</v>
          </cell>
        </row>
        <row r="161">
          <cell r="A161" t="str">
            <v>West Lindsey</v>
          </cell>
          <cell r="B161">
            <v>58572</v>
          </cell>
          <cell r="C161">
            <v>39187</v>
          </cell>
          <cell r="D161">
            <v>36939</v>
          </cell>
          <cell r="E161">
            <v>2248</v>
          </cell>
          <cell r="F161">
            <v>19385</v>
          </cell>
          <cell r="G161">
            <v>49062</v>
          </cell>
          <cell r="H161">
            <v>38537</v>
          </cell>
          <cell r="I161">
            <v>36289</v>
          </cell>
          <cell r="J161">
            <v>2248</v>
          </cell>
          <cell r="K161">
            <v>10525</v>
          </cell>
        </row>
        <row r="163">
          <cell r="A163" t="str">
            <v xml:space="preserve">Northamptonshire </v>
          </cell>
          <cell r="B163">
            <v>465721</v>
          </cell>
          <cell r="C163">
            <v>324721</v>
          </cell>
          <cell r="D163">
            <v>311647</v>
          </cell>
          <cell r="E163">
            <v>13074</v>
          </cell>
          <cell r="F163">
            <v>141000</v>
          </cell>
          <cell r="G163">
            <v>375109</v>
          </cell>
          <cell r="H163">
            <v>313509</v>
          </cell>
          <cell r="I163">
            <v>300673</v>
          </cell>
          <cell r="J163">
            <v>12836</v>
          </cell>
          <cell r="K163">
            <v>61600</v>
          </cell>
        </row>
        <row r="164">
          <cell r="A164" t="str">
            <v>Corby</v>
          </cell>
          <cell r="B164">
            <v>40056</v>
          </cell>
          <cell r="C164">
            <v>26058</v>
          </cell>
          <cell r="D164">
            <v>24751</v>
          </cell>
          <cell r="E164">
            <v>1307</v>
          </cell>
          <cell r="F164">
            <v>13998</v>
          </cell>
          <cell r="G164">
            <v>31455</v>
          </cell>
          <cell r="H164">
            <v>25341</v>
          </cell>
          <cell r="I164">
            <v>24034</v>
          </cell>
          <cell r="J164">
            <v>1307</v>
          </cell>
          <cell r="K164">
            <v>6114</v>
          </cell>
        </row>
        <row r="165">
          <cell r="A165" t="str">
            <v>Daventry</v>
          </cell>
          <cell r="B165">
            <v>50363</v>
          </cell>
          <cell r="C165">
            <v>37838</v>
          </cell>
          <cell r="D165">
            <v>36825</v>
          </cell>
          <cell r="E165">
            <v>1013</v>
          </cell>
          <cell r="F165">
            <v>12525</v>
          </cell>
          <cell r="G165">
            <v>43424</v>
          </cell>
          <cell r="H165">
            <v>36823</v>
          </cell>
          <cell r="I165">
            <v>35810</v>
          </cell>
          <cell r="J165">
            <v>1013</v>
          </cell>
          <cell r="K165">
            <v>6601</v>
          </cell>
        </row>
        <row r="166">
          <cell r="A166" t="str">
            <v>East Northamptonshire</v>
          </cell>
          <cell r="B166">
            <v>57423</v>
          </cell>
          <cell r="C166">
            <v>37735</v>
          </cell>
          <cell r="D166">
            <v>35871</v>
          </cell>
          <cell r="E166">
            <v>1864</v>
          </cell>
          <cell r="F166">
            <v>19688</v>
          </cell>
          <cell r="G166">
            <v>43426</v>
          </cell>
          <cell r="H166">
            <v>36044</v>
          </cell>
          <cell r="I166">
            <v>34180</v>
          </cell>
          <cell r="J166">
            <v>1864</v>
          </cell>
          <cell r="K166">
            <v>7382</v>
          </cell>
        </row>
        <row r="167">
          <cell r="A167" t="str">
            <v>Kettering</v>
          </cell>
          <cell r="B167">
            <v>62816</v>
          </cell>
          <cell r="C167">
            <v>42797</v>
          </cell>
          <cell r="D167">
            <v>40882</v>
          </cell>
          <cell r="E167">
            <v>1915</v>
          </cell>
          <cell r="F167">
            <v>20019</v>
          </cell>
          <cell r="G167">
            <v>48948</v>
          </cell>
          <cell r="H167">
            <v>40386</v>
          </cell>
          <cell r="I167">
            <v>38471</v>
          </cell>
          <cell r="J167">
            <v>1915</v>
          </cell>
          <cell r="K167">
            <v>8562</v>
          </cell>
        </row>
        <row r="168">
          <cell r="A168" t="str">
            <v>Northampton</v>
          </cell>
          <cell r="B168">
            <v>147635</v>
          </cell>
          <cell r="C168">
            <v>100177</v>
          </cell>
          <cell r="D168">
            <v>94842</v>
          </cell>
          <cell r="E168">
            <v>5335</v>
          </cell>
          <cell r="F168">
            <v>47458</v>
          </cell>
          <cell r="G168">
            <v>118737</v>
          </cell>
          <cell r="H168">
            <v>97284</v>
          </cell>
          <cell r="I168">
            <v>92187</v>
          </cell>
          <cell r="J168">
            <v>5097</v>
          </cell>
          <cell r="K168">
            <v>21453</v>
          </cell>
        </row>
        <row r="169">
          <cell r="A169" t="str">
            <v>South Northamptonshire</v>
          </cell>
          <cell r="B169">
            <v>55766</v>
          </cell>
          <cell r="C169">
            <v>46499</v>
          </cell>
          <cell r="D169">
            <v>45100</v>
          </cell>
          <cell r="E169">
            <v>1399</v>
          </cell>
          <cell r="F169">
            <v>9267</v>
          </cell>
          <cell r="G169">
            <v>50712</v>
          </cell>
          <cell r="H169">
            <v>45386</v>
          </cell>
          <cell r="I169">
            <v>43987</v>
          </cell>
          <cell r="J169">
            <v>1399</v>
          </cell>
          <cell r="K169">
            <v>5326</v>
          </cell>
        </row>
        <row r="170">
          <cell r="A170" t="str">
            <v>Wellingborough</v>
          </cell>
          <cell r="B170">
            <v>51662</v>
          </cell>
          <cell r="C170">
            <v>33617</v>
          </cell>
          <cell r="D170">
            <v>33376</v>
          </cell>
          <cell r="E170">
            <v>241</v>
          </cell>
          <cell r="F170">
            <v>18045</v>
          </cell>
          <cell r="G170">
            <v>38407</v>
          </cell>
          <cell r="H170">
            <v>32245</v>
          </cell>
          <cell r="I170">
            <v>32004</v>
          </cell>
          <cell r="J170">
            <v>241</v>
          </cell>
          <cell r="K170">
            <v>6162</v>
          </cell>
        </row>
        <row r="172">
          <cell r="A172" t="str">
            <v>Nottinghamshire</v>
          </cell>
          <cell r="B172">
            <v>596535</v>
          </cell>
          <cell r="C172">
            <v>374818</v>
          </cell>
          <cell r="D172">
            <v>353237</v>
          </cell>
          <cell r="E172">
            <v>21581</v>
          </cell>
          <cell r="F172">
            <v>221717</v>
          </cell>
          <cell r="G172">
            <v>461778</v>
          </cell>
          <cell r="H172">
            <v>368314</v>
          </cell>
          <cell r="I172">
            <v>346733</v>
          </cell>
          <cell r="J172">
            <v>21581</v>
          </cell>
          <cell r="K172">
            <v>93464</v>
          </cell>
        </row>
        <row r="173">
          <cell r="A173" t="str">
            <v>Ashfield</v>
          </cell>
          <cell r="B173">
            <v>88120</v>
          </cell>
          <cell r="C173">
            <v>53235</v>
          </cell>
          <cell r="D173">
            <v>50558</v>
          </cell>
          <cell r="E173">
            <v>2677</v>
          </cell>
          <cell r="F173">
            <v>34885</v>
          </cell>
          <cell r="G173">
            <v>64861</v>
          </cell>
          <cell r="H173">
            <v>52295</v>
          </cell>
          <cell r="I173">
            <v>49618</v>
          </cell>
          <cell r="J173">
            <v>2677</v>
          </cell>
          <cell r="K173">
            <v>12566</v>
          </cell>
        </row>
        <row r="174">
          <cell r="A174" t="str">
            <v>Bassetlaw</v>
          </cell>
          <cell r="B174">
            <v>82823</v>
          </cell>
          <cell r="C174">
            <v>50106</v>
          </cell>
          <cell r="D174">
            <v>47112</v>
          </cell>
          <cell r="E174">
            <v>2994</v>
          </cell>
          <cell r="F174">
            <v>32717</v>
          </cell>
          <cell r="G174">
            <v>61172</v>
          </cell>
          <cell r="H174">
            <v>48952</v>
          </cell>
          <cell r="I174">
            <v>45958</v>
          </cell>
          <cell r="J174">
            <v>2994</v>
          </cell>
          <cell r="K174">
            <v>12220</v>
          </cell>
        </row>
        <row r="175">
          <cell r="A175" t="str">
            <v>Broxtowe</v>
          </cell>
          <cell r="B175">
            <v>93171</v>
          </cell>
          <cell r="C175">
            <v>59601</v>
          </cell>
          <cell r="D175">
            <v>54321</v>
          </cell>
          <cell r="E175">
            <v>5280</v>
          </cell>
          <cell r="F175">
            <v>33570</v>
          </cell>
          <cell r="G175">
            <v>73048</v>
          </cell>
          <cell r="H175">
            <v>59358</v>
          </cell>
          <cell r="I175">
            <v>54078</v>
          </cell>
          <cell r="J175">
            <v>5280</v>
          </cell>
          <cell r="K175">
            <v>13690</v>
          </cell>
        </row>
        <row r="176">
          <cell r="A176" t="str">
            <v>Gedling</v>
          </cell>
          <cell r="B176">
            <v>89736</v>
          </cell>
          <cell r="C176">
            <v>56376</v>
          </cell>
          <cell r="D176">
            <v>52165</v>
          </cell>
          <cell r="E176">
            <v>4211</v>
          </cell>
          <cell r="F176">
            <v>33360</v>
          </cell>
          <cell r="G176">
            <v>70462</v>
          </cell>
          <cell r="H176">
            <v>55299</v>
          </cell>
          <cell r="I176">
            <v>51088</v>
          </cell>
          <cell r="J176">
            <v>4211</v>
          </cell>
          <cell r="K176">
            <v>15163</v>
          </cell>
        </row>
        <row r="177">
          <cell r="A177" t="str">
            <v>Mansfield</v>
          </cell>
          <cell r="B177">
            <v>76554</v>
          </cell>
          <cell r="C177">
            <v>46066</v>
          </cell>
          <cell r="D177">
            <v>43803</v>
          </cell>
          <cell r="E177">
            <v>2263</v>
          </cell>
          <cell r="F177">
            <v>30488</v>
          </cell>
          <cell r="G177">
            <v>59916</v>
          </cell>
          <cell r="H177">
            <v>44993</v>
          </cell>
          <cell r="I177">
            <v>42730</v>
          </cell>
          <cell r="J177">
            <v>2263</v>
          </cell>
          <cell r="K177">
            <v>14923</v>
          </cell>
        </row>
        <row r="178">
          <cell r="A178" t="str">
            <v>Newark and Sherwood</v>
          </cell>
          <cell r="B178">
            <v>81818</v>
          </cell>
          <cell r="C178">
            <v>52548</v>
          </cell>
          <cell r="D178">
            <v>49682</v>
          </cell>
          <cell r="E178">
            <v>2866</v>
          </cell>
          <cell r="F178">
            <v>29270</v>
          </cell>
          <cell r="G178">
            <v>65825</v>
          </cell>
          <cell r="H178">
            <v>52109</v>
          </cell>
          <cell r="I178">
            <v>49243</v>
          </cell>
          <cell r="J178">
            <v>2866</v>
          </cell>
          <cell r="K178">
            <v>13716</v>
          </cell>
        </row>
        <row r="179">
          <cell r="A179" t="str">
            <v>Rushcliffe</v>
          </cell>
          <cell r="B179">
            <v>84313</v>
          </cell>
          <cell r="C179">
            <v>56886</v>
          </cell>
          <cell r="D179">
            <v>55596</v>
          </cell>
          <cell r="E179">
            <v>1290</v>
          </cell>
          <cell r="F179">
            <v>27427</v>
          </cell>
          <cell r="G179">
            <v>66494</v>
          </cell>
          <cell r="H179">
            <v>55308</v>
          </cell>
          <cell r="I179">
            <v>54018</v>
          </cell>
          <cell r="J179">
            <v>1290</v>
          </cell>
          <cell r="K179">
            <v>11186</v>
          </cell>
        </row>
        <row r="181">
          <cell r="A181" t="str">
            <v>WEST MIDLANDS</v>
          </cell>
          <cell r="B181">
            <v>4101261</v>
          </cell>
          <cell r="C181">
            <v>2592602</v>
          </cell>
          <cell r="D181">
            <v>2423195</v>
          </cell>
          <cell r="E181">
            <v>169407</v>
          </cell>
          <cell r="F181">
            <v>1508659</v>
          </cell>
          <cell r="G181">
            <v>3180810</v>
          </cell>
          <cell r="H181">
            <v>2524140</v>
          </cell>
          <cell r="I181">
            <v>2356712</v>
          </cell>
          <cell r="J181">
            <v>167428</v>
          </cell>
          <cell r="K181">
            <v>656670</v>
          </cell>
        </row>
        <row r="183">
          <cell r="A183" t="str">
            <v>Herefordshire, County of UA</v>
          </cell>
          <cell r="B183">
            <v>128544</v>
          </cell>
          <cell r="C183">
            <v>78702</v>
          </cell>
          <cell r="D183">
            <v>74730</v>
          </cell>
          <cell r="E183">
            <v>3972</v>
          </cell>
          <cell r="F183">
            <v>49842</v>
          </cell>
          <cell r="G183">
            <v>89607</v>
          </cell>
          <cell r="H183">
            <v>73608</v>
          </cell>
          <cell r="I183">
            <v>69636</v>
          </cell>
          <cell r="J183">
            <v>3972</v>
          </cell>
          <cell r="K183">
            <v>15999</v>
          </cell>
        </row>
        <row r="184">
          <cell r="A184" t="str">
            <v>Stoke-on-Trent UA</v>
          </cell>
          <cell r="B184">
            <v>197866</v>
          </cell>
          <cell r="C184">
            <v>108297</v>
          </cell>
          <cell r="D184">
            <v>100385</v>
          </cell>
          <cell r="E184">
            <v>7912</v>
          </cell>
          <cell r="F184">
            <v>89569</v>
          </cell>
          <cell r="G184">
            <v>146625</v>
          </cell>
          <cell r="H184">
            <v>107564</v>
          </cell>
          <cell r="I184">
            <v>99652</v>
          </cell>
          <cell r="J184">
            <v>7912</v>
          </cell>
          <cell r="K184">
            <v>39061</v>
          </cell>
        </row>
        <row r="185">
          <cell r="A185" t="str">
            <v>Telford and Wrekin UA</v>
          </cell>
          <cell r="B185">
            <v>114168</v>
          </cell>
          <cell r="C185">
            <v>77052</v>
          </cell>
          <cell r="D185">
            <v>72536</v>
          </cell>
          <cell r="E185">
            <v>4516</v>
          </cell>
          <cell r="F185">
            <v>37116</v>
          </cell>
          <cell r="G185">
            <v>93788</v>
          </cell>
          <cell r="H185">
            <v>75112</v>
          </cell>
          <cell r="I185">
            <v>70802</v>
          </cell>
          <cell r="J185">
            <v>4310</v>
          </cell>
          <cell r="K185">
            <v>18676</v>
          </cell>
        </row>
        <row r="187">
          <cell r="A187" t="str">
            <v>Shropshire</v>
          </cell>
          <cell r="B187">
            <v>220257</v>
          </cell>
          <cell r="C187">
            <v>145152</v>
          </cell>
          <cell r="D187">
            <v>138201</v>
          </cell>
          <cell r="E187">
            <v>6951</v>
          </cell>
          <cell r="F187">
            <v>75105</v>
          </cell>
          <cell r="G187">
            <v>177042</v>
          </cell>
          <cell r="H187">
            <v>140214</v>
          </cell>
          <cell r="I187">
            <v>133263</v>
          </cell>
          <cell r="J187">
            <v>6951</v>
          </cell>
          <cell r="K187">
            <v>36828</v>
          </cell>
        </row>
        <row r="188">
          <cell r="A188" t="str">
            <v>Bridgnorth</v>
          </cell>
          <cell r="B188">
            <v>39963</v>
          </cell>
          <cell r="C188">
            <v>29675</v>
          </cell>
          <cell r="D188">
            <v>27983</v>
          </cell>
          <cell r="E188">
            <v>1692</v>
          </cell>
          <cell r="F188">
            <v>10288</v>
          </cell>
          <cell r="G188">
            <v>34209</v>
          </cell>
          <cell r="H188">
            <v>28448</v>
          </cell>
          <cell r="I188">
            <v>26756</v>
          </cell>
          <cell r="J188">
            <v>1692</v>
          </cell>
          <cell r="K188">
            <v>5761</v>
          </cell>
        </row>
        <row r="189">
          <cell r="A189" t="str">
            <v>North Shropshire</v>
          </cell>
          <cell r="B189">
            <v>41523</v>
          </cell>
          <cell r="C189">
            <v>27798</v>
          </cell>
          <cell r="D189">
            <v>26311</v>
          </cell>
          <cell r="E189">
            <v>1487</v>
          </cell>
          <cell r="F189">
            <v>13725</v>
          </cell>
          <cell r="G189">
            <v>30908</v>
          </cell>
          <cell r="H189">
            <v>25588</v>
          </cell>
          <cell r="I189">
            <v>24101</v>
          </cell>
          <cell r="J189">
            <v>1487</v>
          </cell>
          <cell r="K189">
            <v>5320</v>
          </cell>
        </row>
        <row r="190">
          <cell r="A190" t="str">
            <v>Oswestry</v>
          </cell>
          <cell r="B190">
            <v>28359</v>
          </cell>
          <cell r="C190">
            <v>21030</v>
          </cell>
          <cell r="D190">
            <v>20036</v>
          </cell>
          <cell r="E190">
            <v>994</v>
          </cell>
          <cell r="F190">
            <v>7329</v>
          </cell>
          <cell r="G190">
            <v>23849</v>
          </cell>
          <cell r="H190">
            <v>20857</v>
          </cell>
          <cell r="I190">
            <v>19863</v>
          </cell>
          <cell r="J190">
            <v>994</v>
          </cell>
          <cell r="K190">
            <v>2992</v>
          </cell>
        </row>
        <row r="191">
          <cell r="A191" t="str">
            <v>Shrewsbury and Atcham</v>
          </cell>
          <cell r="B191">
            <v>77740</v>
          </cell>
          <cell r="C191">
            <v>46915</v>
          </cell>
          <cell r="D191">
            <v>44428</v>
          </cell>
          <cell r="E191">
            <v>2487</v>
          </cell>
          <cell r="F191">
            <v>30825</v>
          </cell>
          <cell r="G191">
            <v>62113</v>
          </cell>
          <cell r="H191">
            <v>46282</v>
          </cell>
          <cell r="I191">
            <v>43795</v>
          </cell>
          <cell r="J191">
            <v>2487</v>
          </cell>
          <cell r="K191">
            <v>15831</v>
          </cell>
        </row>
        <row r="192">
          <cell r="A192" t="str">
            <v>South Shropshire</v>
          </cell>
          <cell r="B192">
            <v>32672</v>
          </cell>
          <cell r="C192">
            <v>19734</v>
          </cell>
          <cell r="D192">
            <v>19443</v>
          </cell>
          <cell r="E192">
            <v>291</v>
          </cell>
          <cell r="F192">
            <v>12938</v>
          </cell>
          <cell r="G192">
            <v>25963</v>
          </cell>
          <cell r="H192">
            <v>19039</v>
          </cell>
          <cell r="I192">
            <v>18748</v>
          </cell>
          <cell r="J192">
            <v>291</v>
          </cell>
          <cell r="K192">
            <v>6924</v>
          </cell>
        </row>
        <row r="194">
          <cell r="A194" t="str">
            <v>Staffordshire</v>
          </cell>
          <cell r="B194">
            <v>581818</v>
          </cell>
          <cell r="C194">
            <v>379341</v>
          </cell>
          <cell r="D194">
            <v>360873</v>
          </cell>
          <cell r="E194">
            <v>18468</v>
          </cell>
          <cell r="F194">
            <v>202477</v>
          </cell>
          <cell r="G194">
            <v>448259</v>
          </cell>
          <cell r="H194">
            <v>369873</v>
          </cell>
          <cell r="I194">
            <v>351405</v>
          </cell>
          <cell r="J194">
            <v>18468</v>
          </cell>
          <cell r="K194">
            <v>78386</v>
          </cell>
        </row>
        <row r="195">
          <cell r="A195" t="str">
            <v>Cannock Chase</v>
          </cell>
          <cell r="B195">
            <v>72975</v>
          </cell>
          <cell r="C195">
            <v>43407</v>
          </cell>
          <cell r="D195">
            <v>40750</v>
          </cell>
          <cell r="E195">
            <v>2657</v>
          </cell>
          <cell r="F195">
            <v>29568</v>
          </cell>
          <cell r="G195">
            <v>56532</v>
          </cell>
          <cell r="H195">
            <v>42259</v>
          </cell>
          <cell r="I195">
            <v>39602</v>
          </cell>
          <cell r="J195">
            <v>2657</v>
          </cell>
          <cell r="K195">
            <v>14273</v>
          </cell>
        </row>
        <row r="196">
          <cell r="A196" t="str">
            <v>East Staffordshire</v>
          </cell>
          <cell r="B196">
            <v>79684</v>
          </cell>
          <cell r="C196">
            <v>52442</v>
          </cell>
          <cell r="D196">
            <v>50166</v>
          </cell>
          <cell r="E196">
            <v>2276</v>
          </cell>
          <cell r="F196">
            <v>27242</v>
          </cell>
          <cell r="G196">
            <v>59269</v>
          </cell>
          <cell r="H196">
            <v>51986</v>
          </cell>
          <cell r="I196">
            <v>49710</v>
          </cell>
          <cell r="J196">
            <v>2276</v>
          </cell>
          <cell r="K196">
            <v>7283</v>
          </cell>
        </row>
        <row r="197">
          <cell r="A197" t="str">
            <v>Lichfield</v>
          </cell>
          <cell r="B197">
            <v>74133</v>
          </cell>
          <cell r="C197">
            <v>49615</v>
          </cell>
          <cell r="D197">
            <v>46182</v>
          </cell>
          <cell r="E197">
            <v>3433</v>
          </cell>
          <cell r="F197">
            <v>24518</v>
          </cell>
          <cell r="G197">
            <v>60710</v>
          </cell>
          <cell r="H197">
            <v>48272</v>
          </cell>
          <cell r="I197">
            <v>44839</v>
          </cell>
          <cell r="J197">
            <v>3433</v>
          </cell>
          <cell r="K197">
            <v>12438</v>
          </cell>
        </row>
        <row r="198">
          <cell r="A198" t="str">
            <v>Newcastle-under-Lyme</v>
          </cell>
          <cell r="B198">
            <v>98263</v>
          </cell>
          <cell r="C198">
            <v>56574</v>
          </cell>
          <cell r="D198">
            <v>53165</v>
          </cell>
          <cell r="E198">
            <v>3409</v>
          </cell>
          <cell r="F198">
            <v>41689</v>
          </cell>
          <cell r="G198">
            <v>71005</v>
          </cell>
          <cell r="H198">
            <v>55056</v>
          </cell>
          <cell r="I198">
            <v>51647</v>
          </cell>
          <cell r="J198">
            <v>3409</v>
          </cell>
          <cell r="K198">
            <v>15949</v>
          </cell>
        </row>
        <row r="199">
          <cell r="A199" t="str">
            <v>South Staffordshire</v>
          </cell>
          <cell r="B199">
            <v>80328</v>
          </cell>
          <cell r="C199">
            <v>58922</v>
          </cell>
          <cell r="D199">
            <v>57538</v>
          </cell>
          <cell r="E199">
            <v>1384</v>
          </cell>
          <cell r="F199">
            <v>21406</v>
          </cell>
          <cell r="G199">
            <v>65981</v>
          </cell>
          <cell r="H199">
            <v>57877</v>
          </cell>
          <cell r="I199">
            <v>56493</v>
          </cell>
          <cell r="J199">
            <v>1384</v>
          </cell>
          <cell r="K199">
            <v>8104</v>
          </cell>
        </row>
        <row r="200">
          <cell r="A200" t="str">
            <v>Stafford</v>
          </cell>
          <cell r="B200">
            <v>100574</v>
          </cell>
          <cell r="C200">
            <v>69439</v>
          </cell>
          <cell r="D200">
            <v>65992</v>
          </cell>
          <cell r="E200">
            <v>3447</v>
          </cell>
          <cell r="F200">
            <v>31135</v>
          </cell>
          <cell r="G200">
            <v>79197</v>
          </cell>
          <cell r="H200">
            <v>66434</v>
          </cell>
          <cell r="I200">
            <v>62987</v>
          </cell>
          <cell r="J200">
            <v>3447</v>
          </cell>
          <cell r="K200">
            <v>12763</v>
          </cell>
        </row>
        <row r="201">
          <cell r="A201" t="str">
            <v>Staffordshire Moorlands</v>
          </cell>
          <cell r="B201">
            <v>75861</v>
          </cell>
          <cell r="C201">
            <v>48942</v>
          </cell>
          <cell r="D201">
            <v>47080</v>
          </cell>
          <cell r="E201">
            <v>1862</v>
          </cell>
          <cell r="F201">
            <v>26919</v>
          </cell>
          <cell r="G201">
            <v>55565</v>
          </cell>
          <cell r="H201">
            <v>47989</v>
          </cell>
          <cell r="I201">
            <v>46127</v>
          </cell>
          <cell r="J201">
            <v>1862</v>
          </cell>
          <cell r="K201">
            <v>7576</v>
          </cell>
        </row>
        <row r="202">
          <cell r="A202" t="str">
            <v>Tamworth</v>
          </cell>
          <cell r="B202">
            <v>57639</v>
          </cell>
          <cell r="C202">
            <v>42395</v>
          </cell>
          <cell r="D202">
            <v>40477</v>
          </cell>
          <cell r="E202">
            <v>1918</v>
          </cell>
          <cell r="F202">
            <v>15244</v>
          </cell>
          <cell r="G202">
            <v>49570</v>
          </cell>
          <cell r="H202">
            <v>42395</v>
          </cell>
          <cell r="I202">
            <v>40477</v>
          </cell>
          <cell r="J202">
            <v>1918</v>
          </cell>
          <cell r="K202">
            <v>7175</v>
          </cell>
        </row>
        <row r="204">
          <cell r="A204" t="str">
            <v>Warwickshire</v>
          </cell>
          <cell r="B204">
            <v>406106</v>
          </cell>
          <cell r="C204">
            <v>275387</v>
          </cell>
          <cell r="D204">
            <v>265135</v>
          </cell>
          <cell r="E204">
            <v>10252</v>
          </cell>
          <cell r="F204">
            <v>130719</v>
          </cell>
          <cell r="G204">
            <v>320764</v>
          </cell>
          <cell r="H204">
            <v>266808</v>
          </cell>
          <cell r="I204">
            <v>256791</v>
          </cell>
          <cell r="J204">
            <v>10017</v>
          </cell>
          <cell r="K204">
            <v>53956</v>
          </cell>
        </row>
        <row r="205">
          <cell r="A205" t="str">
            <v>North Warwickshire</v>
          </cell>
          <cell r="B205">
            <v>50014</v>
          </cell>
          <cell r="C205">
            <v>33768</v>
          </cell>
          <cell r="D205">
            <v>33251</v>
          </cell>
          <cell r="E205">
            <v>517</v>
          </cell>
          <cell r="F205">
            <v>16246</v>
          </cell>
          <cell r="G205">
            <v>40135</v>
          </cell>
          <cell r="H205">
            <v>33524</v>
          </cell>
          <cell r="I205">
            <v>33007</v>
          </cell>
          <cell r="J205">
            <v>517</v>
          </cell>
          <cell r="K205">
            <v>6611</v>
          </cell>
        </row>
        <row r="206">
          <cell r="A206" t="str">
            <v>Nuneaton and Bedworth</v>
          </cell>
          <cell r="B206">
            <v>93146</v>
          </cell>
          <cell r="C206">
            <v>60105</v>
          </cell>
          <cell r="D206">
            <v>56310</v>
          </cell>
          <cell r="E206">
            <v>3795</v>
          </cell>
          <cell r="F206">
            <v>33041</v>
          </cell>
          <cell r="G206">
            <v>73196</v>
          </cell>
          <cell r="H206">
            <v>59579</v>
          </cell>
          <cell r="I206">
            <v>55784</v>
          </cell>
          <cell r="J206">
            <v>3795</v>
          </cell>
          <cell r="K206">
            <v>13617</v>
          </cell>
        </row>
        <row r="207">
          <cell r="A207" t="str">
            <v>Rugby</v>
          </cell>
          <cell r="B207">
            <v>71408</v>
          </cell>
          <cell r="C207">
            <v>50168</v>
          </cell>
          <cell r="D207">
            <v>48839</v>
          </cell>
          <cell r="E207">
            <v>1329</v>
          </cell>
          <cell r="F207">
            <v>21240</v>
          </cell>
          <cell r="G207">
            <v>58773</v>
          </cell>
          <cell r="H207">
            <v>48758</v>
          </cell>
          <cell r="I207">
            <v>47429</v>
          </cell>
          <cell r="J207">
            <v>1329</v>
          </cell>
          <cell r="K207">
            <v>10015</v>
          </cell>
        </row>
        <row r="208">
          <cell r="A208" t="str">
            <v>Stratford-on-Avon</v>
          </cell>
          <cell r="B208">
            <v>90347</v>
          </cell>
          <cell r="C208">
            <v>62757</v>
          </cell>
          <cell r="D208">
            <v>61818</v>
          </cell>
          <cell r="E208">
            <v>939</v>
          </cell>
          <cell r="F208">
            <v>27590</v>
          </cell>
          <cell r="G208">
            <v>69188</v>
          </cell>
          <cell r="H208">
            <v>58695</v>
          </cell>
          <cell r="I208">
            <v>57991</v>
          </cell>
          <cell r="J208">
            <v>704</v>
          </cell>
          <cell r="K208">
            <v>10493</v>
          </cell>
        </row>
        <row r="209">
          <cell r="A209" t="str">
            <v>Warwick</v>
          </cell>
          <cell r="B209">
            <v>101191</v>
          </cell>
          <cell r="C209">
            <v>68589</v>
          </cell>
          <cell r="D209">
            <v>64917</v>
          </cell>
          <cell r="E209">
            <v>3672</v>
          </cell>
          <cell r="F209">
            <v>32602</v>
          </cell>
          <cell r="G209">
            <v>79472</v>
          </cell>
          <cell r="H209">
            <v>66252</v>
          </cell>
          <cell r="I209">
            <v>62580</v>
          </cell>
          <cell r="J209">
            <v>3672</v>
          </cell>
          <cell r="K209">
            <v>13220</v>
          </cell>
        </row>
        <row r="211">
          <cell r="A211" t="str">
            <v>West Midlands (Met County)</v>
          </cell>
          <cell r="B211">
            <v>2024072</v>
          </cell>
          <cell r="C211">
            <v>1236892</v>
          </cell>
          <cell r="D211">
            <v>1131896</v>
          </cell>
          <cell r="E211">
            <v>104996</v>
          </cell>
          <cell r="F211">
            <v>787180</v>
          </cell>
          <cell r="G211">
            <v>1572373</v>
          </cell>
          <cell r="H211">
            <v>1209614</v>
          </cell>
          <cell r="I211">
            <v>1105758</v>
          </cell>
          <cell r="J211">
            <v>103856</v>
          </cell>
          <cell r="K211">
            <v>362759</v>
          </cell>
        </row>
        <row r="212">
          <cell r="A212" t="str">
            <v>Birmingham</v>
          </cell>
          <cell r="B212">
            <v>757812</v>
          </cell>
          <cell r="C212">
            <v>453329</v>
          </cell>
          <cell r="D212">
            <v>406968</v>
          </cell>
          <cell r="E212">
            <v>46361</v>
          </cell>
          <cell r="F212">
            <v>304483</v>
          </cell>
          <cell r="G212">
            <v>596694</v>
          </cell>
          <cell r="H212">
            <v>443442</v>
          </cell>
          <cell r="I212">
            <v>397522</v>
          </cell>
          <cell r="J212">
            <v>45920</v>
          </cell>
          <cell r="K212">
            <v>153252</v>
          </cell>
        </row>
        <row r="213">
          <cell r="A213" t="str">
            <v>Coventry</v>
          </cell>
          <cell r="B213">
            <v>239182</v>
          </cell>
          <cell r="C213">
            <v>141280</v>
          </cell>
          <cell r="D213">
            <v>131474</v>
          </cell>
          <cell r="E213">
            <v>9806</v>
          </cell>
          <cell r="F213">
            <v>97902</v>
          </cell>
          <cell r="G213">
            <v>175785</v>
          </cell>
          <cell r="H213">
            <v>137660</v>
          </cell>
          <cell r="I213">
            <v>127854</v>
          </cell>
          <cell r="J213">
            <v>9806</v>
          </cell>
          <cell r="K213">
            <v>38125</v>
          </cell>
        </row>
        <row r="214">
          <cell r="A214" t="str">
            <v xml:space="preserve">Dudley </v>
          </cell>
          <cell r="B214">
            <v>245778</v>
          </cell>
          <cell r="C214">
            <v>161490</v>
          </cell>
          <cell r="D214">
            <v>152276</v>
          </cell>
          <cell r="E214">
            <v>9214</v>
          </cell>
          <cell r="F214">
            <v>84288</v>
          </cell>
          <cell r="G214">
            <v>189456</v>
          </cell>
          <cell r="H214">
            <v>156544</v>
          </cell>
          <cell r="I214">
            <v>147558</v>
          </cell>
          <cell r="J214">
            <v>8986</v>
          </cell>
          <cell r="K214">
            <v>32912</v>
          </cell>
        </row>
        <row r="215">
          <cell r="A215" t="str">
            <v xml:space="preserve">Sandwell </v>
          </cell>
          <cell r="B215">
            <v>220517</v>
          </cell>
          <cell r="C215">
            <v>130757</v>
          </cell>
          <cell r="D215">
            <v>116498</v>
          </cell>
          <cell r="E215">
            <v>14259</v>
          </cell>
          <cell r="F215">
            <v>89760</v>
          </cell>
          <cell r="G215">
            <v>169386</v>
          </cell>
          <cell r="H215">
            <v>129598</v>
          </cell>
          <cell r="I215">
            <v>115339</v>
          </cell>
          <cell r="J215">
            <v>14259</v>
          </cell>
          <cell r="K215">
            <v>39788</v>
          </cell>
        </row>
        <row r="216">
          <cell r="A216" t="str">
            <v>Solihull</v>
          </cell>
          <cell r="B216">
            <v>165233</v>
          </cell>
          <cell r="C216">
            <v>108860</v>
          </cell>
          <cell r="D216">
            <v>105399</v>
          </cell>
          <cell r="E216">
            <v>3461</v>
          </cell>
          <cell r="F216">
            <v>56373</v>
          </cell>
          <cell r="G216">
            <v>128261</v>
          </cell>
          <cell r="H216">
            <v>105844</v>
          </cell>
          <cell r="I216">
            <v>102383</v>
          </cell>
          <cell r="J216">
            <v>3461</v>
          </cell>
          <cell r="K216">
            <v>22417</v>
          </cell>
        </row>
        <row r="217">
          <cell r="A217" t="str">
            <v>Walsall</v>
          </cell>
          <cell r="B217">
            <v>204090</v>
          </cell>
          <cell r="C217">
            <v>130021</v>
          </cell>
          <cell r="D217">
            <v>120946</v>
          </cell>
          <cell r="E217">
            <v>9075</v>
          </cell>
          <cell r="F217">
            <v>74069</v>
          </cell>
          <cell r="G217">
            <v>166791</v>
          </cell>
          <cell r="H217">
            <v>127975</v>
          </cell>
          <cell r="I217">
            <v>118900</v>
          </cell>
          <cell r="J217">
            <v>9075</v>
          </cell>
          <cell r="K217">
            <v>38816</v>
          </cell>
        </row>
        <row r="218">
          <cell r="A218" t="str">
            <v>Wolverhampton</v>
          </cell>
          <cell r="B218">
            <v>191460</v>
          </cell>
          <cell r="C218">
            <v>111155</v>
          </cell>
          <cell r="D218">
            <v>98335</v>
          </cell>
          <cell r="E218">
            <v>12820</v>
          </cell>
          <cell r="F218">
            <v>80305</v>
          </cell>
          <cell r="G218">
            <v>146000</v>
          </cell>
          <cell r="H218">
            <v>108551</v>
          </cell>
          <cell r="I218">
            <v>96202</v>
          </cell>
          <cell r="J218">
            <v>12349</v>
          </cell>
          <cell r="K218">
            <v>37449</v>
          </cell>
        </row>
        <row r="220">
          <cell r="A220" t="str">
            <v>Worcestershire</v>
          </cell>
          <cell r="B220">
            <v>428430</v>
          </cell>
          <cell r="C220">
            <v>291779</v>
          </cell>
          <cell r="D220">
            <v>279439</v>
          </cell>
          <cell r="E220">
            <v>12340</v>
          </cell>
          <cell r="F220">
            <v>136651</v>
          </cell>
          <cell r="G220">
            <v>332352</v>
          </cell>
          <cell r="H220">
            <v>281347</v>
          </cell>
          <cell r="I220">
            <v>269405</v>
          </cell>
          <cell r="J220">
            <v>11942</v>
          </cell>
          <cell r="K220">
            <v>51005</v>
          </cell>
        </row>
        <row r="221">
          <cell r="A221" t="str">
            <v>Bromsgrove</v>
          </cell>
          <cell r="B221">
            <v>67732</v>
          </cell>
          <cell r="C221">
            <v>41100</v>
          </cell>
          <cell r="D221">
            <v>40238</v>
          </cell>
          <cell r="E221">
            <v>862</v>
          </cell>
          <cell r="F221">
            <v>26632</v>
          </cell>
          <cell r="G221">
            <v>49527</v>
          </cell>
          <cell r="H221">
            <v>39699</v>
          </cell>
          <cell r="I221">
            <v>39027</v>
          </cell>
          <cell r="J221">
            <v>672</v>
          </cell>
          <cell r="K221">
            <v>9828</v>
          </cell>
        </row>
        <row r="222">
          <cell r="A222" t="str">
            <v>Malvern Hills</v>
          </cell>
          <cell r="B222">
            <v>59529</v>
          </cell>
          <cell r="C222">
            <v>39292</v>
          </cell>
          <cell r="D222">
            <v>38130</v>
          </cell>
          <cell r="E222">
            <v>1162</v>
          </cell>
          <cell r="F222">
            <v>20237</v>
          </cell>
          <cell r="G222">
            <v>43166</v>
          </cell>
          <cell r="H222">
            <v>37538</v>
          </cell>
          <cell r="I222">
            <v>36584</v>
          </cell>
          <cell r="J222">
            <v>954</v>
          </cell>
          <cell r="K222">
            <v>5628</v>
          </cell>
        </row>
        <row r="223">
          <cell r="A223" t="str">
            <v>Redditch</v>
          </cell>
          <cell r="B223">
            <v>61689</v>
          </cell>
          <cell r="C223">
            <v>45353</v>
          </cell>
          <cell r="D223">
            <v>42633</v>
          </cell>
          <cell r="E223">
            <v>2720</v>
          </cell>
          <cell r="F223">
            <v>16336</v>
          </cell>
          <cell r="G223">
            <v>51495</v>
          </cell>
          <cell r="H223">
            <v>45136</v>
          </cell>
          <cell r="I223">
            <v>42416</v>
          </cell>
          <cell r="J223">
            <v>2720</v>
          </cell>
          <cell r="K223">
            <v>6359</v>
          </cell>
        </row>
        <row r="224">
          <cell r="A224" t="str">
            <v>Worcester</v>
          </cell>
          <cell r="B224">
            <v>74536</v>
          </cell>
          <cell r="C224">
            <v>52485</v>
          </cell>
          <cell r="D224">
            <v>48783</v>
          </cell>
          <cell r="E224">
            <v>3702</v>
          </cell>
          <cell r="F224">
            <v>22051</v>
          </cell>
          <cell r="G224">
            <v>60279</v>
          </cell>
          <cell r="H224">
            <v>51144</v>
          </cell>
          <cell r="I224">
            <v>47442</v>
          </cell>
          <cell r="J224">
            <v>3702</v>
          </cell>
          <cell r="K224">
            <v>9135</v>
          </cell>
        </row>
        <row r="225">
          <cell r="A225" t="str">
            <v>Wychavon</v>
          </cell>
          <cell r="B225">
            <v>85930</v>
          </cell>
          <cell r="C225">
            <v>57554</v>
          </cell>
          <cell r="D225">
            <v>56319</v>
          </cell>
          <cell r="E225">
            <v>1235</v>
          </cell>
          <cell r="F225">
            <v>28376</v>
          </cell>
          <cell r="G225">
            <v>66489</v>
          </cell>
          <cell r="H225">
            <v>54794</v>
          </cell>
          <cell r="I225">
            <v>53559</v>
          </cell>
          <cell r="J225">
            <v>1235</v>
          </cell>
          <cell r="K225">
            <v>11695</v>
          </cell>
        </row>
        <row r="226">
          <cell r="A226" t="str">
            <v>Wyre Forest</v>
          </cell>
          <cell r="B226">
            <v>79014</v>
          </cell>
          <cell r="C226">
            <v>55995</v>
          </cell>
          <cell r="D226">
            <v>53336</v>
          </cell>
          <cell r="E226">
            <v>2659</v>
          </cell>
          <cell r="F226">
            <v>23019</v>
          </cell>
          <cell r="G226">
            <v>61396</v>
          </cell>
          <cell r="H226">
            <v>53036</v>
          </cell>
          <cell r="I226">
            <v>50377</v>
          </cell>
          <cell r="J226">
            <v>2659</v>
          </cell>
          <cell r="K226">
            <v>8360</v>
          </cell>
        </row>
        <row r="228">
          <cell r="A228" t="str">
            <v>EAST</v>
          </cell>
          <cell r="B228">
            <v>4226372</v>
          </cell>
          <cell r="C228">
            <v>2746833</v>
          </cell>
          <cell r="D228">
            <v>2622671</v>
          </cell>
          <cell r="E228">
            <v>124162</v>
          </cell>
          <cell r="F228">
            <v>1479539</v>
          </cell>
          <cell r="G228">
            <v>3272183</v>
          </cell>
          <cell r="H228">
            <v>2664487</v>
          </cell>
          <cell r="I228">
            <v>2541514</v>
          </cell>
          <cell r="J228">
            <v>122973</v>
          </cell>
          <cell r="K228">
            <v>607696</v>
          </cell>
        </row>
        <row r="230">
          <cell r="A230" t="str">
            <v>Luton UA</v>
          </cell>
          <cell r="B230">
            <v>138752</v>
          </cell>
          <cell r="C230">
            <v>92864</v>
          </cell>
          <cell r="D230">
            <v>89657</v>
          </cell>
          <cell r="E230">
            <v>3207</v>
          </cell>
          <cell r="F230">
            <v>45888</v>
          </cell>
          <cell r="G230">
            <v>113693</v>
          </cell>
          <cell r="H230">
            <v>91318</v>
          </cell>
          <cell r="I230">
            <v>88111</v>
          </cell>
          <cell r="J230">
            <v>3207</v>
          </cell>
          <cell r="K230">
            <v>22375</v>
          </cell>
        </row>
        <row r="231">
          <cell r="A231" t="str">
            <v>Peterborough UA</v>
          </cell>
          <cell r="B231">
            <v>112196</v>
          </cell>
          <cell r="C231">
            <v>73926</v>
          </cell>
          <cell r="D231">
            <v>70067</v>
          </cell>
          <cell r="E231">
            <v>3859</v>
          </cell>
          <cell r="F231">
            <v>38270</v>
          </cell>
          <cell r="G231">
            <v>89600</v>
          </cell>
          <cell r="H231">
            <v>70944</v>
          </cell>
          <cell r="I231">
            <v>67085</v>
          </cell>
          <cell r="J231">
            <v>3859</v>
          </cell>
          <cell r="K231">
            <v>18656</v>
          </cell>
        </row>
        <row r="232">
          <cell r="A232" t="str">
            <v>Southend-on-Sea UA</v>
          </cell>
          <cell r="B232">
            <v>138504</v>
          </cell>
          <cell r="C232">
            <v>85153</v>
          </cell>
          <cell r="D232">
            <v>78648</v>
          </cell>
          <cell r="E232">
            <v>6505</v>
          </cell>
          <cell r="F232">
            <v>53351</v>
          </cell>
          <cell r="G232">
            <v>104634</v>
          </cell>
          <cell r="H232">
            <v>80315</v>
          </cell>
          <cell r="I232">
            <v>73810</v>
          </cell>
          <cell r="J232">
            <v>6505</v>
          </cell>
          <cell r="K232">
            <v>24319</v>
          </cell>
        </row>
        <row r="233">
          <cell r="A233" t="str">
            <v>Thurrock UA</v>
          </cell>
          <cell r="B233">
            <v>99248</v>
          </cell>
          <cell r="C233">
            <v>63626</v>
          </cell>
          <cell r="D233">
            <v>59204</v>
          </cell>
          <cell r="E233">
            <v>4422</v>
          </cell>
          <cell r="F233">
            <v>35622</v>
          </cell>
          <cell r="G233">
            <v>79435</v>
          </cell>
          <cell r="H233">
            <v>62219</v>
          </cell>
          <cell r="I233">
            <v>57797</v>
          </cell>
          <cell r="J233">
            <v>4422</v>
          </cell>
          <cell r="K233">
            <v>17216</v>
          </cell>
        </row>
        <row r="235">
          <cell r="A235" t="str">
            <v>Bedfordshire</v>
          </cell>
          <cell r="B235">
            <v>290318</v>
          </cell>
          <cell r="C235">
            <v>204176</v>
          </cell>
          <cell r="D235">
            <v>193596</v>
          </cell>
          <cell r="E235">
            <v>10580</v>
          </cell>
          <cell r="F235">
            <v>86142</v>
          </cell>
          <cell r="G235">
            <v>236308</v>
          </cell>
          <cell r="H235">
            <v>198173</v>
          </cell>
          <cell r="I235">
            <v>187814</v>
          </cell>
          <cell r="J235">
            <v>10359</v>
          </cell>
          <cell r="K235">
            <v>38135</v>
          </cell>
        </row>
        <row r="236">
          <cell r="A236" t="str">
            <v>Bedford</v>
          </cell>
          <cell r="B236">
            <v>107212</v>
          </cell>
          <cell r="C236">
            <v>70423</v>
          </cell>
          <cell r="D236">
            <v>66543</v>
          </cell>
          <cell r="E236">
            <v>3880</v>
          </cell>
          <cell r="F236">
            <v>36789</v>
          </cell>
          <cell r="G236">
            <v>83921</v>
          </cell>
          <cell r="H236">
            <v>68598</v>
          </cell>
          <cell r="I236">
            <v>64718</v>
          </cell>
          <cell r="J236">
            <v>3880</v>
          </cell>
          <cell r="K236">
            <v>15323</v>
          </cell>
        </row>
        <row r="237">
          <cell r="A237" t="str">
            <v>Mid Bedfordshire</v>
          </cell>
          <cell r="B237">
            <v>97623</v>
          </cell>
          <cell r="C237">
            <v>71068</v>
          </cell>
          <cell r="D237">
            <v>67911</v>
          </cell>
          <cell r="E237">
            <v>3157</v>
          </cell>
          <cell r="F237">
            <v>26555</v>
          </cell>
          <cell r="G237">
            <v>79633</v>
          </cell>
          <cell r="H237">
            <v>68779</v>
          </cell>
          <cell r="I237">
            <v>65622</v>
          </cell>
          <cell r="J237">
            <v>3157</v>
          </cell>
          <cell r="K237">
            <v>10854</v>
          </cell>
        </row>
        <row r="238">
          <cell r="A238" t="str">
            <v>South Bedfordshire</v>
          </cell>
          <cell r="B238">
            <v>85483</v>
          </cell>
          <cell r="C238">
            <v>62685</v>
          </cell>
          <cell r="D238">
            <v>59142</v>
          </cell>
          <cell r="E238">
            <v>3543</v>
          </cell>
          <cell r="F238">
            <v>22798</v>
          </cell>
          <cell r="G238">
            <v>72754</v>
          </cell>
          <cell r="H238">
            <v>60796</v>
          </cell>
          <cell r="I238">
            <v>57474</v>
          </cell>
          <cell r="J238">
            <v>3322</v>
          </cell>
          <cell r="K238">
            <v>11958</v>
          </cell>
        </row>
        <row r="240">
          <cell r="A240" t="str">
            <v>Cambridgeshire</v>
          </cell>
          <cell r="B240">
            <v>451697</v>
          </cell>
          <cell r="C240">
            <v>302742</v>
          </cell>
          <cell r="D240">
            <v>292920</v>
          </cell>
          <cell r="E240">
            <v>9822</v>
          </cell>
          <cell r="F240">
            <v>148955</v>
          </cell>
          <cell r="G240">
            <v>359255</v>
          </cell>
          <cell r="H240">
            <v>294894</v>
          </cell>
          <cell r="I240">
            <v>285351</v>
          </cell>
          <cell r="J240">
            <v>9543</v>
          </cell>
          <cell r="K240">
            <v>64361</v>
          </cell>
        </row>
        <row r="241">
          <cell r="A241" t="str">
            <v>Cambridge</v>
          </cell>
          <cell r="B241">
            <v>100055</v>
          </cell>
          <cell r="C241">
            <v>60825</v>
          </cell>
          <cell r="D241">
            <v>58821</v>
          </cell>
          <cell r="E241">
            <v>2004</v>
          </cell>
          <cell r="F241">
            <v>39230</v>
          </cell>
          <cell r="G241">
            <v>80692</v>
          </cell>
          <cell r="H241">
            <v>57899</v>
          </cell>
          <cell r="I241">
            <v>56174</v>
          </cell>
          <cell r="J241">
            <v>1725</v>
          </cell>
          <cell r="K241">
            <v>22793</v>
          </cell>
        </row>
        <row r="242">
          <cell r="A242" t="str">
            <v>East Cambridgeshire</v>
          </cell>
          <cell r="B242">
            <v>59080</v>
          </cell>
          <cell r="C242">
            <v>43902</v>
          </cell>
          <cell r="D242">
            <v>42397</v>
          </cell>
          <cell r="E242">
            <v>1505</v>
          </cell>
          <cell r="F242">
            <v>15178</v>
          </cell>
          <cell r="G242">
            <v>49299</v>
          </cell>
          <cell r="H242">
            <v>43419</v>
          </cell>
          <cell r="I242">
            <v>41914</v>
          </cell>
          <cell r="J242">
            <v>1505</v>
          </cell>
          <cell r="K242">
            <v>5880</v>
          </cell>
        </row>
        <row r="243">
          <cell r="A243" t="str">
            <v>Fenland</v>
          </cell>
          <cell r="B243">
            <v>68499</v>
          </cell>
          <cell r="C243">
            <v>42216</v>
          </cell>
          <cell r="D243">
            <v>39714</v>
          </cell>
          <cell r="E243">
            <v>2502</v>
          </cell>
          <cell r="F243">
            <v>26283</v>
          </cell>
          <cell r="G243">
            <v>48623</v>
          </cell>
          <cell r="H243">
            <v>41235</v>
          </cell>
          <cell r="I243">
            <v>38733</v>
          </cell>
          <cell r="J243">
            <v>2502</v>
          </cell>
          <cell r="K243">
            <v>7388</v>
          </cell>
        </row>
        <row r="244">
          <cell r="A244" t="str">
            <v>Huntingdonshire</v>
          </cell>
          <cell r="B244">
            <v>119165</v>
          </cell>
          <cell r="C244">
            <v>84296</v>
          </cell>
          <cell r="D244">
            <v>81306</v>
          </cell>
          <cell r="E244">
            <v>2990</v>
          </cell>
          <cell r="F244">
            <v>34869</v>
          </cell>
          <cell r="G244">
            <v>99748</v>
          </cell>
          <cell r="H244">
            <v>82864</v>
          </cell>
          <cell r="I244">
            <v>79874</v>
          </cell>
          <cell r="J244">
            <v>2990</v>
          </cell>
          <cell r="K244">
            <v>16884</v>
          </cell>
        </row>
        <row r="245">
          <cell r="A245" t="str">
            <v>South Cambridgeshire</v>
          </cell>
          <cell r="B245">
            <v>104898</v>
          </cell>
          <cell r="C245">
            <v>71503</v>
          </cell>
          <cell r="D245">
            <v>70682</v>
          </cell>
          <cell r="E245">
            <v>821</v>
          </cell>
          <cell r="F245">
            <v>33395</v>
          </cell>
          <cell r="G245">
            <v>80893</v>
          </cell>
          <cell r="H245">
            <v>69477</v>
          </cell>
          <cell r="I245">
            <v>68656</v>
          </cell>
          <cell r="J245">
            <v>821</v>
          </cell>
          <cell r="K245">
            <v>11416</v>
          </cell>
        </row>
        <row r="247">
          <cell r="A247" t="str">
            <v>Essex</v>
          </cell>
          <cell r="B247">
            <v>1024844</v>
          </cell>
          <cell r="C247">
            <v>648812</v>
          </cell>
          <cell r="D247">
            <v>621166</v>
          </cell>
          <cell r="E247">
            <v>27646</v>
          </cell>
          <cell r="F247">
            <v>376032</v>
          </cell>
          <cell r="G247">
            <v>788066</v>
          </cell>
          <cell r="H247">
            <v>631886</v>
          </cell>
          <cell r="I247">
            <v>604466</v>
          </cell>
          <cell r="J247">
            <v>27420</v>
          </cell>
          <cell r="K247">
            <v>156180</v>
          </cell>
        </row>
        <row r="248">
          <cell r="A248" t="str">
            <v>Basildon</v>
          </cell>
          <cell r="B248">
            <v>128523</v>
          </cell>
          <cell r="C248">
            <v>86312</v>
          </cell>
          <cell r="D248">
            <v>81245</v>
          </cell>
          <cell r="E248">
            <v>5067</v>
          </cell>
          <cell r="F248">
            <v>42211</v>
          </cell>
          <cell r="G248">
            <v>104369</v>
          </cell>
          <cell r="H248">
            <v>84554</v>
          </cell>
          <cell r="I248">
            <v>79487</v>
          </cell>
          <cell r="J248">
            <v>5067</v>
          </cell>
          <cell r="K248">
            <v>19815</v>
          </cell>
        </row>
        <row r="249">
          <cell r="A249" t="str">
            <v>Braintree</v>
          </cell>
          <cell r="B249">
            <v>97119</v>
          </cell>
          <cell r="C249">
            <v>62976</v>
          </cell>
          <cell r="D249">
            <v>61545</v>
          </cell>
          <cell r="E249">
            <v>1431</v>
          </cell>
          <cell r="F249">
            <v>34143</v>
          </cell>
          <cell r="G249">
            <v>76533</v>
          </cell>
          <cell r="H249">
            <v>60471</v>
          </cell>
          <cell r="I249">
            <v>59266</v>
          </cell>
          <cell r="J249">
            <v>1205</v>
          </cell>
          <cell r="K249">
            <v>16062</v>
          </cell>
        </row>
        <row r="250">
          <cell r="A250" t="str">
            <v>Brentwood</v>
          </cell>
          <cell r="B250">
            <v>55559</v>
          </cell>
          <cell r="C250">
            <v>35720</v>
          </cell>
          <cell r="D250">
            <v>34428</v>
          </cell>
          <cell r="E250">
            <v>1292</v>
          </cell>
          <cell r="F250">
            <v>19839</v>
          </cell>
          <cell r="G250">
            <v>41535</v>
          </cell>
          <cell r="H250">
            <v>33929</v>
          </cell>
          <cell r="I250">
            <v>32637</v>
          </cell>
          <cell r="J250">
            <v>1292</v>
          </cell>
          <cell r="K250">
            <v>7606</v>
          </cell>
        </row>
        <row r="251">
          <cell r="A251" t="str">
            <v>Castle Point</v>
          </cell>
          <cell r="B251">
            <v>67256</v>
          </cell>
          <cell r="C251">
            <v>42133</v>
          </cell>
          <cell r="D251">
            <v>41018</v>
          </cell>
          <cell r="E251">
            <v>1115</v>
          </cell>
          <cell r="F251">
            <v>25123</v>
          </cell>
          <cell r="G251">
            <v>50283</v>
          </cell>
          <cell r="H251">
            <v>41325</v>
          </cell>
          <cell r="I251">
            <v>40210</v>
          </cell>
          <cell r="J251">
            <v>1115</v>
          </cell>
          <cell r="K251">
            <v>8958</v>
          </cell>
        </row>
        <row r="252">
          <cell r="A252" t="str">
            <v>Chelmsford</v>
          </cell>
          <cell r="B252">
            <v>124881</v>
          </cell>
          <cell r="C252">
            <v>88294</v>
          </cell>
          <cell r="D252">
            <v>84126</v>
          </cell>
          <cell r="E252">
            <v>4168</v>
          </cell>
          <cell r="F252">
            <v>36587</v>
          </cell>
          <cell r="G252">
            <v>101215</v>
          </cell>
          <cell r="H252">
            <v>86288</v>
          </cell>
          <cell r="I252">
            <v>82120</v>
          </cell>
          <cell r="J252">
            <v>4168</v>
          </cell>
          <cell r="K252">
            <v>14927</v>
          </cell>
        </row>
        <row r="253">
          <cell r="A253" t="str">
            <v>Colchester</v>
          </cell>
          <cell r="B253">
            <v>123640</v>
          </cell>
          <cell r="C253">
            <v>78247</v>
          </cell>
          <cell r="D253">
            <v>76370</v>
          </cell>
          <cell r="E253">
            <v>1877</v>
          </cell>
          <cell r="F253">
            <v>45393</v>
          </cell>
          <cell r="G253">
            <v>102643</v>
          </cell>
          <cell r="H253">
            <v>77575</v>
          </cell>
          <cell r="I253">
            <v>75698</v>
          </cell>
          <cell r="J253">
            <v>1877</v>
          </cell>
          <cell r="K253">
            <v>25068</v>
          </cell>
        </row>
        <row r="254">
          <cell r="A254" t="str">
            <v>Epping Forest</v>
          </cell>
          <cell r="B254">
            <v>94610</v>
          </cell>
          <cell r="C254">
            <v>57720</v>
          </cell>
          <cell r="D254">
            <v>55470</v>
          </cell>
          <cell r="E254">
            <v>2250</v>
          </cell>
          <cell r="F254">
            <v>36890</v>
          </cell>
          <cell r="G254">
            <v>71462</v>
          </cell>
          <cell r="H254">
            <v>56305</v>
          </cell>
          <cell r="I254">
            <v>54055</v>
          </cell>
          <cell r="J254">
            <v>2250</v>
          </cell>
          <cell r="K254">
            <v>15157</v>
          </cell>
        </row>
        <row r="255">
          <cell r="A255" t="str">
            <v>Harlow</v>
          </cell>
          <cell r="B255">
            <v>62168</v>
          </cell>
          <cell r="C255">
            <v>39112</v>
          </cell>
          <cell r="D255">
            <v>36993</v>
          </cell>
          <cell r="E255">
            <v>2119</v>
          </cell>
          <cell r="F255">
            <v>23056</v>
          </cell>
          <cell r="G255">
            <v>45888</v>
          </cell>
          <cell r="H255">
            <v>38360</v>
          </cell>
          <cell r="I255">
            <v>36241</v>
          </cell>
          <cell r="J255">
            <v>2119</v>
          </cell>
          <cell r="K255">
            <v>7528</v>
          </cell>
        </row>
        <row r="256">
          <cell r="A256" t="str">
            <v>Maldon</v>
          </cell>
          <cell r="B256">
            <v>44345</v>
          </cell>
          <cell r="C256">
            <v>28163</v>
          </cell>
          <cell r="D256">
            <v>27186</v>
          </cell>
          <cell r="E256">
            <v>977</v>
          </cell>
          <cell r="F256">
            <v>16182</v>
          </cell>
          <cell r="G256">
            <v>34607</v>
          </cell>
          <cell r="H256">
            <v>27032</v>
          </cell>
          <cell r="I256">
            <v>26055</v>
          </cell>
          <cell r="J256">
            <v>977</v>
          </cell>
          <cell r="K256">
            <v>7575</v>
          </cell>
        </row>
        <row r="257">
          <cell r="A257" t="str">
            <v>Rochford</v>
          </cell>
          <cell r="B257">
            <v>63536</v>
          </cell>
          <cell r="C257">
            <v>40827</v>
          </cell>
          <cell r="D257">
            <v>38439</v>
          </cell>
          <cell r="E257">
            <v>2388</v>
          </cell>
          <cell r="F257">
            <v>22709</v>
          </cell>
          <cell r="G257">
            <v>49430</v>
          </cell>
          <cell r="H257">
            <v>40369</v>
          </cell>
          <cell r="I257">
            <v>37981</v>
          </cell>
          <cell r="J257">
            <v>2388</v>
          </cell>
          <cell r="K257">
            <v>9061</v>
          </cell>
        </row>
        <row r="258">
          <cell r="A258" t="str">
            <v>Tendring</v>
          </cell>
          <cell r="B258">
            <v>106439</v>
          </cell>
          <cell r="C258">
            <v>52541</v>
          </cell>
          <cell r="D258">
            <v>48798</v>
          </cell>
          <cell r="E258">
            <v>3743</v>
          </cell>
          <cell r="F258">
            <v>53898</v>
          </cell>
          <cell r="G258">
            <v>66890</v>
          </cell>
          <cell r="H258">
            <v>50443</v>
          </cell>
          <cell r="I258">
            <v>46700</v>
          </cell>
          <cell r="J258">
            <v>3743</v>
          </cell>
          <cell r="K258">
            <v>16447</v>
          </cell>
        </row>
        <row r="259">
          <cell r="A259" t="str">
            <v>Uttlesford</v>
          </cell>
          <cell r="B259">
            <v>56768</v>
          </cell>
          <cell r="C259">
            <v>36767</v>
          </cell>
          <cell r="D259">
            <v>35548</v>
          </cell>
          <cell r="E259">
            <v>1219</v>
          </cell>
          <cell r="F259">
            <v>20001</v>
          </cell>
          <cell r="G259">
            <v>43211</v>
          </cell>
          <cell r="H259">
            <v>35235</v>
          </cell>
          <cell r="I259">
            <v>34016</v>
          </cell>
          <cell r="J259">
            <v>1219</v>
          </cell>
          <cell r="K259">
            <v>7976</v>
          </cell>
        </row>
        <row r="261">
          <cell r="A261" t="str">
            <v xml:space="preserve">Hertfordshire </v>
          </cell>
          <cell r="B261">
            <v>798551</v>
          </cell>
          <cell r="C261">
            <v>547629</v>
          </cell>
          <cell r="D261">
            <v>532604</v>
          </cell>
          <cell r="E261">
            <v>15025</v>
          </cell>
          <cell r="F261">
            <v>250922</v>
          </cell>
          <cell r="G261">
            <v>632563</v>
          </cell>
          <cell r="H261">
            <v>530163</v>
          </cell>
          <cell r="I261">
            <v>515138</v>
          </cell>
          <cell r="J261">
            <v>15025</v>
          </cell>
          <cell r="K261">
            <v>102400</v>
          </cell>
        </row>
        <row r="262">
          <cell r="A262" t="str">
            <v>Broxbourne</v>
          </cell>
          <cell r="B262">
            <v>62638</v>
          </cell>
          <cell r="C262">
            <v>43156</v>
          </cell>
          <cell r="D262">
            <v>41524</v>
          </cell>
          <cell r="E262">
            <v>1632</v>
          </cell>
          <cell r="F262">
            <v>19482</v>
          </cell>
          <cell r="G262">
            <v>49714</v>
          </cell>
          <cell r="H262">
            <v>42099</v>
          </cell>
          <cell r="I262">
            <v>40467</v>
          </cell>
          <cell r="J262">
            <v>1632</v>
          </cell>
          <cell r="K262">
            <v>7615</v>
          </cell>
        </row>
        <row r="263">
          <cell r="A263" t="str">
            <v>Dacorum</v>
          </cell>
          <cell r="B263">
            <v>105885</v>
          </cell>
          <cell r="C263">
            <v>74447</v>
          </cell>
          <cell r="D263">
            <v>73490</v>
          </cell>
          <cell r="E263">
            <v>957</v>
          </cell>
          <cell r="F263">
            <v>31438</v>
          </cell>
          <cell r="G263">
            <v>84586</v>
          </cell>
          <cell r="H263">
            <v>71723</v>
          </cell>
          <cell r="I263">
            <v>70766</v>
          </cell>
          <cell r="J263">
            <v>957</v>
          </cell>
          <cell r="K263">
            <v>12863</v>
          </cell>
        </row>
        <row r="264">
          <cell r="A264" t="str">
            <v>East Hertfordshire</v>
          </cell>
          <cell r="B264">
            <v>98140</v>
          </cell>
          <cell r="C264">
            <v>71788</v>
          </cell>
          <cell r="D264">
            <v>69606</v>
          </cell>
          <cell r="E264">
            <v>2182</v>
          </cell>
          <cell r="F264">
            <v>26352</v>
          </cell>
          <cell r="G264">
            <v>80266</v>
          </cell>
          <cell r="H264">
            <v>69518</v>
          </cell>
          <cell r="I264">
            <v>67336</v>
          </cell>
          <cell r="J264">
            <v>2182</v>
          </cell>
          <cell r="K264">
            <v>10748</v>
          </cell>
        </row>
        <row r="265">
          <cell r="A265" t="str">
            <v>Hertsmere</v>
          </cell>
          <cell r="B265">
            <v>74680</v>
          </cell>
          <cell r="C265">
            <v>50189</v>
          </cell>
          <cell r="D265">
            <v>48936</v>
          </cell>
          <cell r="E265">
            <v>1253</v>
          </cell>
          <cell r="F265">
            <v>24491</v>
          </cell>
          <cell r="G265">
            <v>58498</v>
          </cell>
          <cell r="H265">
            <v>48879</v>
          </cell>
          <cell r="I265">
            <v>47626</v>
          </cell>
          <cell r="J265">
            <v>1253</v>
          </cell>
          <cell r="K265">
            <v>9619</v>
          </cell>
        </row>
        <row r="266">
          <cell r="A266" t="str">
            <v>North Hertfordshire</v>
          </cell>
          <cell r="B266">
            <v>87345</v>
          </cell>
          <cell r="C266">
            <v>55581</v>
          </cell>
          <cell r="D266">
            <v>54015</v>
          </cell>
          <cell r="E266">
            <v>1566</v>
          </cell>
          <cell r="F266">
            <v>31764</v>
          </cell>
          <cell r="G266">
            <v>65572</v>
          </cell>
          <cell r="H266">
            <v>53670</v>
          </cell>
          <cell r="I266">
            <v>52104</v>
          </cell>
          <cell r="J266">
            <v>1566</v>
          </cell>
          <cell r="K266">
            <v>11902</v>
          </cell>
        </row>
        <row r="267">
          <cell r="A267" t="str">
            <v>St. Albans</v>
          </cell>
          <cell r="B267">
            <v>105104</v>
          </cell>
          <cell r="C267">
            <v>72964</v>
          </cell>
          <cell r="D267">
            <v>70883</v>
          </cell>
          <cell r="E267">
            <v>2081</v>
          </cell>
          <cell r="F267">
            <v>32140</v>
          </cell>
          <cell r="G267">
            <v>86352</v>
          </cell>
          <cell r="H267">
            <v>70949</v>
          </cell>
          <cell r="I267">
            <v>68868</v>
          </cell>
          <cell r="J267">
            <v>2081</v>
          </cell>
          <cell r="K267">
            <v>15403</v>
          </cell>
        </row>
        <row r="268">
          <cell r="A268" t="str">
            <v>Stevenage</v>
          </cell>
          <cell r="B268">
            <v>60483</v>
          </cell>
          <cell r="C268">
            <v>43880</v>
          </cell>
          <cell r="D268">
            <v>42409</v>
          </cell>
          <cell r="E268">
            <v>1471</v>
          </cell>
          <cell r="F268">
            <v>16603</v>
          </cell>
          <cell r="G268">
            <v>49269</v>
          </cell>
          <cell r="H268">
            <v>42826</v>
          </cell>
          <cell r="I268">
            <v>41355</v>
          </cell>
          <cell r="J268">
            <v>1471</v>
          </cell>
          <cell r="K268">
            <v>6443</v>
          </cell>
        </row>
        <row r="269">
          <cell r="A269" t="str">
            <v>Three Rivers</v>
          </cell>
          <cell r="B269">
            <v>67652</v>
          </cell>
          <cell r="C269">
            <v>43709</v>
          </cell>
          <cell r="D269">
            <v>43095</v>
          </cell>
          <cell r="E269">
            <v>614</v>
          </cell>
          <cell r="F269">
            <v>23943</v>
          </cell>
          <cell r="G269">
            <v>52427</v>
          </cell>
          <cell r="H269">
            <v>42619</v>
          </cell>
          <cell r="I269">
            <v>42005</v>
          </cell>
          <cell r="J269">
            <v>614</v>
          </cell>
          <cell r="K269">
            <v>9808</v>
          </cell>
        </row>
        <row r="270">
          <cell r="A270" t="str">
            <v>Watford</v>
          </cell>
          <cell r="B270">
            <v>63138</v>
          </cell>
          <cell r="C270">
            <v>44757</v>
          </cell>
          <cell r="D270">
            <v>43053</v>
          </cell>
          <cell r="E270">
            <v>1704</v>
          </cell>
          <cell r="F270">
            <v>18381</v>
          </cell>
          <cell r="G270">
            <v>52390</v>
          </cell>
          <cell r="H270">
            <v>42837</v>
          </cell>
          <cell r="I270">
            <v>41133</v>
          </cell>
          <cell r="J270">
            <v>1704</v>
          </cell>
          <cell r="K270">
            <v>9553</v>
          </cell>
        </row>
        <row r="271">
          <cell r="A271" t="str">
            <v>Welwyn Hatfield</v>
          </cell>
          <cell r="B271">
            <v>73486</v>
          </cell>
          <cell r="C271">
            <v>47158</v>
          </cell>
          <cell r="D271">
            <v>45593</v>
          </cell>
          <cell r="E271">
            <v>1565</v>
          </cell>
          <cell r="F271">
            <v>26328</v>
          </cell>
          <cell r="G271">
            <v>53489</v>
          </cell>
          <cell r="H271">
            <v>45043</v>
          </cell>
          <cell r="I271">
            <v>43478</v>
          </cell>
          <cell r="J271">
            <v>1565</v>
          </cell>
          <cell r="K271">
            <v>8446</v>
          </cell>
        </row>
        <row r="273">
          <cell r="A273" t="str">
            <v xml:space="preserve">Norfolk </v>
          </cell>
          <cell r="B273">
            <v>639146</v>
          </cell>
          <cell r="C273">
            <v>374350</v>
          </cell>
          <cell r="D273">
            <v>350575</v>
          </cell>
          <cell r="E273">
            <v>23775</v>
          </cell>
          <cell r="F273">
            <v>264796</v>
          </cell>
          <cell r="G273">
            <v>452050</v>
          </cell>
          <cell r="H273">
            <v>362790</v>
          </cell>
          <cell r="I273">
            <v>339015</v>
          </cell>
          <cell r="J273">
            <v>23775</v>
          </cell>
          <cell r="K273">
            <v>89260</v>
          </cell>
        </row>
        <row r="274">
          <cell r="A274" t="str">
            <v>Breckland</v>
          </cell>
          <cell r="B274">
            <v>92574</v>
          </cell>
          <cell r="C274">
            <v>53459</v>
          </cell>
          <cell r="D274">
            <v>50789</v>
          </cell>
          <cell r="E274">
            <v>2670</v>
          </cell>
          <cell r="F274">
            <v>39115</v>
          </cell>
          <cell r="G274">
            <v>63381</v>
          </cell>
          <cell r="H274">
            <v>52012</v>
          </cell>
          <cell r="I274">
            <v>49342</v>
          </cell>
          <cell r="J274">
            <v>2670</v>
          </cell>
          <cell r="K274">
            <v>11369</v>
          </cell>
        </row>
        <row r="275">
          <cell r="A275" t="str">
            <v>Broadland</v>
          </cell>
          <cell r="B275">
            <v>99151</v>
          </cell>
          <cell r="C275">
            <v>63313</v>
          </cell>
          <cell r="D275">
            <v>60054</v>
          </cell>
          <cell r="E275">
            <v>3259</v>
          </cell>
          <cell r="F275">
            <v>35838</v>
          </cell>
          <cell r="G275">
            <v>72605</v>
          </cell>
          <cell r="H275">
            <v>61885</v>
          </cell>
          <cell r="I275">
            <v>58626</v>
          </cell>
          <cell r="J275">
            <v>3259</v>
          </cell>
          <cell r="K275">
            <v>10720</v>
          </cell>
        </row>
        <row r="276">
          <cell r="A276" t="str">
            <v>Great Yarmouth</v>
          </cell>
          <cell r="B276">
            <v>71209</v>
          </cell>
          <cell r="C276">
            <v>35103</v>
          </cell>
          <cell r="D276">
            <v>30773</v>
          </cell>
          <cell r="E276">
            <v>4330</v>
          </cell>
          <cell r="F276">
            <v>36106</v>
          </cell>
          <cell r="G276">
            <v>44818</v>
          </cell>
          <cell r="H276">
            <v>33002</v>
          </cell>
          <cell r="I276">
            <v>28672</v>
          </cell>
          <cell r="J276">
            <v>4330</v>
          </cell>
          <cell r="K276">
            <v>11816</v>
          </cell>
        </row>
        <row r="277">
          <cell r="A277" t="str">
            <v>King’s Lynn and West Norfolk</v>
          </cell>
          <cell r="B277">
            <v>108468</v>
          </cell>
          <cell r="C277">
            <v>64485</v>
          </cell>
          <cell r="D277">
            <v>61211</v>
          </cell>
          <cell r="E277">
            <v>3274</v>
          </cell>
          <cell r="F277">
            <v>43983</v>
          </cell>
          <cell r="G277">
            <v>77315</v>
          </cell>
          <cell r="H277">
            <v>62819</v>
          </cell>
          <cell r="I277">
            <v>59545</v>
          </cell>
          <cell r="J277">
            <v>3274</v>
          </cell>
          <cell r="K277">
            <v>14496</v>
          </cell>
        </row>
        <row r="278">
          <cell r="A278" t="str">
            <v>North Norfolk</v>
          </cell>
          <cell r="B278">
            <v>80426</v>
          </cell>
          <cell r="C278">
            <v>42666</v>
          </cell>
          <cell r="D278">
            <v>40426</v>
          </cell>
          <cell r="E278">
            <v>2240</v>
          </cell>
          <cell r="F278">
            <v>37760</v>
          </cell>
          <cell r="G278">
            <v>52610</v>
          </cell>
          <cell r="H278">
            <v>39681</v>
          </cell>
          <cell r="I278">
            <v>37441</v>
          </cell>
          <cell r="J278">
            <v>2240</v>
          </cell>
          <cell r="K278">
            <v>12929</v>
          </cell>
        </row>
        <row r="279">
          <cell r="A279" t="str">
            <v>Norwich</v>
          </cell>
          <cell r="B279">
            <v>98844</v>
          </cell>
          <cell r="C279">
            <v>61558</v>
          </cell>
          <cell r="D279">
            <v>56505</v>
          </cell>
          <cell r="E279">
            <v>5053</v>
          </cell>
          <cell r="F279">
            <v>37286</v>
          </cell>
          <cell r="G279">
            <v>76591</v>
          </cell>
          <cell r="H279">
            <v>61069</v>
          </cell>
          <cell r="I279">
            <v>56016</v>
          </cell>
          <cell r="J279">
            <v>5053</v>
          </cell>
          <cell r="K279">
            <v>15522</v>
          </cell>
        </row>
        <row r="280">
          <cell r="A280" t="str">
            <v>South Norfolk</v>
          </cell>
          <cell r="B280">
            <v>88474</v>
          </cell>
          <cell r="C280">
            <v>53766</v>
          </cell>
          <cell r="D280">
            <v>50817</v>
          </cell>
          <cell r="E280">
            <v>2949</v>
          </cell>
          <cell r="F280">
            <v>34708</v>
          </cell>
          <cell r="G280">
            <v>64730</v>
          </cell>
          <cell r="H280">
            <v>52322</v>
          </cell>
          <cell r="I280">
            <v>49373</v>
          </cell>
          <cell r="J280">
            <v>2949</v>
          </cell>
          <cell r="K280">
            <v>12408</v>
          </cell>
        </row>
        <row r="282">
          <cell r="A282" t="str">
            <v>Suffolk</v>
          </cell>
          <cell r="B282">
            <v>533116</v>
          </cell>
          <cell r="C282">
            <v>353555</v>
          </cell>
          <cell r="D282">
            <v>334234</v>
          </cell>
          <cell r="E282">
            <v>19321</v>
          </cell>
          <cell r="F282">
            <v>179561</v>
          </cell>
          <cell r="G282">
            <v>416579</v>
          </cell>
          <cell r="H282">
            <v>341785</v>
          </cell>
          <cell r="I282">
            <v>322927</v>
          </cell>
          <cell r="J282">
            <v>18858</v>
          </cell>
          <cell r="K282">
            <v>74794</v>
          </cell>
        </row>
        <row r="283">
          <cell r="A283" t="str">
            <v>Babergh</v>
          </cell>
          <cell r="B283">
            <v>62013</v>
          </cell>
          <cell r="C283">
            <v>42296</v>
          </cell>
          <cell r="D283">
            <v>40850</v>
          </cell>
          <cell r="E283">
            <v>1446</v>
          </cell>
          <cell r="F283">
            <v>19717</v>
          </cell>
          <cell r="G283">
            <v>50342</v>
          </cell>
          <cell r="H283">
            <v>40825</v>
          </cell>
          <cell r="I283">
            <v>39615</v>
          </cell>
          <cell r="J283">
            <v>1210</v>
          </cell>
          <cell r="K283">
            <v>9517</v>
          </cell>
        </row>
        <row r="284">
          <cell r="A284" t="str">
            <v>Forest Heath</v>
          </cell>
          <cell r="B284">
            <v>49311</v>
          </cell>
          <cell r="C284">
            <v>36350</v>
          </cell>
          <cell r="D284">
            <v>35753</v>
          </cell>
          <cell r="E284">
            <v>597</v>
          </cell>
          <cell r="F284">
            <v>12961</v>
          </cell>
          <cell r="G284">
            <v>39948</v>
          </cell>
          <cell r="H284">
            <v>34655</v>
          </cell>
          <cell r="I284">
            <v>34058</v>
          </cell>
          <cell r="J284">
            <v>597</v>
          </cell>
          <cell r="K284">
            <v>5293</v>
          </cell>
        </row>
        <row r="285">
          <cell r="A285" t="str">
            <v>Ipswich</v>
          </cell>
          <cell r="B285">
            <v>91486</v>
          </cell>
          <cell r="C285">
            <v>61697</v>
          </cell>
          <cell r="D285">
            <v>58224</v>
          </cell>
          <cell r="E285">
            <v>3473</v>
          </cell>
          <cell r="F285">
            <v>29789</v>
          </cell>
          <cell r="G285">
            <v>73301</v>
          </cell>
          <cell r="H285">
            <v>60212</v>
          </cell>
          <cell r="I285">
            <v>56739</v>
          </cell>
          <cell r="J285">
            <v>3473</v>
          </cell>
          <cell r="K285">
            <v>13089</v>
          </cell>
        </row>
        <row r="286">
          <cell r="A286" t="str">
            <v>Mid Suffolk</v>
          </cell>
          <cell r="B286">
            <v>65919</v>
          </cell>
          <cell r="C286">
            <v>44360</v>
          </cell>
          <cell r="D286">
            <v>42426</v>
          </cell>
          <cell r="E286">
            <v>1934</v>
          </cell>
          <cell r="F286">
            <v>21559</v>
          </cell>
          <cell r="G286">
            <v>53022</v>
          </cell>
          <cell r="H286">
            <v>42834</v>
          </cell>
          <cell r="I286">
            <v>40900</v>
          </cell>
          <cell r="J286">
            <v>1934</v>
          </cell>
          <cell r="K286">
            <v>10188</v>
          </cell>
        </row>
        <row r="287">
          <cell r="A287" t="str">
            <v>St. Edmundsbury</v>
          </cell>
          <cell r="B287">
            <v>76991</v>
          </cell>
          <cell r="C287">
            <v>54202</v>
          </cell>
          <cell r="D287">
            <v>51853</v>
          </cell>
          <cell r="E287">
            <v>2349</v>
          </cell>
          <cell r="F287">
            <v>22789</v>
          </cell>
          <cell r="G287">
            <v>62498</v>
          </cell>
          <cell r="H287">
            <v>53132</v>
          </cell>
          <cell r="I287">
            <v>51010</v>
          </cell>
          <cell r="J287">
            <v>2122</v>
          </cell>
          <cell r="K287">
            <v>9366</v>
          </cell>
        </row>
        <row r="288">
          <cell r="A288" t="str">
            <v>Suffolk Coastal</v>
          </cell>
          <cell r="B288">
            <v>100179</v>
          </cell>
          <cell r="C288">
            <v>62080</v>
          </cell>
          <cell r="D288">
            <v>57257</v>
          </cell>
          <cell r="E288">
            <v>4823</v>
          </cell>
          <cell r="F288">
            <v>38099</v>
          </cell>
          <cell r="G288">
            <v>74662</v>
          </cell>
          <cell r="H288">
            <v>59870</v>
          </cell>
          <cell r="I288">
            <v>55047</v>
          </cell>
          <cell r="J288">
            <v>4823</v>
          </cell>
          <cell r="K288">
            <v>14792</v>
          </cell>
        </row>
        <row r="289">
          <cell r="A289" t="str">
            <v>Waveney</v>
          </cell>
          <cell r="B289">
            <v>87217</v>
          </cell>
          <cell r="C289">
            <v>52570</v>
          </cell>
          <cell r="D289">
            <v>47871</v>
          </cell>
          <cell r="E289">
            <v>4699</v>
          </cell>
          <cell r="F289">
            <v>34647</v>
          </cell>
          <cell r="G289">
            <v>62806</v>
          </cell>
          <cell r="H289">
            <v>50257</v>
          </cell>
          <cell r="I289">
            <v>45558</v>
          </cell>
          <cell r="J289">
            <v>4699</v>
          </cell>
          <cell r="K289">
            <v>12549</v>
          </cell>
        </row>
        <row r="291">
          <cell r="A291" t="str">
            <v>LONDON</v>
          </cell>
          <cell r="B291">
            <v>5614290</v>
          </cell>
          <cell r="C291">
            <v>3595969</v>
          </cell>
          <cell r="D291">
            <v>3312754</v>
          </cell>
          <cell r="E291">
            <v>283215</v>
          </cell>
          <cell r="F291">
            <v>2018321</v>
          </cell>
          <cell r="G291">
            <v>4580303</v>
          </cell>
          <cell r="H291">
            <v>3503468</v>
          </cell>
          <cell r="I291">
            <v>3223723</v>
          </cell>
          <cell r="J291">
            <v>279745</v>
          </cell>
          <cell r="K291">
            <v>1076835</v>
          </cell>
        </row>
        <row r="293">
          <cell r="A293" t="str">
            <v>Inner London</v>
          </cell>
        </row>
        <row r="294">
          <cell r="A294" t="str">
            <v>Camden</v>
          </cell>
          <cell r="B294">
            <v>147029</v>
          </cell>
          <cell r="C294">
            <v>91897</v>
          </cell>
          <cell r="D294">
            <v>84625</v>
          </cell>
          <cell r="E294">
            <v>7272</v>
          </cell>
          <cell r="F294">
            <v>55132</v>
          </cell>
          <cell r="G294">
            <v>120254</v>
          </cell>
          <cell r="H294">
            <v>87612</v>
          </cell>
          <cell r="I294">
            <v>81155</v>
          </cell>
          <cell r="J294">
            <v>6457</v>
          </cell>
          <cell r="K294">
            <v>32642</v>
          </cell>
        </row>
        <row r="295">
          <cell r="A295" t="str">
            <v>City of London</v>
          </cell>
          <cell r="B295">
            <v>10500</v>
          </cell>
          <cell r="C295">
            <v>5520</v>
          </cell>
          <cell r="D295">
            <v>4993</v>
          </cell>
          <cell r="E295">
            <v>527</v>
          </cell>
          <cell r="F295">
            <v>4980</v>
          </cell>
          <cell r="G295">
            <v>6174</v>
          </cell>
          <cell r="H295">
            <v>4391</v>
          </cell>
          <cell r="I295">
            <v>3864</v>
          </cell>
          <cell r="J295">
            <v>527</v>
          </cell>
          <cell r="K295">
            <v>1783</v>
          </cell>
        </row>
        <row r="296">
          <cell r="A296" t="str">
            <v xml:space="preserve">Hackney </v>
          </cell>
          <cell r="B296">
            <v>141587</v>
          </cell>
          <cell r="C296">
            <v>82302</v>
          </cell>
          <cell r="D296">
            <v>70152</v>
          </cell>
          <cell r="E296">
            <v>12150</v>
          </cell>
          <cell r="F296">
            <v>59285</v>
          </cell>
          <cell r="G296">
            <v>121218</v>
          </cell>
          <cell r="H296">
            <v>80069</v>
          </cell>
          <cell r="I296">
            <v>68161</v>
          </cell>
          <cell r="J296">
            <v>11908</v>
          </cell>
          <cell r="K296">
            <v>41149</v>
          </cell>
        </row>
        <row r="297">
          <cell r="A297" t="str">
            <v xml:space="preserve">Hammersmith and Fulham </v>
          </cell>
          <cell r="B297">
            <v>126693</v>
          </cell>
          <cell r="C297">
            <v>82996</v>
          </cell>
          <cell r="D297">
            <v>79503</v>
          </cell>
          <cell r="E297">
            <v>3493</v>
          </cell>
          <cell r="F297">
            <v>43697</v>
          </cell>
          <cell r="G297">
            <v>109602</v>
          </cell>
          <cell r="H297">
            <v>81189</v>
          </cell>
          <cell r="I297">
            <v>77696</v>
          </cell>
          <cell r="J297">
            <v>3493</v>
          </cell>
          <cell r="K297">
            <v>28413</v>
          </cell>
        </row>
        <row r="298">
          <cell r="A298" t="str">
            <v>Haringey</v>
          </cell>
          <cell r="B298">
            <v>161367</v>
          </cell>
          <cell r="C298">
            <v>99148</v>
          </cell>
          <cell r="D298">
            <v>87072</v>
          </cell>
          <cell r="E298">
            <v>12076</v>
          </cell>
          <cell r="F298">
            <v>62219</v>
          </cell>
          <cell r="G298">
            <v>141871</v>
          </cell>
          <cell r="H298">
            <v>97993</v>
          </cell>
          <cell r="I298">
            <v>86148</v>
          </cell>
          <cell r="J298">
            <v>11845</v>
          </cell>
          <cell r="K298">
            <v>43878</v>
          </cell>
        </row>
        <row r="299">
          <cell r="A299" t="str">
            <v>Islington</v>
          </cell>
          <cell r="B299">
            <v>139355</v>
          </cell>
          <cell r="C299">
            <v>86224</v>
          </cell>
          <cell r="D299">
            <v>75838</v>
          </cell>
          <cell r="E299">
            <v>10386</v>
          </cell>
          <cell r="F299">
            <v>53131</v>
          </cell>
          <cell r="G299">
            <v>117166</v>
          </cell>
          <cell r="H299">
            <v>84464</v>
          </cell>
          <cell r="I299">
            <v>74078</v>
          </cell>
          <cell r="J299">
            <v>10386</v>
          </cell>
          <cell r="K299">
            <v>32702</v>
          </cell>
        </row>
        <row r="300">
          <cell r="A300" t="str">
            <v>Kensington and Chelsea</v>
          </cell>
          <cell r="B300">
            <v>136002</v>
          </cell>
          <cell r="C300">
            <v>84804</v>
          </cell>
          <cell r="D300">
            <v>76121</v>
          </cell>
          <cell r="E300">
            <v>8683</v>
          </cell>
          <cell r="F300">
            <v>51198</v>
          </cell>
          <cell r="G300">
            <v>113341</v>
          </cell>
          <cell r="H300">
            <v>81550</v>
          </cell>
          <cell r="I300">
            <v>72867</v>
          </cell>
          <cell r="J300">
            <v>8683</v>
          </cell>
          <cell r="K300">
            <v>31791</v>
          </cell>
        </row>
        <row r="301">
          <cell r="A301" t="str">
            <v xml:space="preserve">Lambeth </v>
          </cell>
          <cell r="B301">
            <v>205406</v>
          </cell>
          <cell r="C301">
            <v>140411</v>
          </cell>
          <cell r="D301">
            <v>129697</v>
          </cell>
          <cell r="E301">
            <v>10714</v>
          </cell>
          <cell r="F301">
            <v>64995</v>
          </cell>
          <cell r="G301">
            <v>180857</v>
          </cell>
          <cell r="H301">
            <v>138806</v>
          </cell>
          <cell r="I301">
            <v>128092</v>
          </cell>
          <cell r="J301">
            <v>10714</v>
          </cell>
          <cell r="K301">
            <v>42051</v>
          </cell>
        </row>
        <row r="302">
          <cell r="A302" t="str">
            <v xml:space="preserve">Lewisham </v>
          </cell>
          <cell r="B302">
            <v>188144</v>
          </cell>
          <cell r="C302">
            <v>125710</v>
          </cell>
          <cell r="D302">
            <v>115265</v>
          </cell>
          <cell r="E302">
            <v>10445</v>
          </cell>
          <cell r="F302">
            <v>62434</v>
          </cell>
          <cell r="G302">
            <v>156626</v>
          </cell>
          <cell r="H302">
            <v>123973</v>
          </cell>
          <cell r="I302">
            <v>113528</v>
          </cell>
          <cell r="J302">
            <v>10445</v>
          </cell>
          <cell r="K302">
            <v>32653</v>
          </cell>
        </row>
        <row r="303">
          <cell r="A303" t="str">
            <v xml:space="preserve">Newham </v>
          </cell>
          <cell r="B303">
            <v>173928</v>
          </cell>
          <cell r="C303">
            <v>100053</v>
          </cell>
          <cell r="D303">
            <v>83334</v>
          </cell>
          <cell r="E303">
            <v>16719</v>
          </cell>
          <cell r="F303">
            <v>73875</v>
          </cell>
          <cell r="G303">
            <v>145931</v>
          </cell>
          <cell r="H303">
            <v>97985</v>
          </cell>
          <cell r="I303">
            <v>81491</v>
          </cell>
          <cell r="J303">
            <v>16494</v>
          </cell>
          <cell r="K303">
            <v>47946</v>
          </cell>
        </row>
        <row r="304">
          <cell r="A304" t="str">
            <v>Southwark</v>
          </cell>
          <cell r="B304">
            <v>181291</v>
          </cell>
          <cell r="C304">
            <v>114458</v>
          </cell>
          <cell r="D304">
            <v>99081</v>
          </cell>
          <cell r="E304">
            <v>15377</v>
          </cell>
          <cell r="F304">
            <v>66833</v>
          </cell>
          <cell r="G304">
            <v>151782</v>
          </cell>
          <cell r="H304">
            <v>109935</v>
          </cell>
          <cell r="I304">
            <v>95118</v>
          </cell>
          <cell r="J304">
            <v>14817</v>
          </cell>
          <cell r="K304">
            <v>41847</v>
          </cell>
        </row>
        <row r="305">
          <cell r="A305" t="str">
            <v>Tower Hamlets</v>
          </cell>
          <cell r="B305">
            <v>133496</v>
          </cell>
          <cell r="C305">
            <v>68269</v>
          </cell>
          <cell r="D305">
            <v>58821</v>
          </cell>
          <cell r="E305">
            <v>9448</v>
          </cell>
          <cell r="F305">
            <v>65227</v>
          </cell>
          <cell r="G305">
            <v>112833</v>
          </cell>
          <cell r="H305">
            <v>67360</v>
          </cell>
          <cell r="I305">
            <v>57912</v>
          </cell>
          <cell r="J305">
            <v>9448</v>
          </cell>
          <cell r="K305">
            <v>45473</v>
          </cell>
        </row>
        <row r="306">
          <cell r="A306" t="str">
            <v>Wandsworth</v>
          </cell>
          <cell r="B306">
            <v>220063</v>
          </cell>
          <cell r="C306">
            <v>142045</v>
          </cell>
          <cell r="D306">
            <v>135001</v>
          </cell>
          <cell r="E306">
            <v>7044</v>
          </cell>
          <cell r="F306">
            <v>78018</v>
          </cell>
          <cell r="G306">
            <v>176165</v>
          </cell>
          <cell r="H306">
            <v>136306</v>
          </cell>
          <cell r="I306">
            <v>129262</v>
          </cell>
          <cell r="J306">
            <v>7044</v>
          </cell>
          <cell r="K306">
            <v>39859</v>
          </cell>
        </row>
        <row r="307">
          <cell r="A307" t="str">
            <v>Westminster</v>
          </cell>
          <cell r="B307">
            <v>177764</v>
          </cell>
          <cell r="C307">
            <v>105152</v>
          </cell>
          <cell r="D307">
            <v>93677</v>
          </cell>
          <cell r="E307">
            <v>11475</v>
          </cell>
          <cell r="F307">
            <v>72612</v>
          </cell>
          <cell r="G307">
            <v>142663</v>
          </cell>
          <cell r="H307">
            <v>100493</v>
          </cell>
          <cell r="I307">
            <v>89395</v>
          </cell>
          <cell r="J307">
            <v>11098</v>
          </cell>
          <cell r="K307">
            <v>42170</v>
          </cell>
        </row>
        <row r="309">
          <cell r="A309" t="str">
            <v>Outer London</v>
          </cell>
        </row>
        <row r="310">
          <cell r="A310" t="str">
            <v>Barking and Dagenham</v>
          </cell>
          <cell r="B310">
            <v>115156</v>
          </cell>
          <cell r="C310">
            <v>68223</v>
          </cell>
          <cell r="D310">
            <v>61251</v>
          </cell>
          <cell r="E310">
            <v>6972</v>
          </cell>
          <cell r="F310">
            <v>46933</v>
          </cell>
          <cell r="G310">
            <v>91266</v>
          </cell>
          <cell r="H310">
            <v>67514</v>
          </cell>
          <cell r="I310">
            <v>60542</v>
          </cell>
          <cell r="J310">
            <v>6972</v>
          </cell>
          <cell r="K310">
            <v>23752</v>
          </cell>
        </row>
        <row r="311">
          <cell r="A311" t="str">
            <v>Barnet</v>
          </cell>
          <cell r="B311">
            <v>269298</v>
          </cell>
          <cell r="C311">
            <v>176279</v>
          </cell>
          <cell r="D311">
            <v>166742</v>
          </cell>
          <cell r="E311">
            <v>9537</v>
          </cell>
          <cell r="F311">
            <v>93019</v>
          </cell>
          <cell r="G311">
            <v>212694</v>
          </cell>
          <cell r="H311">
            <v>171008</v>
          </cell>
          <cell r="I311">
            <v>161708</v>
          </cell>
          <cell r="J311">
            <v>9300</v>
          </cell>
          <cell r="K311">
            <v>41686</v>
          </cell>
        </row>
        <row r="312">
          <cell r="A312" t="str">
            <v>Bexley</v>
          </cell>
          <cell r="B312">
            <v>178710</v>
          </cell>
          <cell r="C312">
            <v>111703</v>
          </cell>
          <cell r="D312">
            <v>103838</v>
          </cell>
          <cell r="E312">
            <v>7865</v>
          </cell>
          <cell r="F312">
            <v>67007</v>
          </cell>
          <cell r="G312">
            <v>136698</v>
          </cell>
          <cell r="H312">
            <v>108524</v>
          </cell>
          <cell r="I312">
            <v>100924</v>
          </cell>
          <cell r="J312">
            <v>7600</v>
          </cell>
          <cell r="K312">
            <v>28174</v>
          </cell>
        </row>
        <row r="313">
          <cell r="A313" t="str">
            <v xml:space="preserve">Brent </v>
          </cell>
          <cell r="B313">
            <v>203725</v>
          </cell>
          <cell r="C313">
            <v>133370</v>
          </cell>
          <cell r="D313">
            <v>118485</v>
          </cell>
          <cell r="E313">
            <v>14885</v>
          </cell>
          <cell r="F313">
            <v>70355</v>
          </cell>
          <cell r="G313">
            <v>168395</v>
          </cell>
          <cell r="H313">
            <v>130127</v>
          </cell>
          <cell r="I313">
            <v>115242</v>
          </cell>
          <cell r="J313">
            <v>14885</v>
          </cell>
          <cell r="K313">
            <v>38268</v>
          </cell>
        </row>
        <row r="314">
          <cell r="A314" t="str">
            <v>Bromley</v>
          </cell>
          <cell r="B314">
            <v>237076</v>
          </cell>
          <cell r="C314">
            <v>152440</v>
          </cell>
          <cell r="D314">
            <v>144048</v>
          </cell>
          <cell r="E314">
            <v>8392</v>
          </cell>
          <cell r="F314">
            <v>84636</v>
          </cell>
          <cell r="G314">
            <v>183100</v>
          </cell>
          <cell r="H314">
            <v>148340</v>
          </cell>
          <cell r="I314">
            <v>139948</v>
          </cell>
          <cell r="J314">
            <v>8392</v>
          </cell>
          <cell r="K314">
            <v>34760</v>
          </cell>
        </row>
        <row r="315">
          <cell r="A315" t="str">
            <v>Croydon</v>
          </cell>
          <cell r="B315">
            <v>260449</v>
          </cell>
          <cell r="C315">
            <v>178370</v>
          </cell>
          <cell r="D315">
            <v>168039</v>
          </cell>
          <cell r="E315">
            <v>10331</v>
          </cell>
          <cell r="F315">
            <v>82079</v>
          </cell>
          <cell r="G315">
            <v>214263</v>
          </cell>
          <cell r="H315">
            <v>174111</v>
          </cell>
          <cell r="I315">
            <v>163780</v>
          </cell>
          <cell r="J315">
            <v>10331</v>
          </cell>
          <cell r="K315">
            <v>40152</v>
          </cell>
        </row>
        <row r="316">
          <cell r="A316" t="str">
            <v>Ealing</v>
          </cell>
          <cell r="B316">
            <v>230914</v>
          </cell>
          <cell r="C316">
            <v>139816</v>
          </cell>
          <cell r="D316">
            <v>130840</v>
          </cell>
          <cell r="E316">
            <v>8976</v>
          </cell>
          <cell r="F316">
            <v>91098</v>
          </cell>
          <cell r="G316">
            <v>183482</v>
          </cell>
          <cell r="H316">
            <v>136601</v>
          </cell>
          <cell r="I316">
            <v>127890</v>
          </cell>
          <cell r="J316">
            <v>8711</v>
          </cell>
          <cell r="K316">
            <v>46881</v>
          </cell>
        </row>
        <row r="317">
          <cell r="A317" t="str">
            <v>Enfield</v>
          </cell>
          <cell r="B317">
            <v>208008</v>
          </cell>
          <cell r="C317">
            <v>133282</v>
          </cell>
          <cell r="D317">
            <v>123694</v>
          </cell>
          <cell r="E317">
            <v>9588</v>
          </cell>
          <cell r="F317">
            <v>74726</v>
          </cell>
          <cell r="G317">
            <v>164078</v>
          </cell>
          <cell r="H317">
            <v>130084</v>
          </cell>
          <cell r="I317">
            <v>120496</v>
          </cell>
          <cell r="J317">
            <v>9588</v>
          </cell>
          <cell r="K317">
            <v>33994</v>
          </cell>
        </row>
        <row r="318">
          <cell r="A318" t="str">
            <v>Greenwich</v>
          </cell>
          <cell r="B318">
            <v>159926</v>
          </cell>
          <cell r="C318">
            <v>103963</v>
          </cell>
          <cell r="D318">
            <v>92899</v>
          </cell>
          <cell r="E318">
            <v>11064</v>
          </cell>
          <cell r="F318">
            <v>55963</v>
          </cell>
          <cell r="G318">
            <v>133805</v>
          </cell>
          <cell r="H318">
            <v>102810</v>
          </cell>
          <cell r="I318">
            <v>91746</v>
          </cell>
          <cell r="J318">
            <v>11064</v>
          </cell>
          <cell r="K318">
            <v>30995</v>
          </cell>
        </row>
        <row r="319">
          <cell r="A319" t="str">
            <v>Harrow</v>
          </cell>
          <cell r="B319">
            <v>166200</v>
          </cell>
          <cell r="C319">
            <v>112186</v>
          </cell>
          <cell r="D319">
            <v>106197</v>
          </cell>
          <cell r="E319">
            <v>5989</v>
          </cell>
          <cell r="F319">
            <v>54014</v>
          </cell>
          <cell r="G319">
            <v>132577</v>
          </cell>
          <cell r="H319">
            <v>107856</v>
          </cell>
          <cell r="I319">
            <v>101867</v>
          </cell>
          <cell r="J319">
            <v>5989</v>
          </cell>
          <cell r="K319">
            <v>24721</v>
          </cell>
        </row>
        <row r="320">
          <cell r="A320" t="str">
            <v>Havering</v>
          </cell>
          <cell r="B320">
            <v>184835</v>
          </cell>
          <cell r="C320">
            <v>129475</v>
          </cell>
          <cell r="D320">
            <v>124121</v>
          </cell>
          <cell r="E320">
            <v>5354</v>
          </cell>
          <cell r="F320">
            <v>55360</v>
          </cell>
          <cell r="G320">
            <v>150240</v>
          </cell>
          <cell r="H320">
            <v>127805</v>
          </cell>
          <cell r="I320">
            <v>122451</v>
          </cell>
          <cell r="J320">
            <v>5354</v>
          </cell>
          <cell r="K320">
            <v>22435</v>
          </cell>
        </row>
        <row r="321">
          <cell r="A321" t="str">
            <v>Hillingdon</v>
          </cell>
          <cell r="B321">
            <v>199539</v>
          </cell>
          <cell r="C321">
            <v>132092</v>
          </cell>
          <cell r="D321">
            <v>127572</v>
          </cell>
          <cell r="E321">
            <v>4520</v>
          </cell>
          <cell r="F321">
            <v>67447</v>
          </cell>
          <cell r="G321">
            <v>156802</v>
          </cell>
          <cell r="H321">
            <v>128125</v>
          </cell>
          <cell r="I321">
            <v>123605</v>
          </cell>
          <cell r="J321">
            <v>4520</v>
          </cell>
          <cell r="K321">
            <v>28677</v>
          </cell>
        </row>
        <row r="322">
          <cell r="A322" t="str">
            <v>Hounslow</v>
          </cell>
          <cell r="B322">
            <v>169443</v>
          </cell>
          <cell r="C322">
            <v>107314</v>
          </cell>
          <cell r="D322">
            <v>102694</v>
          </cell>
          <cell r="E322">
            <v>4620</v>
          </cell>
          <cell r="F322">
            <v>62129</v>
          </cell>
          <cell r="G322">
            <v>134174</v>
          </cell>
          <cell r="H322">
            <v>105739</v>
          </cell>
          <cell r="I322">
            <v>101119</v>
          </cell>
          <cell r="J322">
            <v>4620</v>
          </cell>
          <cell r="K322">
            <v>28435</v>
          </cell>
        </row>
        <row r="323">
          <cell r="A323" t="str">
            <v>Kingston upon Thames</v>
          </cell>
          <cell r="B323">
            <v>111963</v>
          </cell>
          <cell r="C323">
            <v>76346</v>
          </cell>
          <cell r="D323">
            <v>72445</v>
          </cell>
          <cell r="E323">
            <v>3901</v>
          </cell>
          <cell r="F323">
            <v>35617</v>
          </cell>
          <cell r="G323">
            <v>93596</v>
          </cell>
          <cell r="H323">
            <v>74745</v>
          </cell>
          <cell r="I323">
            <v>70844</v>
          </cell>
          <cell r="J323">
            <v>3901</v>
          </cell>
          <cell r="K323">
            <v>18851</v>
          </cell>
        </row>
        <row r="324">
          <cell r="A324" t="str">
            <v>Merton</v>
          </cell>
          <cell r="B324">
            <v>146971</v>
          </cell>
          <cell r="C324">
            <v>103353</v>
          </cell>
          <cell r="D324">
            <v>96013</v>
          </cell>
          <cell r="E324">
            <v>7340</v>
          </cell>
          <cell r="F324">
            <v>43618</v>
          </cell>
          <cell r="G324">
            <v>118294</v>
          </cell>
          <cell r="H324">
            <v>100693</v>
          </cell>
          <cell r="I324">
            <v>93353</v>
          </cell>
          <cell r="J324">
            <v>7340</v>
          </cell>
          <cell r="K324">
            <v>17601</v>
          </cell>
        </row>
        <row r="325">
          <cell r="A325" t="str">
            <v>Redbridge</v>
          </cell>
          <cell r="B325">
            <v>176140</v>
          </cell>
          <cell r="C325">
            <v>112581</v>
          </cell>
          <cell r="D325">
            <v>102897</v>
          </cell>
          <cell r="E325">
            <v>9684</v>
          </cell>
          <cell r="F325">
            <v>63559</v>
          </cell>
          <cell r="G325">
            <v>142581</v>
          </cell>
          <cell r="H325">
            <v>109497</v>
          </cell>
          <cell r="I325">
            <v>99813</v>
          </cell>
          <cell r="J325">
            <v>9684</v>
          </cell>
          <cell r="K325">
            <v>33084</v>
          </cell>
        </row>
        <row r="326">
          <cell r="A326" t="str">
            <v>Richmond upon Thames</v>
          </cell>
          <cell r="B326">
            <v>147830</v>
          </cell>
          <cell r="C326">
            <v>95331</v>
          </cell>
          <cell r="D326">
            <v>90984</v>
          </cell>
          <cell r="E326">
            <v>4347</v>
          </cell>
          <cell r="F326">
            <v>52499</v>
          </cell>
          <cell r="G326">
            <v>116643</v>
          </cell>
          <cell r="H326">
            <v>90714</v>
          </cell>
          <cell r="I326">
            <v>86620</v>
          </cell>
          <cell r="J326">
            <v>4094</v>
          </cell>
          <cell r="K326">
            <v>25929</v>
          </cell>
        </row>
        <row r="327">
          <cell r="A327" t="str">
            <v>Sutton</v>
          </cell>
          <cell r="B327">
            <v>138937</v>
          </cell>
          <cell r="C327">
            <v>100032</v>
          </cell>
          <cell r="D327">
            <v>95356</v>
          </cell>
          <cell r="E327">
            <v>4676</v>
          </cell>
          <cell r="F327">
            <v>38905</v>
          </cell>
          <cell r="G327">
            <v>112646</v>
          </cell>
          <cell r="H327">
            <v>97716</v>
          </cell>
          <cell r="I327">
            <v>93040</v>
          </cell>
          <cell r="J327">
            <v>4676</v>
          </cell>
          <cell r="K327">
            <v>14930</v>
          </cell>
        </row>
        <row r="328">
          <cell r="A328" t="str">
            <v>Waltham Forest</v>
          </cell>
          <cell r="B328">
            <v>166545</v>
          </cell>
          <cell r="C328">
            <v>100824</v>
          </cell>
          <cell r="D328">
            <v>91459</v>
          </cell>
          <cell r="E328">
            <v>9365</v>
          </cell>
          <cell r="F328">
            <v>65721</v>
          </cell>
          <cell r="G328">
            <v>138486</v>
          </cell>
          <cell r="H328">
            <v>99333</v>
          </cell>
          <cell r="I328">
            <v>89968</v>
          </cell>
          <cell r="J328">
            <v>9365</v>
          </cell>
          <cell r="K328">
            <v>39153</v>
          </cell>
        </row>
        <row r="330">
          <cell r="A330" t="str">
            <v>SOUTH EAST</v>
          </cell>
          <cell r="B330">
            <v>6264361</v>
          </cell>
          <cell r="C330">
            <v>4157717</v>
          </cell>
          <cell r="D330">
            <v>3981259</v>
          </cell>
          <cell r="E330">
            <v>176458</v>
          </cell>
          <cell r="F330">
            <v>2106644</v>
          </cell>
          <cell r="G330">
            <v>4856006</v>
          </cell>
          <cell r="H330">
            <v>4017229</v>
          </cell>
          <cell r="I330">
            <v>3843185</v>
          </cell>
          <cell r="J330">
            <v>174044</v>
          </cell>
          <cell r="K330">
            <v>838777</v>
          </cell>
        </row>
        <row r="332">
          <cell r="A332" t="str">
            <v>Bracknell Forest UA</v>
          </cell>
          <cell r="B332">
            <v>85305</v>
          </cell>
          <cell r="C332">
            <v>64326</v>
          </cell>
          <cell r="D332">
            <v>62142</v>
          </cell>
          <cell r="E332">
            <v>2184</v>
          </cell>
          <cell r="F332">
            <v>20979</v>
          </cell>
          <cell r="G332">
            <v>71930</v>
          </cell>
          <cell r="H332">
            <v>62520</v>
          </cell>
          <cell r="I332">
            <v>60336</v>
          </cell>
          <cell r="J332">
            <v>2184</v>
          </cell>
          <cell r="K332">
            <v>9410</v>
          </cell>
        </row>
        <row r="333">
          <cell r="A333" t="str">
            <v>Brighton and Hove UA</v>
          </cell>
          <cell r="B333">
            <v>202494</v>
          </cell>
          <cell r="C333">
            <v>129015</v>
          </cell>
          <cell r="D333">
            <v>121889</v>
          </cell>
          <cell r="E333">
            <v>7126</v>
          </cell>
          <cell r="F333">
            <v>73479</v>
          </cell>
          <cell r="G333">
            <v>157206</v>
          </cell>
          <cell r="H333">
            <v>125803</v>
          </cell>
          <cell r="I333">
            <v>118677</v>
          </cell>
          <cell r="J333">
            <v>7126</v>
          </cell>
          <cell r="K333">
            <v>31403</v>
          </cell>
        </row>
        <row r="334">
          <cell r="A334" t="str">
            <v>Isle of Wight UA</v>
          </cell>
          <cell r="B334">
            <v>99535</v>
          </cell>
          <cell r="C334">
            <v>55274</v>
          </cell>
          <cell r="D334">
            <v>52305</v>
          </cell>
          <cell r="E334">
            <v>2969</v>
          </cell>
          <cell r="F334">
            <v>44261</v>
          </cell>
          <cell r="G334">
            <v>68067</v>
          </cell>
          <cell r="H334">
            <v>52553</v>
          </cell>
          <cell r="I334">
            <v>49584</v>
          </cell>
          <cell r="J334">
            <v>2969</v>
          </cell>
          <cell r="K334">
            <v>15514</v>
          </cell>
        </row>
        <row r="335">
          <cell r="A335" t="str">
            <v>Medway UA</v>
          </cell>
          <cell r="B335">
            <v>181265</v>
          </cell>
          <cell r="C335">
            <v>125395</v>
          </cell>
          <cell r="D335">
            <v>116815</v>
          </cell>
          <cell r="E335">
            <v>8580</v>
          </cell>
          <cell r="F335">
            <v>55870</v>
          </cell>
          <cell r="G335">
            <v>149096</v>
          </cell>
          <cell r="H335">
            <v>122016</v>
          </cell>
          <cell r="I335">
            <v>113436</v>
          </cell>
          <cell r="J335">
            <v>8580</v>
          </cell>
          <cell r="K335">
            <v>27080</v>
          </cell>
        </row>
        <row r="336">
          <cell r="A336" t="str">
            <v>Milton Keynes UA</v>
          </cell>
          <cell r="B336">
            <v>151368</v>
          </cell>
          <cell r="C336">
            <v>107522</v>
          </cell>
          <cell r="D336">
            <v>99858</v>
          </cell>
          <cell r="E336">
            <v>7664</v>
          </cell>
          <cell r="F336">
            <v>43846</v>
          </cell>
          <cell r="G336">
            <v>127374</v>
          </cell>
          <cell r="H336">
            <v>105000</v>
          </cell>
          <cell r="I336">
            <v>97773</v>
          </cell>
          <cell r="J336">
            <v>7227</v>
          </cell>
          <cell r="K336">
            <v>22374</v>
          </cell>
        </row>
        <row r="337">
          <cell r="A337" t="str">
            <v>Portsmouth UA</v>
          </cell>
          <cell r="B337">
            <v>145211</v>
          </cell>
          <cell r="C337">
            <v>91527</v>
          </cell>
          <cell r="D337">
            <v>84764</v>
          </cell>
          <cell r="E337">
            <v>6763</v>
          </cell>
          <cell r="F337">
            <v>53684</v>
          </cell>
          <cell r="G337">
            <v>112468</v>
          </cell>
          <cell r="H337">
            <v>89085</v>
          </cell>
          <cell r="I337">
            <v>82322</v>
          </cell>
          <cell r="J337">
            <v>6763</v>
          </cell>
          <cell r="K337">
            <v>23383</v>
          </cell>
        </row>
        <row r="338">
          <cell r="A338" t="str">
            <v>Reading UA</v>
          </cell>
          <cell r="B338">
            <v>117546</v>
          </cell>
          <cell r="C338">
            <v>80620</v>
          </cell>
          <cell r="D338">
            <v>77530</v>
          </cell>
          <cell r="E338">
            <v>3090</v>
          </cell>
          <cell r="F338">
            <v>36926</v>
          </cell>
          <cell r="G338">
            <v>96940</v>
          </cell>
          <cell r="H338">
            <v>78656</v>
          </cell>
          <cell r="I338">
            <v>75566</v>
          </cell>
          <cell r="J338">
            <v>3090</v>
          </cell>
          <cell r="K338">
            <v>18284</v>
          </cell>
        </row>
        <row r="339">
          <cell r="A339" t="str">
            <v>Slough UA</v>
          </cell>
          <cell r="B339">
            <v>84322</v>
          </cell>
          <cell r="C339">
            <v>50772</v>
          </cell>
          <cell r="D339">
            <v>48512</v>
          </cell>
          <cell r="E339">
            <v>2260</v>
          </cell>
          <cell r="F339">
            <v>33550</v>
          </cell>
          <cell r="G339">
            <v>64328</v>
          </cell>
          <cell r="H339">
            <v>49643</v>
          </cell>
          <cell r="I339">
            <v>47383</v>
          </cell>
          <cell r="J339">
            <v>2260</v>
          </cell>
          <cell r="K339">
            <v>14685</v>
          </cell>
        </row>
        <row r="340">
          <cell r="A340" t="str">
            <v>Southampton UA</v>
          </cell>
          <cell r="B340">
            <v>175243</v>
          </cell>
          <cell r="C340">
            <v>109687</v>
          </cell>
          <cell r="D340">
            <v>100232</v>
          </cell>
          <cell r="E340">
            <v>9455</v>
          </cell>
          <cell r="F340">
            <v>65556</v>
          </cell>
          <cell r="G340">
            <v>137458</v>
          </cell>
          <cell r="H340">
            <v>106745</v>
          </cell>
          <cell r="I340">
            <v>97290</v>
          </cell>
          <cell r="J340">
            <v>9455</v>
          </cell>
          <cell r="K340">
            <v>30713</v>
          </cell>
        </row>
        <row r="341">
          <cell r="A341" t="str">
            <v>West Berkshire UA</v>
          </cell>
          <cell r="B341">
            <v>112544</v>
          </cell>
          <cell r="C341">
            <v>81006</v>
          </cell>
          <cell r="D341">
            <v>79489</v>
          </cell>
          <cell r="E341">
            <v>1517</v>
          </cell>
          <cell r="F341">
            <v>31538</v>
          </cell>
          <cell r="G341">
            <v>89223</v>
          </cell>
          <cell r="H341">
            <v>77396</v>
          </cell>
          <cell r="I341">
            <v>75879</v>
          </cell>
          <cell r="J341">
            <v>1517</v>
          </cell>
          <cell r="K341">
            <v>11827</v>
          </cell>
        </row>
        <row r="342">
          <cell r="A342" t="str">
            <v>Windsor and Maidenhead UA</v>
          </cell>
          <cell r="B342">
            <v>111517</v>
          </cell>
          <cell r="C342">
            <v>77081</v>
          </cell>
          <cell r="D342">
            <v>76172</v>
          </cell>
          <cell r="E342">
            <v>909</v>
          </cell>
          <cell r="F342">
            <v>34436</v>
          </cell>
          <cell r="G342">
            <v>86436</v>
          </cell>
          <cell r="H342">
            <v>74378</v>
          </cell>
          <cell r="I342">
            <v>73469</v>
          </cell>
          <cell r="J342">
            <v>909</v>
          </cell>
          <cell r="K342">
            <v>12058</v>
          </cell>
        </row>
        <row r="343">
          <cell r="A343" t="str">
            <v>Wokingham UA</v>
          </cell>
          <cell r="B343">
            <v>119839</v>
          </cell>
          <cell r="C343">
            <v>87342</v>
          </cell>
          <cell r="D343">
            <v>85725</v>
          </cell>
          <cell r="E343">
            <v>1617</v>
          </cell>
          <cell r="F343">
            <v>32497</v>
          </cell>
          <cell r="G343">
            <v>97663</v>
          </cell>
          <cell r="H343">
            <v>84630</v>
          </cell>
          <cell r="I343">
            <v>83013</v>
          </cell>
          <cell r="J343">
            <v>1617</v>
          </cell>
          <cell r="K343">
            <v>13033</v>
          </cell>
        </row>
        <row r="345">
          <cell r="A345" t="str">
            <v>Buckinghamshire</v>
          </cell>
          <cell r="B345">
            <v>372674</v>
          </cell>
          <cell r="C345">
            <v>260881</v>
          </cell>
          <cell r="D345">
            <v>249459</v>
          </cell>
          <cell r="E345">
            <v>11422</v>
          </cell>
          <cell r="F345">
            <v>111793</v>
          </cell>
          <cell r="G345">
            <v>299824</v>
          </cell>
          <cell r="H345">
            <v>253111</v>
          </cell>
          <cell r="I345">
            <v>241689</v>
          </cell>
          <cell r="J345">
            <v>11422</v>
          </cell>
          <cell r="K345">
            <v>46713</v>
          </cell>
        </row>
        <row r="346">
          <cell r="A346" t="str">
            <v>Aylesbury Vale</v>
          </cell>
          <cell r="B346">
            <v>122410</v>
          </cell>
          <cell r="C346">
            <v>88696</v>
          </cell>
          <cell r="D346">
            <v>84583</v>
          </cell>
          <cell r="E346">
            <v>4113</v>
          </cell>
          <cell r="F346">
            <v>33714</v>
          </cell>
          <cell r="G346">
            <v>99509</v>
          </cell>
          <cell r="H346">
            <v>86530</v>
          </cell>
          <cell r="I346">
            <v>82417</v>
          </cell>
          <cell r="J346">
            <v>4113</v>
          </cell>
          <cell r="K346">
            <v>12979</v>
          </cell>
        </row>
        <row r="347">
          <cell r="A347" t="str">
            <v>Chiltern</v>
          </cell>
          <cell r="B347">
            <v>76611</v>
          </cell>
          <cell r="C347">
            <v>51189</v>
          </cell>
          <cell r="D347">
            <v>49596</v>
          </cell>
          <cell r="E347">
            <v>1593</v>
          </cell>
          <cell r="F347">
            <v>25422</v>
          </cell>
          <cell r="G347">
            <v>57349</v>
          </cell>
          <cell r="H347">
            <v>48355</v>
          </cell>
          <cell r="I347">
            <v>46762</v>
          </cell>
          <cell r="J347">
            <v>1593</v>
          </cell>
          <cell r="K347">
            <v>8994</v>
          </cell>
        </row>
        <row r="348">
          <cell r="A348" t="str">
            <v>South Bucks</v>
          </cell>
          <cell r="B348">
            <v>49007</v>
          </cell>
          <cell r="C348">
            <v>32966</v>
          </cell>
          <cell r="D348">
            <v>32164</v>
          </cell>
          <cell r="E348">
            <v>802</v>
          </cell>
          <cell r="F348">
            <v>16041</v>
          </cell>
          <cell r="G348">
            <v>39129</v>
          </cell>
          <cell r="H348">
            <v>31440</v>
          </cell>
          <cell r="I348">
            <v>30638</v>
          </cell>
          <cell r="J348">
            <v>802</v>
          </cell>
          <cell r="K348">
            <v>7689</v>
          </cell>
        </row>
        <row r="349">
          <cell r="A349" t="str">
            <v>Wycombe</v>
          </cell>
          <cell r="B349">
            <v>124646</v>
          </cell>
          <cell r="C349">
            <v>88030</v>
          </cell>
          <cell r="D349">
            <v>83116</v>
          </cell>
          <cell r="E349">
            <v>4914</v>
          </cell>
          <cell r="F349">
            <v>36616</v>
          </cell>
          <cell r="G349">
            <v>103837</v>
          </cell>
          <cell r="H349">
            <v>86786</v>
          </cell>
          <cell r="I349">
            <v>81872</v>
          </cell>
          <cell r="J349">
            <v>4914</v>
          </cell>
          <cell r="K349">
            <v>17051</v>
          </cell>
        </row>
        <row r="351">
          <cell r="A351" t="str">
            <v>East Sussex</v>
          </cell>
          <cell r="B351">
            <v>387796</v>
          </cell>
          <cell r="C351">
            <v>223935</v>
          </cell>
          <cell r="D351">
            <v>211643</v>
          </cell>
          <cell r="E351">
            <v>12292</v>
          </cell>
          <cell r="F351">
            <v>163861</v>
          </cell>
          <cell r="G351">
            <v>266182</v>
          </cell>
          <cell r="H351">
            <v>215735</v>
          </cell>
          <cell r="I351">
            <v>203934</v>
          </cell>
          <cell r="J351">
            <v>11801</v>
          </cell>
          <cell r="K351">
            <v>50447</v>
          </cell>
        </row>
        <row r="352">
          <cell r="A352" t="str">
            <v>Eastbourne</v>
          </cell>
          <cell r="B352">
            <v>67968</v>
          </cell>
          <cell r="C352">
            <v>42502</v>
          </cell>
          <cell r="D352">
            <v>40809</v>
          </cell>
          <cell r="E352">
            <v>1693</v>
          </cell>
          <cell r="F352">
            <v>25466</v>
          </cell>
          <cell r="G352">
            <v>51377</v>
          </cell>
          <cell r="H352">
            <v>41711</v>
          </cell>
          <cell r="I352">
            <v>40018</v>
          </cell>
          <cell r="J352">
            <v>1693</v>
          </cell>
          <cell r="K352">
            <v>9666</v>
          </cell>
        </row>
        <row r="353">
          <cell r="A353" t="str">
            <v>Hastings</v>
          </cell>
          <cell r="B353">
            <v>61879</v>
          </cell>
          <cell r="C353">
            <v>36378</v>
          </cell>
          <cell r="D353">
            <v>33107</v>
          </cell>
          <cell r="E353">
            <v>3271</v>
          </cell>
          <cell r="F353">
            <v>25501</v>
          </cell>
          <cell r="G353">
            <v>44032</v>
          </cell>
          <cell r="H353">
            <v>35030</v>
          </cell>
          <cell r="I353">
            <v>32010</v>
          </cell>
          <cell r="J353">
            <v>3020</v>
          </cell>
          <cell r="K353">
            <v>9002</v>
          </cell>
        </row>
        <row r="354">
          <cell r="A354" t="str">
            <v>Lewes</v>
          </cell>
          <cell r="B354">
            <v>69159</v>
          </cell>
          <cell r="C354">
            <v>39496</v>
          </cell>
          <cell r="D354">
            <v>37092</v>
          </cell>
          <cell r="E354">
            <v>2404</v>
          </cell>
          <cell r="F354">
            <v>29663</v>
          </cell>
          <cell r="G354">
            <v>48361</v>
          </cell>
          <cell r="H354">
            <v>38316</v>
          </cell>
          <cell r="I354">
            <v>36152</v>
          </cell>
          <cell r="J354">
            <v>2164</v>
          </cell>
          <cell r="K354">
            <v>10045</v>
          </cell>
        </row>
        <row r="355">
          <cell r="A355" t="str">
            <v>Rother</v>
          </cell>
          <cell r="B355">
            <v>72998</v>
          </cell>
          <cell r="C355">
            <v>36429</v>
          </cell>
          <cell r="D355">
            <v>34217</v>
          </cell>
          <cell r="E355">
            <v>2212</v>
          </cell>
          <cell r="F355">
            <v>36569</v>
          </cell>
          <cell r="G355">
            <v>46486</v>
          </cell>
          <cell r="H355">
            <v>35084</v>
          </cell>
          <cell r="I355">
            <v>32872</v>
          </cell>
          <cell r="J355">
            <v>2212</v>
          </cell>
          <cell r="K355">
            <v>11402</v>
          </cell>
        </row>
        <row r="356">
          <cell r="A356" t="str">
            <v>Wealden</v>
          </cell>
          <cell r="B356">
            <v>115792</v>
          </cell>
          <cell r="C356">
            <v>69130</v>
          </cell>
          <cell r="D356">
            <v>66418</v>
          </cell>
          <cell r="E356">
            <v>2712</v>
          </cell>
          <cell r="F356">
            <v>46662</v>
          </cell>
          <cell r="G356">
            <v>75926</v>
          </cell>
          <cell r="H356">
            <v>65594</v>
          </cell>
          <cell r="I356">
            <v>62882</v>
          </cell>
          <cell r="J356">
            <v>2712</v>
          </cell>
          <cell r="K356">
            <v>10332</v>
          </cell>
        </row>
        <row r="358">
          <cell r="A358" t="str">
            <v>Hampshire</v>
          </cell>
          <cell r="B358">
            <v>976761</v>
          </cell>
          <cell r="C358">
            <v>663858</v>
          </cell>
          <cell r="D358">
            <v>640445</v>
          </cell>
          <cell r="E358">
            <v>23413</v>
          </cell>
          <cell r="F358">
            <v>312903</v>
          </cell>
          <cell r="G358">
            <v>772248</v>
          </cell>
          <cell r="H358">
            <v>643531</v>
          </cell>
          <cell r="I358">
            <v>620560</v>
          </cell>
          <cell r="J358">
            <v>22971</v>
          </cell>
          <cell r="K358">
            <v>128717</v>
          </cell>
        </row>
        <row r="359">
          <cell r="A359" t="str">
            <v>Basingstoke and Deane</v>
          </cell>
          <cell r="B359">
            <v>119686</v>
          </cell>
          <cell r="C359">
            <v>86800</v>
          </cell>
          <cell r="D359">
            <v>83761</v>
          </cell>
          <cell r="E359">
            <v>3039</v>
          </cell>
          <cell r="F359">
            <v>32886</v>
          </cell>
          <cell r="G359">
            <v>101349</v>
          </cell>
          <cell r="H359">
            <v>84474</v>
          </cell>
          <cell r="I359">
            <v>81658</v>
          </cell>
          <cell r="J359">
            <v>2816</v>
          </cell>
          <cell r="K359">
            <v>16875</v>
          </cell>
        </row>
        <row r="360">
          <cell r="A360" t="str">
            <v>East Hampshire</v>
          </cell>
          <cell r="B360">
            <v>86905</v>
          </cell>
          <cell r="C360">
            <v>60296</v>
          </cell>
          <cell r="D360">
            <v>58409</v>
          </cell>
          <cell r="E360">
            <v>1887</v>
          </cell>
          <cell r="F360">
            <v>26609</v>
          </cell>
          <cell r="G360">
            <v>68157</v>
          </cell>
          <cell r="H360">
            <v>58254</v>
          </cell>
          <cell r="I360">
            <v>56586</v>
          </cell>
          <cell r="J360">
            <v>1668</v>
          </cell>
          <cell r="K360">
            <v>9903</v>
          </cell>
        </row>
        <row r="361">
          <cell r="A361" t="str">
            <v>Eastleigh</v>
          </cell>
          <cell r="B361">
            <v>85910</v>
          </cell>
          <cell r="C361">
            <v>63794</v>
          </cell>
          <cell r="D361">
            <v>61802</v>
          </cell>
          <cell r="E361">
            <v>1992</v>
          </cell>
          <cell r="F361">
            <v>22116</v>
          </cell>
          <cell r="G361">
            <v>71471</v>
          </cell>
          <cell r="H361">
            <v>61762</v>
          </cell>
          <cell r="I361">
            <v>59770</v>
          </cell>
          <cell r="J361">
            <v>1992</v>
          </cell>
          <cell r="K361">
            <v>9709</v>
          </cell>
        </row>
        <row r="362">
          <cell r="A362" t="str">
            <v>Fareham</v>
          </cell>
          <cell r="B362">
            <v>86139</v>
          </cell>
          <cell r="C362">
            <v>57900</v>
          </cell>
          <cell r="D362">
            <v>56406</v>
          </cell>
          <cell r="E362">
            <v>1494</v>
          </cell>
          <cell r="F362">
            <v>28239</v>
          </cell>
          <cell r="G362">
            <v>65415</v>
          </cell>
          <cell r="H362">
            <v>56413</v>
          </cell>
          <cell r="I362">
            <v>54919</v>
          </cell>
          <cell r="J362">
            <v>1494</v>
          </cell>
          <cell r="K362">
            <v>9002</v>
          </cell>
        </row>
        <row r="363">
          <cell r="A363" t="str">
            <v>Gosport</v>
          </cell>
          <cell r="B363">
            <v>59766</v>
          </cell>
          <cell r="C363">
            <v>39460</v>
          </cell>
          <cell r="D363">
            <v>38126</v>
          </cell>
          <cell r="E363">
            <v>1334</v>
          </cell>
          <cell r="F363">
            <v>20306</v>
          </cell>
          <cell r="G363">
            <v>47339</v>
          </cell>
          <cell r="H363">
            <v>39244</v>
          </cell>
          <cell r="I363">
            <v>37910</v>
          </cell>
          <cell r="J363">
            <v>1334</v>
          </cell>
          <cell r="K363">
            <v>8095</v>
          </cell>
        </row>
        <row r="364">
          <cell r="A364" t="str">
            <v>Hart</v>
          </cell>
          <cell r="B364">
            <v>65710</v>
          </cell>
          <cell r="C364">
            <v>51290</v>
          </cell>
          <cell r="D364">
            <v>48788</v>
          </cell>
          <cell r="E364">
            <v>2502</v>
          </cell>
          <cell r="F364">
            <v>14420</v>
          </cell>
          <cell r="G364">
            <v>57302</v>
          </cell>
          <cell r="H364">
            <v>50342</v>
          </cell>
          <cell r="I364">
            <v>47840</v>
          </cell>
          <cell r="J364">
            <v>2502</v>
          </cell>
          <cell r="K364">
            <v>6960</v>
          </cell>
        </row>
        <row r="365">
          <cell r="A365" t="str">
            <v>Havant</v>
          </cell>
          <cell r="B365">
            <v>94484</v>
          </cell>
          <cell r="C365">
            <v>57487</v>
          </cell>
          <cell r="D365">
            <v>53630</v>
          </cell>
          <cell r="E365">
            <v>3857</v>
          </cell>
          <cell r="F365">
            <v>36997</v>
          </cell>
          <cell r="G365">
            <v>70318</v>
          </cell>
          <cell r="H365">
            <v>55709</v>
          </cell>
          <cell r="I365">
            <v>51852</v>
          </cell>
          <cell r="J365">
            <v>3857</v>
          </cell>
          <cell r="K365">
            <v>14609</v>
          </cell>
        </row>
        <row r="366">
          <cell r="A366" t="str">
            <v>New Forest</v>
          </cell>
          <cell r="B366">
            <v>136437</v>
          </cell>
          <cell r="C366">
            <v>78451</v>
          </cell>
          <cell r="D366">
            <v>76964</v>
          </cell>
          <cell r="E366">
            <v>1487</v>
          </cell>
          <cell r="F366">
            <v>57986</v>
          </cell>
          <cell r="G366">
            <v>97062</v>
          </cell>
          <cell r="H366">
            <v>75855</v>
          </cell>
          <cell r="I366">
            <v>74368</v>
          </cell>
          <cell r="J366">
            <v>1487</v>
          </cell>
          <cell r="K366">
            <v>21207</v>
          </cell>
        </row>
        <row r="367">
          <cell r="A367" t="str">
            <v>Rushmoor</v>
          </cell>
          <cell r="B367">
            <v>68651</v>
          </cell>
          <cell r="C367">
            <v>47761</v>
          </cell>
          <cell r="D367">
            <v>46039</v>
          </cell>
          <cell r="E367">
            <v>1722</v>
          </cell>
          <cell r="F367">
            <v>20890</v>
          </cell>
          <cell r="G367">
            <v>57067</v>
          </cell>
          <cell r="H367">
            <v>47516</v>
          </cell>
          <cell r="I367">
            <v>45794</v>
          </cell>
          <cell r="J367">
            <v>1722</v>
          </cell>
          <cell r="K367">
            <v>9551</v>
          </cell>
        </row>
        <row r="368">
          <cell r="A368" t="str">
            <v>Test Valley</v>
          </cell>
          <cell r="B368">
            <v>86650</v>
          </cell>
          <cell r="C368">
            <v>63821</v>
          </cell>
          <cell r="D368">
            <v>61368</v>
          </cell>
          <cell r="E368">
            <v>2453</v>
          </cell>
          <cell r="F368">
            <v>22829</v>
          </cell>
          <cell r="G368">
            <v>69547</v>
          </cell>
          <cell r="H368">
            <v>61346</v>
          </cell>
          <cell r="I368">
            <v>58893</v>
          </cell>
          <cell r="J368">
            <v>2453</v>
          </cell>
          <cell r="K368">
            <v>8201</v>
          </cell>
        </row>
        <row r="369">
          <cell r="A369" t="str">
            <v>Winchester</v>
          </cell>
          <cell r="B369">
            <v>86423</v>
          </cell>
          <cell r="C369">
            <v>56798</v>
          </cell>
          <cell r="D369">
            <v>55152</v>
          </cell>
          <cell r="E369">
            <v>1646</v>
          </cell>
          <cell r="F369">
            <v>29625</v>
          </cell>
          <cell r="G369">
            <v>67221</v>
          </cell>
          <cell r="H369">
            <v>52616</v>
          </cell>
          <cell r="I369">
            <v>50970</v>
          </cell>
          <cell r="J369">
            <v>1646</v>
          </cell>
          <cell r="K369">
            <v>14605</v>
          </cell>
        </row>
        <row r="371">
          <cell r="A371" t="str">
            <v>Kent</v>
          </cell>
          <cell r="B371">
            <v>1032843</v>
          </cell>
          <cell r="C371">
            <v>666125</v>
          </cell>
          <cell r="D371">
            <v>629988</v>
          </cell>
          <cell r="E371">
            <v>36137</v>
          </cell>
          <cell r="F371">
            <v>366718</v>
          </cell>
          <cell r="G371">
            <v>796001</v>
          </cell>
          <cell r="H371">
            <v>645582</v>
          </cell>
          <cell r="I371">
            <v>609976</v>
          </cell>
          <cell r="J371">
            <v>35606</v>
          </cell>
          <cell r="K371">
            <v>150419</v>
          </cell>
        </row>
        <row r="372">
          <cell r="A372" t="str">
            <v>Ashford</v>
          </cell>
          <cell r="B372">
            <v>77604</v>
          </cell>
          <cell r="C372">
            <v>55441</v>
          </cell>
          <cell r="D372">
            <v>53758</v>
          </cell>
          <cell r="E372">
            <v>1683</v>
          </cell>
          <cell r="F372">
            <v>22163</v>
          </cell>
          <cell r="G372">
            <v>64734</v>
          </cell>
          <cell r="H372">
            <v>53962</v>
          </cell>
          <cell r="I372">
            <v>52529</v>
          </cell>
          <cell r="J372">
            <v>1433</v>
          </cell>
          <cell r="K372">
            <v>10772</v>
          </cell>
        </row>
        <row r="373">
          <cell r="A373" t="str">
            <v>Canterbury</v>
          </cell>
          <cell r="B373">
            <v>110176</v>
          </cell>
          <cell r="C373">
            <v>66554</v>
          </cell>
          <cell r="D373">
            <v>63352</v>
          </cell>
          <cell r="E373">
            <v>3202</v>
          </cell>
          <cell r="F373">
            <v>43622</v>
          </cell>
          <cell r="G373">
            <v>79439</v>
          </cell>
          <cell r="H373">
            <v>63931</v>
          </cell>
          <cell r="I373">
            <v>61010</v>
          </cell>
          <cell r="J373">
            <v>2921</v>
          </cell>
          <cell r="K373">
            <v>15508</v>
          </cell>
        </row>
        <row r="374">
          <cell r="A374" t="str">
            <v>Dartford</v>
          </cell>
          <cell r="B374">
            <v>68163</v>
          </cell>
          <cell r="C374">
            <v>47451</v>
          </cell>
          <cell r="D374">
            <v>43819</v>
          </cell>
          <cell r="E374">
            <v>3632</v>
          </cell>
          <cell r="F374">
            <v>20712</v>
          </cell>
          <cell r="G374">
            <v>54444</v>
          </cell>
          <cell r="H374">
            <v>46422</v>
          </cell>
          <cell r="I374">
            <v>42790</v>
          </cell>
          <cell r="J374">
            <v>3632</v>
          </cell>
          <cell r="K374">
            <v>8022</v>
          </cell>
        </row>
        <row r="375">
          <cell r="A375" t="str">
            <v>Dover</v>
          </cell>
          <cell r="B375">
            <v>83400</v>
          </cell>
          <cell r="C375">
            <v>49082</v>
          </cell>
          <cell r="D375">
            <v>43483</v>
          </cell>
          <cell r="E375">
            <v>5599</v>
          </cell>
          <cell r="F375">
            <v>34318</v>
          </cell>
          <cell r="G375">
            <v>62627</v>
          </cell>
          <cell r="H375">
            <v>48811</v>
          </cell>
          <cell r="I375">
            <v>43212</v>
          </cell>
          <cell r="J375">
            <v>5599</v>
          </cell>
          <cell r="K375">
            <v>13816</v>
          </cell>
        </row>
        <row r="376">
          <cell r="A376" t="str">
            <v>Gravesham</v>
          </cell>
          <cell r="B376">
            <v>68403</v>
          </cell>
          <cell r="C376">
            <v>45157</v>
          </cell>
          <cell r="D376">
            <v>43540</v>
          </cell>
          <cell r="E376">
            <v>1617</v>
          </cell>
          <cell r="F376">
            <v>23246</v>
          </cell>
          <cell r="G376">
            <v>51803</v>
          </cell>
          <cell r="H376">
            <v>44328</v>
          </cell>
          <cell r="I376">
            <v>42711</v>
          </cell>
          <cell r="J376">
            <v>1617</v>
          </cell>
          <cell r="K376">
            <v>7475</v>
          </cell>
        </row>
        <row r="377">
          <cell r="A377" t="str">
            <v>Maidstone</v>
          </cell>
          <cell r="B377">
            <v>115478</v>
          </cell>
          <cell r="C377">
            <v>76015</v>
          </cell>
          <cell r="D377">
            <v>72141</v>
          </cell>
          <cell r="E377">
            <v>3874</v>
          </cell>
          <cell r="F377">
            <v>39463</v>
          </cell>
          <cell r="G377">
            <v>94470</v>
          </cell>
          <cell r="H377">
            <v>73640</v>
          </cell>
          <cell r="I377">
            <v>69766</v>
          </cell>
          <cell r="J377">
            <v>3874</v>
          </cell>
          <cell r="K377">
            <v>20830</v>
          </cell>
        </row>
        <row r="378">
          <cell r="A378" t="str">
            <v>Sevenoaks</v>
          </cell>
          <cell r="B378">
            <v>84576</v>
          </cell>
          <cell r="C378">
            <v>53655</v>
          </cell>
          <cell r="D378">
            <v>52827</v>
          </cell>
          <cell r="E378">
            <v>828</v>
          </cell>
          <cell r="F378">
            <v>30921</v>
          </cell>
          <cell r="G378">
            <v>62061</v>
          </cell>
          <cell r="H378">
            <v>51207</v>
          </cell>
          <cell r="I378">
            <v>50379</v>
          </cell>
          <cell r="J378">
            <v>828</v>
          </cell>
          <cell r="K378">
            <v>10854</v>
          </cell>
        </row>
        <row r="379">
          <cell r="A379" t="str">
            <v>Shepway</v>
          </cell>
          <cell r="B379">
            <v>79805</v>
          </cell>
          <cell r="C379">
            <v>50249</v>
          </cell>
          <cell r="D379">
            <v>47270</v>
          </cell>
          <cell r="E379">
            <v>2979</v>
          </cell>
          <cell r="F379">
            <v>29556</v>
          </cell>
          <cell r="G379">
            <v>62059</v>
          </cell>
          <cell r="H379">
            <v>48984</v>
          </cell>
          <cell r="I379">
            <v>46005</v>
          </cell>
          <cell r="J379">
            <v>2979</v>
          </cell>
          <cell r="K379">
            <v>13075</v>
          </cell>
        </row>
        <row r="380">
          <cell r="A380" t="str">
            <v>Swale</v>
          </cell>
          <cell r="B380">
            <v>93110</v>
          </cell>
          <cell r="C380">
            <v>60760</v>
          </cell>
          <cell r="D380">
            <v>57266</v>
          </cell>
          <cell r="E380">
            <v>3494</v>
          </cell>
          <cell r="F380">
            <v>32350</v>
          </cell>
          <cell r="G380">
            <v>72103</v>
          </cell>
          <cell r="H380">
            <v>58499</v>
          </cell>
          <cell r="I380">
            <v>55005</v>
          </cell>
          <cell r="J380">
            <v>3494</v>
          </cell>
          <cell r="K380">
            <v>13604</v>
          </cell>
        </row>
        <row r="381">
          <cell r="A381" t="str">
            <v>Thanet</v>
          </cell>
          <cell r="B381">
            <v>95455</v>
          </cell>
          <cell r="C381">
            <v>51103</v>
          </cell>
          <cell r="D381">
            <v>46117</v>
          </cell>
          <cell r="E381">
            <v>4986</v>
          </cell>
          <cell r="F381">
            <v>44352</v>
          </cell>
          <cell r="G381">
            <v>65880</v>
          </cell>
          <cell r="H381">
            <v>49454</v>
          </cell>
          <cell r="I381">
            <v>44468</v>
          </cell>
          <cell r="J381">
            <v>4986</v>
          </cell>
          <cell r="K381">
            <v>16426</v>
          </cell>
        </row>
        <row r="382">
          <cell r="A382" t="str">
            <v>Tonbridge and Malling</v>
          </cell>
          <cell r="B382">
            <v>83336</v>
          </cell>
          <cell r="C382">
            <v>56980</v>
          </cell>
          <cell r="D382">
            <v>54054</v>
          </cell>
          <cell r="E382">
            <v>2926</v>
          </cell>
          <cell r="F382">
            <v>26356</v>
          </cell>
          <cell r="G382">
            <v>66884</v>
          </cell>
          <cell r="H382">
            <v>55322</v>
          </cell>
          <cell r="I382">
            <v>52396</v>
          </cell>
          <cell r="J382">
            <v>2926</v>
          </cell>
          <cell r="K382">
            <v>11562</v>
          </cell>
        </row>
        <row r="383">
          <cell r="A383" t="str">
            <v>Tunbridge Wells</v>
          </cell>
          <cell r="B383">
            <v>73337</v>
          </cell>
          <cell r="C383">
            <v>53678</v>
          </cell>
          <cell r="D383">
            <v>52361</v>
          </cell>
          <cell r="E383">
            <v>1317</v>
          </cell>
          <cell r="F383">
            <v>19659</v>
          </cell>
          <cell r="G383">
            <v>59497</v>
          </cell>
          <cell r="H383">
            <v>51022</v>
          </cell>
          <cell r="I383">
            <v>49705</v>
          </cell>
          <cell r="J383">
            <v>1317</v>
          </cell>
          <cell r="K383">
            <v>8475</v>
          </cell>
        </row>
        <row r="385">
          <cell r="A385" t="str">
            <v xml:space="preserve">Oxfordshire </v>
          </cell>
          <cell r="B385">
            <v>482229</v>
          </cell>
          <cell r="C385">
            <v>337891</v>
          </cell>
          <cell r="D385">
            <v>326965</v>
          </cell>
          <cell r="E385">
            <v>10926</v>
          </cell>
          <cell r="F385">
            <v>144338</v>
          </cell>
          <cell r="G385">
            <v>391847</v>
          </cell>
          <cell r="H385">
            <v>326471</v>
          </cell>
          <cell r="I385">
            <v>315545</v>
          </cell>
          <cell r="J385">
            <v>10926</v>
          </cell>
          <cell r="K385">
            <v>65376</v>
          </cell>
        </row>
        <row r="386">
          <cell r="A386" t="str">
            <v>Cherwell</v>
          </cell>
          <cell r="B386">
            <v>102413</v>
          </cell>
          <cell r="C386">
            <v>73279</v>
          </cell>
          <cell r="D386">
            <v>71768</v>
          </cell>
          <cell r="E386">
            <v>1511</v>
          </cell>
          <cell r="F386">
            <v>29134</v>
          </cell>
          <cell r="G386">
            <v>82401</v>
          </cell>
          <cell r="H386">
            <v>70880</v>
          </cell>
          <cell r="I386">
            <v>69369</v>
          </cell>
          <cell r="J386">
            <v>1511</v>
          </cell>
          <cell r="K386">
            <v>11521</v>
          </cell>
        </row>
        <row r="387">
          <cell r="A387" t="str">
            <v>Oxford</v>
          </cell>
          <cell r="B387">
            <v>113139</v>
          </cell>
          <cell r="C387">
            <v>74660</v>
          </cell>
          <cell r="D387">
            <v>70404</v>
          </cell>
          <cell r="E387">
            <v>4256</v>
          </cell>
          <cell r="F387">
            <v>38479</v>
          </cell>
          <cell r="G387">
            <v>97308</v>
          </cell>
          <cell r="H387">
            <v>73868</v>
          </cell>
          <cell r="I387">
            <v>69612</v>
          </cell>
          <cell r="J387">
            <v>4256</v>
          </cell>
          <cell r="K387">
            <v>23440</v>
          </cell>
        </row>
        <row r="388">
          <cell r="A388" t="str">
            <v>South Oxfordshire</v>
          </cell>
          <cell r="B388">
            <v>101065</v>
          </cell>
          <cell r="C388">
            <v>74597</v>
          </cell>
          <cell r="D388">
            <v>72468</v>
          </cell>
          <cell r="E388">
            <v>2129</v>
          </cell>
          <cell r="F388">
            <v>26468</v>
          </cell>
          <cell r="G388">
            <v>82860</v>
          </cell>
          <cell r="H388">
            <v>71888</v>
          </cell>
          <cell r="I388">
            <v>69759</v>
          </cell>
          <cell r="J388">
            <v>2129</v>
          </cell>
          <cell r="K388">
            <v>10972</v>
          </cell>
        </row>
        <row r="389">
          <cell r="A389" t="str">
            <v>Vale of White Horse</v>
          </cell>
          <cell r="B389">
            <v>85150</v>
          </cell>
          <cell r="C389">
            <v>56491</v>
          </cell>
          <cell r="D389">
            <v>55219</v>
          </cell>
          <cell r="E389">
            <v>1272</v>
          </cell>
          <cell r="F389">
            <v>28659</v>
          </cell>
          <cell r="G389">
            <v>66068</v>
          </cell>
          <cell r="H389">
            <v>53782</v>
          </cell>
          <cell r="I389">
            <v>52510</v>
          </cell>
          <cell r="J389">
            <v>1272</v>
          </cell>
          <cell r="K389">
            <v>12286</v>
          </cell>
        </row>
        <row r="390">
          <cell r="A390" t="str">
            <v>West Oxfordshire</v>
          </cell>
          <cell r="B390">
            <v>80462</v>
          </cell>
          <cell r="C390">
            <v>58864</v>
          </cell>
          <cell r="D390">
            <v>57106</v>
          </cell>
          <cell r="E390">
            <v>1758</v>
          </cell>
          <cell r="F390">
            <v>21598</v>
          </cell>
          <cell r="G390">
            <v>63210</v>
          </cell>
          <cell r="H390">
            <v>56053</v>
          </cell>
          <cell r="I390">
            <v>54295</v>
          </cell>
          <cell r="J390">
            <v>1758</v>
          </cell>
          <cell r="K390">
            <v>7157</v>
          </cell>
        </row>
        <row r="392">
          <cell r="A392" t="str">
            <v>Surrey</v>
          </cell>
          <cell r="B392">
            <v>831314</v>
          </cell>
          <cell r="C392">
            <v>565859</v>
          </cell>
          <cell r="D392">
            <v>550513</v>
          </cell>
          <cell r="E392">
            <v>15346</v>
          </cell>
          <cell r="F392">
            <v>265455</v>
          </cell>
          <cell r="G392">
            <v>639861</v>
          </cell>
          <cell r="H392">
            <v>542859</v>
          </cell>
          <cell r="I392">
            <v>527513</v>
          </cell>
          <cell r="J392">
            <v>15346</v>
          </cell>
          <cell r="K392">
            <v>97002</v>
          </cell>
        </row>
        <row r="393">
          <cell r="A393" t="str">
            <v>Elmbridge</v>
          </cell>
          <cell r="B393">
            <v>101189</v>
          </cell>
          <cell r="C393">
            <v>69840</v>
          </cell>
          <cell r="D393">
            <v>68166</v>
          </cell>
          <cell r="E393">
            <v>1674</v>
          </cell>
          <cell r="F393">
            <v>31349</v>
          </cell>
          <cell r="G393">
            <v>77209</v>
          </cell>
          <cell r="H393">
            <v>64130</v>
          </cell>
          <cell r="I393">
            <v>62456</v>
          </cell>
          <cell r="J393">
            <v>1674</v>
          </cell>
          <cell r="K393">
            <v>13079</v>
          </cell>
        </row>
        <row r="394">
          <cell r="A394" t="str">
            <v>Epsom and Ewell</v>
          </cell>
          <cell r="B394">
            <v>54100</v>
          </cell>
          <cell r="C394">
            <v>34030</v>
          </cell>
          <cell r="D394">
            <v>33408</v>
          </cell>
          <cell r="E394">
            <v>622</v>
          </cell>
          <cell r="F394">
            <v>20070</v>
          </cell>
          <cell r="G394">
            <v>39004</v>
          </cell>
          <cell r="H394">
            <v>33470</v>
          </cell>
          <cell r="I394">
            <v>32848</v>
          </cell>
          <cell r="J394">
            <v>622</v>
          </cell>
          <cell r="K394">
            <v>5534</v>
          </cell>
        </row>
        <row r="395">
          <cell r="A395" t="str">
            <v>Guildford</v>
          </cell>
          <cell r="B395">
            <v>98028</v>
          </cell>
          <cell r="C395">
            <v>72090</v>
          </cell>
          <cell r="D395">
            <v>70339</v>
          </cell>
          <cell r="E395">
            <v>1751</v>
          </cell>
          <cell r="F395">
            <v>25938</v>
          </cell>
          <cell r="G395">
            <v>75996</v>
          </cell>
          <cell r="H395">
            <v>68056</v>
          </cell>
          <cell r="I395">
            <v>66305</v>
          </cell>
          <cell r="J395">
            <v>1751</v>
          </cell>
          <cell r="K395">
            <v>7940</v>
          </cell>
        </row>
        <row r="396">
          <cell r="A396" t="str">
            <v>Mole Valley</v>
          </cell>
          <cell r="B396">
            <v>61729</v>
          </cell>
          <cell r="C396">
            <v>40715</v>
          </cell>
          <cell r="D396">
            <v>39754</v>
          </cell>
          <cell r="E396">
            <v>961</v>
          </cell>
          <cell r="F396">
            <v>21014</v>
          </cell>
          <cell r="G396">
            <v>44120</v>
          </cell>
          <cell r="H396">
            <v>39367</v>
          </cell>
          <cell r="I396">
            <v>38406</v>
          </cell>
          <cell r="J396">
            <v>961</v>
          </cell>
          <cell r="K396">
            <v>4753</v>
          </cell>
        </row>
        <row r="397">
          <cell r="A397" t="str">
            <v>Reigate and Banstead</v>
          </cell>
          <cell r="B397">
            <v>93830</v>
          </cell>
          <cell r="C397">
            <v>56761</v>
          </cell>
          <cell r="D397">
            <v>54451</v>
          </cell>
          <cell r="E397">
            <v>2310</v>
          </cell>
          <cell r="F397">
            <v>37069</v>
          </cell>
          <cell r="G397">
            <v>70054</v>
          </cell>
          <cell r="H397">
            <v>54674</v>
          </cell>
          <cell r="I397">
            <v>52364</v>
          </cell>
          <cell r="J397">
            <v>2310</v>
          </cell>
          <cell r="K397">
            <v>15380</v>
          </cell>
        </row>
        <row r="398">
          <cell r="A398" t="str">
            <v>Runnymede</v>
          </cell>
          <cell r="B398">
            <v>60419</v>
          </cell>
          <cell r="C398">
            <v>39536</v>
          </cell>
          <cell r="D398">
            <v>38328</v>
          </cell>
          <cell r="E398">
            <v>1208</v>
          </cell>
          <cell r="F398">
            <v>20883</v>
          </cell>
          <cell r="G398">
            <v>46759</v>
          </cell>
          <cell r="H398">
            <v>39002</v>
          </cell>
          <cell r="I398">
            <v>37794</v>
          </cell>
          <cell r="J398">
            <v>1208</v>
          </cell>
          <cell r="K398">
            <v>7757</v>
          </cell>
        </row>
        <row r="399">
          <cell r="A399" t="str">
            <v>Spelthorne</v>
          </cell>
          <cell r="B399">
            <v>73817</v>
          </cell>
          <cell r="C399">
            <v>49460</v>
          </cell>
          <cell r="D399">
            <v>47538</v>
          </cell>
          <cell r="E399">
            <v>1922</v>
          </cell>
          <cell r="F399">
            <v>24357</v>
          </cell>
          <cell r="G399">
            <v>56934</v>
          </cell>
          <cell r="H399">
            <v>47709</v>
          </cell>
          <cell r="I399">
            <v>45787</v>
          </cell>
          <cell r="J399">
            <v>1922</v>
          </cell>
          <cell r="K399">
            <v>9225</v>
          </cell>
        </row>
        <row r="400">
          <cell r="A400" t="str">
            <v>Surrey Heath</v>
          </cell>
          <cell r="B400">
            <v>64992</v>
          </cell>
          <cell r="C400">
            <v>49689</v>
          </cell>
          <cell r="D400">
            <v>48882</v>
          </cell>
          <cell r="E400">
            <v>807</v>
          </cell>
          <cell r="F400">
            <v>15303</v>
          </cell>
          <cell r="G400">
            <v>57059</v>
          </cell>
          <cell r="H400">
            <v>48722</v>
          </cell>
          <cell r="I400">
            <v>47915</v>
          </cell>
          <cell r="J400">
            <v>807</v>
          </cell>
          <cell r="K400">
            <v>8337</v>
          </cell>
        </row>
        <row r="401">
          <cell r="A401" t="str">
            <v>Tandridge</v>
          </cell>
          <cell r="B401">
            <v>59650</v>
          </cell>
          <cell r="C401">
            <v>43044</v>
          </cell>
          <cell r="D401">
            <v>41580</v>
          </cell>
          <cell r="E401">
            <v>1464</v>
          </cell>
          <cell r="F401">
            <v>16606</v>
          </cell>
          <cell r="G401">
            <v>44761</v>
          </cell>
          <cell r="H401">
            <v>40503</v>
          </cell>
          <cell r="I401">
            <v>39039</v>
          </cell>
          <cell r="J401">
            <v>1464</v>
          </cell>
          <cell r="K401">
            <v>4258</v>
          </cell>
        </row>
        <row r="402">
          <cell r="A402" t="str">
            <v>Waverley</v>
          </cell>
          <cell r="B402">
            <v>90734</v>
          </cell>
          <cell r="C402">
            <v>61978</v>
          </cell>
          <cell r="D402">
            <v>60130</v>
          </cell>
          <cell r="E402">
            <v>1848</v>
          </cell>
          <cell r="F402">
            <v>28756</v>
          </cell>
          <cell r="G402">
            <v>72500</v>
          </cell>
          <cell r="H402">
            <v>60590</v>
          </cell>
          <cell r="I402">
            <v>58742</v>
          </cell>
          <cell r="J402">
            <v>1848</v>
          </cell>
          <cell r="K402">
            <v>11910</v>
          </cell>
        </row>
        <row r="403">
          <cell r="A403" t="str">
            <v>Woking</v>
          </cell>
          <cell r="B403">
            <v>72826</v>
          </cell>
          <cell r="C403">
            <v>48716</v>
          </cell>
          <cell r="D403">
            <v>47937</v>
          </cell>
          <cell r="E403">
            <v>779</v>
          </cell>
          <cell r="F403">
            <v>24110</v>
          </cell>
          <cell r="G403">
            <v>55465</v>
          </cell>
          <cell r="H403">
            <v>46636</v>
          </cell>
          <cell r="I403">
            <v>45857</v>
          </cell>
          <cell r="J403">
            <v>779</v>
          </cell>
          <cell r="K403">
            <v>8829</v>
          </cell>
        </row>
        <row r="405">
          <cell r="A405" t="str">
            <v>West Sussex</v>
          </cell>
          <cell r="B405">
            <v>594555</v>
          </cell>
          <cell r="C405">
            <v>379601</v>
          </cell>
          <cell r="D405">
            <v>366813</v>
          </cell>
          <cell r="E405">
            <v>12788</v>
          </cell>
          <cell r="F405">
            <v>214954</v>
          </cell>
          <cell r="G405">
            <v>431854</v>
          </cell>
          <cell r="H405">
            <v>361515</v>
          </cell>
          <cell r="I405">
            <v>349240</v>
          </cell>
          <cell r="J405">
            <v>12275</v>
          </cell>
          <cell r="K405">
            <v>70339</v>
          </cell>
        </row>
        <row r="406">
          <cell r="A406" t="str">
            <v>Adur</v>
          </cell>
          <cell r="B406">
            <v>49050</v>
          </cell>
          <cell r="C406">
            <v>27855</v>
          </cell>
          <cell r="D406">
            <v>26560</v>
          </cell>
          <cell r="E406">
            <v>1295</v>
          </cell>
          <cell r="F406">
            <v>21195</v>
          </cell>
          <cell r="G406">
            <v>32006</v>
          </cell>
          <cell r="H406">
            <v>25490</v>
          </cell>
          <cell r="I406">
            <v>24454</v>
          </cell>
          <cell r="J406">
            <v>1036</v>
          </cell>
          <cell r="K406">
            <v>6516</v>
          </cell>
        </row>
        <row r="407">
          <cell r="A407" t="str">
            <v>Arun</v>
          </cell>
          <cell r="B407">
            <v>110560</v>
          </cell>
          <cell r="C407">
            <v>68134</v>
          </cell>
          <cell r="D407">
            <v>64836</v>
          </cell>
          <cell r="E407">
            <v>3298</v>
          </cell>
          <cell r="F407">
            <v>42426</v>
          </cell>
          <cell r="G407">
            <v>78933</v>
          </cell>
          <cell r="H407">
            <v>65893</v>
          </cell>
          <cell r="I407">
            <v>62849</v>
          </cell>
          <cell r="J407">
            <v>3044</v>
          </cell>
          <cell r="K407">
            <v>13040</v>
          </cell>
        </row>
        <row r="408">
          <cell r="A408" t="str">
            <v>Chichester</v>
          </cell>
          <cell r="B408">
            <v>87792</v>
          </cell>
          <cell r="C408">
            <v>49736</v>
          </cell>
          <cell r="D408">
            <v>47617</v>
          </cell>
          <cell r="E408">
            <v>2119</v>
          </cell>
          <cell r="F408">
            <v>38056</v>
          </cell>
          <cell r="G408">
            <v>56168</v>
          </cell>
          <cell r="H408">
            <v>44683</v>
          </cell>
          <cell r="I408">
            <v>42564</v>
          </cell>
          <cell r="J408">
            <v>2119</v>
          </cell>
          <cell r="K408">
            <v>11485</v>
          </cell>
        </row>
        <row r="409">
          <cell r="A409" t="str">
            <v>Crawley</v>
          </cell>
          <cell r="B409">
            <v>75577</v>
          </cell>
          <cell r="C409">
            <v>52217</v>
          </cell>
          <cell r="D409">
            <v>50821</v>
          </cell>
          <cell r="E409">
            <v>1396</v>
          </cell>
          <cell r="F409">
            <v>23360</v>
          </cell>
          <cell r="G409">
            <v>60350</v>
          </cell>
          <cell r="H409">
            <v>51249</v>
          </cell>
          <cell r="I409">
            <v>49853</v>
          </cell>
          <cell r="J409">
            <v>1396</v>
          </cell>
          <cell r="K409">
            <v>9101</v>
          </cell>
        </row>
        <row r="410">
          <cell r="A410" t="str">
            <v>Horsham</v>
          </cell>
          <cell r="B410">
            <v>97080</v>
          </cell>
          <cell r="C410">
            <v>65266</v>
          </cell>
          <cell r="D410">
            <v>63828</v>
          </cell>
          <cell r="E410">
            <v>1438</v>
          </cell>
          <cell r="F410">
            <v>31814</v>
          </cell>
          <cell r="G410">
            <v>72680</v>
          </cell>
          <cell r="H410">
            <v>61877</v>
          </cell>
          <cell r="I410">
            <v>60439</v>
          </cell>
          <cell r="J410">
            <v>1438</v>
          </cell>
          <cell r="K410">
            <v>10803</v>
          </cell>
        </row>
        <row r="411">
          <cell r="A411" t="str">
            <v>Mid Sussex</v>
          </cell>
          <cell r="B411">
            <v>95220</v>
          </cell>
          <cell r="C411">
            <v>67204</v>
          </cell>
          <cell r="D411">
            <v>65505</v>
          </cell>
          <cell r="E411">
            <v>1699</v>
          </cell>
          <cell r="F411">
            <v>28016</v>
          </cell>
          <cell r="G411">
            <v>76028</v>
          </cell>
          <cell r="H411">
            <v>65269</v>
          </cell>
          <cell r="I411">
            <v>63570</v>
          </cell>
          <cell r="J411">
            <v>1699</v>
          </cell>
          <cell r="K411">
            <v>10759</v>
          </cell>
        </row>
        <row r="412">
          <cell r="A412" t="str">
            <v>Worthing</v>
          </cell>
          <cell r="B412">
            <v>79276</v>
          </cell>
          <cell r="C412">
            <v>49189</v>
          </cell>
          <cell r="D412">
            <v>47646</v>
          </cell>
          <cell r="E412">
            <v>1543</v>
          </cell>
          <cell r="F412">
            <v>30087</v>
          </cell>
          <cell r="G412">
            <v>55689</v>
          </cell>
          <cell r="H412">
            <v>47054</v>
          </cell>
          <cell r="I412">
            <v>45511</v>
          </cell>
          <cell r="J412">
            <v>1543</v>
          </cell>
          <cell r="K412">
            <v>8635</v>
          </cell>
        </row>
        <row r="414">
          <cell r="A414" t="str">
            <v>SOUTH WEST</v>
          </cell>
          <cell r="B414">
            <v>3862711</v>
          </cell>
          <cell r="C414">
            <v>2454535</v>
          </cell>
          <cell r="D414">
            <v>2343808</v>
          </cell>
          <cell r="E414">
            <v>110727</v>
          </cell>
          <cell r="F414">
            <v>1408176</v>
          </cell>
          <cell r="G414">
            <v>2887071</v>
          </cell>
          <cell r="H414">
            <v>2363480</v>
          </cell>
          <cell r="I414">
            <v>2254377</v>
          </cell>
          <cell r="J414">
            <v>109103</v>
          </cell>
          <cell r="K414">
            <v>523591</v>
          </cell>
        </row>
        <row r="416">
          <cell r="A416" t="str">
            <v>Bath and North East Somerset UA</v>
          </cell>
          <cell r="B416">
            <v>135632</v>
          </cell>
          <cell r="C416">
            <v>84844</v>
          </cell>
          <cell r="D416">
            <v>81564</v>
          </cell>
          <cell r="E416">
            <v>3280</v>
          </cell>
          <cell r="F416">
            <v>50788</v>
          </cell>
          <cell r="G416">
            <v>101612</v>
          </cell>
          <cell r="H416">
            <v>81731</v>
          </cell>
          <cell r="I416">
            <v>78451</v>
          </cell>
          <cell r="J416">
            <v>3280</v>
          </cell>
          <cell r="K416">
            <v>19881</v>
          </cell>
        </row>
        <row r="417">
          <cell r="A417" t="str">
            <v>Bournemouth UA</v>
          </cell>
          <cell r="B417">
            <v>132253</v>
          </cell>
          <cell r="C417">
            <v>73958</v>
          </cell>
          <cell r="D417">
            <v>69257</v>
          </cell>
          <cell r="E417">
            <v>4701</v>
          </cell>
          <cell r="F417">
            <v>58295</v>
          </cell>
          <cell r="G417">
            <v>86509</v>
          </cell>
          <cell r="H417">
            <v>70234</v>
          </cell>
          <cell r="I417">
            <v>65533</v>
          </cell>
          <cell r="J417">
            <v>4701</v>
          </cell>
          <cell r="K417">
            <v>16275</v>
          </cell>
        </row>
        <row r="418">
          <cell r="A418" t="str">
            <v>Bristol, City of UA</v>
          </cell>
          <cell r="B418">
            <v>323965</v>
          </cell>
          <cell r="C418">
            <v>198369</v>
          </cell>
          <cell r="D418">
            <v>182699</v>
          </cell>
          <cell r="E418">
            <v>15670</v>
          </cell>
          <cell r="F418">
            <v>125596</v>
          </cell>
          <cell r="G418">
            <v>242544</v>
          </cell>
          <cell r="H418">
            <v>190042</v>
          </cell>
          <cell r="I418">
            <v>174372</v>
          </cell>
          <cell r="J418">
            <v>15670</v>
          </cell>
          <cell r="K418">
            <v>52502</v>
          </cell>
        </row>
        <row r="419">
          <cell r="A419" t="str">
            <v>North Somerset UA</v>
          </cell>
          <cell r="B419">
            <v>148822</v>
          </cell>
          <cell r="C419">
            <v>90966</v>
          </cell>
          <cell r="D419">
            <v>87463</v>
          </cell>
          <cell r="E419">
            <v>3503</v>
          </cell>
          <cell r="F419">
            <v>57856</v>
          </cell>
          <cell r="G419">
            <v>109802</v>
          </cell>
          <cell r="H419">
            <v>88022</v>
          </cell>
          <cell r="I419">
            <v>84519</v>
          </cell>
          <cell r="J419">
            <v>3503</v>
          </cell>
          <cell r="K419">
            <v>21780</v>
          </cell>
        </row>
        <row r="420">
          <cell r="A420" t="str">
            <v>Plymouth UA</v>
          </cell>
          <cell r="B420">
            <v>193005</v>
          </cell>
          <cell r="C420">
            <v>122142</v>
          </cell>
          <cell r="D420">
            <v>113729</v>
          </cell>
          <cell r="E420">
            <v>8413</v>
          </cell>
          <cell r="F420">
            <v>70863</v>
          </cell>
          <cell r="G420">
            <v>156776</v>
          </cell>
          <cell r="H420">
            <v>117854</v>
          </cell>
          <cell r="I420">
            <v>109701</v>
          </cell>
          <cell r="J420">
            <v>8153</v>
          </cell>
          <cell r="K420">
            <v>38922</v>
          </cell>
        </row>
        <row r="421">
          <cell r="A421" t="str">
            <v>Poole UA</v>
          </cell>
          <cell r="B421">
            <v>114497</v>
          </cell>
          <cell r="C421">
            <v>70901</v>
          </cell>
          <cell r="D421">
            <v>68140</v>
          </cell>
          <cell r="E421">
            <v>2761</v>
          </cell>
          <cell r="F421">
            <v>43596</v>
          </cell>
          <cell r="G421">
            <v>81449</v>
          </cell>
          <cell r="H421">
            <v>69530</v>
          </cell>
          <cell r="I421">
            <v>66769</v>
          </cell>
          <cell r="J421">
            <v>2761</v>
          </cell>
          <cell r="K421">
            <v>11919</v>
          </cell>
        </row>
        <row r="422">
          <cell r="A422" t="str">
            <v>South Gloucestershire UA</v>
          </cell>
          <cell r="B422">
            <v>192556</v>
          </cell>
          <cell r="C422">
            <v>139280</v>
          </cell>
          <cell r="D422">
            <v>135282</v>
          </cell>
          <cell r="E422">
            <v>3998</v>
          </cell>
          <cell r="F422">
            <v>53276</v>
          </cell>
          <cell r="G422">
            <v>157647</v>
          </cell>
          <cell r="H422">
            <v>135713</v>
          </cell>
          <cell r="I422">
            <v>131910</v>
          </cell>
          <cell r="J422">
            <v>3803</v>
          </cell>
          <cell r="K422">
            <v>21934</v>
          </cell>
        </row>
        <row r="423">
          <cell r="A423" t="str">
            <v>Swindon UA</v>
          </cell>
          <cell r="B423">
            <v>139305</v>
          </cell>
          <cell r="C423">
            <v>104232</v>
          </cell>
          <cell r="D423">
            <v>100780</v>
          </cell>
          <cell r="E423">
            <v>3452</v>
          </cell>
          <cell r="F423">
            <v>35073</v>
          </cell>
          <cell r="G423">
            <v>115362</v>
          </cell>
          <cell r="H423">
            <v>101742</v>
          </cell>
          <cell r="I423">
            <v>98290</v>
          </cell>
          <cell r="J423">
            <v>3452</v>
          </cell>
          <cell r="K423">
            <v>13620</v>
          </cell>
        </row>
        <row r="424">
          <cell r="A424" t="str">
            <v>Torbay UA</v>
          </cell>
          <cell r="B424">
            <v>94468</v>
          </cell>
          <cell r="C424">
            <v>53275</v>
          </cell>
          <cell r="D424">
            <v>47993</v>
          </cell>
          <cell r="E424">
            <v>5282</v>
          </cell>
          <cell r="F424">
            <v>41193</v>
          </cell>
          <cell r="G424">
            <v>61836</v>
          </cell>
          <cell r="H424">
            <v>50442</v>
          </cell>
          <cell r="I424">
            <v>45160</v>
          </cell>
          <cell r="J424">
            <v>5282</v>
          </cell>
          <cell r="K424">
            <v>11394</v>
          </cell>
        </row>
        <row r="426">
          <cell r="A426" t="str">
            <v>Cornwall and the Isles of Scilly</v>
          </cell>
          <cell r="B426">
            <v>386074</v>
          </cell>
          <cell r="C426">
            <v>227764</v>
          </cell>
          <cell r="D426">
            <v>214787</v>
          </cell>
          <cell r="E426">
            <v>12977</v>
          </cell>
          <cell r="F426">
            <v>158310</v>
          </cell>
          <cell r="G426">
            <v>287504</v>
          </cell>
          <cell r="H426">
            <v>220513</v>
          </cell>
          <cell r="I426">
            <v>207807</v>
          </cell>
          <cell r="J426">
            <v>12706</v>
          </cell>
          <cell r="K426">
            <v>66991</v>
          </cell>
        </row>
        <row r="427">
          <cell r="A427" t="str">
            <v>Caradon</v>
          </cell>
          <cell r="B427">
            <v>65646</v>
          </cell>
          <cell r="C427">
            <v>42946</v>
          </cell>
          <cell r="D427">
            <v>40766</v>
          </cell>
          <cell r="E427">
            <v>2180</v>
          </cell>
          <cell r="F427">
            <v>22700</v>
          </cell>
          <cell r="G427">
            <v>50065</v>
          </cell>
          <cell r="H427">
            <v>41411</v>
          </cell>
          <cell r="I427">
            <v>39231</v>
          </cell>
          <cell r="J427">
            <v>2180</v>
          </cell>
          <cell r="K427">
            <v>8654</v>
          </cell>
        </row>
        <row r="428">
          <cell r="A428" t="str">
            <v>Carrick</v>
          </cell>
          <cell r="B428">
            <v>70144</v>
          </cell>
          <cell r="C428">
            <v>42889</v>
          </cell>
          <cell r="D428">
            <v>39732</v>
          </cell>
          <cell r="E428">
            <v>3157</v>
          </cell>
          <cell r="F428">
            <v>27255</v>
          </cell>
          <cell r="G428">
            <v>52076</v>
          </cell>
          <cell r="H428">
            <v>40988</v>
          </cell>
          <cell r="I428">
            <v>38102</v>
          </cell>
          <cell r="J428">
            <v>2886</v>
          </cell>
          <cell r="K428">
            <v>11088</v>
          </cell>
        </row>
        <row r="429">
          <cell r="A429" t="str">
            <v>Kerrier</v>
          </cell>
          <cell r="B429">
            <v>73494</v>
          </cell>
          <cell r="C429">
            <v>40094</v>
          </cell>
          <cell r="D429">
            <v>38467</v>
          </cell>
          <cell r="E429">
            <v>1627</v>
          </cell>
          <cell r="F429">
            <v>33400</v>
          </cell>
          <cell r="G429">
            <v>52139</v>
          </cell>
          <cell r="H429">
            <v>37831</v>
          </cell>
          <cell r="I429">
            <v>36204</v>
          </cell>
          <cell r="J429">
            <v>1627</v>
          </cell>
          <cell r="K429">
            <v>14308</v>
          </cell>
        </row>
        <row r="430">
          <cell r="A430" t="str">
            <v>North Cornwall</v>
          </cell>
          <cell r="B430">
            <v>61589</v>
          </cell>
          <cell r="C430">
            <v>39405</v>
          </cell>
          <cell r="D430">
            <v>37293</v>
          </cell>
          <cell r="E430">
            <v>2112</v>
          </cell>
          <cell r="F430">
            <v>22184</v>
          </cell>
          <cell r="G430">
            <v>45747</v>
          </cell>
          <cell r="H430">
            <v>38292</v>
          </cell>
          <cell r="I430">
            <v>36180</v>
          </cell>
          <cell r="J430">
            <v>2112</v>
          </cell>
          <cell r="K430">
            <v>7455</v>
          </cell>
        </row>
        <row r="431">
          <cell r="A431" t="str">
            <v>Penwith</v>
          </cell>
          <cell r="B431">
            <v>46904</v>
          </cell>
          <cell r="C431">
            <v>26285</v>
          </cell>
          <cell r="D431">
            <v>23475</v>
          </cell>
          <cell r="E431">
            <v>2810</v>
          </cell>
          <cell r="F431">
            <v>20619</v>
          </cell>
          <cell r="G431">
            <v>35890</v>
          </cell>
          <cell r="H431">
            <v>25846</v>
          </cell>
          <cell r="I431">
            <v>23036</v>
          </cell>
          <cell r="J431">
            <v>2810</v>
          </cell>
          <cell r="K431">
            <v>10044</v>
          </cell>
        </row>
        <row r="432">
          <cell r="A432" t="str">
            <v>Restormel</v>
          </cell>
          <cell r="B432">
            <v>68297</v>
          </cell>
          <cell r="C432">
            <v>36145</v>
          </cell>
          <cell r="D432">
            <v>35054</v>
          </cell>
          <cell r="E432">
            <v>1091</v>
          </cell>
          <cell r="F432">
            <v>32152</v>
          </cell>
          <cell r="G432">
            <v>51587</v>
          </cell>
          <cell r="H432">
            <v>36145</v>
          </cell>
          <cell r="I432">
            <v>35054</v>
          </cell>
          <cell r="J432">
            <v>1091</v>
          </cell>
          <cell r="K432">
            <v>15442</v>
          </cell>
        </row>
        <row r="433">
          <cell r="A433" t="str">
            <v xml:space="preserve">Isles of Scilly </v>
          </cell>
          <cell r="B433" t="str">
            <v>..</v>
          </cell>
          <cell r="C433" t="str">
            <v>..</v>
          </cell>
          <cell r="D433" t="str">
            <v>..</v>
          </cell>
          <cell r="E433" t="str">
            <v>..</v>
          </cell>
          <cell r="F433" t="str">
            <v>..</v>
          </cell>
          <cell r="G433" t="str">
            <v>..</v>
          </cell>
          <cell r="H433" t="str">
            <v>..</v>
          </cell>
          <cell r="I433" t="str">
            <v>..</v>
          </cell>
          <cell r="J433" t="str">
            <v>..</v>
          </cell>
          <cell r="K433" t="str">
            <v>..</v>
          </cell>
        </row>
        <row r="435">
          <cell r="A435" t="str">
            <v>Devon</v>
          </cell>
          <cell r="B435">
            <v>547305</v>
          </cell>
          <cell r="C435">
            <v>351381</v>
          </cell>
          <cell r="D435">
            <v>336954</v>
          </cell>
          <cell r="E435">
            <v>14427</v>
          </cell>
          <cell r="F435">
            <v>195924</v>
          </cell>
          <cell r="G435">
            <v>403809</v>
          </cell>
          <cell r="H435">
            <v>338513</v>
          </cell>
          <cell r="I435">
            <v>324086</v>
          </cell>
          <cell r="J435">
            <v>14427</v>
          </cell>
          <cell r="K435">
            <v>65296</v>
          </cell>
        </row>
        <row r="436">
          <cell r="A436" t="str">
            <v>East Devon</v>
          </cell>
          <cell r="B436">
            <v>94989</v>
          </cell>
          <cell r="C436">
            <v>60475</v>
          </cell>
          <cell r="D436">
            <v>58729</v>
          </cell>
          <cell r="E436">
            <v>1746</v>
          </cell>
          <cell r="F436">
            <v>34514</v>
          </cell>
          <cell r="G436">
            <v>66117</v>
          </cell>
          <cell r="H436">
            <v>57573</v>
          </cell>
          <cell r="I436">
            <v>55827</v>
          </cell>
          <cell r="J436">
            <v>1746</v>
          </cell>
          <cell r="K436">
            <v>8544</v>
          </cell>
        </row>
        <row r="437">
          <cell r="A437" t="str">
            <v>Exeter</v>
          </cell>
          <cell r="B437">
            <v>85658</v>
          </cell>
          <cell r="C437">
            <v>56637</v>
          </cell>
          <cell r="D437">
            <v>53388</v>
          </cell>
          <cell r="E437">
            <v>3249</v>
          </cell>
          <cell r="F437">
            <v>29021</v>
          </cell>
          <cell r="G437">
            <v>67931</v>
          </cell>
          <cell r="H437">
            <v>54929</v>
          </cell>
          <cell r="I437">
            <v>51680</v>
          </cell>
          <cell r="J437">
            <v>3249</v>
          </cell>
          <cell r="K437">
            <v>13002</v>
          </cell>
        </row>
        <row r="438">
          <cell r="A438" t="str">
            <v>Mid Devon</v>
          </cell>
          <cell r="B438">
            <v>56014</v>
          </cell>
          <cell r="C438">
            <v>37753</v>
          </cell>
          <cell r="D438">
            <v>35266</v>
          </cell>
          <cell r="E438">
            <v>2487</v>
          </cell>
          <cell r="F438">
            <v>18261</v>
          </cell>
          <cell r="G438">
            <v>41665</v>
          </cell>
          <cell r="H438">
            <v>35530</v>
          </cell>
          <cell r="I438">
            <v>33043</v>
          </cell>
          <cell r="J438">
            <v>2487</v>
          </cell>
          <cell r="K438">
            <v>6135</v>
          </cell>
        </row>
        <row r="439">
          <cell r="A439" t="str">
            <v>North Devon</v>
          </cell>
          <cell r="B439">
            <v>68651</v>
          </cell>
          <cell r="C439">
            <v>44469</v>
          </cell>
          <cell r="D439">
            <v>43475</v>
          </cell>
          <cell r="E439">
            <v>994</v>
          </cell>
          <cell r="F439">
            <v>24182</v>
          </cell>
          <cell r="G439">
            <v>51432</v>
          </cell>
          <cell r="H439">
            <v>43154</v>
          </cell>
          <cell r="I439">
            <v>42160</v>
          </cell>
          <cell r="J439">
            <v>994</v>
          </cell>
          <cell r="K439">
            <v>8278</v>
          </cell>
        </row>
        <row r="440">
          <cell r="A440" t="str">
            <v>South Hams</v>
          </cell>
          <cell r="B440">
            <v>61599</v>
          </cell>
          <cell r="C440">
            <v>36545</v>
          </cell>
          <cell r="D440">
            <v>35475</v>
          </cell>
          <cell r="E440">
            <v>1070</v>
          </cell>
          <cell r="F440">
            <v>25054</v>
          </cell>
          <cell r="G440">
            <v>44498</v>
          </cell>
          <cell r="H440">
            <v>35382</v>
          </cell>
          <cell r="I440">
            <v>34312</v>
          </cell>
          <cell r="J440">
            <v>1070</v>
          </cell>
          <cell r="K440">
            <v>9116</v>
          </cell>
        </row>
        <row r="441">
          <cell r="A441" t="str">
            <v>Teignbridge</v>
          </cell>
          <cell r="B441">
            <v>95544</v>
          </cell>
          <cell r="C441">
            <v>62583</v>
          </cell>
          <cell r="D441">
            <v>60452</v>
          </cell>
          <cell r="E441">
            <v>2131</v>
          </cell>
          <cell r="F441">
            <v>32961</v>
          </cell>
          <cell r="G441">
            <v>69533</v>
          </cell>
          <cell r="H441">
            <v>60120</v>
          </cell>
          <cell r="I441">
            <v>57989</v>
          </cell>
          <cell r="J441">
            <v>2131</v>
          </cell>
          <cell r="K441">
            <v>9413</v>
          </cell>
        </row>
        <row r="442">
          <cell r="A442" t="str">
            <v>Torridge</v>
          </cell>
          <cell r="B442">
            <v>44050</v>
          </cell>
          <cell r="C442">
            <v>29763</v>
          </cell>
          <cell r="D442">
            <v>27687</v>
          </cell>
          <cell r="E442">
            <v>2076</v>
          </cell>
          <cell r="F442">
            <v>14287</v>
          </cell>
          <cell r="G442">
            <v>34594</v>
          </cell>
          <cell r="H442">
            <v>28961</v>
          </cell>
          <cell r="I442">
            <v>26885</v>
          </cell>
          <cell r="J442">
            <v>2076</v>
          </cell>
          <cell r="K442">
            <v>5633</v>
          </cell>
        </row>
        <row r="443">
          <cell r="A443" t="str">
            <v>West Devon</v>
          </cell>
          <cell r="B443">
            <v>40800</v>
          </cell>
          <cell r="C443">
            <v>23156</v>
          </cell>
          <cell r="D443">
            <v>22482</v>
          </cell>
          <cell r="E443">
            <v>674</v>
          </cell>
          <cell r="F443">
            <v>17644</v>
          </cell>
          <cell r="G443">
            <v>28039</v>
          </cell>
          <cell r="H443">
            <v>22864</v>
          </cell>
          <cell r="I443">
            <v>22190</v>
          </cell>
          <cell r="J443">
            <v>674</v>
          </cell>
          <cell r="K443">
            <v>5175</v>
          </cell>
        </row>
        <row r="445">
          <cell r="A445" t="str">
            <v>Dorset</v>
          </cell>
          <cell r="B445">
            <v>310964</v>
          </cell>
          <cell r="C445">
            <v>188710</v>
          </cell>
          <cell r="D445">
            <v>183944</v>
          </cell>
          <cell r="E445">
            <v>4766</v>
          </cell>
          <cell r="F445">
            <v>122254</v>
          </cell>
          <cell r="G445">
            <v>217145</v>
          </cell>
          <cell r="H445">
            <v>180947</v>
          </cell>
          <cell r="I445">
            <v>176181</v>
          </cell>
          <cell r="J445">
            <v>4766</v>
          </cell>
          <cell r="K445">
            <v>36198</v>
          </cell>
        </row>
        <row r="446">
          <cell r="A446" t="str">
            <v>Christchurch</v>
          </cell>
          <cell r="B446">
            <v>37076</v>
          </cell>
          <cell r="C446">
            <v>20398</v>
          </cell>
          <cell r="D446">
            <v>19876</v>
          </cell>
          <cell r="E446">
            <v>522</v>
          </cell>
          <cell r="F446">
            <v>16678</v>
          </cell>
          <cell r="G446">
            <v>24232</v>
          </cell>
          <cell r="H446">
            <v>19244</v>
          </cell>
          <cell r="I446">
            <v>18722</v>
          </cell>
          <cell r="J446">
            <v>522</v>
          </cell>
          <cell r="K446">
            <v>4988</v>
          </cell>
        </row>
        <row r="447">
          <cell r="A447" t="str">
            <v>East Dorset</v>
          </cell>
          <cell r="B447">
            <v>68286</v>
          </cell>
          <cell r="C447">
            <v>39146</v>
          </cell>
          <cell r="D447">
            <v>38386</v>
          </cell>
          <cell r="E447">
            <v>760</v>
          </cell>
          <cell r="F447">
            <v>29140</v>
          </cell>
          <cell r="G447">
            <v>46674</v>
          </cell>
          <cell r="H447">
            <v>37252</v>
          </cell>
          <cell r="I447">
            <v>36492</v>
          </cell>
          <cell r="J447">
            <v>760</v>
          </cell>
          <cell r="K447">
            <v>9422</v>
          </cell>
        </row>
        <row r="448">
          <cell r="A448" t="str">
            <v>North Dorset</v>
          </cell>
          <cell r="B448">
            <v>48310</v>
          </cell>
          <cell r="C448">
            <v>30637</v>
          </cell>
          <cell r="D448">
            <v>30637</v>
          </cell>
          <cell r="E448">
            <v>0</v>
          </cell>
          <cell r="F448">
            <v>17673</v>
          </cell>
          <cell r="G448">
            <v>33643</v>
          </cell>
          <cell r="H448">
            <v>29214</v>
          </cell>
          <cell r="I448">
            <v>29214</v>
          </cell>
          <cell r="J448">
            <v>0</v>
          </cell>
          <cell r="K448">
            <v>4429</v>
          </cell>
        </row>
        <row r="449">
          <cell r="A449" t="str">
            <v>Purbeck</v>
          </cell>
          <cell r="B449">
            <v>35396</v>
          </cell>
          <cell r="C449">
            <v>22685</v>
          </cell>
          <cell r="D449">
            <v>21871</v>
          </cell>
          <cell r="E449">
            <v>814</v>
          </cell>
          <cell r="F449">
            <v>12711</v>
          </cell>
          <cell r="G449">
            <v>25563</v>
          </cell>
          <cell r="H449">
            <v>22010</v>
          </cell>
          <cell r="I449">
            <v>21196</v>
          </cell>
          <cell r="J449">
            <v>814</v>
          </cell>
          <cell r="K449">
            <v>3553</v>
          </cell>
        </row>
        <row r="450">
          <cell r="A450" t="str">
            <v>West Dorset</v>
          </cell>
          <cell r="B450">
            <v>71519</v>
          </cell>
          <cell r="C450">
            <v>43092</v>
          </cell>
          <cell r="D450">
            <v>42490</v>
          </cell>
          <cell r="E450">
            <v>602</v>
          </cell>
          <cell r="F450">
            <v>28427</v>
          </cell>
          <cell r="G450">
            <v>49130</v>
          </cell>
          <cell r="H450">
            <v>40712</v>
          </cell>
          <cell r="I450">
            <v>40110</v>
          </cell>
          <cell r="J450">
            <v>602</v>
          </cell>
          <cell r="K450">
            <v>8418</v>
          </cell>
        </row>
        <row r="451">
          <cell r="A451" t="str">
            <v>Weymouth and Portland</v>
          </cell>
          <cell r="B451">
            <v>50377</v>
          </cell>
          <cell r="C451">
            <v>32752</v>
          </cell>
          <cell r="D451">
            <v>30684</v>
          </cell>
          <cell r="E451">
            <v>2068</v>
          </cell>
          <cell r="F451">
            <v>17625</v>
          </cell>
          <cell r="G451">
            <v>37903</v>
          </cell>
          <cell r="H451">
            <v>32515</v>
          </cell>
          <cell r="I451">
            <v>30447</v>
          </cell>
          <cell r="J451">
            <v>2068</v>
          </cell>
          <cell r="K451">
            <v>5388</v>
          </cell>
        </row>
        <row r="453">
          <cell r="A453" t="str">
            <v>Gloucestershire</v>
          </cell>
          <cell r="B453">
            <v>432434</v>
          </cell>
          <cell r="C453">
            <v>285877</v>
          </cell>
          <cell r="D453">
            <v>275746</v>
          </cell>
          <cell r="E453">
            <v>10131</v>
          </cell>
          <cell r="F453">
            <v>146557</v>
          </cell>
          <cell r="G453">
            <v>330798</v>
          </cell>
          <cell r="H453">
            <v>275935</v>
          </cell>
          <cell r="I453">
            <v>266043</v>
          </cell>
          <cell r="J453">
            <v>9892</v>
          </cell>
          <cell r="K453">
            <v>54863</v>
          </cell>
        </row>
        <row r="454">
          <cell r="A454" t="str">
            <v>Cheltenham</v>
          </cell>
          <cell r="B454">
            <v>83265</v>
          </cell>
          <cell r="C454">
            <v>56306</v>
          </cell>
          <cell r="D454">
            <v>54347</v>
          </cell>
          <cell r="E454">
            <v>1959</v>
          </cell>
          <cell r="F454">
            <v>26959</v>
          </cell>
          <cell r="G454">
            <v>66462</v>
          </cell>
          <cell r="H454">
            <v>54945</v>
          </cell>
          <cell r="I454">
            <v>52986</v>
          </cell>
          <cell r="J454">
            <v>1959</v>
          </cell>
          <cell r="K454">
            <v>11517</v>
          </cell>
        </row>
        <row r="455">
          <cell r="A455" t="str">
            <v>Cotswold</v>
          </cell>
          <cell r="B455">
            <v>64632</v>
          </cell>
          <cell r="C455">
            <v>43833</v>
          </cell>
          <cell r="D455">
            <v>43080</v>
          </cell>
          <cell r="E455">
            <v>753</v>
          </cell>
          <cell r="F455">
            <v>20799</v>
          </cell>
          <cell r="G455">
            <v>47805</v>
          </cell>
          <cell r="H455">
            <v>40849</v>
          </cell>
          <cell r="I455">
            <v>40335</v>
          </cell>
          <cell r="J455">
            <v>514</v>
          </cell>
          <cell r="K455">
            <v>6956</v>
          </cell>
        </row>
        <row r="456">
          <cell r="A456" t="str">
            <v>Forest of Dean</v>
          </cell>
          <cell r="B456">
            <v>60323</v>
          </cell>
          <cell r="C456">
            <v>36712</v>
          </cell>
          <cell r="D456">
            <v>35471</v>
          </cell>
          <cell r="E456">
            <v>1241</v>
          </cell>
          <cell r="F456">
            <v>23611</v>
          </cell>
          <cell r="G456">
            <v>44595</v>
          </cell>
          <cell r="H456">
            <v>35390</v>
          </cell>
          <cell r="I456">
            <v>34149</v>
          </cell>
          <cell r="J456">
            <v>1241</v>
          </cell>
          <cell r="K456">
            <v>9205</v>
          </cell>
        </row>
        <row r="457">
          <cell r="A457" t="str">
            <v>Gloucester</v>
          </cell>
          <cell r="B457">
            <v>82452</v>
          </cell>
          <cell r="C457">
            <v>56000</v>
          </cell>
          <cell r="D457">
            <v>52482</v>
          </cell>
          <cell r="E457">
            <v>3518</v>
          </cell>
          <cell r="F457">
            <v>26452</v>
          </cell>
          <cell r="G457">
            <v>63708</v>
          </cell>
          <cell r="H457">
            <v>54276</v>
          </cell>
          <cell r="I457">
            <v>50758</v>
          </cell>
          <cell r="J457">
            <v>3518</v>
          </cell>
          <cell r="K457">
            <v>9432</v>
          </cell>
        </row>
        <row r="458">
          <cell r="A458" t="str">
            <v>Stroud</v>
          </cell>
          <cell r="B458">
            <v>85178</v>
          </cell>
          <cell r="C458">
            <v>53357</v>
          </cell>
          <cell r="D458">
            <v>52185</v>
          </cell>
          <cell r="E458">
            <v>1172</v>
          </cell>
          <cell r="F458">
            <v>31821</v>
          </cell>
          <cell r="G458">
            <v>61845</v>
          </cell>
          <cell r="H458">
            <v>52063</v>
          </cell>
          <cell r="I458">
            <v>50891</v>
          </cell>
          <cell r="J458">
            <v>1172</v>
          </cell>
          <cell r="K458">
            <v>9782</v>
          </cell>
        </row>
        <row r="459">
          <cell r="A459" t="str">
            <v>Tewkesbury</v>
          </cell>
          <cell r="B459">
            <v>56584</v>
          </cell>
          <cell r="C459">
            <v>39669</v>
          </cell>
          <cell r="D459">
            <v>38181</v>
          </cell>
          <cell r="E459">
            <v>1488</v>
          </cell>
          <cell r="F459">
            <v>16915</v>
          </cell>
          <cell r="G459">
            <v>46383</v>
          </cell>
          <cell r="H459">
            <v>38412</v>
          </cell>
          <cell r="I459">
            <v>36924</v>
          </cell>
          <cell r="J459">
            <v>1488</v>
          </cell>
          <cell r="K459">
            <v>7971</v>
          </cell>
        </row>
        <row r="461">
          <cell r="A461" t="str">
            <v xml:space="preserve">Somerset </v>
          </cell>
          <cell r="B461">
            <v>387412</v>
          </cell>
          <cell r="C461">
            <v>243336</v>
          </cell>
          <cell r="D461">
            <v>233350</v>
          </cell>
          <cell r="E461">
            <v>9986</v>
          </cell>
          <cell r="F461">
            <v>144076</v>
          </cell>
          <cell r="G461">
            <v>283070</v>
          </cell>
          <cell r="H461">
            <v>233322</v>
          </cell>
          <cell r="I461">
            <v>223336</v>
          </cell>
          <cell r="J461">
            <v>9986</v>
          </cell>
          <cell r="K461">
            <v>49748</v>
          </cell>
        </row>
        <row r="462">
          <cell r="A462" t="str">
            <v>Mendip</v>
          </cell>
          <cell r="B462">
            <v>79646</v>
          </cell>
          <cell r="C462">
            <v>54908</v>
          </cell>
          <cell r="D462">
            <v>52904</v>
          </cell>
          <cell r="E462">
            <v>2004</v>
          </cell>
          <cell r="F462">
            <v>24738</v>
          </cell>
          <cell r="G462">
            <v>60375</v>
          </cell>
          <cell r="H462">
            <v>52129</v>
          </cell>
          <cell r="I462">
            <v>50125</v>
          </cell>
          <cell r="J462">
            <v>2004</v>
          </cell>
          <cell r="K462">
            <v>8246</v>
          </cell>
        </row>
        <row r="463">
          <cell r="A463" t="str">
            <v>Sedgemoor</v>
          </cell>
          <cell r="B463">
            <v>79111</v>
          </cell>
          <cell r="C463">
            <v>47221</v>
          </cell>
          <cell r="D463">
            <v>44932</v>
          </cell>
          <cell r="E463">
            <v>2289</v>
          </cell>
          <cell r="F463">
            <v>31890</v>
          </cell>
          <cell r="G463">
            <v>60615</v>
          </cell>
          <cell r="H463">
            <v>45720</v>
          </cell>
          <cell r="I463">
            <v>43431</v>
          </cell>
          <cell r="J463">
            <v>2289</v>
          </cell>
          <cell r="K463">
            <v>14895</v>
          </cell>
        </row>
        <row r="464">
          <cell r="A464" t="str">
            <v>South Somerset</v>
          </cell>
          <cell r="B464">
            <v>124746</v>
          </cell>
          <cell r="C464">
            <v>82025</v>
          </cell>
          <cell r="D464">
            <v>78837</v>
          </cell>
          <cell r="E464">
            <v>3188</v>
          </cell>
          <cell r="F464">
            <v>42721</v>
          </cell>
          <cell r="G464">
            <v>94390</v>
          </cell>
          <cell r="H464">
            <v>79262</v>
          </cell>
          <cell r="I464">
            <v>76074</v>
          </cell>
          <cell r="J464">
            <v>3188</v>
          </cell>
          <cell r="K464">
            <v>15128</v>
          </cell>
        </row>
        <row r="465">
          <cell r="A465" t="str">
            <v>Taunton Deane</v>
          </cell>
          <cell r="B465">
            <v>78655</v>
          </cell>
          <cell r="C465">
            <v>44233</v>
          </cell>
          <cell r="D465">
            <v>42626</v>
          </cell>
          <cell r="E465">
            <v>1607</v>
          </cell>
          <cell r="F465">
            <v>34422</v>
          </cell>
          <cell r="G465">
            <v>50099</v>
          </cell>
          <cell r="H465">
            <v>42469</v>
          </cell>
          <cell r="I465">
            <v>40862</v>
          </cell>
          <cell r="J465">
            <v>1607</v>
          </cell>
          <cell r="K465">
            <v>7630</v>
          </cell>
        </row>
        <row r="466">
          <cell r="A466" t="str">
            <v>West Somerset</v>
          </cell>
          <cell r="B466">
            <v>25254</v>
          </cell>
          <cell r="C466">
            <v>14949</v>
          </cell>
          <cell r="D466">
            <v>14051</v>
          </cell>
          <cell r="E466">
            <v>898</v>
          </cell>
          <cell r="F466">
            <v>10305</v>
          </cell>
          <cell r="G466">
            <v>17591</v>
          </cell>
          <cell r="H466">
            <v>13742</v>
          </cell>
          <cell r="I466">
            <v>12844</v>
          </cell>
          <cell r="J466">
            <v>898</v>
          </cell>
          <cell r="K466">
            <v>3849</v>
          </cell>
        </row>
        <row r="468">
          <cell r="A468" t="str">
            <v>Wiltshire</v>
          </cell>
          <cell r="B468">
            <v>324019</v>
          </cell>
          <cell r="C468">
            <v>219500</v>
          </cell>
          <cell r="D468">
            <v>212120</v>
          </cell>
          <cell r="E468">
            <v>7380</v>
          </cell>
          <cell r="F468">
            <v>104519</v>
          </cell>
          <cell r="G468">
            <v>251208</v>
          </cell>
          <cell r="H468">
            <v>208940</v>
          </cell>
          <cell r="I468">
            <v>202219</v>
          </cell>
          <cell r="J468">
            <v>6721</v>
          </cell>
          <cell r="K468">
            <v>42268</v>
          </cell>
        </row>
        <row r="469">
          <cell r="A469" t="str">
            <v>Kennet</v>
          </cell>
          <cell r="B469">
            <v>59069</v>
          </cell>
          <cell r="C469">
            <v>42150</v>
          </cell>
          <cell r="D469">
            <v>40583</v>
          </cell>
          <cell r="E469">
            <v>1567</v>
          </cell>
          <cell r="F469">
            <v>16919</v>
          </cell>
          <cell r="G469">
            <v>47807</v>
          </cell>
          <cell r="H469">
            <v>39683</v>
          </cell>
          <cell r="I469">
            <v>38328</v>
          </cell>
          <cell r="J469">
            <v>1355</v>
          </cell>
          <cell r="K469">
            <v>8124</v>
          </cell>
        </row>
        <row r="470">
          <cell r="A470" t="str">
            <v>North Wiltshire</v>
          </cell>
          <cell r="B470">
            <v>97382</v>
          </cell>
          <cell r="C470">
            <v>67615</v>
          </cell>
          <cell r="D470">
            <v>65517</v>
          </cell>
          <cell r="E470">
            <v>2098</v>
          </cell>
          <cell r="F470">
            <v>29767</v>
          </cell>
          <cell r="G470">
            <v>76559</v>
          </cell>
          <cell r="H470">
            <v>64218</v>
          </cell>
          <cell r="I470">
            <v>62364</v>
          </cell>
          <cell r="J470">
            <v>1854</v>
          </cell>
          <cell r="K470">
            <v>12341</v>
          </cell>
        </row>
        <row r="471">
          <cell r="A471" t="str">
            <v>Salisbury</v>
          </cell>
          <cell r="B471">
            <v>84500</v>
          </cell>
          <cell r="C471">
            <v>56154</v>
          </cell>
          <cell r="D471">
            <v>53946</v>
          </cell>
          <cell r="E471">
            <v>2208</v>
          </cell>
          <cell r="F471">
            <v>28346</v>
          </cell>
          <cell r="G471">
            <v>65527</v>
          </cell>
          <cell r="H471">
            <v>53678</v>
          </cell>
          <cell r="I471">
            <v>51470</v>
          </cell>
          <cell r="J471">
            <v>2208</v>
          </cell>
          <cell r="K471">
            <v>11849</v>
          </cell>
        </row>
        <row r="472">
          <cell r="A472" t="str">
            <v>West Wiltshire</v>
          </cell>
          <cell r="B472">
            <v>83068</v>
          </cell>
          <cell r="C472">
            <v>53581</v>
          </cell>
          <cell r="D472">
            <v>52074</v>
          </cell>
          <cell r="E472">
            <v>1507</v>
          </cell>
          <cell r="F472">
            <v>29487</v>
          </cell>
          <cell r="G472">
            <v>61315</v>
          </cell>
          <cell r="H472">
            <v>51361</v>
          </cell>
          <cell r="I472">
            <v>50057</v>
          </cell>
          <cell r="J472">
            <v>1304</v>
          </cell>
          <cell r="K472">
            <v>9954</v>
          </cell>
        </row>
        <row r="474">
          <cell r="A474" t="str">
            <v>WALES</v>
          </cell>
          <cell r="B474">
            <v>2296802</v>
          </cell>
          <cell r="C474">
            <v>1305972</v>
          </cell>
          <cell r="D474">
            <v>1212079</v>
          </cell>
          <cell r="E474">
            <v>93893</v>
          </cell>
          <cell r="F474">
            <v>990830</v>
          </cell>
          <cell r="G474">
            <v>1738566</v>
          </cell>
          <cell r="H474">
            <v>1270580</v>
          </cell>
          <cell r="I474">
            <v>1176909</v>
          </cell>
          <cell r="J474">
            <v>93671</v>
          </cell>
          <cell r="K474">
            <v>467986</v>
          </cell>
        </row>
        <row r="476">
          <cell r="A476" t="str">
            <v>Blaenau Gwent</v>
          </cell>
          <cell r="B476">
            <v>54362</v>
          </cell>
          <cell r="C476">
            <v>25693</v>
          </cell>
          <cell r="D476">
            <v>22049</v>
          </cell>
          <cell r="E476">
            <v>3644</v>
          </cell>
          <cell r="F476">
            <v>28669</v>
          </cell>
          <cell r="G476">
            <v>39385</v>
          </cell>
          <cell r="H476">
            <v>25454</v>
          </cell>
          <cell r="I476">
            <v>21810</v>
          </cell>
          <cell r="J476">
            <v>3644</v>
          </cell>
          <cell r="K476">
            <v>13931</v>
          </cell>
        </row>
        <row r="477">
          <cell r="A477" t="str">
            <v>Bridgend</v>
          </cell>
          <cell r="B477">
            <v>100561</v>
          </cell>
          <cell r="C477">
            <v>57658</v>
          </cell>
          <cell r="D477">
            <v>54926</v>
          </cell>
          <cell r="E477">
            <v>2732</v>
          </cell>
          <cell r="F477">
            <v>42903</v>
          </cell>
          <cell r="G477">
            <v>76804</v>
          </cell>
          <cell r="H477">
            <v>56683</v>
          </cell>
          <cell r="I477">
            <v>53951</v>
          </cell>
          <cell r="J477">
            <v>2732</v>
          </cell>
          <cell r="K477">
            <v>20121</v>
          </cell>
        </row>
        <row r="478">
          <cell r="A478" t="str">
            <v>Caerphilly</v>
          </cell>
          <cell r="B478">
            <v>128321</v>
          </cell>
          <cell r="C478">
            <v>75952</v>
          </cell>
          <cell r="D478">
            <v>69714</v>
          </cell>
          <cell r="E478">
            <v>6238</v>
          </cell>
          <cell r="F478">
            <v>52369</v>
          </cell>
          <cell r="G478">
            <v>103222</v>
          </cell>
          <cell r="H478">
            <v>75705</v>
          </cell>
          <cell r="I478">
            <v>69467</v>
          </cell>
          <cell r="J478">
            <v>6238</v>
          </cell>
          <cell r="K478">
            <v>27517</v>
          </cell>
        </row>
        <row r="479">
          <cell r="A479" t="str">
            <v>Cardiff</v>
          </cell>
          <cell r="B479">
            <v>245919</v>
          </cell>
          <cell r="C479">
            <v>138772</v>
          </cell>
          <cell r="D479">
            <v>130283</v>
          </cell>
          <cell r="E479">
            <v>8489</v>
          </cell>
          <cell r="F479">
            <v>107147</v>
          </cell>
          <cell r="G479">
            <v>192458</v>
          </cell>
          <cell r="H479">
            <v>135528</v>
          </cell>
          <cell r="I479">
            <v>127039</v>
          </cell>
          <cell r="J479">
            <v>8489</v>
          </cell>
          <cell r="K479">
            <v>56930</v>
          </cell>
        </row>
        <row r="480">
          <cell r="A480" t="str">
            <v>Carmarthenshire</v>
          </cell>
          <cell r="B480">
            <v>132890</v>
          </cell>
          <cell r="C480">
            <v>72763</v>
          </cell>
          <cell r="D480">
            <v>67088</v>
          </cell>
          <cell r="E480">
            <v>5675</v>
          </cell>
          <cell r="F480">
            <v>60127</v>
          </cell>
          <cell r="G480">
            <v>95868</v>
          </cell>
          <cell r="H480">
            <v>71339</v>
          </cell>
          <cell r="I480">
            <v>65664</v>
          </cell>
          <cell r="J480">
            <v>5675</v>
          </cell>
          <cell r="K480">
            <v>24529</v>
          </cell>
        </row>
        <row r="481">
          <cell r="A481" t="str">
            <v>Ceredigion</v>
          </cell>
          <cell r="B481">
            <v>56408</v>
          </cell>
          <cell r="C481">
            <v>33765</v>
          </cell>
          <cell r="D481">
            <v>32532</v>
          </cell>
          <cell r="E481">
            <v>1233</v>
          </cell>
          <cell r="F481">
            <v>22643</v>
          </cell>
          <cell r="G481">
            <v>41823</v>
          </cell>
          <cell r="H481">
            <v>31673</v>
          </cell>
          <cell r="I481">
            <v>30440</v>
          </cell>
          <cell r="J481">
            <v>1233</v>
          </cell>
          <cell r="K481">
            <v>10150</v>
          </cell>
        </row>
        <row r="482">
          <cell r="A482" t="str">
            <v>Conwy</v>
          </cell>
          <cell r="B482">
            <v>86994</v>
          </cell>
          <cell r="C482">
            <v>47676</v>
          </cell>
          <cell r="D482">
            <v>44451</v>
          </cell>
          <cell r="E482">
            <v>3225</v>
          </cell>
          <cell r="F482">
            <v>39318</v>
          </cell>
          <cell r="G482">
            <v>60011</v>
          </cell>
          <cell r="H482">
            <v>46120</v>
          </cell>
          <cell r="I482">
            <v>42895</v>
          </cell>
          <cell r="J482">
            <v>3225</v>
          </cell>
          <cell r="K482">
            <v>13891</v>
          </cell>
        </row>
        <row r="483">
          <cell r="A483" t="str">
            <v>Denbighshire</v>
          </cell>
          <cell r="B483">
            <v>70588</v>
          </cell>
          <cell r="C483">
            <v>39596</v>
          </cell>
          <cell r="D483">
            <v>37315</v>
          </cell>
          <cell r="E483">
            <v>2281</v>
          </cell>
          <cell r="F483">
            <v>30992</v>
          </cell>
          <cell r="G483">
            <v>50545</v>
          </cell>
          <cell r="H483">
            <v>37450</v>
          </cell>
          <cell r="I483">
            <v>35169</v>
          </cell>
          <cell r="J483">
            <v>2281</v>
          </cell>
          <cell r="K483">
            <v>13095</v>
          </cell>
        </row>
        <row r="484">
          <cell r="A484" t="str">
            <v>Flintshire</v>
          </cell>
          <cell r="B484">
            <v>121825</v>
          </cell>
          <cell r="C484">
            <v>73627</v>
          </cell>
          <cell r="D484">
            <v>70077</v>
          </cell>
          <cell r="E484">
            <v>3550</v>
          </cell>
          <cell r="F484">
            <v>48198</v>
          </cell>
          <cell r="G484">
            <v>92282</v>
          </cell>
          <cell r="H484">
            <v>71222</v>
          </cell>
          <cell r="I484">
            <v>67672</v>
          </cell>
          <cell r="J484">
            <v>3550</v>
          </cell>
          <cell r="K484">
            <v>21060</v>
          </cell>
        </row>
        <row r="485">
          <cell r="A485" t="str">
            <v>Gwynedd</v>
          </cell>
          <cell r="B485">
            <v>90797</v>
          </cell>
          <cell r="C485">
            <v>47443</v>
          </cell>
          <cell r="D485">
            <v>42714</v>
          </cell>
          <cell r="E485">
            <v>4729</v>
          </cell>
          <cell r="F485">
            <v>43354</v>
          </cell>
          <cell r="G485">
            <v>66751</v>
          </cell>
          <cell r="H485">
            <v>45662</v>
          </cell>
          <cell r="I485">
            <v>40933</v>
          </cell>
          <cell r="J485">
            <v>4729</v>
          </cell>
          <cell r="K485">
            <v>21089</v>
          </cell>
        </row>
        <row r="486">
          <cell r="A486" t="str">
            <v>Isle of Anglesey</v>
          </cell>
          <cell r="B486">
            <v>54309</v>
          </cell>
          <cell r="C486">
            <v>32618</v>
          </cell>
          <cell r="D486">
            <v>30955</v>
          </cell>
          <cell r="E486">
            <v>1663</v>
          </cell>
          <cell r="F486">
            <v>21691</v>
          </cell>
          <cell r="G486">
            <v>41964</v>
          </cell>
          <cell r="H486">
            <v>31139</v>
          </cell>
          <cell r="I486">
            <v>29476</v>
          </cell>
          <cell r="J486">
            <v>1663</v>
          </cell>
          <cell r="K486">
            <v>10825</v>
          </cell>
        </row>
        <row r="487">
          <cell r="A487" t="str">
            <v>Merthyr Tydfil</v>
          </cell>
          <cell r="B487">
            <v>45480</v>
          </cell>
          <cell r="C487">
            <v>21400</v>
          </cell>
          <cell r="D487">
            <v>18483</v>
          </cell>
          <cell r="E487">
            <v>2917</v>
          </cell>
          <cell r="F487">
            <v>24080</v>
          </cell>
          <cell r="G487">
            <v>32844</v>
          </cell>
          <cell r="H487">
            <v>20679</v>
          </cell>
          <cell r="I487">
            <v>17762</v>
          </cell>
          <cell r="J487">
            <v>2917</v>
          </cell>
          <cell r="K487">
            <v>12165</v>
          </cell>
        </row>
        <row r="488">
          <cell r="A488" t="str">
            <v>Monmouthshire</v>
          </cell>
          <cell r="B488">
            <v>66906</v>
          </cell>
          <cell r="C488">
            <v>43307</v>
          </cell>
          <cell r="D488">
            <v>40190</v>
          </cell>
          <cell r="E488">
            <v>3117</v>
          </cell>
          <cell r="F488">
            <v>23599</v>
          </cell>
          <cell r="G488">
            <v>50269</v>
          </cell>
          <cell r="H488">
            <v>40243</v>
          </cell>
          <cell r="I488">
            <v>37126</v>
          </cell>
          <cell r="J488">
            <v>3117</v>
          </cell>
          <cell r="K488">
            <v>10026</v>
          </cell>
        </row>
        <row r="489">
          <cell r="A489" t="str">
            <v>Neath Port Talbot</v>
          </cell>
          <cell r="B489">
            <v>110534</v>
          </cell>
          <cell r="C489">
            <v>60795</v>
          </cell>
          <cell r="D489">
            <v>55877</v>
          </cell>
          <cell r="E489">
            <v>4918</v>
          </cell>
          <cell r="F489">
            <v>49739</v>
          </cell>
          <cell r="G489">
            <v>87120</v>
          </cell>
          <cell r="H489">
            <v>60270</v>
          </cell>
          <cell r="I489">
            <v>55352</v>
          </cell>
          <cell r="J489">
            <v>4918</v>
          </cell>
          <cell r="K489">
            <v>26850</v>
          </cell>
        </row>
        <row r="490">
          <cell r="A490" t="str">
            <v>Newport</v>
          </cell>
          <cell r="B490">
            <v>101320</v>
          </cell>
          <cell r="C490">
            <v>59979</v>
          </cell>
          <cell r="D490">
            <v>55729</v>
          </cell>
          <cell r="E490">
            <v>4250</v>
          </cell>
          <cell r="F490">
            <v>41341</v>
          </cell>
          <cell r="G490">
            <v>78264</v>
          </cell>
          <cell r="H490">
            <v>57242</v>
          </cell>
          <cell r="I490">
            <v>53214</v>
          </cell>
          <cell r="J490">
            <v>4028</v>
          </cell>
          <cell r="K490">
            <v>21022</v>
          </cell>
        </row>
        <row r="491">
          <cell r="A491" t="str">
            <v>Pembrokeshire</v>
          </cell>
          <cell r="B491">
            <v>94162</v>
          </cell>
          <cell r="C491">
            <v>44215</v>
          </cell>
          <cell r="D491">
            <v>40370</v>
          </cell>
          <cell r="E491">
            <v>3845</v>
          </cell>
          <cell r="F491">
            <v>49947</v>
          </cell>
          <cell r="G491">
            <v>65263</v>
          </cell>
          <cell r="H491">
            <v>43884</v>
          </cell>
          <cell r="I491">
            <v>40039</v>
          </cell>
          <cell r="J491">
            <v>3845</v>
          </cell>
          <cell r="K491">
            <v>21379</v>
          </cell>
        </row>
        <row r="492">
          <cell r="A492" t="str">
            <v>Powys</v>
          </cell>
          <cell r="B492">
            <v>96816</v>
          </cell>
          <cell r="C492">
            <v>60151</v>
          </cell>
          <cell r="D492">
            <v>57167</v>
          </cell>
          <cell r="E492">
            <v>2984</v>
          </cell>
          <cell r="F492">
            <v>36665</v>
          </cell>
          <cell r="G492">
            <v>70286</v>
          </cell>
          <cell r="H492">
            <v>57065</v>
          </cell>
          <cell r="I492">
            <v>54081</v>
          </cell>
          <cell r="J492">
            <v>2984</v>
          </cell>
          <cell r="K492">
            <v>13221</v>
          </cell>
        </row>
        <row r="493">
          <cell r="A493" t="str">
            <v>Rhondda, Cynon, Taff</v>
          </cell>
          <cell r="B493">
            <v>191453</v>
          </cell>
          <cell r="C493">
            <v>109105</v>
          </cell>
          <cell r="D493">
            <v>100830</v>
          </cell>
          <cell r="E493">
            <v>8275</v>
          </cell>
          <cell r="F493">
            <v>82348</v>
          </cell>
          <cell r="G493">
            <v>150911</v>
          </cell>
          <cell r="H493">
            <v>107795</v>
          </cell>
          <cell r="I493">
            <v>99520</v>
          </cell>
          <cell r="J493">
            <v>8275</v>
          </cell>
          <cell r="K493">
            <v>43116</v>
          </cell>
        </row>
        <row r="494">
          <cell r="A494" t="str">
            <v>Swansea</v>
          </cell>
          <cell r="B494">
            <v>187866</v>
          </cell>
          <cell r="C494">
            <v>108351</v>
          </cell>
          <cell r="D494">
            <v>100347</v>
          </cell>
          <cell r="E494">
            <v>8004</v>
          </cell>
          <cell r="F494">
            <v>79515</v>
          </cell>
          <cell r="G494">
            <v>141175</v>
          </cell>
          <cell r="H494">
            <v>104473</v>
          </cell>
          <cell r="I494">
            <v>96469</v>
          </cell>
          <cell r="J494">
            <v>8004</v>
          </cell>
          <cell r="K494">
            <v>36702</v>
          </cell>
        </row>
        <row r="495">
          <cell r="A495" t="str">
            <v>Torfaen</v>
          </cell>
          <cell r="B495">
            <v>69859</v>
          </cell>
          <cell r="C495">
            <v>42247</v>
          </cell>
          <cell r="D495">
            <v>39227</v>
          </cell>
          <cell r="E495">
            <v>3020</v>
          </cell>
          <cell r="F495">
            <v>27612</v>
          </cell>
          <cell r="G495">
            <v>55883</v>
          </cell>
          <cell r="H495">
            <v>41726</v>
          </cell>
          <cell r="I495">
            <v>38706</v>
          </cell>
          <cell r="J495">
            <v>3020</v>
          </cell>
          <cell r="K495">
            <v>14157</v>
          </cell>
        </row>
        <row r="496">
          <cell r="A496" t="str">
            <v>The Vale of Glamorgan</v>
          </cell>
          <cell r="B496">
            <v>88457</v>
          </cell>
          <cell r="C496">
            <v>55578</v>
          </cell>
          <cell r="D496">
            <v>51778</v>
          </cell>
          <cell r="E496">
            <v>3800</v>
          </cell>
          <cell r="F496">
            <v>32879</v>
          </cell>
          <cell r="G496">
            <v>68432</v>
          </cell>
          <cell r="H496">
            <v>54844</v>
          </cell>
          <cell r="I496">
            <v>51044</v>
          </cell>
          <cell r="J496">
            <v>3800</v>
          </cell>
          <cell r="K496">
            <v>13588</v>
          </cell>
        </row>
        <row r="497">
          <cell r="A497" t="str">
            <v>Wrexham</v>
          </cell>
          <cell r="B497">
            <v>100975</v>
          </cell>
          <cell r="C497">
            <v>55281</v>
          </cell>
          <cell r="D497">
            <v>49977</v>
          </cell>
          <cell r="E497">
            <v>5304</v>
          </cell>
          <cell r="F497">
            <v>45694</v>
          </cell>
          <cell r="G497">
            <v>77006</v>
          </cell>
          <cell r="H497">
            <v>54384</v>
          </cell>
          <cell r="I497">
            <v>49080</v>
          </cell>
          <cell r="J497">
            <v>5304</v>
          </cell>
          <cell r="K497">
            <v>22622</v>
          </cell>
        </row>
        <row r="499">
          <cell r="A499" t="str">
            <v>SCOTLAND</v>
          </cell>
          <cell r="B499">
            <v>4034124</v>
          </cell>
          <cell r="C499">
            <v>2502062</v>
          </cell>
          <cell r="D499">
            <v>2314123</v>
          </cell>
          <cell r="E499">
            <v>187939</v>
          </cell>
          <cell r="F499">
            <v>1532062</v>
          </cell>
          <cell r="G499">
            <v>3159579</v>
          </cell>
          <cell r="H499">
            <v>2444598</v>
          </cell>
          <cell r="I499">
            <v>2259353</v>
          </cell>
          <cell r="J499">
            <v>185245</v>
          </cell>
          <cell r="K499">
            <v>714981</v>
          </cell>
        </row>
        <row r="501">
          <cell r="A501" t="str">
            <v>Aberdeen City</v>
          </cell>
          <cell r="B501">
            <v>169810</v>
          </cell>
          <cell r="C501">
            <v>117891</v>
          </cell>
          <cell r="D501">
            <v>112450</v>
          </cell>
          <cell r="E501">
            <v>5441</v>
          </cell>
          <cell r="F501">
            <v>51919</v>
          </cell>
          <cell r="G501">
            <v>136834</v>
          </cell>
          <cell r="H501">
            <v>114301</v>
          </cell>
          <cell r="I501">
            <v>108860</v>
          </cell>
          <cell r="J501">
            <v>5441</v>
          </cell>
          <cell r="K501">
            <v>22533</v>
          </cell>
        </row>
        <row r="502">
          <cell r="A502" t="str">
            <v>Aberdeenshire</v>
          </cell>
          <cell r="B502">
            <v>176346</v>
          </cell>
          <cell r="C502">
            <v>117600</v>
          </cell>
          <cell r="D502">
            <v>113241</v>
          </cell>
          <cell r="E502">
            <v>4359</v>
          </cell>
          <cell r="F502">
            <v>58746</v>
          </cell>
          <cell r="G502">
            <v>139016</v>
          </cell>
          <cell r="H502">
            <v>113217</v>
          </cell>
          <cell r="I502">
            <v>109088</v>
          </cell>
          <cell r="J502">
            <v>4129</v>
          </cell>
          <cell r="K502">
            <v>25799</v>
          </cell>
        </row>
        <row r="503">
          <cell r="A503" t="str">
            <v>Angus</v>
          </cell>
          <cell r="B503">
            <v>86247</v>
          </cell>
          <cell r="C503">
            <v>53543</v>
          </cell>
          <cell r="D503">
            <v>49216</v>
          </cell>
          <cell r="E503">
            <v>4327</v>
          </cell>
          <cell r="F503">
            <v>32704</v>
          </cell>
          <cell r="G503">
            <v>64960</v>
          </cell>
          <cell r="H503">
            <v>53083</v>
          </cell>
          <cell r="I503">
            <v>48756</v>
          </cell>
          <cell r="J503">
            <v>4327</v>
          </cell>
          <cell r="K503">
            <v>11877</v>
          </cell>
        </row>
        <row r="504">
          <cell r="A504" t="str">
            <v>Argyll &amp; Bute</v>
          </cell>
          <cell r="B504">
            <v>67052</v>
          </cell>
          <cell r="C504">
            <v>43396</v>
          </cell>
          <cell r="D504">
            <v>40394</v>
          </cell>
          <cell r="E504">
            <v>3002</v>
          </cell>
          <cell r="F504">
            <v>23656</v>
          </cell>
          <cell r="G504">
            <v>49939</v>
          </cell>
          <cell r="H504">
            <v>41339</v>
          </cell>
          <cell r="I504">
            <v>38337</v>
          </cell>
          <cell r="J504">
            <v>3002</v>
          </cell>
          <cell r="K504">
            <v>8600</v>
          </cell>
        </row>
        <row r="505">
          <cell r="A505" t="str">
            <v>Clackmannanshire</v>
          </cell>
          <cell r="B505">
            <v>39031</v>
          </cell>
          <cell r="C505">
            <v>23619</v>
          </cell>
          <cell r="D505">
            <v>21311</v>
          </cell>
          <cell r="E505">
            <v>2308</v>
          </cell>
          <cell r="F505">
            <v>15412</v>
          </cell>
          <cell r="G505">
            <v>28255</v>
          </cell>
          <cell r="H505">
            <v>22889</v>
          </cell>
          <cell r="I505">
            <v>20581</v>
          </cell>
          <cell r="J505">
            <v>2308</v>
          </cell>
          <cell r="K505">
            <v>5366</v>
          </cell>
        </row>
        <row r="506">
          <cell r="A506" t="str">
            <v>Dumfries &amp; Galloway</v>
          </cell>
          <cell r="B506">
            <v>118942</v>
          </cell>
          <cell r="C506">
            <v>69493</v>
          </cell>
          <cell r="D506">
            <v>65734</v>
          </cell>
          <cell r="E506">
            <v>3759</v>
          </cell>
          <cell r="F506">
            <v>49449</v>
          </cell>
          <cell r="G506">
            <v>86817</v>
          </cell>
          <cell r="H506">
            <v>66655</v>
          </cell>
          <cell r="I506">
            <v>62896</v>
          </cell>
          <cell r="J506">
            <v>3759</v>
          </cell>
          <cell r="K506">
            <v>20162</v>
          </cell>
        </row>
        <row r="507">
          <cell r="A507" t="str">
            <v>Dundee City</v>
          </cell>
          <cell r="B507">
            <v>117616</v>
          </cell>
          <cell r="C507">
            <v>69361</v>
          </cell>
          <cell r="D507">
            <v>64586</v>
          </cell>
          <cell r="E507">
            <v>4775</v>
          </cell>
          <cell r="F507">
            <v>48255</v>
          </cell>
          <cell r="G507">
            <v>91858</v>
          </cell>
          <cell r="H507">
            <v>67738</v>
          </cell>
          <cell r="I507">
            <v>62963</v>
          </cell>
          <cell r="J507">
            <v>4775</v>
          </cell>
          <cell r="K507">
            <v>24120</v>
          </cell>
        </row>
        <row r="508">
          <cell r="A508" t="str">
            <v>East Ayrshire</v>
          </cell>
          <cell r="B508">
            <v>93591</v>
          </cell>
          <cell r="C508">
            <v>52314</v>
          </cell>
          <cell r="D508">
            <v>43434</v>
          </cell>
          <cell r="E508">
            <v>8880</v>
          </cell>
          <cell r="F508">
            <v>41277</v>
          </cell>
          <cell r="G508">
            <v>74365</v>
          </cell>
          <cell r="H508">
            <v>51712</v>
          </cell>
          <cell r="I508">
            <v>43045</v>
          </cell>
          <cell r="J508">
            <v>8667</v>
          </cell>
          <cell r="K508">
            <v>22653</v>
          </cell>
        </row>
        <row r="509">
          <cell r="A509" t="str">
            <v>East Dunbartonshire</v>
          </cell>
          <cell r="B509">
            <v>82021</v>
          </cell>
          <cell r="C509">
            <v>54861</v>
          </cell>
          <cell r="D509">
            <v>53144</v>
          </cell>
          <cell r="E509">
            <v>1717</v>
          </cell>
          <cell r="F509">
            <v>27160</v>
          </cell>
          <cell r="G509">
            <v>67211</v>
          </cell>
          <cell r="H509">
            <v>53671</v>
          </cell>
          <cell r="I509">
            <v>52157</v>
          </cell>
          <cell r="J509">
            <v>1514</v>
          </cell>
          <cell r="K509">
            <v>13540</v>
          </cell>
        </row>
        <row r="510">
          <cell r="A510" t="str">
            <v>East Lothian</v>
          </cell>
          <cell r="B510">
            <v>73685</v>
          </cell>
          <cell r="C510">
            <v>46558</v>
          </cell>
          <cell r="D510">
            <v>43922</v>
          </cell>
          <cell r="E510">
            <v>2636</v>
          </cell>
          <cell r="F510">
            <v>27127</v>
          </cell>
          <cell r="G510">
            <v>54479</v>
          </cell>
          <cell r="H510">
            <v>44239</v>
          </cell>
          <cell r="I510">
            <v>41603</v>
          </cell>
          <cell r="J510">
            <v>2636</v>
          </cell>
          <cell r="K510">
            <v>10240</v>
          </cell>
        </row>
        <row r="511">
          <cell r="A511" t="str">
            <v>East Renfrewshire</v>
          </cell>
          <cell r="B511">
            <v>66342</v>
          </cell>
          <cell r="C511">
            <v>42715</v>
          </cell>
          <cell r="D511">
            <v>41685</v>
          </cell>
          <cell r="E511">
            <v>1030</v>
          </cell>
          <cell r="F511">
            <v>23627</v>
          </cell>
          <cell r="G511">
            <v>50164</v>
          </cell>
          <cell r="H511">
            <v>41390</v>
          </cell>
          <cell r="I511">
            <v>40360</v>
          </cell>
          <cell r="J511">
            <v>1030</v>
          </cell>
          <cell r="K511">
            <v>8774</v>
          </cell>
        </row>
        <row r="512">
          <cell r="A512" t="str">
            <v>Edinburgh, City of</v>
          </cell>
          <cell r="B512">
            <v>364997</v>
          </cell>
          <cell r="C512">
            <v>229117</v>
          </cell>
          <cell r="D512">
            <v>216830</v>
          </cell>
          <cell r="E512">
            <v>12287</v>
          </cell>
          <cell r="F512">
            <v>135880</v>
          </cell>
          <cell r="G512">
            <v>288185</v>
          </cell>
          <cell r="H512">
            <v>224798</v>
          </cell>
          <cell r="I512">
            <v>212993</v>
          </cell>
          <cell r="J512">
            <v>11805</v>
          </cell>
          <cell r="K512">
            <v>63387</v>
          </cell>
        </row>
        <row r="513">
          <cell r="A513" t="str">
            <v xml:space="preserve">Eilean Siar </v>
          </cell>
          <cell r="B513">
            <v>20366</v>
          </cell>
          <cell r="C513">
            <v>10882</v>
          </cell>
          <cell r="D513">
            <v>9040</v>
          </cell>
          <cell r="E513">
            <v>1842</v>
          </cell>
          <cell r="F513">
            <v>9484</v>
          </cell>
          <cell r="G513">
            <v>12431</v>
          </cell>
          <cell r="H513">
            <v>10348</v>
          </cell>
          <cell r="I513">
            <v>8506</v>
          </cell>
          <cell r="J513">
            <v>1842</v>
          </cell>
          <cell r="K513">
            <v>2083</v>
          </cell>
        </row>
        <row r="514">
          <cell r="A514" t="str">
            <v>Falkirk</v>
          </cell>
          <cell r="B514">
            <v>113957</v>
          </cell>
          <cell r="C514">
            <v>71288</v>
          </cell>
          <cell r="D514">
            <v>66366</v>
          </cell>
          <cell r="E514">
            <v>4922</v>
          </cell>
          <cell r="F514">
            <v>42669</v>
          </cell>
          <cell r="G514">
            <v>89364</v>
          </cell>
          <cell r="H514">
            <v>70339</v>
          </cell>
          <cell r="I514">
            <v>65417</v>
          </cell>
          <cell r="J514">
            <v>4922</v>
          </cell>
          <cell r="K514">
            <v>19025</v>
          </cell>
        </row>
        <row r="515">
          <cell r="A515" t="str">
            <v>Fife</v>
          </cell>
          <cell r="B515">
            <v>274126</v>
          </cell>
          <cell r="C515">
            <v>177308</v>
          </cell>
          <cell r="D515">
            <v>161551</v>
          </cell>
          <cell r="E515">
            <v>15757</v>
          </cell>
          <cell r="F515">
            <v>96818</v>
          </cell>
          <cell r="G515">
            <v>213680</v>
          </cell>
          <cell r="H515">
            <v>173877</v>
          </cell>
          <cell r="I515">
            <v>158348</v>
          </cell>
          <cell r="J515">
            <v>15529</v>
          </cell>
          <cell r="K515">
            <v>39803</v>
          </cell>
        </row>
        <row r="516">
          <cell r="A516" t="str">
            <v>Glasgow City</v>
          </cell>
          <cell r="B516">
            <v>495039</v>
          </cell>
          <cell r="C516">
            <v>251765</v>
          </cell>
          <cell r="D516">
            <v>221662</v>
          </cell>
          <cell r="E516">
            <v>30103</v>
          </cell>
          <cell r="F516">
            <v>243274</v>
          </cell>
          <cell r="G516">
            <v>379608</v>
          </cell>
          <cell r="H516">
            <v>246387</v>
          </cell>
          <cell r="I516">
            <v>216506</v>
          </cell>
          <cell r="J516">
            <v>29881</v>
          </cell>
          <cell r="K516">
            <v>133221</v>
          </cell>
        </row>
        <row r="517">
          <cell r="A517" t="str">
            <v>Highland</v>
          </cell>
          <cell r="B517">
            <v>162016</v>
          </cell>
          <cell r="C517">
            <v>103816</v>
          </cell>
          <cell r="D517">
            <v>98352</v>
          </cell>
          <cell r="E517">
            <v>5464</v>
          </cell>
          <cell r="F517">
            <v>58200</v>
          </cell>
          <cell r="G517">
            <v>126511</v>
          </cell>
          <cell r="H517">
            <v>100940</v>
          </cell>
          <cell r="I517">
            <v>95476</v>
          </cell>
          <cell r="J517">
            <v>5464</v>
          </cell>
          <cell r="K517">
            <v>25571</v>
          </cell>
        </row>
        <row r="518">
          <cell r="A518" t="str">
            <v>Inverclyde</v>
          </cell>
          <cell r="B518">
            <v>69056</v>
          </cell>
          <cell r="C518">
            <v>42315</v>
          </cell>
          <cell r="D518">
            <v>37792</v>
          </cell>
          <cell r="E518">
            <v>4523</v>
          </cell>
          <cell r="F518">
            <v>26741</v>
          </cell>
          <cell r="G518">
            <v>53395</v>
          </cell>
          <cell r="H518">
            <v>41358</v>
          </cell>
          <cell r="I518">
            <v>37328</v>
          </cell>
          <cell r="J518">
            <v>4030</v>
          </cell>
          <cell r="K518">
            <v>12037</v>
          </cell>
        </row>
        <row r="519">
          <cell r="A519" t="str">
            <v>Midlothian</v>
          </cell>
          <cell r="B519">
            <v>59502</v>
          </cell>
          <cell r="C519">
            <v>41909</v>
          </cell>
          <cell r="D519">
            <v>39937</v>
          </cell>
          <cell r="E519">
            <v>1972</v>
          </cell>
          <cell r="F519">
            <v>17593</v>
          </cell>
          <cell r="G519">
            <v>49697</v>
          </cell>
          <cell r="H519">
            <v>40810</v>
          </cell>
          <cell r="I519">
            <v>38838</v>
          </cell>
          <cell r="J519">
            <v>1972</v>
          </cell>
          <cell r="K519">
            <v>8887</v>
          </cell>
        </row>
        <row r="520">
          <cell r="A520" t="str">
            <v>Moray</v>
          </cell>
          <cell r="B520">
            <v>66727</v>
          </cell>
          <cell r="C520">
            <v>46063</v>
          </cell>
          <cell r="D520">
            <v>42594</v>
          </cell>
          <cell r="E520">
            <v>3469</v>
          </cell>
          <cell r="F520">
            <v>20664</v>
          </cell>
          <cell r="G520">
            <v>53810</v>
          </cell>
          <cell r="H520">
            <v>45089</v>
          </cell>
          <cell r="I520">
            <v>41620</v>
          </cell>
          <cell r="J520">
            <v>3469</v>
          </cell>
          <cell r="K520">
            <v>8721</v>
          </cell>
        </row>
        <row r="521">
          <cell r="A521" t="str">
            <v>North Ayrshire</v>
          </cell>
          <cell r="B521">
            <v>110453</v>
          </cell>
          <cell r="C521">
            <v>64982</v>
          </cell>
          <cell r="D521">
            <v>56293</v>
          </cell>
          <cell r="E521">
            <v>8689</v>
          </cell>
          <cell r="F521">
            <v>45471</v>
          </cell>
          <cell r="G521">
            <v>86085</v>
          </cell>
          <cell r="H521">
            <v>64220</v>
          </cell>
          <cell r="I521">
            <v>55531</v>
          </cell>
          <cell r="J521">
            <v>8689</v>
          </cell>
          <cell r="K521">
            <v>21865</v>
          </cell>
        </row>
        <row r="522">
          <cell r="A522" t="str">
            <v>North Lanarkshire</v>
          </cell>
          <cell r="B522">
            <v>257729</v>
          </cell>
          <cell r="C522">
            <v>153861</v>
          </cell>
          <cell r="D522">
            <v>140203</v>
          </cell>
          <cell r="E522">
            <v>13658</v>
          </cell>
          <cell r="F522">
            <v>103868</v>
          </cell>
          <cell r="G522">
            <v>208077</v>
          </cell>
          <cell r="H522">
            <v>151812</v>
          </cell>
          <cell r="I522">
            <v>138354</v>
          </cell>
          <cell r="J522">
            <v>13458</v>
          </cell>
          <cell r="K522">
            <v>56265</v>
          </cell>
        </row>
        <row r="523">
          <cell r="A523" t="str">
            <v>Orkney Islands</v>
          </cell>
          <cell r="B523">
            <v>15109</v>
          </cell>
          <cell r="C523">
            <v>11901</v>
          </cell>
          <cell r="D523">
            <v>11175</v>
          </cell>
          <cell r="E523">
            <v>726</v>
          </cell>
          <cell r="F523">
            <v>3208</v>
          </cell>
          <cell r="G523">
            <v>12822</v>
          </cell>
          <cell r="H523">
            <v>11254</v>
          </cell>
          <cell r="I523">
            <v>10528</v>
          </cell>
          <cell r="J523">
            <v>726</v>
          </cell>
          <cell r="K523">
            <v>1568</v>
          </cell>
        </row>
        <row r="524">
          <cell r="A524" t="str">
            <v>Perth &amp; Kinross</v>
          </cell>
          <cell r="B524">
            <v>102593</v>
          </cell>
          <cell r="C524">
            <v>65197</v>
          </cell>
          <cell r="D524">
            <v>59864</v>
          </cell>
          <cell r="E524">
            <v>5333</v>
          </cell>
          <cell r="F524">
            <v>37396</v>
          </cell>
          <cell r="G524">
            <v>78082</v>
          </cell>
          <cell r="H524">
            <v>64736</v>
          </cell>
          <cell r="I524">
            <v>59403</v>
          </cell>
          <cell r="J524">
            <v>5333</v>
          </cell>
          <cell r="K524">
            <v>13346</v>
          </cell>
        </row>
        <row r="525">
          <cell r="A525" t="str">
            <v>Renfrewshire</v>
          </cell>
          <cell r="B525">
            <v>139319</v>
          </cell>
          <cell r="C525">
            <v>88393</v>
          </cell>
          <cell r="D525">
            <v>81370</v>
          </cell>
          <cell r="E525">
            <v>7023</v>
          </cell>
          <cell r="F525">
            <v>50926</v>
          </cell>
          <cell r="G525">
            <v>112189</v>
          </cell>
          <cell r="H525">
            <v>86180</v>
          </cell>
          <cell r="I525">
            <v>79358</v>
          </cell>
          <cell r="J525">
            <v>6822</v>
          </cell>
          <cell r="K525">
            <v>26009</v>
          </cell>
        </row>
        <row r="526">
          <cell r="A526" t="str">
            <v xml:space="preserve">Scottish Borders </v>
          </cell>
          <cell r="B526">
            <v>84062</v>
          </cell>
          <cell r="C526">
            <v>51512</v>
          </cell>
          <cell r="D526">
            <v>48306</v>
          </cell>
          <cell r="E526">
            <v>3206</v>
          </cell>
          <cell r="F526">
            <v>32550</v>
          </cell>
          <cell r="G526">
            <v>61236</v>
          </cell>
          <cell r="H526">
            <v>50139</v>
          </cell>
          <cell r="I526">
            <v>46933</v>
          </cell>
          <cell r="J526">
            <v>3206</v>
          </cell>
          <cell r="K526">
            <v>11097</v>
          </cell>
        </row>
        <row r="527">
          <cell r="A527" t="str">
            <v>Shetland Islands</v>
          </cell>
          <cell r="B527">
            <v>17533</v>
          </cell>
          <cell r="C527">
            <v>13036</v>
          </cell>
          <cell r="D527">
            <v>12782</v>
          </cell>
          <cell r="E527">
            <v>254</v>
          </cell>
          <cell r="F527">
            <v>4497</v>
          </cell>
          <cell r="G527">
            <v>14727</v>
          </cell>
          <cell r="H527">
            <v>12524</v>
          </cell>
          <cell r="I527">
            <v>12270</v>
          </cell>
          <cell r="J527">
            <v>254</v>
          </cell>
          <cell r="K527">
            <v>2203</v>
          </cell>
        </row>
        <row r="528">
          <cell r="A528" t="str">
            <v>South Ayrshire</v>
          </cell>
          <cell r="B528">
            <v>93750</v>
          </cell>
          <cell r="C528">
            <v>57811</v>
          </cell>
          <cell r="D528">
            <v>52004</v>
          </cell>
          <cell r="E528">
            <v>5807</v>
          </cell>
          <cell r="F528">
            <v>35939</v>
          </cell>
          <cell r="G528">
            <v>72288</v>
          </cell>
          <cell r="H528">
            <v>56872</v>
          </cell>
          <cell r="I528">
            <v>51065</v>
          </cell>
          <cell r="J528">
            <v>5807</v>
          </cell>
          <cell r="K528">
            <v>15416</v>
          </cell>
        </row>
        <row r="529">
          <cell r="A529" t="str">
            <v>South Lanarkshire</v>
          </cell>
          <cell r="B529">
            <v>239667</v>
          </cell>
          <cell r="C529">
            <v>157204</v>
          </cell>
          <cell r="D529">
            <v>149164</v>
          </cell>
          <cell r="E529">
            <v>8040</v>
          </cell>
          <cell r="F529">
            <v>82463</v>
          </cell>
          <cell r="G529">
            <v>195841</v>
          </cell>
          <cell r="H529">
            <v>154816</v>
          </cell>
          <cell r="I529">
            <v>146776</v>
          </cell>
          <cell r="J529">
            <v>8040</v>
          </cell>
          <cell r="K529">
            <v>41025</v>
          </cell>
        </row>
        <row r="530">
          <cell r="A530" t="str">
            <v>Stirling</v>
          </cell>
          <cell r="B530">
            <v>63134</v>
          </cell>
          <cell r="C530">
            <v>39714</v>
          </cell>
          <cell r="D530">
            <v>37019</v>
          </cell>
          <cell r="E530">
            <v>2695</v>
          </cell>
          <cell r="F530">
            <v>23420</v>
          </cell>
          <cell r="G530">
            <v>47849</v>
          </cell>
          <cell r="H530">
            <v>38246</v>
          </cell>
          <cell r="I530">
            <v>35773</v>
          </cell>
          <cell r="J530">
            <v>2473</v>
          </cell>
          <cell r="K530">
            <v>9603</v>
          </cell>
        </row>
        <row r="531">
          <cell r="A531" t="str">
            <v>West Dunbartonshire</v>
          </cell>
          <cell r="B531">
            <v>75968</v>
          </cell>
          <cell r="C531">
            <v>45304</v>
          </cell>
          <cell r="D531">
            <v>42134</v>
          </cell>
          <cell r="E531">
            <v>3170</v>
          </cell>
          <cell r="F531">
            <v>30664</v>
          </cell>
          <cell r="G531">
            <v>57988</v>
          </cell>
          <cell r="H531">
            <v>44371</v>
          </cell>
          <cell r="I531">
            <v>41201</v>
          </cell>
          <cell r="J531">
            <v>3170</v>
          </cell>
          <cell r="K531">
            <v>13617</v>
          </cell>
        </row>
        <row r="532">
          <cell r="A532" t="str">
            <v>West Lothian</v>
          </cell>
          <cell r="B532">
            <v>118338</v>
          </cell>
          <cell r="C532">
            <v>87333</v>
          </cell>
          <cell r="D532">
            <v>80568</v>
          </cell>
          <cell r="E532">
            <v>6765</v>
          </cell>
          <cell r="F532">
            <v>31005</v>
          </cell>
          <cell r="G532">
            <v>101816</v>
          </cell>
          <cell r="H532">
            <v>85248</v>
          </cell>
          <cell r="I532">
            <v>78483</v>
          </cell>
          <cell r="J532">
            <v>6765</v>
          </cell>
          <cell r="K532">
            <v>16568</v>
          </cell>
        </row>
      </sheetData>
      <sheetData sheetId="5" refreshError="1"/>
      <sheetData sheetId="6" refreshError="1"/>
    </sheetDataSet>
  </externalBook>
</externalLink>
</file>

<file path=xl/externalLinks/externalLink12.xml><?xml version="1.0" encoding="utf-8"?>
<externalLink xmlns:r="http://schemas.openxmlformats.org/officeDocument/2006/relationships" xmlns="http://schemas.openxmlformats.org/spreadsheetml/2006/main">
  <externalBook r:id="rId1">
    <sheetNames>
      <sheetName val="Read me"/>
      <sheetName val="Table of Contents"/>
      <sheetName val="Notes (1)"/>
      <sheetName val="Dates"/>
      <sheetName val="Sample"/>
      <sheetName val="Number of Responses"/>
      <sheetName val="Proportion of Responses"/>
      <sheetName val="Response Rates"/>
      <sheetName val="Question Logs"/>
      <sheetName val="Notes (2)"/>
      <sheetName val="Questionnaire Changes"/>
      <sheetName val="Live Log (54 onwards)"/>
      <sheetName val="Waves 1-53 Log"/>
      <sheetName val="Weighted Time Series"/>
      <sheetName val="Notes (3)"/>
      <sheetName val="Trading Status TS1 (WTD)"/>
      <sheetName val="Export Status TS (WTD)"/>
      <sheetName val="Export Effect TS (WTD)"/>
      <sheetName val="Export Challenges TS (WTD) (1)"/>
      <sheetName val="Export Challenges TS (WTD) (2)"/>
      <sheetName val="Rules of Origin TS (WTD) (1)"/>
      <sheetName val="Rules of Origin TS (WTD) (2)"/>
      <sheetName val="Rules of Origin TS (WTD) (3)"/>
      <sheetName val="Import Status TS (WTD)"/>
      <sheetName val="Import Effect TS (WTD)"/>
      <sheetName val="Import Challenges TS (WTD) (1)"/>
      <sheetName val="Import Challenges TS (WTD) (2)"/>
      <sheetName val="UKCA Marking TS (WTD) (1)"/>
      <sheetName val="UKCA Marking TS (WTD) (2)"/>
      <sheetName val="UKCA Marking TS (WTD) (3)"/>
      <sheetName val="Transition Costs TS (WTD)"/>
      <sheetName val="EU Subsidiaries TS (WTD)"/>
      <sheetName val="Intra UK Procurement (WTD)"/>
      <sheetName val="Supply Chain Disruption (WTD)"/>
      <sheetName val="Global Supply Chain TS (WTD)"/>
      <sheetName val="Business Concerns TS (WTD)"/>
      <sheetName val="GB to NI Last Year TS (WTD)"/>
      <sheetName val="GB to NI Volume TS (WTD)"/>
      <sheetName val="Safety Measures TS (WTD)"/>
      <sheetName val="COVID Testing TS (WTD) (1)"/>
      <sheetName val="COVID Testing TS (WTD) (2)"/>
      <sheetName val="Worker Shortage (WTD) (1)"/>
      <sheetName val="Worker Shortage (WTD) (2)"/>
      <sheetName val="Hourly Wages TS (WTD)"/>
      <sheetName val="Cost of Living TS (WTD)"/>
      <sheetName val="Industrial Action TS (WTD) (1)"/>
      <sheetName val="Industrial Action TS (WTD) (2)"/>
      <sheetName val="Ad-Hoc"/>
      <sheetName val="Trading Status TS2 (WTD)"/>
      <sheetName val="GB to NI (WTD)"/>
      <sheetName val="UKCA (WTD)"/>
      <sheetName val="Unweighted"/>
      <sheetName val="Trading Status"/>
      <sheetName val="Exporting"/>
      <sheetName val="Rules of Origin"/>
      <sheetName val="Importing"/>
      <sheetName val="UKCA Marking"/>
      <sheetName val="Supply Chains"/>
      <sheetName val="Global Supply Disruption"/>
      <sheetName val="Main Concern"/>
      <sheetName val="GB to NI"/>
      <sheetName val="Safety Measures"/>
      <sheetName val="COVID Testing"/>
      <sheetName val="Worker Shortages"/>
      <sheetName val="Wages"/>
      <sheetName val="Cost of Living"/>
      <sheetName val="Industrial Action"/>
      <sheetName val="Trading in Services"/>
      <sheetName val="Notes (4)"/>
      <sheetName val="Export effect"/>
      <sheetName val="Import effect"/>
      <sheetName val="bicswave612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hyperlink" Target="https://www.ons.gov.uk/employmentandlabourmarket/peopleinwork/earningsandworkinghours/datasets/realtimeinformationstatisticsreferencetableseasonallyadjusted" TargetMode="External" Id="rId1" /><Relationship Type="http://schemas.openxmlformats.org/officeDocument/2006/relationships/hyperlink" Target="https://www.ons.gov.uk/employmentandlabourmarket/peopleinwork/employmentandemployeetypes/datasets/summaryoflabourmarketstatistics" TargetMode="External" Id="rId2" /><Relationship Type="http://schemas.openxmlformats.org/officeDocument/2006/relationships/hyperlink" Target="https://www.ons.gov.uk/employmentandlabourmarket/peoplenotinwork/outofworkbenefits/datasets/claimantcountcla01" TargetMode="External" Id="rId3" /><Relationship Type="http://schemas.openxmlformats.org/officeDocument/2006/relationships/hyperlink" Target="https://www.ons.gov.uk/employmentandlabourmarket/peopleinwork/earningsandworkinghours/datasets/x09realaverageweeklyearningsusingconsumerpriceinflationseasonallyadjusted" TargetMode="External" Id="rId4" /><Relationship Type="http://schemas.openxmlformats.org/officeDocument/2006/relationships/hyperlink" Target="https://www.ons.gov.uk/employmentandlabourmarket/peopleinwork/employmentandemployeetypes/datasets/hr1potentialredundancies" TargetMode="External" Id="rId5" /><Relationship Type="http://schemas.openxmlformats.org/officeDocument/2006/relationships/hyperlink" Target="https://www.ons.gov.uk/employmentandlabourmarket/peopleinwork/employmentandemployeetypes/datasets/labourforcesurveyflowsestimatesx02" TargetMode="External" Id="rId6" /></Relationships>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hyperlink" Target="https://www.ons.gov.uk/employmentandlabourmarket/peopleinwork/earningsandworkinghours/datasets/realtimeinformationstatisticsreferencetableseasonallyadjusted" TargetMode="External" Id="rId1" /></Relationships>
</file>

<file path=xl/worksheets/_rels/sheet6.xml.rels><Relationships xmlns="http://schemas.openxmlformats.org/package/2006/relationships"><Relationship Type="http://schemas.openxmlformats.org/officeDocument/2006/relationships/hyperlink" Target="mailto:labour.market@ons.gov.uk" TargetMode="External" Id="rId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hyperlink" Target="mailto:workforce.jobs@ons.gov.uk" TargetMode="External" Id="rId1" /><Relationship Type="http://schemas.openxmlformats.org/officeDocument/2006/relationships/drawing" Target="/xl/drawings/drawing2.xml" Id="rId2" /></Relationships>
</file>

<file path=xl/worksheets/_rels/sheet10.xml.rels><Relationships xmlns="http://schemas.openxmlformats.org/package/2006/relationships"><Relationship Type="http://schemas.openxmlformats.org/officeDocument/2006/relationships/hyperlink" Target="mailto:labour.market@ons.gov.uk" TargetMode="External" Id="rId1" /></Relationships>
</file>

<file path=xl/worksheets/_rels/sheet11.xml.rels><Relationships xmlns="http://schemas.openxmlformats.org/package/2006/relationships"><Relationship Type="http://schemas.openxmlformats.org/officeDocument/2006/relationships/hyperlink" Target="mailto:labour.market@ons.gov.uk" TargetMode="External" Id="rId1" /></Relationships>
</file>

<file path=xl/worksheets/_rels/sheet12.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3.xml.rels><Relationships xmlns="http://schemas.openxmlformats.org/package/2006/relationships"><Relationship Type="http://schemas.openxmlformats.org/officeDocument/2006/relationships/drawing" Target="/xl/drawings/drawing3.xml" Id="rId1" /></Relationships>
</file>

<file path=xl/worksheets/_rels/sheet16.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23.xml.rels><Relationships xmlns="http://schemas.openxmlformats.org/package/2006/relationships"><Relationship Type="http://schemas.openxmlformats.org/officeDocument/2006/relationships/hyperlink" Target="https://www.ons.gov.uk/employmentandlabourmarket/peopleinwork/employmentandemployeetypes/methodologies/improvementstotheweightingmethodologyusedinthelabourforcesurveylongitudinaldatasets" TargetMode="External" Id="rId1" /><Relationship Type="http://schemas.openxmlformats.org/officeDocument/2006/relationships/drawing" Target="/xl/drawings/drawing4.xml" Id="rId2" /></Relationships>
</file>

<file path=xl/worksheets/_rels/sheet25.xml.rels><Relationships xmlns="http://schemas.openxmlformats.org/package/2006/relationships"><Relationship Type="http://schemas.openxmlformats.org/officeDocument/2006/relationships/hyperlink" Target="https://data-explorer.oecd.org/vis?fs%5b0%5d=Topic%2C1%7CEmployment%23JOB%23%7CUnemployment%20indicators%23JOB_UNEMP%23&amp;fs%5b1%5d=Frequency%20of%20observation%2C0%7CQuarterly%23Q%23&amp;fs%5b2%5d=Measure%2C0%7CUnemployment%23UNE%23&amp;fs%5b3%5d=Measure%2C0%7CUnemployment%20rate%23UNE_LF%23&amp;pg=0&amp;fc=Measure&amp;snb=1&amp;vw=tb&amp;df%5bds%5d=dsDisseminateFinalDMZ&amp;df%5bid%5d=DSD_LFS%40DF_IALFS_INDIC&amp;df%5bag%5d=OECD.SDD.TPS&amp;df%5bvs%5d=1.0&amp;dq=OECD%2BUSA%2BGBR%2BTUR%2BCHE%2BSWE%2BESP%2BSVN%2BSVK%2BPRT%2BPOL%2BNOR%2BNZL%2BNLD%2BMEX%2BLUX%2BLTU%2BLVA%2BKOR%2BJPN%2BITA%2BISR%2BIRL%2BISL%2BHUN%2BGRC%2BDEU%2BFRA%2BFIN%2BDNK%2BEST%2BCZE%2BCRI%2BCOL%2BCAN%2BCHL%2BBEL%2BAUT%2BAUS.UNE_LF...Y.M%2BF%2B_T.Y15T64..Q&amp;pd=2024-Q2%2C&amp;to%5bTIME_PERIOD%5d=false" TargetMode="External" Id="rId1" /></Relationships>
</file>

<file path=xl/worksheets/_rels/sheet26.xml.rels><Relationships xmlns="http://schemas.openxmlformats.org/package/2006/relationships"><Relationship Type="http://schemas.openxmlformats.org/officeDocument/2006/relationships/hyperlink" Target="https://www.oecd.org/en/about/terms-conditions.html" TargetMode="External" Id="rId1" /><Relationship Type="http://schemas.openxmlformats.org/officeDocument/2006/relationships/hyperlink" Target="https://data-explorer.oecd.org/vis?fs%5b0%5d=Topic%2C1%7CEmployment%23JOB%23%7CUnemployment%20indicators%23JOB_UNEMP%23&amp;fs%5b1%5d=Frequency%20of%20observation%2C0%7CQuarterly%23Q%23&amp;fs%5b2%5d=Measure%2C0%7CUnemployment%23UNE%23&amp;fs%5b3%5d=Measure%2C0%7CUnemployment%20rate%23UNE_LF%23&amp;pg=0&amp;fc=Measure&amp;snb=1&amp;vw=tb&amp;df%5bds%5d=dsDisseminateFinalDMZ&amp;df%5bid%5d=DSD_LFS%40DF_IALFS_INDIC&amp;df%5bag%5d=OECD.SDD.TPS&amp;df%5bvs%5d=1.0&amp;dq=EA20%2BUSA%2BGBR%2BESP%2BJPN%2BITA%2BDEU%2BFRA%2BCAN.UNE_LF.PT_LF_SUB..Y._T.Y_GE15..Q&amp;pd=2024-Q1%2C&amp;to%5bTIME_PERIOD%5d=false" TargetMode="External" Id="rId2" /><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27.xml.rels><Relationships xmlns="http://schemas.openxmlformats.org/package/2006/relationships"><Relationship Type="http://schemas.openxmlformats.org/officeDocument/2006/relationships/hyperlink" Target="https://www.oecd.org/en/about/terms-conditions.html" TargetMode="External" Id="rId1" /><Relationship Type="http://schemas.openxmlformats.org/officeDocument/2006/relationships/hyperlink" Target="https://data-explorer.oecd.org/vis?fs%5b0%5d=Topic%2C1%7CEmployment%23JOB%23%7CUnemployment%20indicators%23JOB_UNEMP%23&amp;fs%5b1%5d=Frequency%20of%20observation%2C0%7CQuarterly%23Q%23&amp;fs%5b2%5d=Measure%2C0%7CUnemployment%23UNE%23&amp;fs%5b3%5d=Measure%2C0%7CUnemployment%20rate%23UNE_LF%23&amp;pg=0&amp;fc=Measure&amp;snb=1&amp;vw=tb&amp;df%5bds%5d=dsDisseminateFinalDMZ&amp;df%5bid%5d=DSD_LFS%40DF_IALFS_INDIC&amp;df%5bag%5d=OECD.SDD.TPS&amp;df%5bvs%5d=1.0&amp;dq=EA20%2BUSA%2BGBR%2BESP%2BJPN%2BITA%2BDEU%2BFRA%2BCAN.EMP_WAP...Y._T.Y15T64..Q&amp;pd=2024-Q1%2C&amp;to%5bTIME_PERIOD%5d=false" TargetMode="External" Id="rId2" /><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28.xml.rels><Relationships xmlns="http://schemas.openxmlformats.org/package/2006/relationships"><Relationship Type="http://schemas.openxmlformats.org/officeDocument/2006/relationships/hyperlink" Target="https://www.oecd.org/en/about/terms-conditions.html" TargetMode="External" Id="rId1" /><Relationship Type="http://schemas.openxmlformats.org/officeDocument/2006/relationships/hyperlink" Target="https://data-explorer.oecd.org/vis?fs%5b0%5d=Topic%2C1%7CEmployment%23JOB%23%7CUnemployment%20indicators%23JOB_UNEMP%23&amp;fs%5b1%5d=Frequency%20of%20observation%2C0%7CQuarterly%23Q%23&amp;fs%5b2%5d=Measure%2C0%7CUnemployment%23UNE%23&amp;fs%5b3%5d=Measure%2C0%7CUnemployment%20rate%23UNE_LF%23&amp;pg=0&amp;fc=Measure&amp;snb=1&amp;vw=tb&amp;df%5bds%5d=dsDisseminateFinalDMZ&amp;df%5bid%5d=DSD_LFS%40DF_IALFS_INDIC&amp;df%5bag%5d=OECD.SDD.TPS&amp;df%5bvs%5d=1.0&amp;dq=EA20%2BUSA%2BGBR%2BESP%2BJPN%2BITA%2BDEU%2BFRA%2BCAN.OLF_WAP...Y._T.Y15T64..Q&amp;pd=2024-Q1%2C&amp;to%5bTIME_PERIOD%5d=false" TargetMode="External" Id="rId2" /><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30.xml.rels><Relationships xmlns="http://schemas.openxmlformats.org/package/2006/relationships"><Relationship Type="http://schemas.openxmlformats.org/officeDocument/2006/relationships/drawing" Target="/xl/drawings/drawing5.xml" Id="rId1" /></Relationships>
</file>

<file path=xl/worksheets/_rels/sheet31.xml.rels><Relationships xmlns="http://schemas.openxmlformats.org/package/2006/relationships"><Relationship Type="http://schemas.openxmlformats.org/officeDocument/2006/relationships/drawing" Target="/xl/drawings/drawing6.xml" Id="rId1" /></Relationships>
</file>

<file path=xl/worksheets/_rels/sheet32.xml.rels><Relationships xmlns="http://schemas.openxmlformats.org/package/2006/relationships"><Relationship Type="http://schemas.openxmlformats.org/officeDocument/2006/relationships/drawing" Target="/xl/drawings/drawing7.xml" Id="rId1" /></Relationships>
</file>

<file path=xl/worksheets/_rels/sheet33.xml.rels><Relationships xmlns="http://schemas.openxmlformats.org/package/2006/relationships"><Relationship Type="http://schemas.openxmlformats.org/officeDocument/2006/relationships/drawing" Target="/xl/drawings/drawing8.xml" Id="rId1" /></Relationships>
</file>

<file path=xl/worksheets/sheet1.xml><?xml version="1.0" encoding="utf-8"?>
<worksheet xmlns="http://schemas.openxmlformats.org/spreadsheetml/2006/main">
  <sheetPr>
    <tabColor rgb="FF002060"/>
    <outlinePr summaryBelow="1" summaryRight="1"/>
    <pageSetUpPr/>
  </sheetPr>
  <dimension ref="B2:C9"/>
  <sheetViews>
    <sheetView workbookViewId="0">
      <selection activeCell="D9" sqref="D9"/>
    </sheetView>
  </sheetViews>
  <sheetFormatPr baseColWidth="8" defaultRowHeight="14.5"/>
  <cols>
    <col width="4.54296875" customWidth="1" style="828" min="1" max="1"/>
    <col width="3.81640625" customWidth="1" style="828" min="2" max="2"/>
    <col width="74.54296875" bestFit="1" customWidth="1" style="828" min="3" max="3"/>
  </cols>
  <sheetData>
    <row r="2">
      <c r="B2" s="790" t="inlineStr">
        <is>
          <t>How to update</t>
        </is>
      </c>
      <c r="C2" s="489" t="n"/>
    </row>
    <row r="3">
      <c r="B3" s="542" t="inlineStr">
        <is>
          <t>1.</t>
        </is>
      </c>
      <c r="C3" s="267" t="inlineStr">
        <is>
          <t>Navigate to the tabs included in the 'Data Links' tab at the bottom of this spreadsheet</t>
        </is>
      </c>
    </row>
    <row r="4">
      <c r="B4" s="542" t="inlineStr">
        <is>
          <t>2.</t>
        </is>
      </c>
      <c r="C4" s="267" t="inlineStr">
        <is>
          <t>Starting with the first link, download the data and open the downloaded spreadsheet</t>
        </is>
      </c>
    </row>
    <row r="5" ht="30.65" customHeight="1" s="828">
      <c r="B5" s="542" t="inlineStr">
        <is>
          <t>3.</t>
        </is>
      </c>
      <c r="C5" s="543" t="inlineStr">
        <is>
          <t>In the downloaded spreadsheet, find the tab that contains the same data as the tab in this spreadsheet that you are trying to update and copy all of the data and only the data</t>
        </is>
      </c>
    </row>
    <row r="6" ht="43.5" customHeight="1" s="828">
      <c r="B6" s="542" t="inlineStr">
        <is>
          <t>4.</t>
        </is>
      </c>
      <c r="C6" s="544" t="inlineStr">
        <is>
          <t>Line the first month of the copied data up with the first month in the tab you are hoping to update and paste the new data on top of it, overwriting the old data (i.e. July 2014 should be pasted on top of July 2014)</t>
        </is>
      </c>
    </row>
    <row r="7">
      <c r="B7" s="542" t="inlineStr">
        <is>
          <t>5.</t>
        </is>
      </c>
      <c r="C7" s="267" t="inlineStr">
        <is>
          <t>Repeat for all tabs until the spreadsheet is completely updated</t>
        </is>
      </c>
    </row>
    <row r="8" ht="29" customHeight="1" s="828">
      <c r="B8" s="542" t="inlineStr">
        <is>
          <t>6.</t>
        </is>
      </c>
      <c r="C8" s="544" t="inlineStr">
        <is>
          <t>Do a quick comparison with the ONS published stats to make sure all the formulas are pulling through correctly</t>
        </is>
      </c>
    </row>
    <row r="9" ht="29" customHeight="1" s="828">
      <c r="B9" s="542" t="inlineStr">
        <is>
          <t>7.</t>
        </is>
      </c>
      <c r="C9" s="544" t="inlineStr">
        <is>
          <t>To update the dashboard, ensure the yellow date box in the top left hand corner of the dashboard tab is set to the correct value</t>
        </is>
      </c>
    </row>
  </sheetData>
  <mergeCells count="1">
    <mergeCell ref="B2:C2"/>
  </mergeCells>
  <pageMargins left="0.7" right="0.7" top="0.75" bottom="0.75" header="0.3" footer="0.3"/>
</worksheet>
</file>

<file path=xl/worksheets/sheet2.xml><?xml version="1.0" encoding="utf-8"?>
<worksheet xmlns="http://schemas.openxmlformats.org/spreadsheetml/2006/main">
  <sheetPr>
    <tabColor rgb="FF002060"/>
    <outlinePr summaryBelow="1" summaryRight="1"/>
    <pageSetUpPr/>
  </sheetPr>
  <dimension ref="B2:C9"/>
  <sheetViews>
    <sheetView tabSelected="1" workbookViewId="0">
      <selection activeCell="C8" sqref="C8"/>
    </sheetView>
  </sheetViews>
  <sheetFormatPr baseColWidth="8" defaultRowHeight="14.5"/>
  <cols>
    <col width="21.1796875" bestFit="1" customWidth="1" style="828" min="2" max="2"/>
    <col width="58.81640625" customWidth="1" style="828" min="3" max="3"/>
  </cols>
  <sheetData>
    <row r="2">
      <c r="B2" s="389" t="inlineStr">
        <is>
          <t>Tab</t>
        </is>
      </c>
      <c r="C2" s="389" t="inlineStr">
        <is>
          <t>Data link (August - Make sure to download most recent month!!!)</t>
        </is>
      </c>
    </row>
    <row r="3" ht="43.5" customHeight="1" s="828">
      <c r="B3" s="388" t="inlineStr">
        <is>
          <t>1. Payrolled employees</t>
        </is>
      </c>
      <c r="C3" s="875" t="inlineStr">
        <is>
          <t>https://www.ons.gov.uk/employmentandlabourmarket/peopleinwork/earningsandworkinghours/datasets/realtimeinformationstatisticsreferencetableseasonallyadjusted</t>
        </is>
      </c>
    </row>
    <row r="4" ht="43.5" customHeight="1" s="828">
      <c r="B4" s="388" t="inlineStr">
        <is>
          <t>23. Employees Industry</t>
        </is>
      </c>
      <c r="C4" s="876" t="n"/>
    </row>
    <row r="5" ht="32.15" customHeight="1" s="828">
      <c r="B5" s="390" t="inlineStr">
        <is>
          <t>2, 5, 10, 11, 13, 15, 18, 20, 21</t>
        </is>
      </c>
      <c r="C5" s="391" t="inlineStr">
        <is>
          <t>A01: Summary of labour market statistics - Office for National Statistics</t>
        </is>
      </c>
    </row>
    <row r="6">
      <c r="B6" s="388" t="inlineStr">
        <is>
          <t>1 UK (Claimant count)</t>
        </is>
      </c>
      <c r="C6" s="392" t="inlineStr">
        <is>
          <t>CLA01: Claimant Count - Office for National Statistics</t>
        </is>
      </c>
    </row>
    <row r="7" ht="29" customHeight="1" s="828">
      <c r="B7" s="390" t="inlineStr">
        <is>
          <t>Real Average Weekly Earnings (using CPI)</t>
        </is>
      </c>
      <c r="C7" s="391" t="inlineStr">
        <is>
          <t>X09: Real average weekly earnings using consumer price inflation (seasonally adjusted) - Office for National Statistics</t>
        </is>
      </c>
    </row>
    <row r="8">
      <c r="B8" s="388" t="inlineStr">
        <is>
          <t>Redundancies</t>
        </is>
      </c>
      <c r="C8" s="392" t="inlineStr">
        <is>
          <t>HR1: Potential redundancies - Office for National Statistics</t>
        </is>
      </c>
    </row>
    <row r="9">
      <c r="B9" s="388" t="inlineStr">
        <is>
          <t>Labour market flows</t>
        </is>
      </c>
      <c r="C9" s="392" t="inlineStr">
        <is>
          <t>X02: Labour Force Survey flows estimates</t>
        </is>
      </c>
    </row>
  </sheetData>
  <mergeCells count="1">
    <mergeCell ref="C3:C4"/>
  </mergeCells>
  <hyperlinks>
    <hyperlink xmlns:r="http://schemas.openxmlformats.org/officeDocument/2006/relationships" ref="C3" r:id="rId1"/>
    <hyperlink xmlns:r="http://schemas.openxmlformats.org/officeDocument/2006/relationships" ref="C5" display="https://www.ons.gov.uk/employmentandlabourmarket/peopleinwork/employmentandemployeetypes/datasets/summaryoflabourmarketstatistics" r:id="rId2"/>
    <hyperlink xmlns:r="http://schemas.openxmlformats.org/officeDocument/2006/relationships" ref="C6" display="https://www.ons.gov.uk/employmentandlabourmarket/peoplenotinwork/outofworkbenefits/datasets/claimantcountcla01" r:id="rId3"/>
    <hyperlink xmlns:r="http://schemas.openxmlformats.org/officeDocument/2006/relationships" ref="C7" display="https://www.ons.gov.uk/employmentandlabourmarket/peopleinwork/earningsandworkinghours/datasets/x09realaverageweeklyearningsusingconsumerpriceinflationseasonallyadjusted" r:id="rId4"/>
    <hyperlink xmlns:r="http://schemas.openxmlformats.org/officeDocument/2006/relationships" ref="C8" display="https://www.ons.gov.uk/employmentandlabourmarket/peopleinwork/employmentandemployeetypes/datasets/hr1potentialredundancies" r:id="rId5"/>
    <hyperlink xmlns:r="http://schemas.openxmlformats.org/officeDocument/2006/relationships" ref="C9" r:id="rId6"/>
  </hyperlinks>
  <pageMargins left="0.7" right="0.7" top="0.75" bottom="0.75" header="0.3" footer="0.3"/>
  <pageSetup orientation="portrait" paperSize="9"/>
</worksheet>
</file>

<file path=xl/worksheets/sheet3.xml><?xml version="1.0" encoding="utf-8"?>
<worksheet xmlns="http://schemas.openxmlformats.org/spreadsheetml/2006/main">
  <sheetPr>
    <tabColor theme="7"/>
    <outlinePr summaryBelow="1" summaryRight="1"/>
    <pageSetUpPr/>
  </sheetPr>
  <dimension ref="A1:O18"/>
  <sheetViews>
    <sheetView workbookViewId="0">
      <selection activeCell="B17" sqref="B17"/>
    </sheetView>
  </sheetViews>
  <sheetFormatPr baseColWidth="8" defaultRowHeight="14.5"/>
  <cols>
    <col width="20.54296875" customWidth="1" style="828" min="1" max="1"/>
    <col width="28.1796875" customWidth="1" style="828" min="2" max="2"/>
    <col width="11.54296875" customWidth="1" style="828" min="3" max="3"/>
    <col width="17.81640625" customWidth="1" style="828" min="4" max="7"/>
    <col width="23" bestFit="1" customWidth="1" style="828" min="9" max="9"/>
    <col width="80.453125" customWidth="1" style="828" min="11" max="11"/>
    <col width="11.81640625" bestFit="1" customWidth="1" style="828" min="12" max="12"/>
  </cols>
  <sheetData>
    <row r="1" ht="15" customHeight="1" s="828" thickBot="1">
      <c r="A1" s="1" t="inlineStr">
        <is>
          <t> </t>
        </is>
      </c>
      <c r="B1" s="545" t="inlineStr">
        <is>
          <t>Aug-Oct</t>
        </is>
      </c>
      <c r="C1" s="3" t="n"/>
      <c r="D1" s="3" t="n"/>
      <c r="E1" s="3" t="n"/>
      <c r="F1" s="3" t="n"/>
      <c r="G1" s="3" t="n"/>
      <c r="H1" s="3" t="n"/>
      <c r="L1" t="inlineStr">
        <is>
          <t>Dropdowns:</t>
        </is>
      </c>
      <c r="M1" s="4" t="inlineStr">
        <is>
          <t>Month</t>
        </is>
      </c>
      <c r="N1" s="4" t="inlineStr">
        <is>
          <t>Offset Count</t>
        </is>
      </c>
      <c r="O1" s="4" t="inlineStr">
        <is>
          <t>Year</t>
        </is>
      </c>
    </row>
    <row r="2" ht="15" customHeight="1" s="828" thickBot="1">
      <c r="A2" s="1" t="inlineStr">
        <is>
          <t>Year</t>
        </is>
      </c>
      <c r="B2" s="2" t="n">
        <v>2025</v>
      </c>
      <c r="C2" s="3" t="n"/>
      <c r="D2" s="5" t="n"/>
      <c r="E2" s="3" t="n"/>
      <c r="F2" s="3" t="n"/>
      <c r="G2" s="3" t="n"/>
      <c r="H2" s="3" t="n"/>
      <c r="M2" s="5" t="inlineStr">
        <is>
          <t>Nov-Jan</t>
        </is>
      </c>
      <c r="N2" s="5" t="n">
        <v>13</v>
      </c>
      <c r="O2" s="5" t="n">
        <v>2022</v>
      </c>
    </row>
    <row r="3">
      <c r="A3" s="1" t="inlineStr">
        <is>
          <t>Offset factor</t>
        </is>
      </c>
      <c r="B3" s="2">
        <f>((VLOOKUP(B1,$M$2:$N$13, 2, FALSE)-0)+((Dashboard!B2-2024)*12))</f>
        <v/>
      </c>
      <c r="C3" s="3" t="n"/>
      <c r="D3" s="877" t="n"/>
      <c r="E3" s="3" t="n"/>
      <c r="F3" s="3" t="n"/>
      <c r="G3" s="3" t="n"/>
      <c r="H3" s="3" t="n"/>
      <c r="M3" s="5" t="inlineStr">
        <is>
          <t>Dec-Feb</t>
        </is>
      </c>
      <c r="N3" s="5">
        <f>N2+1</f>
        <v/>
      </c>
      <c r="O3" s="5" t="n">
        <v>2023</v>
      </c>
    </row>
    <row r="4" ht="15" customHeight="1" s="828" thickBot="1">
      <c r="A4" s="3" t="n"/>
      <c r="B4" s="3" t="n"/>
      <c r="C4" s="3" t="n"/>
      <c r="D4" s="3" t="n"/>
      <c r="E4" s="3" t="n"/>
      <c r="F4" s="3" t="n"/>
      <c r="G4" s="250" t="n"/>
      <c r="H4" s="3" t="n"/>
      <c r="M4" s="5" t="inlineStr">
        <is>
          <t>Jan-Mar</t>
        </is>
      </c>
      <c r="N4" s="5">
        <f>N3+1</f>
        <v/>
      </c>
      <c r="O4" s="5" t="n">
        <v>2024</v>
      </c>
    </row>
    <row r="5" ht="26.5" customHeight="1" s="828" thickBot="1">
      <c r="A5" s="793" t="n"/>
      <c r="B5" s="878" t="inlineStr">
        <is>
          <t>{{LFS_PERIOD}}</t>
        </is>
      </c>
      <c r="C5" s="879" t="n"/>
      <c r="D5" s="207" t="inlineStr">
        <is>
          <t>Current</t>
        </is>
      </c>
      <c r="E5" s="207" t="inlineStr">
        <is>
          <t>Change on quarter</t>
        </is>
      </c>
      <c r="F5" s="207" t="inlineStr">
        <is>
          <t>Change on the year</t>
        </is>
      </c>
      <c r="G5" s="207" t="inlineStr">
        <is>
          <t>Change since Covid-20</t>
        </is>
      </c>
      <c r="H5" s="3" t="n"/>
      <c r="I5" s="271" t="inlineStr">
        <is>
          <t>Good or Bad' formatting?</t>
        </is>
      </c>
      <c r="K5" s="267" t="inlineStr">
        <is>
          <t>For data showing percentage point change</t>
        </is>
      </c>
      <c r="M5" s="5" t="inlineStr">
        <is>
          <t>Feb-Apr</t>
        </is>
      </c>
      <c r="N5" s="5">
        <f>N4+1</f>
        <v/>
      </c>
      <c r="O5" s="5" t="n">
        <v>2025</v>
      </c>
    </row>
    <row r="6" ht="15" customHeight="1" s="828" thickBot="1">
      <c r="A6" s="880" t="n"/>
      <c r="B6" s="6" t="inlineStr">
        <is>
          <t>Employment (000s) 16+</t>
        </is>
      </c>
      <c r="C6" s="881" t="n"/>
      <c r="D6" s="882" t="inlineStr">
        <is>
          <t>{{EMP16_CUR}}</t>
        </is>
      </c>
      <c r="E6" s="883" t="inlineStr">
        <is>
          <t>{{EMP16_DQ}}</t>
        </is>
      </c>
      <c r="F6" s="884" t="inlineStr">
        <is>
          <t>{{EMP16_DY}}</t>
        </is>
      </c>
      <c r="G6" s="884" t="inlineStr">
        <is>
          <t>{{EMP16_DC}}</t>
        </is>
      </c>
      <c r="H6" s="3" t="n"/>
      <c r="I6" s="269" t="inlineStr">
        <is>
          <t>Minus = Bad</t>
        </is>
      </c>
      <c r="M6" s="5" t="inlineStr">
        <is>
          <t>Mar-May</t>
        </is>
      </c>
      <c r="N6" s="5">
        <f>N5+1</f>
        <v/>
      </c>
      <c r="O6" s="5" t="n">
        <v>2026</v>
      </c>
    </row>
    <row r="7" ht="15" customHeight="1" s="828" thickBot="1">
      <c r="A7" s="880" t="n"/>
      <c r="B7" s="217" t="inlineStr">
        <is>
          <t>Employment rate (16-64)</t>
        </is>
      </c>
      <c r="C7" s="879" t="n"/>
      <c r="D7" s="885" t="inlineStr">
        <is>
          <t>{{EMP_RT_CUR}}</t>
        </is>
      </c>
      <c r="E7" s="886" t="inlineStr">
        <is>
          <t>{{EMP_RT_DQ}}</t>
        </is>
      </c>
      <c r="F7" s="887" t="inlineStr">
        <is>
          <t>{{EMP_RT_DY}}</t>
        </is>
      </c>
      <c r="G7" s="886" t="inlineStr">
        <is>
          <t>{{EMP_RT_DC}}</t>
        </is>
      </c>
      <c r="I7" s="269" t="inlineStr">
        <is>
          <t>Minus = Bad</t>
        </is>
      </c>
      <c r="K7" s="268" t="inlineStr">
        <is>
          <t>Add  'pp' in brief</t>
        </is>
      </c>
      <c r="M7" s="5" t="inlineStr">
        <is>
          <t>Apr-Jun</t>
        </is>
      </c>
      <c r="N7" s="5">
        <f>N6+1</f>
        <v/>
      </c>
      <c r="O7" s="5" t="n">
        <v>2027</v>
      </c>
    </row>
    <row r="8" ht="35.25" customHeight="1" s="828" thickBot="1">
      <c r="A8" s="880" t="n"/>
      <c r="B8" s="217" t="inlineStr">
        <is>
          <t>Unemployment, 16+ (000s)</t>
        </is>
      </c>
      <c r="C8" s="879" t="n"/>
      <c r="D8" s="888" t="inlineStr">
        <is>
          <t>{{UNEMP16_CUR}}</t>
        </is>
      </c>
      <c r="E8" s="889" t="inlineStr">
        <is>
          <t>{{UNEMP16_DQ}}</t>
        </is>
      </c>
      <c r="F8" s="889" t="inlineStr">
        <is>
          <t>{{UNEMP16_DY}}</t>
        </is>
      </c>
      <c r="G8" s="889" t="inlineStr">
        <is>
          <t>{{UNEMP16_DC}}</t>
        </is>
      </c>
      <c r="I8" s="270" t="inlineStr">
        <is>
          <t>Minus = Good</t>
        </is>
      </c>
      <c r="K8" s="3" t="n"/>
      <c r="M8" s="5" t="inlineStr">
        <is>
          <t>May-Jul</t>
        </is>
      </c>
      <c r="N8" s="5">
        <f>N7+1</f>
        <v/>
      </c>
      <c r="O8" s="5" t="n">
        <v>2028</v>
      </c>
    </row>
    <row r="9" ht="15" customHeight="1" s="828" thickBot="1">
      <c r="A9" s="880" t="n"/>
      <c r="B9" s="217" t="inlineStr">
        <is>
          <t>Unemployment rate, 16+</t>
        </is>
      </c>
      <c r="C9" s="879" t="n"/>
      <c r="D9" s="885" t="inlineStr">
        <is>
          <t>{{UNEMP_RT_CUR}}</t>
        </is>
      </c>
      <c r="E9" s="886" t="inlineStr">
        <is>
          <t>{{UNEMP_RT_DQ}}</t>
        </is>
      </c>
      <c r="F9" s="886" t="inlineStr">
        <is>
          <t>{{UNEMP_RT_DY}}</t>
        </is>
      </c>
      <c r="G9" s="886" t="inlineStr">
        <is>
          <t>{{UNEMP_RT_DC}}</t>
        </is>
      </c>
      <c r="I9" s="270" t="inlineStr">
        <is>
          <t>Minus = Good</t>
        </is>
      </c>
      <c r="K9" s="268" t="inlineStr">
        <is>
          <t>Add  'pp' in brief</t>
        </is>
      </c>
      <c r="M9" s="5" t="inlineStr">
        <is>
          <t>Jun-Aug</t>
        </is>
      </c>
      <c r="N9" s="5">
        <f>N8+1</f>
        <v/>
      </c>
      <c r="O9" s="5" t="n">
        <v>2029</v>
      </c>
    </row>
    <row r="10" ht="15" customHeight="1" s="828" thickBot="1">
      <c r="A10" s="880" t="n"/>
      <c r="B10" s="217" t="inlineStr">
        <is>
          <t>Economic inactivity (000s) (16-64)</t>
        </is>
      </c>
      <c r="C10" s="879" t="n"/>
      <c r="D10" s="888" t="inlineStr">
        <is>
          <t>{{INACT_CUR}}</t>
        </is>
      </c>
      <c r="E10" s="890" t="inlineStr">
        <is>
          <t>{{INACT_DQ}}</t>
        </is>
      </c>
      <c r="F10" s="890" t="inlineStr">
        <is>
          <t>{{INACT_DY}}</t>
        </is>
      </c>
      <c r="G10" s="889" t="inlineStr">
        <is>
          <t>{{INACT_DC}}</t>
        </is>
      </c>
      <c r="I10" s="270" t="inlineStr">
        <is>
          <t>Minus = Good</t>
        </is>
      </c>
      <c r="K10" s="3" t="n"/>
      <c r="M10" s="5" t="inlineStr">
        <is>
          <t>Jul-Sep</t>
        </is>
      </c>
      <c r="N10" s="5">
        <f>N9+1</f>
        <v/>
      </c>
      <c r="O10" s="5" t="n">
        <v>2030</v>
      </c>
    </row>
    <row r="11" ht="15.75" customHeight="1" s="828" thickBot="1">
      <c r="A11" s="880" t="n"/>
      <c r="B11" s="217" t="inlineStr">
        <is>
          <t>Economic inactivity rate (16-64)</t>
        </is>
      </c>
      <c r="C11" s="879" t="n"/>
      <c r="D11" s="885" t="inlineStr">
        <is>
          <t>{{INACT_RT_CUR}}</t>
        </is>
      </c>
      <c r="E11" s="887" t="inlineStr">
        <is>
          <t>{{INACT_RT_DQ}}</t>
        </is>
      </c>
      <c r="F11" s="891" t="inlineStr">
        <is>
          <t>{{INACT_RT_DY}}</t>
        </is>
      </c>
      <c r="G11" s="886" t="inlineStr">
        <is>
          <t>{{INACT_RT_DC}}</t>
        </is>
      </c>
      <c r="I11" s="270" t="inlineStr">
        <is>
          <t>Minus = Good</t>
        </is>
      </c>
      <c r="K11" s="268" t="inlineStr">
        <is>
          <t>Add  'pp' in brief</t>
        </is>
      </c>
      <c r="M11" s="5" t="inlineStr">
        <is>
          <t>Aug-Oct</t>
        </is>
      </c>
      <c r="N11" s="5">
        <f>N10+1</f>
        <v/>
      </c>
      <c r="O11" s="5" t="n"/>
    </row>
    <row r="12" ht="15" customHeight="1" s="828" thickBot="1">
      <c r="A12" s="880" t="n"/>
      <c r="B12" s="892" t="inlineStr">
        <is>
          <t>50-64s inactivity (000s)</t>
        </is>
      </c>
      <c r="C12" s="879" t="n"/>
      <c r="D12" s="888" t="inlineStr">
        <is>
          <t>{{INACT5064_CUR}}</t>
        </is>
      </c>
      <c r="E12" s="890" t="inlineStr">
        <is>
          <t>{{INACT5064_DQ}}</t>
        </is>
      </c>
      <c r="F12" s="890" t="inlineStr">
        <is>
          <t>{{INACT5064_DY}}</t>
        </is>
      </c>
      <c r="G12" s="889" t="inlineStr">
        <is>
          <t>{{INACT5064_DC}}</t>
        </is>
      </c>
      <c r="I12" s="270" t="inlineStr">
        <is>
          <t>Minus = Good</t>
        </is>
      </c>
      <c r="J12" s="8" t="n"/>
      <c r="K12" s="3" t="n"/>
      <c r="M12" s="5" t="inlineStr">
        <is>
          <t>Sep-Nov</t>
        </is>
      </c>
      <c r="N12" s="5">
        <f>N11+1</f>
        <v/>
      </c>
      <c r="O12" s="5" t="n"/>
    </row>
    <row r="13" ht="15" customHeight="1" s="828" thickBot="1">
      <c r="A13" s="880" t="n"/>
      <c r="B13" s="892" t="inlineStr">
        <is>
          <t>50-64s inactivity rate</t>
        </is>
      </c>
      <c r="C13" s="879" t="n"/>
      <c r="D13" s="893" t="inlineStr">
        <is>
          <t>{{INACT5064_RT_CUR}}</t>
        </is>
      </c>
      <c r="E13" s="887" t="inlineStr">
        <is>
          <t>{{INACT5064_RT_DQ}}</t>
        </is>
      </c>
      <c r="F13" s="887" t="inlineStr">
        <is>
          <t>{{INACT5064_RT_DY}}</t>
        </is>
      </c>
      <c r="G13" s="894" t="inlineStr">
        <is>
          <t>{{INACT5064_RT_DC}}</t>
        </is>
      </c>
      <c r="I13" s="270" t="inlineStr">
        <is>
          <t>Minus = Good</t>
        </is>
      </c>
      <c r="K13" s="268" t="inlineStr">
        <is>
          <t>Add  'pp' in brief</t>
        </is>
      </c>
      <c r="M13" s="5" t="inlineStr">
        <is>
          <t>Oct-Dec</t>
        </is>
      </c>
      <c r="N13" s="5">
        <f>N12+1</f>
        <v/>
      </c>
      <c r="O13" s="5" t="n"/>
    </row>
    <row r="14" ht="36" customHeight="1" s="828" thickBot="1">
      <c r="A14" s="3" t="n"/>
      <c r="B14" s="895" t="inlineStr">
        <is>
          <t xml:space="preserve">Provisional  December 2024 HMRC Payroll employees (000s) </t>
        </is>
      </c>
      <c r="C14" s="879" t="n"/>
      <c r="D14" s="888" t="inlineStr">
        <is>
          <t>{{PAYROLL_CUR}}</t>
        </is>
      </c>
      <c r="E14" s="896" t="inlineStr">
        <is>
          <t>{{PAYROLL_DQ}}</t>
        </is>
      </c>
      <c r="F14" s="896" t="inlineStr">
        <is>
          <t>{{PAYROLL_DY}}</t>
        </is>
      </c>
      <c r="G14" s="896" t="inlineStr">
        <is>
          <t>{{PAYROLL_DC}}</t>
        </is>
      </c>
      <c r="H14" s="3" t="n"/>
      <c r="I14" s="269" t="inlineStr">
        <is>
          <t>Minus = Bad</t>
        </is>
      </c>
    </row>
    <row r="15" ht="27.65" customHeight="1" s="828" thickBot="1">
      <c r="A15" s="3" t="inlineStr">
        <is>
          <t>*note: covid period is different (Jan-Mar) due to reporting periods</t>
        </is>
      </c>
      <c r="B15" s="897" t="inlineStr">
        <is>
          <t xml:space="preserve">Provisional Nov 2024-Jan 2025 Vacancies (000s) </t>
        </is>
      </c>
      <c r="C15" s="879" t="n"/>
      <c r="D15" s="898" t="inlineStr">
        <is>
          <t>{{VAC_CUR}}</t>
        </is>
      </c>
      <c r="E15" s="899" t="inlineStr">
        <is>
          <t>{{VAC_DQ}}</t>
        </is>
      </c>
      <c r="F15" s="899" t="inlineStr">
        <is>
          <t>{{VAC_DY}}</t>
        </is>
      </c>
      <c r="G15" s="899" t="inlineStr">
        <is>
          <t>{{VAC_DC}}</t>
        </is>
      </c>
      <c r="H15" s="3" t="n"/>
      <c r="I15" s="267" t="inlineStr">
        <is>
          <t>Do not format</t>
        </is>
      </c>
    </row>
    <row r="16" ht="39.5" customHeight="1" s="828" thickBot="1">
      <c r="B16" s="6" t="inlineStr">
        <is>
          <t>Wage growth in cash terms (total pay, including bonuses, yearly % change)</t>
        </is>
      </c>
      <c r="C16" s="900" t="inlineStr">
        <is>
          <t>Change in annual earnings</t>
        </is>
      </c>
      <c r="D16" s="901" t="inlineStr">
        <is>
          <t>{{WAGES_CUR}}</t>
        </is>
      </c>
      <c r="E16" s="902" t="inlineStr">
        <is>
          <t>{{WAGES_DQ}}</t>
        </is>
      </c>
      <c r="F16" s="902" t="inlineStr">
        <is>
          <t>{{WAGES_DY}}</t>
        </is>
      </c>
      <c r="G16" s="902" t="inlineStr">
        <is>
          <t>{{WAGES_DC}}</t>
        </is>
      </c>
      <c r="H16" s="3" t="n"/>
      <c r="I16" s="269" t="inlineStr">
        <is>
          <t>Minus = Bad</t>
        </is>
      </c>
    </row>
    <row r="17" ht="39.5" customHeight="1" s="828" thickBot="1">
      <c r="B17" s="217" t="inlineStr">
        <is>
          <t>Wage growth adjusted for inflation (total pay, including bonuses, yearly % change)</t>
        </is>
      </c>
      <c r="C17" s="903" t="n"/>
      <c r="D17" s="904" t="inlineStr">
        <is>
          <t>{{WAGES_CPI_CUR}}</t>
        </is>
      </c>
      <c r="E17" s="902" t="inlineStr">
        <is>
          <t>{{WAGES_CPI_DQ}}</t>
        </is>
      </c>
      <c r="F17" s="902" t="inlineStr">
        <is>
          <t>{{WAGES_CPI_DY}}</t>
        </is>
      </c>
      <c r="G17" s="902" t="inlineStr">
        <is>
          <t>{{WAGES_CPI_DC}}</t>
        </is>
      </c>
      <c r="H17" s="3" t="n"/>
      <c r="I17" s="269" t="inlineStr">
        <is>
          <t>Minus = Bad</t>
        </is>
      </c>
    </row>
    <row r="18">
      <c r="B18" s="213" t="n"/>
      <c r="C18" s="214" t="n"/>
      <c r="D18" s="905" t="n"/>
      <c r="E18" s="906" t="n"/>
      <c r="F18" s="906" t="n"/>
      <c r="G18" s="906" t="n"/>
      <c r="H18" s="3" t="n"/>
    </row>
  </sheetData>
  <mergeCells count="13">
    <mergeCell ref="B13:C13"/>
    <mergeCell ref="B6:C6"/>
    <mergeCell ref="A5:A13"/>
    <mergeCell ref="B15:C15"/>
    <mergeCell ref="B7:C7"/>
    <mergeCell ref="B11:C11"/>
    <mergeCell ref="C16:C17"/>
    <mergeCell ref="B5:C5"/>
    <mergeCell ref="B10:C10"/>
    <mergeCell ref="B14:C14"/>
    <mergeCell ref="B9:C9"/>
    <mergeCell ref="B8:C8"/>
    <mergeCell ref="B12:C12"/>
  </mergeCells>
  <conditionalFormatting sqref="E6:G6">
    <cfRule type="cellIs" priority="1" operator="greaterThan" dxfId="0">
      <formula>0</formula>
    </cfRule>
    <cfRule type="cellIs" priority="24" operator="lessThan" dxfId="1">
      <formula>0</formula>
    </cfRule>
  </conditionalFormatting>
  <conditionalFormatting sqref="E14:G14 E16:G18">
    <cfRule type="cellIs" priority="11" operator="lessThan" dxfId="1">
      <formula>0</formula>
    </cfRule>
    <cfRule type="cellIs" priority="12" operator="greaterThan" dxfId="0">
      <formula>0</formula>
    </cfRule>
  </conditionalFormatting>
  <dataValidations count="1">
    <dataValidation sqref="B1" showDropDown="0" showInputMessage="1" showErrorMessage="1" allowBlank="1" type="list">
      <formula1>$M$2:$M$13</formula1>
    </dataValidation>
  </dataValidations>
  <pageMargins left="0.7" right="0.7" top="0.75" bottom="0.75" header="0.3" footer="0.3"/>
  <pageSetup orientation="portrait" paperSize="9"/>
  <legacyDrawing xmlns:r="http://schemas.openxmlformats.org/officeDocument/2006/relationships" r:id="anysvml"/>
</worksheet>
</file>

<file path=xl/worksheets/sheet4.xml><?xml version="1.0" encoding="utf-8"?>
<worksheet xmlns="http://schemas.openxmlformats.org/spreadsheetml/2006/main">
  <sheetPr>
    <tabColor rgb="FF0070C0"/>
    <outlinePr summaryBelow="1" summaryRight="1"/>
    <pageSetUpPr/>
  </sheetPr>
  <dimension ref="A1:S164"/>
  <sheetViews>
    <sheetView topLeftCell="B126" workbookViewId="0">
      <selection activeCell="B150" sqref="B150"/>
    </sheetView>
  </sheetViews>
  <sheetFormatPr baseColWidth="8" defaultRowHeight="14.5"/>
  <cols>
    <col width="41" bestFit="1" customWidth="1" style="828" min="1" max="1"/>
    <col width="22.1796875" customWidth="1" style="828" min="2" max="2"/>
    <col width="24.26953125" bestFit="1" customWidth="1" style="828" min="3" max="3"/>
    <col width="16.54296875" bestFit="1" customWidth="1" style="828" min="4" max="4"/>
    <col width="18.26953125" bestFit="1" customWidth="1" style="828" min="5" max="5"/>
    <col width="19.7265625" bestFit="1" customWidth="1" style="828" min="6" max="6"/>
    <col width="22" customWidth="1" style="828" min="7" max="7"/>
    <col width="27.54296875" bestFit="1" customWidth="1" style="828" min="8" max="8"/>
    <col width="26.1796875" bestFit="1" customWidth="1" style="828" min="9" max="9"/>
    <col width="18.26953125" bestFit="1" customWidth="1" style="828" min="10" max="10"/>
    <col width="19.7265625" bestFit="1" customWidth="1" style="828" min="11" max="11"/>
    <col width="27.54296875" customWidth="1" style="828" min="12" max="12"/>
    <col width="26.1796875" customWidth="1" style="828" min="13" max="13"/>
    <col width="9.7265625" bestFit="1" customWidth="1" style="828" min="15" max="15"/>
  </cols>
  <sheetData>
    <row r="1" ht="15" customHeight="1" s="828" thickBot="1">
      <c r="B1" s="479" t="inlineStr">
        <is>
          <t>Current</t>
        </is>
      </c>
      <c r="C1" s="479" t="inlineStr">
        <is>
          <t>Change on month (singular)</t>
        </is>
      </c>
      <c r="D1" s="393" t="inlineStr">
        <is>
          <t>Change on quarter</t>
        </is>
      </c>
      <c r="E1" s="479" t="inlineStr">
        <is>
          <t>Change year on year</t>
        </is>
      </c>
      <c r="F1" s="393" t="inlineStr">
        <is>
          <t>Change since Covid-19</t>
        </is>
      </c>
      <c r="G1" s="393" t="inlineStr">
        <is>
          <t>Change since 2024 election</t>
        </is>
      </c>
      <c r="H1" s="393" t="inlineStr">
        <is>
          <t>Change since coming into office</t>
        </is>
      </c>
      <c r="I1" s="393" t="inlineStr">
        <is>
          <t>Change since start of the year</t>
        </is>
      </c>
      <c r="J1" s="482" t="inlineStr">
        <is>
          <t>Max</t>
        </is>
      </c>
    </row>
    <row r="2" ht="15" customHeight="1" s="828" thickBot="1">
      <c r="A2" s="394" t="inlineStr">
        <is>
          <t>Number</t>
        </is>
      </c>
      <c r="B2" s="907" t="inlineStr">
        <is>
          <t>{{PAYROLL_CUR}}</t>
        </is>
      </c>
      <c r="C2" s="908">
        <f t="array" ref="C2">INDEX($B$11:$B$1048576,COUNTA($B$11:$B$1048576))-INDEX($B$11:$B$1048576,COUNTA($B$11:$B$1048576)-1)</f>
        <v/>
      </c>
      <c r="D2" s="909" t="inlineStr">
        <is>
          <t>{{PAYROLL_DQ}}</t>
        </is>
      </c>
      <c r="E2" s="907" t="inlineStr">
        <is>
          <t>{{PAYROLL_DY}}</t>
        </is>
      </c>
      <c r="F2" s="910" t="inlineStr">
        <is>
          <t>{{PAYROLL_DC}}</t>
        </is>
      </c>
      <c r="G2" s="910" t="inlineStr">
        <is>
          <t>{{PAYROLL_DE}}</t>
        </is>
      </c>
      <c r="H2" s="911">
        <f t="array" ref="H2">INDEX($B$11:$B$1048576,COUNTA($B$11:$B$1048576))-$B$130</f>
        <v/>
      </c>
      <c r="I2" s="912">
        <f t="array" ref="I2">INDEX(B$11:B$1048576,COUNTA(B$11:B$1048576))-_xlfn.XLOOKUP("January " &amp; TEXT(TODAY(),"yyyy"),A$11:A$1048576,B$11:B$1048576)</f>
        <v/>
      </c>
      <c r="J2" s="908">
        <f>MAX($B$11:$B$1048576)</f>
        <v/>
      </c>
    </row>
    <row r="3">
      <c r="A3" s="394" t="inlineStr">
        <is>
          <t>%</t>
        </is>
      </c>
      <c r="B3" s="480" t="n"/>
      <c r="C3" s="913">
        <f t="array" ref="C3">INDEX($B$11:$B$1048576,COUNTA($B$11:$B$1048576))/INDEX($B$11:$B$1048576,COUNTA($B$11:$B$1048576)-1)-1</f>
        <v/>
      </c>
      <c r="D3" s="914">
        <f>AVERAGE(OFFSET(INDEX($B$11:$B$1048576,COUNTA($B$11:$B$1048576)),-2,0,3,1))/AVERAGE(OFFSET(INDEX($B$11:$B$1048576,COUNTA($B$11:$B$1048576)),-5,0,3,1))-1</f>
        <v/>
      </c>
      <c r="E3" s="914">
        <f>AVERAGE(OFFSET(INDEX($B$11:$B$1048576,COUNTA($B$11:$B$1048576)),-2,0,3,1))/AVERAGE(OFFSET(INDEX($B$11:$B$1048576,COUNTA($B$11:$B$1048576)),-14,0,3,1))-1</f>
        <v/>
      </c>
      <c r="F3" s="914">
        <f t="array" ref="F3">INDEX($B$11:$B$1048576,COUNTA($B$11:$B$1048576))/AVERAGE($B$76:$B$78)-1</f>
        <v/>
      </c>
      <c r="G3" s="914">
        <f>AVERAGE(OFFSET(INDEX($B$11:$B$1048576,COUNTA($B$11:$B$1048576)),-2,0,3,1))/AVERAGE($B$128:$B$130)-1</f>
        <v/>
      </c>
      <c r="H3" s="914">
        <f t="array" ref="H3">INDEX($B$11:$B$1048576,COUNTA($B$11:$B$1048576))/$B$130-1</f>
        <v/>
      </c>
      <c r="I3" s="914">
        <f t="array" ref="I3">INDEX(B$11:B$1048576,COUNTA(B$11:B$1048576))/_xlfn.XLOOKUP("January " &amp; TEXT(TODAY(),"yyyy"),A$11:A$1048576,B$11:B$1048576)-1</f>
        <v/>
      </c>
      <c r="J3" s="915" t="n"/>
    </row>
    <row r="4">
      <c r="C4" s="916" t="n"/>
    </row>
    <row r="5">
      <c r="A5" s="366" t="inlineStr">
        <is>
          <t>1. Payrolled employee counts from PAYE RTI</t>
        </is>
      </c>
      <c r="B5" s="205" t="n"/>
      <c r="C5" s="205" t="n"/>
    </row>
    <row r="6">
      <c r="A6" s="368" t="inlineStr">
        <is>
          <t>UK, all industries, seasonally adjusted</t>
        </is>
      </c>
      <c r="B6" s="205" t="n"/>
      <c r="C6" s="205" t="n"/>
    </row>
    <row r="8">
      <c r="A8" s="205" t="inlineStr">
        <is>
          <t>Units</t>
        </is>
      </c>
      <c r="B8" s="205" t="inlineStr">
        <is>
          <t>Payrolled employees</t>
        </is>
      </c>
      <c r="C8" s="205" t="n"/>
    </row>
    <row r="10">
      <c r="A10" s="369" t="inlineStr">
        <is>
          <t>Date</t>
        </is>
      </c>
      <c r="B10" s="370" t="inlineStr">
        <is>
          <t>Payrolled employees</t>
        </is>
      </c>
      <c r="C10" s="370" t="inlineStr">
        <is>
          <t>Change on previous month</t>
        </is>
      </c>
      <c r="E10" s="917" t="n"/>
      <c r="F10" s="205" t="n"/>
      <c r="G10" s="205" t="n"/>
      <c r="H10" s="205" t="n"/>
      <c r="I10" s="205" t="n"/>
      <c r="J10" s="205" t="n"/>
      <c r="K10" s="205" t="n"/>
      <c r="L10" s="205" t="n"/>
    </row>
    <row r="11">
      <c r="A11" s="205" t="n"/>
      <c r="B11" s="917" t="n"/>
      <c r="C11" s="205" t="n"/>
      <c r="E11" s="918" t="n"/>
      <c r="F11" s="919" t="n"/>
      <c r="G11" s="919" t="n"/>
      <c r="H11" s="918" t="n"/>
      <c r="I11" s="919" t="n"/>
      <c r="J11" s="918" t="n"/>
      <c r="K11" s="920" t="n"/>
      <c r="L11" s="920" t="n"/>
      <c r="M11" s="916" t="n"/>
    </row>
    <row r="12">
      <c r="A12" s="205" t="n"/>
      <c r="B12" s="917" t="n"/>
      <c r="C12" s="917" t="n"/>
      <c r="F12" s="921" t="n"/>
      <c r="G12" s="921" t="n"/>
      <c r="H12" s="921" t="n"/>
      <c r="I12" s="374" t="n"/>
      <c r="J12" s="374" t="n"/>
      <c r="K12" s="374" t="n"/>
      <c r="L12" s="374" t="n"/>
    </row>
    <row r="13">
      <c r="A13" s="205" t="n"/>
      <c r="B13" s="917" t="n"/>
      <c r="C13" s="917" t="n"/>
      <c r="F13" s="922" t="n"/>
      <c r="G13" s="922" t="n"/>
      <c r="H13" s="916" t="n"/>
      <c r="K13" s="916" t="n"/>
      <c r="L13" s="916" t="n"/>
    </row>
    <row r="14">
      <c r="A14" s="205" t="n"/>
      <c r="B14" s="917" t="n"/>
      <c r="C14" s="917" t="n"/>
      <c r="F14" s="916" t="n"/>
      <c r="G14" s="916" t="n"/>
      <c r="H14" s="916" t="n"/>
    </row>
    <row r="15">
      <c r="A15" s="205" t="n"/>
      <c r="B15" s="917" t="n"/>
      <c r="C15" s="917" t="n"/>
      <c r="F15" s="921" t="n"/>
      <c r="G15" s="921" t="n"/>
      <c r="H15" s="916" t="n"/>
      <c r="I15" s="916" t="n"/>
      <c r="M15" s="916" t="n"/>
    </row>
    <row r="16">
      <c r="A16" s="205" t="n"/>
      <c r="B16" s="917" t="n"/>
      <c r="C16" s="917" t="n"/>
      <c r="F16" s="921" t="n"/>
      <c r="G16" s="921" t="n"/>
      <c r="H16" s="916" t="n"/>
      <c r="I16" s="273" t="n"/>
    </row>
    <row r="17">
      <c r="A17" s="205" t="n"/>
      <c r="B17" s="917" t="n"/>
      <c r="C17" s="917" t="n"/>
      <c r="E17" s="85" t="n"/>
      <c r="F17" s="921" t="n"/>
      <c r="G17" s="921" t="n"/>
      <c r="K17" s="921" t="n"/>
      <c r="L17" s="921" t="n"/>
    </row>
    <row r="18">
      <c r="A18" s="205" t="n"/>
      <c r="B18" s="917" t="n"/>
      <c r="C18" s="917" t="n"/>
      <c r="E18" s="278" t="n"/>
    </row>
    <row r="19">
      <c r="A19" s="205" t="n"/>
      <c r="B19" s="917" t="n"/>
      <c r="C19" s="917" t="n"/>
      <c r="F19" s="916" t="n"/>
      <c r="G19" s="916" t="n"/>
    </row>
    <row r="20">
      <c r="A20" s="205" t="n"/>
      <c r="B20" s="917" t="n"/>
      <c r="C20" s="917" t="n"/>
      <c r="F20" s="921" t="n"/>
      <c r="G20" s="921" t="n"/>
    </row>
    <row r="21">
      <c r="A21" s="205" t="n"/>
      <c r="B21" s="917" t="n"/>
      <c r="C21" s="917" t="n"/>
      <c r="F21" s="921" t="n"/>
      <c r="G21" s="921" t="n"/>
      <c r="R21" s="864" t="n"/>
      <c r="S21" s="916" t="n"/>
    </row>
    <row r="22">
      <c r="A22" s="205" t="n"/>
      <c r="B22" s="917" t="n"/>
      <c r="C22" s="917" t="n"/>
      <c r="E22" s="85" t="n"/>
      <c r="F22" s="921" t="n"/>
      <c r="G22" s="921" t="n"/>
      <c r="R22" s="864" t="n"/>
      <c r="S22" s="916" t="n"/>
    </row>
    <row r="23">
      <c r="A23" s="205" t="n"/>
      <c r="B23" s="917" t="n"/>
      <c r="C23" s="917" t="n"/>
      <c r="F23" s="916" t="n"/>
      <c r="G23" s="916" t="n"/>
    </row>
    <row r="24">
      <c r="A24" s="205" t="n"/>
      <c r="B24" s="917" t="n"/>
      <c r="C24" s="917" t="n"/>
      <c r="F24" s="916" t="n"/>
      <c r="G24" s="916" t="n"/>
    </row>
    <row r="25">
      <c r="A25" s="205" t="n"/>
      <c r="B25" s="917" t="n"/>
      <c r="C25" s="917" t="n"/>
      <c r="F25" s="921" t="n"/>
      <c r="G25" s="921" t="n"/>
    </row>
    <row r="26">
      <c r="A26" s="205" t="n"/>
      <c r="B26" s="917" t="n"/>
      <c r="C26" s="917" t="n"/>
    </row>
    <row r="27">
      <c r="A27" s="205" t="n"/>
      <c r="B27" s="917" t="n"/>
      <c r="C27" s="917" t="n"/>
    </row>
    <row r="28">
      <c r="A28" s="205" t="n"/>
      <c r="B28" s="917" t="n"/>
      <c r="C28" s="917" t="n"/>
    </row>
    <row r="29">
      <c r="A29" s="205" t="n"/>
      <c r="B29" s="917" t="n"/>
      <c r="C29" s="917" t="n"/>
    </row>
    <row r="30">
      <c r="A30" s="205" t="n"/>
      <c r="B30" s="917" t="n"/>
      <c r="C30" s="917" t="n"/>
    </row>
    <row r="31">
      <c r="A31" s="205" t="n"/>
      <c r="B31" s="917" t="n"/>
      <c r="C31" s="917" t="n"/>
    </row>
    <row r="32">
      <c r="A32" s="205" t="n"/>
      <c r="B32" s="917" t="n"/>
      <c r="C32" s="917" t="n"/>
    </row>
    <row r="33">
      <c r="A33" s="205" t="n"/>
      <c r="B33" s="917" t="n"/>
      <c r="C33" s="917" t="n"/>
    </row>
    <row r="34">
      <c r="A34" s="205" t="n"/>
      <c r="B34" s="917" t="n"/>
      <c r="C34" s="917" t="n"/>
    </row>
    <row r="35">
      <c r="A35" s="205" t="n"/>
      <c r="B35" s="917" t="n"/>
      <c r="C35" s="917" t="n"/>
    </row>
    <row r="36">
      <c r="A36" s="205" t="n"/>
      <c r="B36" s="917" t="n"/>
      <c r="C36" s="917" t="n"/>
    </row>
    <row r="37">
      <c r="A37" s="205" t="n"/>
      <c r="B37" s="917" t="n"/>
      <c r="C37" s="917" t="n"/>
    </row>
    <row r="38">
      <c r="A38" s="205" t="n"/>
      <c r="B38" s="917" t="n"/>
      <c r="C38" s="917" t="n"/>
    </row>
    <row r="39">
      <c r="A39" s="205" t="n"/>
      <c r="B39" s="917" t="n"/>
      <c r="C39" s="917" t="n"/>
    </row>
    <row r="40">
      <c r="A40" s="205" t="n"/>
      <c r="B40" s="917" t="n"/>
      <c r="C40" s="917" t="n"/>
    </row>
    <row r="41">
      <c r="A41" s="205" t="n"/>
      <c r="B41" s="917" t="n"/>
      <c r="C41" s="917" t="n"/>
    </row>
    <row r="42">
      <c r="A42" s="205" t="n"/>
      <c r="B42" s="917" t="n"/>
      <c r="C42" s="917" t="n"/>
    </row>
    <row r="43">
      <c r="A43" s="205" t="n"/>
      <c r="B43" s="917" t="n"/>
      <c r="C43" s="917" t="n"/>
    </row>
    <row r="44">
      <c r="A44" s="205" t="n"/>
      <c r="B44" s="917" t="n"/>
      <c r="C44" s="917" t="n"/>
    </row>
    <row r="45">
      <c r="A45" s="205" t="n"/>
      <c r="B45" s="917" t="n"/>
      <c r="C45" s="917" t="n"/>
    </row>
    <row r="46">
      <c r="A46" s="205" t="n"/>
      <c r="B46" s="917" t="n"/>
      <c r="C46" s="917" t="n"/>
    </row>
    <row r="47">
      <c r="A47" s="205" t="n"/>
      <c r="B47" s="917" t="n"/>
      <c r="C47" s="917" t="n"/>
    </row>
    <row r="48">
      <c r="A48" s="205" t="n"/>
      <c r="B48" s="917" t="n"/>
      <c r="C48" s="917" t="n"/>
    </row>
    <row r="49">
      <c r="A49" s="205" t="n"/>
      <c r="B49" s="917" t="n"/>
      <c r="C49" s="917" t="n"/>
    </row>
    <row r="50">
      <c r="A50" s="205" t="n"/>
      <c r="B50" s="917" t="n"/>
      <c r="C50" s="917" t="n"/>
    </row>
    <row r="51">
      <c r="A51" s="205" t="n"/>
      <c r="B51" s="917" t="n"/>
      <c r="C51" s="917" t="n"/>
    </row>
    <row r="52">
      <c r="A52" s="205" t="n"/>
      <c r="B52" s="917" t="n"/>
      <c r="C52" s="917" t="n"/>
    </row>
    <row r="53">
      <c r="A53" s="205" t="n"/>
      <c r="B53" s="917" t="n"/>
      <c r="C53" s="917" t="n"/>
    </row>
    <row r="54">
      <c r="A54" s="205" t="n"/>
      <c r="B54" s="917" t="n"/>
      <c r="C54" s="917" t="n"/>
    </row>
    <row r="55">
      <c r="A55" s="205" t="n"/>
      <c r="B55" s="917" t="n"/>
      <c r="C55" s="917" t="n"/>
    </row>
    <row r="56">
      <c r="A56" s="205" t="n"/>
      <c r="B56" s="917" t="n"/>
      <c r="C56" s="917" t="n"/>
    </row>
    <row r="57">
      <c r="A57" s="205" t="n"/>
      <c r="B57" s="917" t="n"/>
      <c r="C57" s="917" t="n"/>
    </row>
    <row r="58">
      <c r="A58" s="205" t="n"/>
      <c r="B58" s="917" t="n"/>
      <c r="C58" s="917" t="n"/>
    </row>
    <row r="59">
      <c r="A59" s="205" t="n"/>
      <c r="B59" s="917" t="n"/>
      <c r="C59" s="917" t="n"/>
    </row>
    <row r="60">
      <c r="A60" s="205" t="n"/>
      <c r="B60" s="917" t="n"/>
      <c r="C60" s="917" t="n"/>
    </row>
    <row r="61">
      <c r="A61" s="205" t="n"/>
      <c r="B61" s="917" t="n"/>
      <c r="C61" s="917" t="n"/>
    </row>
    <row r="62">
      <c r="A62" s="205" t="n"/>
      <c r="B62" s="917" t="n"/>
      <c r="C62" s="917" t="n"/>
    </row>
    <row r="63">
      <c r="A63" s="205" t="n"/>
      <c r="B63" s="917" t="n"/>
      <c r="C63" s="917" t="n"/>
    </row>
    <row r="64">
      <c r="A64" s="205" t="n"/>
      <c r="B64" s="917" t="n"/>
      <c r="C64" s="917" t="n"/>
    </row>
    <row r="65">
      <c r="A65" s="205" t="n"/>
      <c r="B65" s="917" t="n"/>
      <c r="C65" s="917" t="n"/>
    </row>
    <row r="66">
      <c r="A66" s="205" t="n"/>
      <c r="B66" s="917" t="n"/>
      <c r="C66" s="917" t="n"/>
    </row>
    <row r="67">
      <c r="A67" s="205" t="n"/>
      <c r="B67" s="917" t="n"/>
      <c r="C67" s="917" t="n"/>
    </row>
    <row r="68">
      <c r="A68" s="205" t="n"/>
      <c r="B68" s="917" t="n"/>
      <c r="C68" s="917" t="n"/>
    </row>
    <row r="69">
      <c r="A69" s="205" t="n"/>
      <c r="B69" s="917" t="n"/>
      <c r="C69" s="917" t="n"/>
    </row>
    <row r="70">
      <c r="A70" s="205" t="n"/>
      <c r="B70" s="917" t="n"/>
      <c r="C70" s="917" t="n"/>
    </row>
    <row r="71">
      <c r="A71" s="205" t="n"/>
      <c r="B71" s="917" t="n"/>
      <c r="C71" s="917" t="n"/>
    </row>
    <row r="72">
      <c r="A72" s="205" t="n"/>
      <c r="B72" s="917" t="n"/>
      <c r="C72" s="917" t="n"/>
    </row>
    <row r="73">
      <c r="A73" s="205" t="n"/>
      <c r="B73" s="917" t="n"/>
      <c r="C73" s="917" t="n"/>
    </row>
    <row r="74">
      <c r="A74" s="205" t="n"/>
      <c r="B74" s="917" t="n"/>
      <c r="C74" s="917" t="n"/>
    </row>
    <row r="75">
      <c r="A75" s="205" t="n"/>
      <c r="B75" s="917" t="n"/>
      <c r="C75" s="917" t="n"/>
    </row>
    <row r="76">
      <c r="A76" s="205" t="n"/>
      <c r="B76" s="917" t="n"/>
      <c r="C76" s="917" t="n"/>
    </row>
    <row r="77">
      <c r="A77" s="205" t="n"/>
      <c r="B77" s="917" t="n"/>
      <c r="C77" s="917" t="n"/>
    </row>
    <row r="78">
      <c r="A78" s="205" t="n"/>
      <c r="B78" s="917" t="n"/>
      <c r="C78" s="917" t="n"/>
      <c r="E78" s="916" t="n"/>
    </row>
    <row r="79">
      <c r="A79" s="205" t="n"/>
      <c r="B79" s="917" t="n"/>
      <c r="C79" s="917" t="n"/>
      <c r="E79" s="916" t="n"/>
    </row>
    <row r="80">
      <c r="A80" s="205" t="n"/>
      <c r="B80" s="917" t="n"/>
      <c r="C80" s="917" t="n"/>
      <c r="E80" s="916" t="n"/>
    </row>
    <row r="81">
      <c r="A81" s="205" t="n"/>
      <c r="B81" s="917" t="n"/>
      <c r="C81" s="917" t="n"/>
    </row>
    <row r="82">
      <c r="A82" s="205" t="n"/>
      <c r="B82" s="917" t="n"/>
      <c r="C82" s="917" t="n"/>
    </row>
    <row r="83">
      <c r="A83" s="205" t="n"/>
      <c r="B83" s="917" t="n"/>
      <c r="C83" s="917" t="n"/>
    </row>
    <row r="84">
      <c r="A84" s="205" t="n"/>
      <c r="B84" s="917" t="n"/>
      <c r="C84" s="917" t="n"/>
    </row>
    <row r="85">
      <c r="A85" s="205" t="n"/>
      <c r="B85" s="917" t="n"/>
      <c r="C85" s="917" t="n"/>
    </row>
    <row r="86">
      <c r="A86" s="205" t="n"/>
      <c r="B86" s="917" t="n"/>
      <c r="C86" s="917" t="n"/>
    </row>
    <row r="87">
      <c r="A87" s="205" t="n"/>
      <c r="B87" s="917" t="n"/>
      <c r="C87" s="917" t="n"/>
    </row>
    <row r="88">
      <c r="A88" s="205" t="n"/>
      <c r="B88" s="917" t="n"/>
      <c r="C88" s="917" t="n"/>
    </row>
    <row r="89">
      <c r="A89" s="205" t="n"/>
      <c r="B89" s="917" t="n"/>
      <c r="C89" s="917" t="n"/>
    </row>
    <row r="90">
      <c r="A90" s="205" t="n"/>
      <c r="B90" s="917" t="n"/>
      <c r="C90" s="917" t="n"/>
    </row>
    <row r="91">
      <c r="A91" s="205" t="n"/>
      <c r="B91" s="917" t="n"/>
      <c r="C91" s="917" t="n"/>
    </row>
    <row r="92">
      <c r="A92" s="205" t="n"/>
      <c r="B92" s="917" t="n"/>
      <c r="C92" s="917" t="n"/>
    </row>
    <row r="93">
      <c r="A93" s="205" t="n"/>
      <c r="B93" s="917" t="n"/>
      <c r="C93" s="917" t="n"/>
    </row>
    <row r="94">
      <c r="A94" s="205" t="n"/>
      <c r="B94" s="917" t="n"/>
      <c r="C94" s="917" t="n"/>
    </row>
    <row r="95">
      <c r="A95" s="205" t="n"/>
      <c r="B95" s="917" t="n"/>
      <c r="C95" s="917" t="n"/>
    </row>
    <row r="96">
      <c r="A96" s="205" t="n"/>
      <c r="B96" s="917" t="n"/>
      <c r="C96" s="917" t="n"/>
    </row>
    <row r="97">
      <c r="A97" s="205" t="n"/>
      <c r="B97" s="917" t="n"/>
      <c r="C97" s="917" t="n"/>
    </row>
    <row r="98">
      <c r="A98" s="205" t="n"/>
      <c r="B98" s="917" t="n"/>
      <c r="C98" s="917" t="n"/>
    </row>
    <row r="99">
      <c r="A99" s="205" t="n"/>
      <c r="B99" s="917" t="n"/>
      <c r="C99" s="917" t="n"/>
    </row>
    <row r="100">
      <c r="A100" s="205" t="n"/>
      <c r="B100" s="917" t="n"/>
      <c r="C100" s="917" t="n"/>
    </row>
    <row r="101">
      <c r="A101" s="205" t="n"/>
      <c r="B101" s="917" t="n"/>
      <c r="C101" s="917" t="n"/>
    </row>
    <row r="102">
      <c r="A102" s="205" t="n"/>
      <c r="B102" s="917" t="n"/>
      <c r="C102" s="917" t="n"/>
    </row>
    <row r="103">
      <c r="A103" s="205" t="n"/>
      <c r="B103" s="917" t="n"/>
      <c r="C103" s="917" t="n"/>
    </row>
    <row r="104">
      <c r="A104" s="205" t="n"/>
      <c r="B104" s="917" t="n"/>
      <c r="C104" s="917" t="n"/>
    </row>
    <row r="105">
      <c r="A105" s="205" t="n"/>
      <c r="B105" s="917" t="n"/>
      <c r="C105" s="917" t="n"/>
    </row>
    <row r="106">
      <c r="A106" s="205" t="n"/>
      <c r="B106" s="917" t="n"/>
      <c r="C106" s="917" t="n"/>
    </row>
    <row r="107">
      <c r="A107" s="205" t="n"/>
      <c r="B107" s="917" t="n"/>
      <c r="C107" s="917" t="n"/>
    </row>
    <row r="108">
      <c r="A108" s="205" t="n"/>
      <c r="B108" s="917" t="n"/>
      <c r="C108" s="917" t="n"/>
    </row>
    <row r="109">
      <c r="A109" s="205" t="n"/>
      <c r="B109" s="917" t="n"/>
      <c r="C109" s="917" t="n"/>
    </row>
    <row r="110">
      <c r="A110" s="205" t="n"/>
      <c r="B110" s="917" t="n"/>
      <c r="C110" s="917" t="n"/>
    </row>
    <row r="111">
      <c r="A111" s="205" t="n"/>
      <c r="B111" s="917" t="n"/>
      <c r="C111" s="917" t="n"/>
    </row>
    <row r="112">
      <c r="A112" s="205" t="n"/>
      <c r="B112" s="917" t="n"/>
      <c r="C112" s="917" t="n"/>
    </row>
    <row r="113">
      <c r="A113" s="205" t="n"/>
      <c r="B113" s="917" t="n"/>
      <c r="C113" s="917" t="n"/>
    </row>
    <row r="114">
      <c r="A114" s="205" t="n"/>
      <c r="B114" s="917" t="n"/>
      <c r="C114" s="917" t="n"/>
    </row>
    <row r="115">
      <c r="A115" s="205" t="n"/>
      <c r="B115" s="917" t="n"/>
      <c r="C115" s="917" t="n"/>
    </row>
    <row r="116">
      <c r="A116" s="205" t="n"/>
      <c r="B116" s="917" t="n"/>
      <c r="C116" s="917" t="n"/>
    </row>
    <row r="117">
      <c r="A117" s="205" t="n"/>
      <c r="B117" s="917" t="n"/>
      <c r="C117" s="917" t="n"/>
    </row>
    <row r="118">
      <c r="A118" s="205" t="n"/>
      <c r="B118" s="917" t="n"/>
      <c r="C118" s="917" t="n"/>
    </row>
    <row r="119">
      <c r="A119" s="205" t="n"/>
      <c r="B119" s="917" t="n"/>
      <c r="C119" s="917" t="n"/>
    </row>
    <row r="120">
      <c r="A120" s="205" t="n"/>
      <c r="B120" s="917" t="n"/>
      <c r="C120" s="917" t="n"/>
    </row>
    <row r="121">
      <c r="A121" s="205" t="n"/>
      <c r="B121" s="917" t="n"/>
      <c r="C121" s="917" t="n"/>
    </row>
    <row r="122">
      <c r="A122" s="205" t="n"/>
      <c r="B122" s="917" t="n"/>
      <c r="C122" s="917" t="n"/>
    </row>
    <row r="123">
      <c r="A123" s="205" t="n"/>
      <c r="B123" s="917" t="n"/>
      <c r="C123" s="917" t="n"/>
    </row>
    <row r="124">
      <c r="A124" s="205" t="n"/>
      <c r="B124" s="917" t="n"/>
      <c r="C124" s="917" t="n"/>
    </row>
    <row r="125">
      <c r="A125" s="205" t="n"/>
      <c r="B125" s="917" t="n"/>
      <c r="C125" s="917" t="n"/>
    </row>
    <row r="126">
      <c r="A126" s="205" t="n"/>
      <c r="B126" s="917" t="n"/>
      <c r="C126" s="917" t="n"/>
      <c r="E126" s="916" t="n"/>
      <c r="F126" s="916" t="n"/>
      <c r="G126" s="916" t="n"/>
      <c r="H126" s="916" t="n"/>
    </row>
    <row r="127">
      <c r="A127" s="205" t="n"/>
      <c r="B127" s="917" t="n"/>
      <c r="C127" s="917" t="n"/>
    </row>
    <row r="128">
      <c r="A128" s="205" t="n"/>
      <c r="B128" s="917" t="n"/>
      <c r="C128" s="917" t="n"/>
      <c r="E128" s="916" t="n"/>
      <c r="F128" s="916" t="n"/>
      <c r="G128" s="916" t="n"/>
      <c r="H128" s="916" t="n"/>
    </row>
    <row r="129">
      <c r="A129" s="205" t="n"/>
      <c r="B129" s="917" t="n"/>
      <c r="C129" s="917" t="n"/>
      <c r="D129" s="916" t="n"/>
      <c r="E129" s="916" t="n"/>
      <c r="F129" s="916" t="n"/>
      <c r="G129" s="916" t="n"/>
      <c r="H129" s="916" t="n"/>
    </row>
    <row r="130">
      <c r="A130" s="205" t="n"/>
      <c r="B130" s="917" t="n"/>
      <c r="C130" s="917" t="n"/>
      <c r="D130" s="916" t="n"/>
      <c r="E130" s="916" t="n"/>
      <c r="F130" s="916" t="n"/>
      <c r="G130" s="916" t="n"/>
      <c r="H130" s="916" t="n"/>
    </row>
    <row r="131">
      <c r="A131" s="205" t="n"/>
      <c r="B131" s="917" t="n"/>
      <c r="C131" s="917" t="n"/>
      <c r="D131" s="916" t="n"/>
      <c r="E131" s="916" t="n"/>
      <c r="F131" s="916" t="n"/>
      <c r="G131" s="916" t="n"/>
      <c r="H131" s="916" t="n"/>
    </row>
    <row r="132">
      <c r="A132" s="205" t="n"/>
      <c r="B132" s="917" t="n"/>
      <c r="C132" s="917" t="n"/>
      <c r="D132" s="916" t="n"/>
      <c r="E132" s="916" t="n"/>
      <c r="F132" s="916" t="n"/>
      <c r="G132" s="916" t="n"/>
      <c r="H132" s="916" t="n"/>
    </row>
    <row r="133">
      <c r="A133" s="205" t="n"/>
      <c r="B133" s="917" t="n"/>
      <c r="C133" s="917" t="n"/>
      <c r="D133" s="916" t="n"/>
      <c r="E133" s="916" t="n"/>
      <c r="F133" s="916" t="n"/>
      <c r="G133" s="916" t="n"/>
      <c r="H133" s="916" t="n"/>
    </row>
    <row r="134">
      <c r="A134" s="205" t="n"/>
      <c r="B134" s="917" t="n"/>
      <c r="C134" s="917" t="n"/>
      <c r="D134" s="916" t="n"/>
      <c r="E134" s="921" t="n"/>
      <c r="F134" s="916" t="n"/>
      <c r="G134" s="916" t="n"/>
      <c r="H134" s="916" t="n"/>
    </row>
    <row r="135">
      <c r="A135" s="205" t="n"/>
      <c r="B135" s="917" t="n"/>
      <c r="C135" s="917" t="n"/>
      <c r="D135" s="916" t="n"/>
      <c r="E135" s="916" t="n"/>
      <c r="F135" s="916" t="n"/>
      <c r="G135" s="916" t="n"/>
      <c r="H135" s="916" t="n"/>
    </row>
    <row r="136">
      <c r="A136" s="205" t="n"/>
      <c r="B136" s="917" t="n"/>
      <c r="C136" s="917" t="n"/>
      <c r="D136" s="916" t="n"/>
      <c r="E136" s="921" t="n"/>
      <c r="F136" s="916" t="n"/>
      <c r="G136" s="916" t="n"/>
      <c r="H136" s="916" t="n"/>
    </row>
    <row r="137">
      <c r="A137" s="205" t="n"/>
      <c r="B137" s="917" t="n"/>
      <c r="C137" s="917" t="n"/>
      <c r="D137" s="916" t="n"/>
      <c r="E137" s="921" t="n"/>
      <c r="F137" s="916" t="n"/>
      <c r="G137" s="916" t="n"/>
      <c r="H137" s="916" t="n"/>
      <c r="I137" s="916" t="n"/>
    </row>
    <row r="138">
      <c r="A138" s="205" t="n"/>
      <c r="B138" s="917" t="n"/>
      <c r="C138" s="917" t="n"/>
      <c r="D138" s="916" t="n"/>
    </row>
    <row r="139">
      <c r="A139" s="205" t="n"/>
      <c r="B139" s="917" t="n"/>
      <c r="C139" s="917" t="n"/>
      <c r="D139" s="916" t="n"/>
    </row>
    <row r="140">
      <c r="A140" s="205" t="n"/>
      <c r="B140" s="917" t="n"/>
      <c r="C140" s="917" t="n"/>
      <c r="D140" s="916" t="n"/>
      <c r="E140" s="916" t="n"/>
    </row>
    <row r="141">
      <c r="A141" s="205" t="n"/>
      <c r="B141" s="917" t="n"/>
      <c r="C141" s="917" t="n"/>
      <c r="D141" s="916" t="n"/>
    </row>
    <row r="142">
      <c r="A142" s="205" t="n"/>
      <c r="B142" s="917" t="n"/>
      <c r="C142" s="917" t="n"/>
      <c r="D142" s="916" t="n"/>
    </row>
    <row r="143">
      <c r="A143" s="205" t="n"/>
      <c r="B143" s="917" t="n"/>
      <c r="C143" s="917" t="n"/>
      <c r="D143" s="916" t="n"/>
    </row>
    <row r="144">
      <c r="A144" s="205" t="n"/>
      <c r="B144" s="917" t="n"/>
      <c r="C144" s="917" t="n"/>
      <c r="D144" s="916" t="n"/>
      <c r="F144" s="916" t="n"/>
      <c r="G144" s="916" t="n"/>
    </row>
    <row r="145">
      <c r="A145" s="205" t="n"/>
      <c r="B145" s="917" t="n"/>
      <c r="C145" s="917" t="n"/>
      <c r="D145" s="916" t="n"/>
      <c r="E145" s="278" t="n"/>
      <c r="F145" s="916" t="n"/>
      <c r="G145" s="916" t="n"/>
      <c r="H145" s="916" t="n"/>
    </row>
    <row r="146">
      <c r="A146" s="205" t="n"/>
      <c r="B146" s="917" t="n"/>
      <c r="C146" s="917" t="n"/>
      <c r="D146" s="923" t="n"/>
      <c r="E146" s="923" t="n"/>
    </row>
    <row r="147">
      <c r="A147" s="205" t="n"/>
      <c r="B147" s="917" t="n"/>
      <c r="C147" s="917" t="n"/>
      <c r="D147" s="916" t="n"/>
    </row>
    <row r="148">
      <c r="B148" s="916" t="n"/>
      <c r="C148" s="916" t="n"/>
    </row>
    <row r="149">
      <c r="B149" s="916" t="n"/>
    </row>
    <row r="150">
      <c r="B150" s="916" t="n"/>
      <c r="C150" s="916" t="n"/>
    </row>
    <row r="151">
      <c r="B151" s="916" t="n"/>
      <c r="C151" s="916" t="n"/>
    </row>
    <row r="152">
      <c r="B152" s="916" t="n"/>
    </row>
    <row r="153"/>
    <row r="154"/>
    <row r="155"/>
    <row r="156">
      <c r="F156" s="205" t="n"/>
      <c r="G156" s="917" t="n"/>
      <c r="H156" s="917" t="n"/>
    </row>
    <row r="157">
      <c r="G157" s="916" t="n"/>
      <c r="H157" s="921" t="n"/>
      <c r="I157" s="917" t="n"/>
    </row>
    <row r="158">
      <c r="F158" s="205" t="n"/>
      <c r="G158" s="917" t="n"/>
      <c r="H158" s="917" t="n"/>
    </row>
    <row r="159">
      <c r="G159" s="916" t="n"/>
      <c r="H159" s="921" t="n"/>
    </row>
    <row r="160">
      <c r="G160" s="916" t="n"/>
      <c r="H160" s="916" t="n"/>
    </row>
    <row r="161">
      <c r="G161" s="916" t="n"/>
    </row>
    <row r="162"/>
    <row r="163">
      <c r="G163" s="916" t="n"/>
      <c r="H163" s="916" t="n"/>
    </row>
    <row r="164">
      <c r="G164" s="916" t="n"/>
    </row>
  </sheetData>
  <pageMargins left="0.7" right="0.7" top="0.75" bottom="0.75" header="0.3" footer="0.3"/>
  <pageSetup orientation="portrait" paperSize="9"/>
  <drawing xmlns:r="http://schemas.openxmlformats.org/officeDocument/2006/relationships" r:id="rId1"/>
</worksheet>
</file>

<file path=xl/worksheets/sheet5.xml><?xml version="1.0" encoding="utf-8"?>
<worksheet xmlns="http://schemas.openxmlformats.org/spreadsheetml/2006/main">
  <sheetPr>
    <tabColor theme="4" tint="-0.249977111117893"/>
    <outlinePr summaryBelow="1" summaryRight="1"/>
    <pageSetUpPr/>
  </sheetPr>
  <dimension ref="A1:AR148"/>
  <sheetViews>
    <sheetView workbookViewId="0">
      <selection activeCell="D33" sqref="D33"/>
    </sheetView>
  </sheetViews>
  <sheetFormatPr baseColWidth="8" defaultRowHeight="14.5"/>
  <cols>
    <col width="16.453125" bestFit="1" customWidth="1" style="828" min="1" max="132"/>
    <col width="10.7265625" bestFit="1" customWidth="1" style="828" min="133" max="133"/>
  </cols>
  <sheetData>
    <row r="1">
      <c r="A1" t="inlineStr">
        <is>
          <t>Yearly change</t>
        </is>
      </c>
      <c r="B1" s="393" t="inlineStr">
        <is>
          <t>Agriculture, forestry and fishing</t>
        </is>
      </c>
      <c r="C1" s="393" t="inlineStr">
        <is>
          <t>Mining and quarrying</t>
        </is>
      </c>
      <c r="D1" s="393" t="inlineStr">
        <is>
          <t>Manufacturing</t>
        </is>
      </c>
      <c r="E1" s="393" t="inlineStr">
        <is>
          <t>Energy production and supply</t>
        </is>
      </c>
      <c r="F1" s="393" t="inlineStr">
        <is>
          <t>Water supply, sewerage and waste</t>
        </is>
      </c>
      <c r="G1" s="393" t="inlineStr">
        <is>
          <t>Construction</t>
        </is>
      </c>
      <c r="H1" s="393" t="inlineStr">
        <is>
          <t>Wholesale and retail; repair of motor vehicles</t>
        </is>
      </c>
      <c r="I1" s="393" t="inlineStr">
        <is>
          <t>Transportation and storage</t>
        </is>
      </c>
      <c r="J1" s="393" t="inlineStr">
        <is>
          <t>Accommodation and food service activities</t>
        </is>
      </c>
      <c r="K1" s="393" t="inlineStr">
        <is>
          <t>Information and communication</t>
        </is>
      </c>
      <c r="L1" s="393" t="inlineStr">
        <is>
          <t>Finance and insurance</t>
        </is>
      </c>
      <c r="M1" s="393" t="inlineStr">
        <is>
          <t>Real estate</t>
        </is>
      </c>
      <c r="N1" s="393" t="inlineStr">
        <is>
          <t>Professional, scientific and technical</t>
        </is>
      </c>
      <c r="O1" s="393" t="inlineStr">
        <is>
          <t>Administrative and support services</t>
        </is>
      </c>
      <c r="P1" s="393" t="inlineStr">
        <is>
          <t>Public administration and defence; social security</t>
        </is>
      </c>
      <c r="Q1" s="393" t="inlineStr">
        <is>
          <t>Education</t>
        </is>
      </c>
      <c r="R1" s="393" t="inlineStr">
        <is>
          <t>Health and social work</t>
        </is>
      </c>
      <c r="S1" s="393" t="inlineStr">
        <is>
          <t>Arts, entertainment and recreation</t>
        </is>
      </c>
      <c r="T1" s="393" t="inlineStr">
        <is>
          <t>Other service activities</t>
        </is>
      </c>
      <c r="U1" s="393" t="inlineStr">
        <is>
          <t>Households and Extraterritorial</t>
        </is>
      </c>
      <c r="V1" s="393" t="inlineStr">
        <is>
          <t>UK</t>
        </is>
      </c>
    </row>
    <row r="2">
      <c r="A2" s="393" t="inlineStr">
        <is>
          <t>Number</t>
        </is>
      </c>
      <c r="B2" s="924">
        <f t="array" ref="B2">INDEX(B$12:B$1048576,COUNTA(B$12:B$1048576))-INDEX(B$12:B$1048576,COUNTA(B$12:B$1048576)-12)</f>
        <v/>
      </c>
      <c r="C2" s="924">
        <f t="array" ref="C2">INDEX(C$12:C$1048576,COUNTA(C$12:C$1048576))-INDEX(C$12:C$1048576,COUNTA(C$12:C$1048576)-12)</f>
        <v/>
      </c>
      <c r="D2" s="924">
        <f t="array" ref="D2">INDEX(D$12:D$1048576,COUNTA(D$12:D$1048576))-INDEX(D$12:D$1048576,COUNTA(D$12:D$1048576)-12)</f>
        <v/>
      </c>
      <c r="E2" s="924">
        <f t="array" ref="E2">INDEX(E$12:E$1048576,COUNTA(E$12:E$1048576))-INDEX(E$12:E$1048576,COUNTA(E$12:E$1048576)-12)</f>
        <v/>
      </c>
      <c r="F2" s="924">
        <f t="array" ref="F2">INDEX(F$12:F$1048576,COUNTA(F$12:F$1048576))-INDEX(F$12:F$1048576,COUNTA(F$12:F$1048576)-12)</f>
        <v/>
      </c>
      <c r="G2" s="924">
        <f t="array" ref="G2">INDEX(G$12:G$1048576,COUNTA(G$12:G$1048576))-INDEX(G$12:G$1048576,COUNTA(G$12:G$1048576)-12)</f>
        <v/>
      </c>
      <c r="H2" s="924">
        <f t="array" ref="H2">INDEX(H$12:H$1048576,COUNTA(H$12:H$1048576))-INDEX(H$12:H$1048576,COUNTA(H$12:H$1048576)-12)</f>
        <v/>
      </c>
      <c r="I2" s="924">
        <f t="array" ref="I2">INDEX(I$12:I$1048576,COUNTA(I$12:I$1048576))-INDEX(I$12:I$1048576,COUNTA(I$12:I$1048576)-12)</f>
        <v/>
      </c>
      <c r="J2" s="924">
        <f t="array" ref="J2">INDEX(J$12:J$1048576,COUNTA(J$12:J$1048576))-INDEX(J$12:J$1048576,COUNTA(J$12:J$1048576)-12)</f>
        <v/>
      </c>
      <c r="K2" s="924">
        <f t="array" ref="K2">INDEX(K$12:K$1048576,COUNTA(K$12:K$1048576))-INDEX(K$12:K$1048576,COUNTA(K$12:K$1048576)-12)</f>
        <v/>
      </c>
      <c r="L2" s="924">
        <f t="array" ref="L2">INDEX(L$12:L$1048576,COUNTA(L$12:L$1048576))-INDEX(L$12:L$1048576,COUNTA(L$12:L$1048576)-12)</f>
        <v/>
      </c>
      <c r="M2" s="924">
        <f t="array" ref="M2">INDEX(M$12:M$1048576,COUNTA(M$12:M$1048576))-INDEX(M$12:M$1048576,COUNTA(M$12:M$1048576)-12)</f>
        <v/>
      </c>
      <c r="N2" s="924">
        <f t="array" ref="N2">INDEX(N$12:N$1048576,COUNTA(N$12:N$1048576))-INDEX(N$12:N$1048576,COUNTA(N$12:N$1048576)-12)</f>
        <v/>
      </c>
      <c r="O2" s="924">
        <f t="array" ref="O2">INDEX(O$12:O$1048576,COUNTA(O$12:O$1048576))-INDEX(O$12:O$1048576,COUNTA(O$12:O$1048576)-12)</f>
        <v/>
      </c>
      <c r="P2" s="924">
        <f t="array" ref="P2">INDEX(P$12:P$1048576,COUNTA(P$12:P$1048576))-INDEX(P$12:P$1048576,COUNTA(P$12:P$1048576)-12)</f>
        <v/>
      </c>
      <c r="Q2" s="924">
        <f t="array" ref="Q2">INDEX(Q$12:Q$1048576,COUNTA(Q$12:Q$1048576))-INDEX(Q$12:Q$1048576,COUNTA(Q$12:Q$1048576)-12)</f>
        <v/>
      </c>
      <c r="R2" s="924">
        <f t="array" ref="R2">INDEX(R$12:R$1048576,COUNTA(R$12:R$1048576))-INDEX(R$12:R$1048576,COUNTA(R$12:R$1048576)-12)</f>
        <v/>
      </c>
      <c r="S2" s="924">
        <f t="array" ref="S2">INDEX(S$12:S$1048576,COUNTA(S$12:S$1048576))-INDEX(S$12:S$1048576,COUNTA(S$12:S$1048576)-12)</f>
        <v/>
      </c>
      <c r="T2" s="924">
        <f t="array" ref="T2">INDEX(T$12:T$1048576,COUNTA(T$12:T$1048576))-INDEX(T$12:T$1048576,COUNTA(T$12:T$1048576)-12)</f>
        <v/>
      </c>
      <c r="U2" s="924">
        <f t="array" ref="U2">INDEX(U$12:U$1048576,COUNTA(U$12:U$1048576))-INDEX(U$12:U$1048576,COUNTA(U$12:U$1048576)-12)</f>
        <v/>
      </c>
      <c r="V2" s="924">
        <f t="array" ref="V2">INDEX(V$12:V$1048576,COUNTA(V$12:V$1048576))-INDEX(V$12:V$1048576,COUNTA(V$12:V$1048576)-12)</f>
        <v/>
      </c>
    </row>
    <row r="3">
      <c r="A3" s="393" t="inlineStr">
        <is>
          <t>%</t>
        </is>
      </c>
      <c r="B3" s="620">
        <f t="array" ref="B3">INDEX(B$12:B$1048576,COUNTA(B$12:B$1048576))/INDEX(B$12:B$1048576,COUNTA(B$12:B$1048576)-12)-1</f>
        <v/>
      </c>
      <c r="C3" s="620">
        <f t="array" ref="C3">INDEX(C$12:C$1048576,COUNTA(C$12:C$1048576))/INDEX(C$12:C$1048576,COUNTA(C$12:C$1048576)-12)-1</f>
        <v/>
      </c>
      <c r="D3" s="620">
        <f t="array" ref="D3">INDEX(D$12:D$1048576,COUNTA(D$12:D$1048576))/INDEX(D$12:D$1048576,COUNTA(D$12:D$1048576)-12)-1</f>
        <v/>
      </c>
      <c r="E3" s="620">
        <f t="array" ref="E3">INDEX(E$12:E$1048576,COUNTA(E$12:E$1048576))/INDEX(E$12:E$1048576,COUNTA(E$12:E$1048576)-12)-1</f>
        <v/>
      </c>
      <c r="F3" s="620">
        <f t="array" ref="F3">INDEX(F$12:F$1048576,COUNTA(F$12:F$1048576))/INDEX(F$12:F$1048576,COUNTA(F$12:F$1048576)-12)-1</f>
        <v/>
      </c>
      <c r="G3" s="620">
        <f t="array" ref="G3">INDEX(G$12:G$1048576,COUNTA(G$12:G$1048576))/INDEX(G$12:G$1048576,COUNTA(G$12:G$1048576)-12)-1</f>
        <v/>
      </c>
      <c r="H3" s="620">
        <f t="array" ref="H3">INDEX(H$12:H$1048576,COUNTA(H$12:H$1048576))/INDEX(H$12:H$1048576,COUNTA(H$12:H$1048576)-12)-1</f>
        <v/>
      </c>
      <c r="I3" s="620">
        <f t="array" ref="I3">INDEX(I$12:I$1048576,COUNTA(I$12:I$1048576))/INDEX(I$12:I$1048576,COUNTA(I$12:I$1048576)-12)-1</f>
        <v/>
      </c>
      <c r="J3" s="620">
        <f t="array" ref="J3">INDEX(J$12:J$1048576,COUNTA(J$12:J$1048576))/INDEX(J$12:J$1048576,COUNTA(J$12:J$1048576)-12)-1</f>
        <v/>
      </c>
      <c r="K3" s="620">
        <f t="array" ref="K3">INDEX(K$12:K$1048576,COUNTA(K$12:K$1048576))/INDEX(K$12:K$1048576,COUNTA(K$12:K$1048576)-12)-1</f>
        <v/>
      </c>
      <c r="L3" s="620">
        <f t="array" ref="L3">INDEX(L$12:L$1048576,COUNTA(L$12:L$1048576))/INDEX(L$12:L$1048576,COUNTA(L$12:L$1048576)-12)-1</f>
        <v/>
      </c>
      <c r="M3" s="620">
        <f t="array" ref="M3">INDEX(M$12:M$1048576,COUNTA(M$12:M$1048576))/INDEX(M$12:M$1048576,COUNTA(M$12:M$1048576)-12)-1</f>
        <v/>
      </c>
      <c r="N3" s="620">
        <f t="array" ref="N3">INDEX(N$12:N$1048576,COUNTA(N$12:N$1048576))/INDEX(N$12:N$1048576,COUNTA(N$12:N$1048576)-12)-1</f>
        <v/>
      </c>
      <c r="O3" s="620">
        <f t="array" ref="O3">INDEX(O$12:O$1048576,COUNTA(O$12:O$1048576))/INDEX(O$12:O$1048576,COUNTA(O$12:O$1048576)-12)-1</f>
        <v/>
      </c>
      <c r="P3" s="620">
        <f t="array" ref="P3">INDEX(P$12:P$1048576,COUNTA(P$12:P$1048576))/INDEX(P$12:P$1048576,COUNTA(P$12:P$1048576)-12)-1</f>
        <v/>
      </c>
      <c r="Q3" s="620">
        <f t="array" ref="Q3">INDEX(Q$12:Q$1048576,COUNTA(Q$12:Q$1048576))/INDEX(Q$12:Q$1048576,COUNTA(Q$12:Q$1048576)-12)-1</f>
        <v/>
      </c>
      <c r="R3" s="620">
        <f t="array" ref="R3">INDEX(R$12:R$1048576,COUNTA(R$12:R$1048576))/INDEX(R$12:R$1048576,COUNTA(R$12:R$1048576)-12)-1</f>
        <v/>
      </c>
      <c r="S3" s="620">
        <f t="array" ref="S3">INDEX(S$12:S$1048576,COUNTA(S$12:S$1048576))/INDEX(S$12:S$1048576,COUNTA(S$12:S$1048576)-12)-1</f>
        <v/>
      </c>
      <c r="T3" s="620">
        <f t="array" ref="T3">INDEX(T$12:T$1048576,COUNTA(T$12:T$1048576))/INDEX(T$12:T$1048576,COUNTA(T$12:T$1048576)-12)-1</f>
        <v/>
      </c>
      <c r="U3" s="620">
        <f t="array" ref="U3">INDEX(U$12:U$1048576,COUNTA(U$12:U$1048576))/INDEX(U$12:U$1048576,COUNTA(U$12:U$1048576)-12)-1</f>
        <v/>
      </c>
      <c r="V3" s="398">
        <f t="array" ref="V3">INDEX(V$12:V$1048576,COUNTA(V$12:V$1048576))/INDEX(V$12:V$1048576,COUNTA(V$12:V$1048576)-12)-1</f>
        <v/>
      </c>
    </row>
    <row r="4">
      <c r="A4" s="598" t="inlineStr">
        <is>
          <t>Rank</t>
        </is>
      </c>
      <c r="B4" s="267">
        <f>RANK(B2,$B$2:$U$2)</f>
        <v/>
      </c>
      <c r="C4" s="267">
        <f>RANK(C2,$B$2:$U$2)</f>
        <v/>
      </c>
      <c r="D4" s="267">
        <f>RANK(D2,$B$2:$U$2)</f>
        <v/>
      </c>
      <c r="E4" s="267">
        <f>RANK(E2,$B$2:$U$2)</f>
        <v/>
      </c>
      <c r="F4" s="267">
        <f>RANK(F2,$B$2:$U$2)</f>
        <v/>
      </c>
      <c r="G4" s="267">
        <f>RANK(G2,$B$2:$U$2)</f>
        <v/>
      </c>
      <c r="H4" s="267">
        <f>RANK(H2,$B$2:$U$2)</f>
        <v/>
      </c>
      <c r="I4" s="267">
        <f>RANK(I2,$B$2:$U$2)</f>
        <v/>
      </c>
      <c r="J4" s="267">
        <f>RANK(J2,$B$2:$U$2)</f>
        <v/>
      </c>
      <c r="K4" s="267">
        <f>RANK(K2,$B$2:$U$2)</f>
        <v/>
      </c>
      <c r="L4" s="267">
        <f>RANK(L2,$B$2:$U$2)</f>
        <v/>
      </c>
      <c r="M4" s="267">
        <f>RANK(M2,$B$2:$U$2)</f>
        <v/>
      </c>
      <c r="N4" s="267">
        <f>RANK(N2,$B$2:$U$2)</f>
        <v/>
      </c>
      <c r="O4" s="267">
        <f>RANK(O2,$B$2:$U$2)</f>
        <v/>
      </c>
      <c r="P4" s="267">
        <f>RANK(P2,$B$2:$U$2)</f>
        <v/>
      </c>
      <c r="Q4" s="267">
        <f>RANK(Q2,$B$2:$U$2)</f>
        <v/>
      </c>
      <c r="R4" s="267">
        <f>RANK(R2,$B$2:$U$2)</f>
        <v/>
      </c>
      <c r="S4" s="267">
        <f>RANK(S2,$B$2:$U$2)</f>
        <v/>
      </c>
      <c r="T4" s="267">
        <f>RANK(T2,$B$2:$U$2)</f>
        <v/>
      </c>
      <c r="U4" s="267">
        <f>RANK(U2,$B$2:$U$2)</f>
        <v/>
      </c>
    </row>
    <row r="5">
      <c r="A5" s="366" t="inlineStr">
        <is>
          <t>23. Payrolled employees from PAYE RTI</t>
        </is>
      </c>
      <c r="B5" s="205" t="n"/>
      <c r="C5" s="205" t="n"/>
      <c r="D5" s="917" t="n"/>
      <c r="E5" s="205" t="n"/>
      <c r="F5" s="205" t="n"/>
      <c r="G5" s="205" t="n"/>
      <c r="H5" s="205" t="n"/>
      <c r="I5" s="205" t="n"/>
      <c r="J5" s="205" t="n"/>
      <c r="K5" s="205" t="n"/>
      <c r="L5" s="205" t="n"/>
      <c r="M5" s="205" t="n"/>
      <c r="N5" s="205" t="n"/>
      <c r="O5" s="205" t="n"/>
      <c r="P5" s="205" t="n"/>
      <c r="Q5" s="205" t="n"/>
      <c r="R5" s="205" t="n"/>
      <c r="S5" s="205" t="n"/>
      <c r="T5" s="205" t="n"/>
      <c r="U5" s="205" t="n"/>
      <c r="V5" s="205" t="n"/>
    </row>
    <row r="6">
      <c r="A6" s="368" t="inlineStr">
        <is>
          <t>UK, seasonally adjusted</t>
        </is>
      </c>
      <c r="B6" s="205" t="n"/>
      <c r="C6" s="205" t="n"/>
      <c r="D6" s="205" t="n"/>
      <c r="E6" s="205" t="n"/>
      <c r="F6" s="205" t="n"/>
      <c r="G6" s="205" t="n"/>
      <c r="H6" s="205" t="n"/>
      <c r="I6" s="205" t="n"/>
      <c r="J6" s="205" t="n"/>
      <c r="K6" s="205" t="n"/>
      <c r="L6" s="205" t="n"/>
      <c r="M6" s="205" t="n"/>
      <c r="N6" s="205" t="n"/>
      <c r="O6" s="205" t="n"/>
      <c r="P6" s="205" t="n"/>
      <c r="Q6" s="205" t="n"/>
      <c r="R6" s="205" t="n"/>
      <c r="S6" s="205" t="n"/>
      <c r="T6" s="205" t="n"/>
      <c r="U6" s="205" t="n"/>
      <c r="V6" s="205" t="n"/>
    </row>
    <row r="7">
      <c r="A7" s="328" t="inlineStr">
        <is>
          <t>Earnings and employment from Pay As You Earn Real Time Information, seasonally adjusted - Office for National Statistics</t>
        </is>
      </c>
      <c r="J7" s="916" t="n"/>
    </row>
    <row r="8">
      <c r="A8" s="205" t="inlineStr">
        <is>
          <t>Units</t>
        </is>
      </c>
      <c r="B8" s="205" t="inlineStr">
        <is>
          <t>Payrolled employees</t>
        </is>
      </c>
      <c r="C8" s="205" t="n"/>
      <c r="D8" s="205" t="n"/>
      <c r="E8" s="205" t="n"/>
      <c r="F8" s="205" t="n"/>
      <c r="G8" s="205" t="n"/>
      <c r="H8" s="205" t="n"/>
      <c r="I8" s="205" t="n"/>
      <c r="J8" s="205" t="n"/>
      <c r="K8" s="205" t="n"/>
      <c r="L8" s="205" t="n"/>
      <c r="M8" s="205" t="n"/>
      <c r="N8" s="205" t="n"/>
      <c r="O8" s="205" t="n"/>
      <c r="P8" s="205" t="n"/>
      <c r="Q8" s="205" t="n"/>
      <c r="R8" s="205" t="n"/>
      <c r="S8" s="205" t="n"/>
      <c r="T8" s="205" t="n"/>
      <c r="U8" s="205" t="n"/>
      <c r="V8" s="205" t="n"/>
    </row>
    <row r="10">
      <c r="A10" s="205" t="n"/>
      <c r="B10" s="367" t="inlineStr">
        <is>
          <t>A</t>
        </is>
      </c>
      <c r="C10" s="367" t="inlineStr">
        <is>
          <t>B</t>
        </is>
      </c>
      <c r="D10" s="367" t="inlineStr">
        <is>
          <t>C</t>
        </is>
      </c>
      <c r="E10" s="367" t="inlineStr">
        <is>
          <t>D</t>
        </is>
      </c>
      <c r="F10" s="367" t="inlineStr">
        <is>
          <t>E</t>
        </is>
      </c>
      <c r="G10" s="367" t="inlineStr">
        <is>
          <t>F</t>
        </is>
      </c>
      <c r="H10" s="367" t="inlineStr">
        <is>
          <t>G</t>
        </is>
      </c>
      <c r="I10" s="367" t="inlineStr">
        <is>
          <t>H</t>
        </is>
      </c>
      <c r="J10" s="367" t="inlineStr">
        <is>
          <t>I</t>
        </is>
      </c>
      <c r="K10" s="367" t="inlineStr">
        <is>
          <t>J</t>
        </is>
      </c>
      <c r="L10" s="367" t="inlineStr">
        <is>
          <t>K</t>
        </is>
      </c>
      <c r="M10" s="367" t="inlineStr">
        <is>
          <t>L</t>
        </is>
      </c>
      <c r="N10" s="367" t="inlineStr">
        <is>
          <t>M</t>
        </is>
      </c>
      <c r="O10" s="367" t="inlineStr">
        <is>
          <t>N</t>
        </is>
      </c>
      <c r="P10" s="367" t="inlineStr">
        <is>
          <t>O</t>
        </is>
      </c>
      <c r="Q10" s="367" t="inlineStr">
        <is>
          <t>P</t>
        </is>
      </c>
      <c r="R10" s="367" t="inlineStr">
        <is>
          <t>Q</t>
        </is>
      </c>
      <c r="S10" s="367" t="inlineStr">
        <is>
          <t>R</t>
        </is>
      </c>
      <c r="T10" s="367" t="inlineStr">
        <is>
          <t>S</t>
        </is>
      </c>
      <c r="U10" s="367" t="inlineStr">
        <is>
          <t>T-U</t>
        </is>
      </c>
      <c r="V10" s="205" t="n"/>
    </row>
    <row r="11" ht="58" customHeight="1" s="828">
      <c r="A11" s="369" t="inlineStr">
        <is>
          <t>Date</t>
        </is>
      </c>
      <c r="B11" s="370" t="inlineStr">
        <is>
          <t>Agriculture, forestry and fishing</t>
        </is>
      </c>
      <c r="C11" s="370" t="inlineStr">
        <is>
          <t>Mining and quarrying</t>
        </is>
      </c>
      <c r="D11" s="370" t="inlineStr">
        <is>
          <t>Manufacturing</t>
        </is>
      </c>
      <c r="E11" s="370" t="inlineStr">
        <is>
          <t>Energy production and supply</t>
        </is>
      </c>
      <c r="F11" s="370" t="inlineStr">
        <is>
          <t>Water supply, sewerage and waste</t>
        </is>
      </c>
      <c r="G11" s="370" t="inlineStr">
        <is>
          <t>Construction</t>
        </is>
      </c>
      <c r="H11" s="370" t="inlineStr">
        <is>
          <t>Wholesale and retail; repair of motor vehicles</t>
        </is>
      </c>
      <c r="I11" s="370" t="inlineStr">
        <is>
          <t>Transportation and storage</t>
        </is>
      </c>
      <c r="J11" s="370" t="inlineStr">
        <is>
          <t>Accommodation and food service activities</t>
        </is>
      </c>
      <c r="K11" s="370" t="inlineStr">
        <is>
          <t>Information and communication</t>
        </is>
      </c>
      <c r="L11" s="370" t="inlineStr">
        <is>
          <t>Finance and insurance</t>
        </is>
      </c>
      <c r="M11" s="370" t="inlineStr">
        <is>
          <t>Real estate</t>
        </is>
      </c>
      <c r="N11" s="370" t="inlineStr">
        <is>
          <t>Professional, scientific and technical</t>
        </is>
      </c>
      <c r="O11" s="370" t="inlineStr">
        <is>
          <t>Administrative and support services</t>
        </is>
      </c>
      <c r="P11" s="370" t="inlineStr">
        <is>
          <t>Public administration and defence; social security</t>
        </is>
      </c>
      <c r="Q11" s="370" t="inlineStr">
        <is>
          <t>Education</t>
        </is>
      </c>
      <c r="R11" s="370" t="inlineStr">
        <is>
          <t>Health and social work</t>
        </is>
      </c>
      <c r="S11" s="370" t="inlineStr">
        <is>
          <t>Arts, entertainment and recreation</t>
        </is>
      </c>
      <c r="T11" s="370" t="inlineStr">
        <is>
          <t>Other service activities</t>
        </is>
      </c>
      <c r="U11" s="370" t="inlineStr">
        <is>
          <t>Households and Extraterritorial</t>
        </is>
      </c>
      <c r="V11" s="370" t="inlineStr">
        <is>
          <t>UK</t>
        </is>
      </c>
    </row>
    <row r="12">
      <c r="A12" s="205" t="inlineStr">
        <is>
          <t>July 2014</t>
        </is>
      </c>
      <c r="B12" s="917" t="n">
        <v>177905</v>
      </c>
      <c r="C12" s="917" t="n">
        <v>58307</v>
      </c>
      <c r="D12" s="917" t="n">
        <v>2336087</v>
      </c>
      <c r="E12" s="917" t="n">
        <v>92943</v>
      </c>
      <c r="F12" s="917" t="n">
        <v>155653</v>
      </c>
      <c r="G12" s="917" t="n">
        <v>1081408</v>
      </c>
      <c r="H12" s="917" t="n">
        <v>4255533</v>
      </c>
      <c r="I12" s="917" t="n">
        <v>1164523</v>
      </c>
      <c r="J12" s="917" t="n">
        <v>1758770</v>
      </c>
      <c r="K12" s="917" t="n">
        <v>1060896</v>
      </c>
      <c r="L12" s="917" t="n">
        <v>1054685</v>
      </c>
      <c r="M12" s="917" t="n">
        <v>401247</v>
      </c>
      <c r="N12" s="917" t="n">
        <v>1934869</v>
      </c>
      <c r="O12" s="917" t="n">
        <v>2230040</v>
      </c>
      <c r="P12" s="917" t="n">
        <v>1588018</v>
      </c>
      <c r="Q12" s="917" t="n">
        <v>2879249</v>
      </c>
      <c r="R12" s="917" t="n">
        <v>3429105</v>
      </c>
      <c r="S12" s="917" t="n">
        <v>520128</v>
      </c>
      <c r="T12" s="917" t="n">
        <v>486204</v>
      </c>
      <c r="U12" s="917" t="n">
        <v>96542</v>
      </c>
      <c r="V12" s="917" t="n">
        <v>26762113</v>
      </c>
    </row>
    <row r="13">
      <c r="A13" s="205" t="inlineStr">
        <is>
          <t>August 2014</t>
        </is>
      </c>
      <c r="B13" s="917" t="n">
        <v>178179</v>
      </c>
      <c r="C13" s="917" t="n">
        <v>58487</v>
      </c>
      <c r="D13" s="917" t="n">
        <v>2340535</v>
      </c>
      <c r="E13" s="917" t="n">
        <v>92980</v>
      </c>
      <c r="F13" s="917" t="n">
        <v>155943</v>
      </c>
      <c r="G13" s="917" t="n">
        <v>1087984</v>
      </c>
      <c r="H13" s="917" t="n">
        <v>4264797</v>
      </c>
      <c r="I13" s="917" t="n">
        <v>1165997</v>
      </c>
      <c r="J13" s="917" t="n">
        <v>1767010</v>
      </c>
      <c r="K13" s="917" t="n">
        <v>1066653</v>
      </c>
      <c r="L13" s="917" t="n">
        <v>1055820</v>
      </c>
      <c r="M13" s="917" t="n">
        <v>401904</v>
      </c>
      <c r="N13" s="917" t="n">
        <v>1943596</v>
      </c>
      <c r="O13" s="917" t="n">
        <v>2250253</v>
      </c>
      <c r="P13" s="917" t="n">
        <v>1584818</v>
      </c>
      <c r="Q13" s="917" t="n">
        <v>2881488</v>
      </c>
      <c r="R13" s="917" t="n">
        <v>3435643</v>
      </c>
      <c r="S13" s="917" t="n">
        <v>521066</v>
      </c>
      <c r="T13" s="917" t="n">
        <v>487131</v>
      </c>
      <c r="U13" s="917" t="n">
        <v>96940</v>
      </c>
      <c r="V13" s="917" t="n">
        <v>26837223</v>
      </c>
    </row>
    <row r="14">
      <c r="A14" s="205" t="n"/>
      <c r="B14" s="917" t="n"/>
      <c r="C14" s="917" t="n"/>
      <c r="D14" s="917" t="n"/>
      <c r="E14" s="917" t="n"/>
      <c r="F14" s="917" t="n"/>
      <c r="G14" s="917" t="n"/>
      <c r="H14" s="917" t="n"/>
      <c r="I14" s="917" t="n"/>
      <c r="J14" s="917" t="n"/>
      <c r="K14" s="917" t="n"/>
      <c r="L14" s="917" t="n"/>
      <c r="M14" s="917" t="n"/>
      <c r="N14" s="917" t="n"/>
      <c r="O14" s="917" t="n"/>
      <c r="P14" s="917" t="n"/>
      <c r="Q14" s="917" t="n"/>
      <c r="R14" s="917" t="n"/>
      <c r="S14" s="917" t="n"/>
      <c r="T14" s="917" t="n"/>
      <c r="U14" s="917" t="n"/>
      <c r="V14" s="917" t="n"/>
    </row>
    <row r="15">
      <c r="A15" s="205" t="n"/>
      <c r="B15" s="917" t="n"/>
      <c r="C15" s="917" t="n"/>
      <c r="D15" s="917" t="n"/>
      <c r="E15" s="917" t="n"/>
      <c r="F15" s="917" t="n"/>
      <c r="G15" s="917" t="n"/>
      <c r="H15" s="917" t="n"/>
      <c r="I15" s="917" t="n"/>
      <c r="J15" s="917" t="n"/>
      <c r="K15" s="917" t="n"/>
      <c r="L15" s="917" t="n"/>
      <c r="M15" s="917" t="n"/>
      <c r="N15" s="917" t="n"/>
      <c r="O15" s="917" t="n"/>
      <c r="P15" s="917" t="n"/>
      <c r="Q15" s="917" t="n"/>
      <c r="R15" s="917" t="n"/>
      <c r="S15" s="917" t="n"/>
      <c r="T15" s="917" t="n"/>
      <c r="U15" s="917" t="n"/>
      <c r="V15" s="917" t="n"/>
    </row>
    <row r="16">
      <c r="A16" s="205" t="n"/>
      <c r="B16" s="917" t="n"/>
      <c r="C16" s="917" t="n"/>
      <c r="D16" s="917" t="n"/>
      <c r="E16" s="917" t="n"/>
      <c r="F16" s="917" t="n"/>
      <c r="G16" s="917" t="n"/>
      <c r="H16" s="917" t="n"/>
      <c r="I16" s="917" t="n"/>
      <c r="J16" s="917" t="n"/>
      <c r="K16" s="917" t="n"/>
      <c r="L16" s="917" t="n"/>
      <c r="M16" s="917" t="n"/>
      <c r="N16" s="917" t="n"/>
      <c r="O16" s="917" t="n"/>
      <c r="P16" s="917" t="n"/>
      <c r="Q16" s="917" t="n"/>
      <c r="R16" s="917" t="n"/>
      <c r="S16" s="917" t="n"/>
      <c r="T16" s="917" t="n"/>
      <c r="U16" s="917" t="n"/>
      <c r="V16" s="917" t="n"/>
    </row>
    <row r="17">
      <c r="A17" s="205" t="n"/>
      <c r="B17" s="917" t="n"/>
      <c r="C17" s="917" t="n"/>
      <c r="D17" s="917" t="n"/>
      <c r="E17" s="917" t="n"/>
      <c r="F17" s="917" t="n"/>
      <c r="G17" s="917" t="n"/>
      <c r="H17" s="917" t="n"/>
      <c r="I17" s="917" t="n"/>
      <c r="J17" s="917" t="n"/>
      <c r="K17" s="917" t="n"/>
      <c r="L17" s="917" t="n"/>
      <c r="M17" s="917" t="n"/>
      <c r="N17" s="917" t="n"/>
      <c r="O17" s="917" t="n"/>
      <c r="P17" s="917" t="n"/>
      <c r="Q17" s="917" t="n"/>
      <c r="R17" s="917" t="n"/>
      <c r="S17" s="917" t="n"/>
      <c r="T17" s="917" t="n"/>
      <c r="U17" s="917" t="n"/>
      <c r="V17" s="917" t="n"/>
    </row>
    <row r="18">
      <c r="A18" s="205" t="n"/>
      <c r="B18" s="917" t="n"/>
      <c r="C18" s="917" t="n"/>
      <c r="D18" s="917" t="n"/>
      <c r="E18" s="917" t="n"/>
      <c r="F18" s="917" t="n"/>
      <c r="G18" s="917" t="n"/>
      <c r="H18" s="917" t="n"/>
      <c r="I18" s="917" t="n"/>
      <c r="J18" s="917" t="n"/>
      <c r="K18" s="917" t="n"/>
      <c r="L18" s="917" t="n"/>
      <c r="M18" s="917" t="n"/>
      <c r="N18" s="917" t="n"/>
      <c r="O18" s="917" t="n"/>
      <c r="P18" s="917" t="n"/>
      <c r="Q18" s="917" t="n"/>
      <c r="R18" s="917" t="n"/>
      <c r="S18" s="917" t="n"/>
      <c r="T18" s="917" t="n"/>
      <c r="U18" s="917" t="n"/>
      <c r="V18" s="917" t="n"/>
    </row>
    <row r="19">
      <c r="A19" s="205" t="n"/>
      <c r="B19" s="917" t="n"/>
      <c r="C19" s="917" t="n"/>
      <c r="D19" s="917" t="n"/>
      <c r="E19" s="917" t="n"/>
      <c r="F19" s="917" t="n"/>
      <c r="G19" s="917" t="n"/>
      <c r="H19" s="917" t="n"/>
      <c r="I19" s="917" t="n"/>
      <c r="J19" s="917" t="n"/>
      <c r="K19" s="917" t="n"/>
      <c r="L19" s="917" t="n"/>
      <c r="M19" s="917" t="n"/>
      <c r="N19" s="917" t="n"/>
      <c r="O19" s="917" t="n"/>
      <c r="P19" s="917" t="n"/>
      <c r="Q19" s="917" t="n"/>
      <c r="R19" s="917" t="n"/>
      <c r="S19" s="917" t="n"/>
      <c r="T19" s="917" t="n"/>
      <c r="U19" s="917" t="n"/>
      <c r="V19" s="917" t="n"/>
    </row>
    <row r="20">
      <c r="A20" s="205" t="n"/>
      <c r="B20" s="917" t="n"/>
      <c r="C20" s="917" t="n"/>
      <c r="D20" s="917" t="n"/>
      <c r="E20" s="917" t="n"/>
      <c r="F20" s="917" t="n"/>
      <c r="G20" s="917" t="n"/>
      <c r="H20" s="917" t="n"/>
      <c r="I20" s="917" t="n"/>
      <c r="J20" s="917" t="n"/>
      <c r="K20" s="917" t="n"/>
      <c r="L20" s="917" t="n"/>
      <c r="M20" s="917" t="n"/>
      <c r="N20" s="917" t="n"/>
      <c r="O20" s="917" t="n"/>
      <c r="P20" s="917" t="n"/>
      <c r="Q20" s="917" t="n"/>
      <c r="R20" s="917" t="n"/>
      <c r="S20" s="917" t="n"/>
      <c r="T20" s="917" t="n"/>
      <c r="U20" s="917" t="n"/>
      <c r="V20" s="917" t="n"/>
    </row>
    <row r="21">
      <c r="A21" s="205" t="n"/>
      <c r="B21" s="917" t="n"/>
      <c r="C21" s="917" t="n"/>
      <c r="D21" s="917" t="n"/>
      <c r="E21" s="917" t="n"/>
      <c r="F21" s="917" t="n"/>
      <c r="G21" s="917" t="n"/>
      <c r="H21" s="917" t="n"/>
      <c r="I21" s="917" t="n"/>
      <c r="J21" s="917" t="n"/>
      <c r="K21" s="917" t="n"/>
      <c r="L21" s="917" t="n"/>
      <c r="M21" s="917" t="n"/>
      <c r="N21" s="917" t="n"/>
      <c r="O21" s="917" t="n"/>
      <c r="P21" s="917" t="n"/>
      <c r="Q21" s="917" t="n"/>
      <c r="R21" s="917" t="n"/>
      <c r="S21" s="917" t="n"/>
      <c r="T21" s="917" t="n"/>
      <c r="U21" s="917" t="n"/>
      <c r="V21" s="917" t="n"/>
    </row>
    <row r="22">
      <c r="A22" s="205" t="n"/>
      <c r="B22" s="917" t="n"/>
      <c r="C22" s="917" t="n"/>
      <c r="D22" s="917" t="n"/>
      <c r="E22" s="917" t="n"/>
      <c r="F22" s="917" t="n"/>
      <c r="G22" s="917" t="n"/>
      <c r="H22" s="917" t="n"/>
      <c r="I22" s="917" t="n"/>
      <c r="J22" s="917" t="n"/>
      <c r="K22" s="917" t="n"/>
      <c r="L22" s="917" t="n"/>
      <c r="M22" s="917" t="n"/>
      <c r="N22" s="917" t="n"/>
      <c r="O22" s="917" t="n"/>
      <c r="P22" s="917" t="n"/>
      <c r="Q22" s="917" t="n"/>
      <c r="R22" s="917" t="n"/>
      <c r="S22" s="917" t="n"/>
      <c r="T22" s="917" t="n"/>
      <c r="U22" s="917" t="n"/>
      <c r="V22" s="917" t="n"/>
    </row>
    <row r="23">
      <c r="A23" s="205" t="n"/>
      <c r="B23" s="917" t="n"/>
      <c r="C23" s="917" t="n"/>
      <c r="D23" s="917" t="n"/>
      <c r="E23" s="917" t="n"/>
      <c r="F23" s="917" t="n"/>
      <c r="G23" s="917" t="n"/>
      <c r="H23" s="917" t="n"/>
      <c r="I23" s="917" t="n"/>
      <c r="J23" s="917" t="n"/>
      <c r="K23" s="917" t="n"/>
      <c r="L23" s="917" t="n"/>
      <c r="M23" s="917" t="n"/>
      <c r="N23" s="917" t="n"/>
      <c r="O23" s="917" t="n"/>
      <c r="P23" s="917" t="n"/>
      <c r="Q23" s="917" t="n"/>
      <c r="R23" s="917" t="n"/>
      <c r="S23" s="917" t="n"/>
      <c r="T23" s="917" t="n"/>
      <c r="U23" s="917" t="n"/>
      <c r="V23" s="917" t="n"/>
    </row>
    <row r="24">
      <c r="A24" s="205" t="n"/>
      <c r="B24" s="917" t="n"/>
      <c r="C24" s="917" t="n"/>
      <c r="D24" s="917" t="n"/>
      <c r="E24" s="917" t="n"/>
      <c r="F24" s="917" t="n"/>
      <c r="G24" s="917" t="n"/>
      <c r="H24" s="917" t="n"/>
      <c r="I24" s="917" t="n"/>
      <c r="J24" s="917" t="n"/>
      <c r="K24" s="917" t="n"/>
      <c r="L24" s="917" t="n"/>
      <c r="M24" s="917" t="n"/>
      <c r="N24" s="917" t="n"/>
      <c r="O24" s="917" t="n"/>
      <c r="P24" s="917" t="n"/>
      <c r="Q24" s="917" t="n"/>
      <c r="R24" s="917" t="n"/>
      <c r="S24" s="917" t="n"/>
      <c r="T24" s="917" t="n"/>
      <c r="U24" s="917" t="n"/>
      <c r="V24" s="917" t="n"/>
    </row>
    <row r="25">
      <c r="A25" s="205" t="n"/>
      <c r="B25" s="917" t="n"/>
      <c r="C25" s="917" t="n"/>
      <c r="D25" s="917" t="n"/>
      <c r="E25" s="917" t="n"/>
      <c r="F25" s="917" t="n"/>
      <c r="G25" s="917" t="n"/>
      <c r="H25" s="917" t="n"/>
      <c r="I25" s="917" t="n"/>
      <c r="J25" s="917" t="n"/>
      <c r="K25" s="917" t="n"/>
      <c r="L25" s="917" t="n"/>
      <c r="M25" s="917" t="n"/>
      <c r="N25" s="917" t="n"/>
      <c r="O25" s="917" t="n"/>
      <c r="P25" s="917" t="n"/>
      <c r="Q25" s="917" t="n"/>
      <c r="R25" s="917" t="n"/>
      <c r="S25" s="917" t="n"/>
      <c r="T25" s="917" t="n"/>
      <c r="U25" s="917" t="n"/>
      <c r="V25" s="917" t="n"/>
    </row>
    <row r="26">
      <c r="A26" s="205" t="n"/>
      <c r="B26" s="917" t="n"/>
      <c r="C26" s="917" t="n"/>
      <c r="D26" s="917" t="n"/>
      <c r="E26" s="917" t="n"/>
      <c r="F26" s="917" t="n"/>
      <c r="G26" s="917" t="n"/>
      <c r="H26" s="917" t="n"/>
      <c r="I26" s="917" t="n"/>
      <c r="J26" s="917" t="n"/>
      <c r="K26" s="917" t="n"/>
      <c r="L26" s="917" t="n"/>
      <c r="M26" s="917" t="n"/>
      <c r="N26" s="917" t="n"/>
      <c r="O26" s="917" t="n"/>
      <c r="P26" s="917" t="n"/>
      <c r="Q26" s="917" t="n"/>
      <c r="R26" s="917" t="n"/>
      <c r="S26" s="917" t="n"/>
      <c r="T26" s="917" t="n"/>
      <c r="U26" s="917" t="n"/>
      <c r="V26" s="917" t="n"/>
    </row>
    <row r="27">
      <c r="A27" s="205" t="n"/>
      <c r="B27" s="917" t="n"/>
      <c r="C27" s="917" t="n"/>
      <c r="D27" s="917" t="n"/>
      <c r="E27" s="917" t="n"/>
      <c r="F27" s="917" t="n"/>
      <c r="G27" s="917" t="n"/>
      <c r="H27" s="917" t="n"/>
      <c r="I27" s="917" t="n"/>
      <c r="J27" s="917" t="n"/>
      <c r="K27" s="917" t="n"/>
      <c r="L27" s="917" t="n"/>
      <c r="M27" s="917" t="n"/>
      <c r="N27" s="917" t="n"/>
      <c r="O27" s="917" t="n"/>
      <c r="P27" s="917" t="n"/>
      <c r="Q27" s="917" t="n"/>
      <c r="R27" s="917" t="n"/>
      <c r="S27" s="917" t="n"/>
      <c r="T27" s="917" t="n"/>
      <c r="U27" s="917" t="n"/>
      <c r="V27" s="917" t="n"/>
    </row>
    <row r="28">
      <c r="A28" s="205" t="n"/>
      <c r="B28" s="917" t="n"/>
      <c r="C28" s="917" t="n"/>
      <c r="D28" s="917" t="n"/>
      <c r="E28" s="917" t="n"/>
      <c r="F28" s="917" t="n"/>
      <c r="G28" s="917" t="n"/>
      <c r="H28" s="917" t="n"/>
      <c r="I28" s="917" t="n"/>
      <c r="J28" s="917" t="n"/>
      <c r="K28" s="917" t="n"/>
      <c r="L28" s="917" t="n"/>
      <c r="M28" s="917" t="n"/>
      <c r="N28" s="917" t="n"/>
      <c r="O28" s="917" t="n"/>
      <c r="P28" s="917" t="n"/>
      <c r="Q28" s="917" t="n"/>
      <c r="R28" s="917" t="n"/>
      <c r="S28" s="917" t="n"/>
      <c r="T28" s="917" t="n"/>
      <c r="U28" s="917" t="n"/>
      <c r="V28" s="917" t="n"/>
    </row>
    <row r="29">
      <c r="A29" s="205" t="n"/>
      <c r="B29" s="917" t="n"/>
      <c r="C29" s="917" t="n"/>
      <c r="D29" s="917" t="n"/>
      <c r="E29" s="917" t="n"/>
      <c r="F29" s="917" t="n"/>
      <c r="G29" s="917" t="n"/>
      <c r="H29" s="917" t="n"/>
      <c r="I29" s="917" t="n"/>
      <c r="J29" s="917" t="n"/>
      <c r="K29" s="917" t="n"/>
      <c r="L29" s="917" t="n"/>
      <c r="M29" s="917" t="n"/>
      <c r="N29" s="917" t="n"/>
      <c r="O29" s="917" t="n"/>
      <c r="P29" s="917" t="n"/>
      <c r="Q29" s="917" t="n"/>
      <c r="R29" s="917" t="n"/>
      <c r="S29" s="917" t="n"/>
      <c r="T29" s="917" t="n"/>
      <c r="U29" s="917" t="n"/>
      <c r="V29" s="917" t="n"/>
    </row>
    <row r="30">
      <c r="A30" s="205" t="n"/>
      <c r="B30" s="917" t="n"/>
      <c r="C30" s="917" t="n"/>
      <c r="D30" s="917" t="n"/>
      <c r="E30" s="917" t="n"/>
      <c r="F30" s="917" t="n"/>
      <c r="G30" s="917" t="n"/>
      <c r="H30" s="917" t="n"/>
      <c r="I30" s="917" t="n"/>
      <c r="J30" s="917" t="n"/>
      <c r="K30" s="917" t="n"/>
      <c r="L30" s="917" t="n"/>
      <c r="M30" s="917" t="n"/>
      <c r="N30" s="917" t="n"/>
      <c r="O30" s="917" t="n"/>
      <c r="P30" s="917" t="n"/>
      <c r="Q30" s="917" t="n"/>
      <c r="R30" s="917" t="n"/>
      <c r="S30" s="917" t="n"/>
      <c r="T30" s="917" t="n"/>
      <c r="U30" s="917" t="n"/>
      <c r="V30" s="917" t="n"/>
    </row>
    <row r="31">
      <c r="A31" s="205" t="n"/>
      <c r="B31" s="917" t="n"/>
      <c r="C31" s="917" t="n"/>
      <c r="D31" s="917" t="n"/>
      <c r="E31" s="917" t="n"/>
      <c r="F31" s="917" t="n"/>
      <c r="G31" s="917" t="n"/>
      <c r="H31" s="917" t="n"/>
      <c r="I31" s="917" t="n"/>
      <c r="J31" s="917" t="n"/>
      <c r="K31" s="917" t="n"/>
      <c r="L31" s="917" t="n"/>
      <c r="M31" s="917" t="n"/>
      <c r="N31" s="917" t="n"/>
      <c r="O31" s="917" t="n"/>
      <c r="P31" s="917" t="n"/>
      <c r="Q31" s="917" t="n"/>
      <c r="R31" s="917" t="n"/>
      <c r="S31" s="917" t="n"/>
      <c r="T31" s="917" t="n"/>
      <c r="U31" s="917" t="n"/>
      <c r="V31" s="917" t="n"/>
    </row>
    <row r="32">
      <c r="A32" s="205" t="n"/>
      <c r="B32" s="917" t="n"/>
      <c r="C32" s="917" t="n"/>
      <c r="D32" s="917" t="n"/>
      <c r="E32" s="917" t="n"/>
      <c r="F32" s="917" t="n"/>
      <c r="G32" s="917" t="n"/>
      <c r="H32" s="917" t="n"/>
      <c r="I32" s="917" t="n"/>
      <c r="J32" s="917" t="n"/>
      <c r="K32" s="917" t="n"/>
      <c r="L32" s="917" t="n"/>
      <c r="M32" s="917" t="n"/>
      <c r="N32" s="917" t="n"/>
      <c r="O32" s="917" t="n"/>
      <c r="P32" s="917" t="n"/>
      <c r="Q32" s="917" t="n"/>
      <c r="R32" s="917" t="n"/>
      <c r="S32" s="917" t="n"/>
      <c r="T32" s="917" t="n"/>
      <c r="U32" s="917" t="n"/>
      <c r="V32" s="917" t="n"/>
    </row>
    <row r="33">
      <c r="A33" s="205" t="n"/>
      <c r="B33" s="917" t="n"/>
      <c r="C33" s="917" t="n"/>
      <c r="D33" s="917" t="n"/>
      <c r="E33" s="917" t="n"/>
      <c r="F33" s="917" t="n"/>
      <c r="G33" s="917" t="n"/>
      <c r="H33" s="917" t="n"/>
      <c r="I33" s="917" t="n"/>
      <c r="J33" s="917" t="n"/>
      <c r="K33" s="917" t="n"/>
      <c r="L33" s="917" t="n"/>
      <c r="M33" s="917" t="n"/>
      <c r="N33" s="917" t="n"/>
      <c r="O33" s="917" t="n"/>
      <c r="P33" s="917" t="n"/>
      <c r="Q33" s="917" t="n"/>
      <c r="R33" s="917" t="n"/>
      <c r="S33" s="917" t="n"/>
      <c r="T33" s="917" t="n"/>
      <c r="U33" s="917" t="n"/>
      <c r="V33" s="917" t="n"/>
    </row>
    <row r="34">
      <c r="A34" s="205" t="n"/>
      <c r="B34" s="917" t="n"/>
      <c r="C34" s="917" t="n"/>
      <c r="D34" s="917" t="n"/>
      <c r="E34" s="917" t="n"/>
      <c r="F34" s="917" t="n"/>
      <c r="G34" s="917" t="n"/>
      <c r="H34" s="917" t="n"/>
      <c r="I34" s="917" t="n"/>
      <c r="J34" s="917" t="n"/>
      <c r="K34" s="917" t="n"/>
      <c r="L34" s="917" t="n"/>
      <c r="M34" s="917" t="n"/>
      <c r="N34" s="917" t="n"/>
      <c r="O34" s="917" t="n"/>
      <c r="P34" s="917" t="n"/>
      <c r="Q34" s="917" t="n"/>
      <c r="R34" s="917" t="n"/>
      <c r="S34" s="917" t="n"/>
      <c r="T34" s="917" t="n"/>
      <c r="U34" s="917" t="n"/>
      <c r="V34" s="917" t="n"/>
    </row>
    <row r="35">
      <c r="A35" s="205" t="n"/>
      <c r="B35" s="917" t="n"/>
      <c r="C35" s="917" t="n"/>
      <c r="D35" s="917" t="n"/>
      <c r="E35" s="917" t="n"/>
      <c r="F35" s="917" t="n"/>
      <c r="G35" s="917" t="n"/>
      <c r="H35" s="917" t="n"/>
      <c r="I35" s="917" t="n"/>
      <c r="J35" s="917" t="n"/>
      <c r="K35" s="917" t="n"/>
      <c r="L35" s="917" t="n"/>
      <c r="M35" s="917" t="n"/>
      <c r="N35" s="917" t="n"/>
      <c r="O35" s="917" t="n"/>
      <c r="P35" s="917" t="n"/>
      <c r="Q35" s="917" t="n"/>
      <c r="R35" s="917" t="n"/>
      <c r="S35" s="917" t="n"/>
      <c r="T35" s="917" t="n"/>
      <c r="U35" s="917" t="n"/>
      <c r="V35" s="917" t="n"/>
    </row>
    <row r="36">
      <c r="A36" s="205" t="n"/>
      <c r="B36" s="917" t="n"/>
      <c r="C36" s="917" t="n"/>
      <c r="D36" s="917" t="n"/>
      <c r="E36" s="917" t="n"/>
      <c r="F36" s="917" t="n"/>
      <c r="G36" s="917" t="n"/>
      <c r="H36" s="917" t="n"/>
      <c r="I36" s="917" t="n"/>
      <c r="J36" s="917" t="n"/>
      <c r="K36" s="917" t="n"/>
      <c r="L36" s="917" t="n"/>
      <c r="M36" s="917" t="n"/>
      <c r="N36" s="917" t="n"/>
      <c r="O36" s="917" t="n"/>
      <c r="P36" s="917" t="n"/>
      <c r="Q36" s="917" t="n"/>
      <c r="R36" s="917" t="n"/>
      <c r="S36" s="917" t="n"/>
      <c r="T36" s="917" t="n"/>
      <c r="U36" s="917" t="n"/>
      <c r="V36" s="917" t="n"/>
    </row>
    <row r="37">
      <c r="A37" s="205" t="n"/>
      <c r="B37" s="917" t="n"/>
      <c r="C37" s="917" t="n"/>
      <c r="D37" s="917" t="n"/>
      <c r="E37" s="917" t="n"/>
      <c r="F37" s="917" t="n"/>
      <c r="G37" s="917" t="n"/>
      <c r="H37" s="917" t="n"/>
      <c r="I37" s="917" t="n"/>
      <c r="J37" s="917" t="n"/>
      <c r="K37" s="917" t="n"/>
      <c r="L37" s="917" t="n"/>
      <c r="M37" s="917" t="n"/>
      <c r="N37" s="917" t="n"/>
      <c r="O37" s="917" t="n"/>
      <c r="P37" s="917" t="n"/>
      <c r="Q37" s="917" t="n"/>
      <c r="R37" s="917" t="n"/>
      <c r="S37" s="917" t="n"/>
      <c r="T37" s="917" t="n"/>
      <c r="U37" s="917" t="n"/>
      <c r="V37" s="917" t="n"/>
    </row>
    <row r="38">
      <c r="A38" s="205" t="n"/>
      <c r="B38" s="917" t="n"/>
      <c r="C38" s="917" t="n"/>
      <c r="D38" s="917" t="n"/>
      <c r="E38" s="917" t="n"/>
      <c r="F38" s="917" t="n"/>
      <c r="G38" s="917" t="n"/>
      <c r="H38" s="917" t="n"/>
      <c r="I38" s="917" t="n"/>
      <c r="J38" s="917" t="n"/>
      <c r="K38" s="917" t="n"/>
      <c r="L38" s="917" t="n"/>
      <c r="M38" s="917" t="n"/>
      <c r="N38" s="917" t="n"/>
      <c r="O38" s="917" t="n"/>
      <c r="P38" s="917" t="n"/>
      <c r="Q38" s="917" t="n"/>
      <c r="R38" s="917" t="n"/>
      <c r="S38" s="917" t="n"/>
      <c r="T38" s="917" t="n"/>
      <c r="U38" s="917" t="n"/>
      <c r="V38" s="917" t="n"/>
    </row>
    <row r="39">
      <c r="A39" s="205" t="n"/>
      <c r="B39" s="917" t="n"/>
      <c r="C39" s="917" t="n"/>
      <c r="D39" s="917" t="n"/>
      <c r="E39" s="917" t="n"/>
      <c r="F39" s="917" t="n"/>
      <c r="G39" s="917" t="n"/>
      <c r="H39" s="917" t="n"/>
      <c r="I39" s="917" t="n"/>
      <c r="J39" s="917" t="n"/>
      <c r="K39" s="917" t="n"/>
      <c r="L39" s="917" t="n"/>
      <c r="M39" s="917" t="n"/>
      <c r="N39" s="917" t="n"/>
      <c r="O39" s="917" t="n"/>
      <c r="P39" s="917" t="n"/>
      <c r="Q39" s="917" t="n"/>
      <c r="R39" s="917" t="n"/>
      <c r="S39" s="917" t="n"/>
      <c r="T39" s="917" t="n"/>
      <c r="U39" s="917" t="n"/>
      <c r="V39" s="917" t="n"/>
    </row>
    <row r="40">
      <c r="A40" s="205" t="n"/>
      <c r="B40" s="917" t="n"/>
      <c r="C40" s="917" t="n"/>
      <c r="D40" s="917" t="n"/>
      <c r="E40" s="917" t="n"/>
      <c r="F40" s="917" t="n"/>
      <c r="G40" s="917" t="n"/>
      <c r="H40" s="917" t="n"/>
      <c r="I40" s="917" t="n"/>
      <c r="J40" s="917" t="n"/>
      <c r="K40" s="917" t="n"/>
      <c r="L40" s="917" t="n"/>
      <c r="M40" s="917" t="n"/>
      <c r="N40" s="917" t="n"/>
      <c r="O40" s="917" t="n"/>
      <c r="P40" s="917" t="n"/>
      <c r="Q40" s="917" t="n"/>
      <c r="R40" s="917" t="n"/>
      <c r="S40" s="917" t="n"/>
      <c r="T40" s="917" t="n"/>
      <c r="U40" s="917" t="n"/>
      <c r="V40" s="917" t="n"/>
    </row>
    <row r="41">
      <c r="A41" s="205" t="n"/>
      <c r="B41" s="917" t="n"/>
      <c r="C41" s="917" t="n"/>
      <c r="D41" s="917" t="n"/>
      <c r="E41" s="917" t="n"/>
      <c r="F41" s="917" t="n"/>
      <c r="G41" s="917" t="n"/>
      <c r="H41" s="917" t="n"/>
      <c r="I41" s="917" t="n"/>
      <c r="J41" s="917" t="n"/>
      <c r="K41" s="917" t="n"/>
      <c r="L41" s="917" t="n"/>
      <c r="M41" s="917" t="n"/>
      <c r="N41" s="917" t="n"/>
      <c r="O41" s="917" t="n"/>
      <c r="P41" s="917" t="n"/>
      <c r="Q41" s="917" t="n"/>
      <c r="R41" s="917" t="n"/>
      <c r="S41" s="917" t="n"/>
      <c r="T41" s="917" t="n"/>
      <c r="U41" s="917" t="n"/>
      <c r="V41" s="917" t="n"/>
    </row>
    <row r="42">
      <c r="A42" s="205" t="n"/>
      <c r="B42" s="917" t="n"/>
      <c r="C42" s="917" t="n"/>
      <c r="D42" s="917" t="n"/>
      <c r="E42" s="917" t="n"/>
      <c r="F42" s="917" t="n"/>
      <c r="G42" s="917" t="n"/>
      <c r="H42" s="917" t="n"/>
      <c r="I42" s="917" t="n"/>
      <c r="J42" s="917" t="n"/>
      <c r="K42" s="917" t="n"/>
      <c r="L42" s="917" t="n"/>
      <c r="M42" s="917" t="n"/>
      <c r="N42" s="917" t="n"/>
      <c r="O42" s="917" t="n"/>
      <c r="P42" s="917" t="n"/>
      <c r="Q42" s="917" t="n"/>
      <c r="R42" s="917" t="n"/>
      <c r="S42" s="917" t="n"/>
      <c r="T42" s="917" t="n"/>
      <c r="U42" s="917" t="n"/>
      <c r="V42" s="917" t="n"/>
    </row>
    <row r="43">
      <c r="A43" s="205" t="n"/>
      <c r="B43" s="917" t="n"/>
      <c r="C43" s="917" t="n"/>
      <c r="D43" s="917" t="n"/>
      <c r="E43" s="917" t="n"/>
      <c r="F43" s="917" t="n"/>
      <c r="G43" s="917" t="n"/>
      <c r="H43" s="917" t="n"/>
      <c r="I43" s="917" t="n"/>
      <c r="J43" s="917" t="n"/>
      <c r="K43" s="917" t="n"/>
      <c r="L43" s="917" t="n"/>
      <c r="M43" s="917" t="n"/>
      <c r="N43" s="917" t="n"/>
      <c r="O43" s="917" t="n"/>
      <c r="P43" s="917" t="n"/>
      <c r="Q43" s="917" t="n"/>
      <c r="R43" s="917" t="n"/>
      <c r="S43" s="917" t="n"/>
      <c r="T43" s="917" t="n"/>
      <c r="U43" s="917" t="n"/>
      <c r="V43" s="917" t="n"/>
    </row>
    <row r="44">
      <c r="A44" s="205" t="n"/>
      <c r="B44" s="917" t="n"/>
      <c r="C44" s="917" t="n"/>
      <c r="D44" s="917" t="n"/>
      <c r="E44" s="917" t="n"/>
      <c r="F44" s="917" t="n"/>
      <c r="G44" s="917" t="n"/>
      <c r="H44" s="917" t="n"/>
      <c r="I44" s="917" t="n"/>
      <c r="J44" s="917" t="n"/>
      <c r="K44" s="917" t="n"/>
      <c r="L44" s="917" t="n"/>
      <c r="M44" s="917" t="n"/>
      <c r="N44" s="917" t="n"/>
      <c r="O44" s="917" t="n"/>
      <c r="P44" s="917" t="n"/>
      <c r="Q44" s="917" t="n"/>
      <c r="R44" s="917" t="n"/>
      <c r="S44" s="917" t="n"/>
      <c r="T44" s="917" t="n"/>
      <c r="U44" s="917" t="n"/>
      <c r="V44" s="917" t="n"/>
    </row>
    <row r="45">
      <c r="A45" s="205" t="n"/>
      <c r="B45" s="917" t="n"/>
      <c r="C45" s="917" t="n"/>
      <c r="D45" s="917" t="n"/>
      <c r="E45" s="917" t="n"/>
      <c r="F45" s="917" t="n"/>
      <c r="G45" s="917" t="n"/>
      <c r="H45" s="917" t="n"/>
      <c r="I45" s="917" t="n"/>
      <c r="J45" s="917" t="n"/>
      <c r="K45" s="917" t="n"/>
      <c r="L45" s="917" t="n"/>
      <c r="M45" s="917" t="n"/>
      <c r="N45" s="917" t="n"/>
      <c r="O45" s="917" t="n"/>
      <c r="P45" s="917" t="n"/>
      <c r="Q45" s="917" t="n"/>
      <c r="R45" s="917" t="n"/>
      <c r="S45" s="917" t="n"/>
      <c r="T45" s="917" t="n"/>
      <c r="U45" s="917" t="n"/>
      <c r="V45" s="917" t="n"/>
    </row>
    <row r="46">
      <c r="A46" s="205" t="n"/>
      <c r="B46" s="917" t="n"/>
      <c r="C46" s="917" t="n"/>
      <c r="D46" s="917" t="n"/>
      <c r="E46" s="917" t="n"/>
      <c r="F46" s="917" t="n"/>
      <c r="G46" s="917" t="n"/>
      <c r="H46" s="917" t="n"/>
      <c r="I46" s="917" t="n"/>
      <c r="J46" s="917" t="n"/>
      <c r="K46" s="917" t="n"/>
      <c r="L46" s="917" t="n"/>
      <c r="M46" s="917" t="n"/>
      <c r="N46" s="917" t="n"/>
      <c r="O46" s="917" t="n"/>
      <c r="P46" s="917" t="n"/>
      <c r="Q46" s="917" t="n"/>
      <c r="R46" s="917" t="n"/>
      <c r="S46" s="917" t="n"/>
      <c r="T46" s="917" t="n"/>
      <c r="U46" s="917" t="n"/>
      <c r="V46" s="917" t="n"/>
    </row>
    <row r="47">
      <c r="A47" s="205" t="n"/>
      <c r="B47" s="917" t="n"/>
      <c r="C47" s="917" t="n"/>
      <c r="D47" s="917" t="n"/>
      <c r="E47" s="917" t="n"/>
      <c r="F47" s="917" t="n"/>
      <c r="G47" s="917" t="n"/>
      <c r="H47" s="917" t="n"/>
      <c r="I47" s="917" t="n"/>
      <c r="J47" s="917" t="n"/>
      <c r="K47" s="917" t="n"/>
      <c r="L47" s="917" t="n"/>
      <c r="M47" s="917" t="n"/>
      <c r="N47" s="917" t="n"/>
      <c r="O47" s="917" t="n"/>
      <c r="P47" s="917" t="n"/>
      <c r="Q47" s="917" t="n"/>
      <c r="R47" s="917" t="n"/>
      <c r="S47" s="917" t="n"/>
      <c r="T47" s="917" t="n"/>
      <c r="U47" s="917" t="n"/>
      <c r="V47" s="917" t="n"/>
    </row>
    <row r="48">
      <c r="A48" s="205" t="n"/>
      <c r="B48" s="917" t="n"/>
      <c r="C48" s="917" t="n"/>
      <c r="D48" s="917" t="n"/>
      <c r="E48" s="917" t="n"/>
      <c r="F48" s="917" t="n"/>
      <c r="G48" s="917" t="n"/>
      <c r="H48" s="917" t="n"/>
      <c r="I48" s="917" t="n"/>
      <c r="J48" s="917" t="n"/>
      <c r="K48" s="917" t="n"/>
      <c r="L48" s="917" t="n"/>
      <c r="M48" s="917" t="n"/>
      <c r="N48" s="917" t="n"/>
      <c r="O48" s="917" t="n"/>
      <c r="P48" s="917" t="n"/>
      <c r="Q48" s="917" t="n"/>
      <c r="R48" s="917" t="n"/>
      <c r="S48" s="917" t="n"/>
      <c r="T48" s="917" t="n"/>
      <c r="U48" s="917" t="n"/>
      <c r="V48" s="917" t="n"/>
    </row>
    <row r="49">
      <c r="A49" s="205" t="n"/>
      <c r="B49" s="917" t="n"/>
      <c r="C49" s="917" t="n"/>
      <c r="D49" s="917" t="n"/>
      <c r="E49" s="917" t="n"/>
      <c r="F49" s="917" t="n"/>
      <c r="G49" s="917" t="n"/>
      <c r="H49" s="917" t="n"/>
      <c r="I49" s="917" t="n"/>
      <c r="J49" s="917" t="n"/>
      <c r="K49" s="917" t="n"/>
      <c r="L49" s="917" t="n"/>
      <c r="M49" s="917" t="n"/>
      <c r="N49" s="917" t="n"/>
      <c r="O49" s="917" t="n"/>
      <c r="P49" s="917" t="n"/>
      <c r="Q49" s="917" t="n"/>
      <c r="R49" s="917" t="n"/>
      <c r="S49" s="917" t="n"/>
      <c r="T49" s="917" t="n"/>
      <c r="U49" s="917" t="n"/>
      <c r="V49" s="917" t="n"/>
    </row>
    <row r="50">
      <c r="A50" s="205" t="n"/>
      <c r="B50" s="917" t="n"/>
      <c r="C50" s="917" t="n"/>
      <c r="D50" s="917" t="n"/>
      <c r="E50" s="917" t="n"/>
      <c r="F50" s="917" t="n"/>
      <c r="G50" s="917" t="n"/>
      <c r="H50" s="917" t="n"/>
      <c r="I50" s="917" t="n"/>
      <c r="J50" s="917" t="n"/>
      <c r="K50" s="917" t="n"/>
      <c r="L50" s="917" t="n"/>
      <c r="M50" s="917" t="n"/>
      <c r="N50" s="917" t="n"/>
      <c r="O50" s="917" t="n"/>
      <c r="P50" s="917" t="n"/>
      <c r="Q50" s="917" t="n"/>
      <c r="R50" s="917" t="n"/>
      <c r="S50" s="917" t="n"/>
      <c r="T50" s="917" t="n"/>
      <c r="U50" s="917" t="n"/>
      <c r="V50" s="917" t="n"/>
    </row>
    <row r="51">
      <c r="A51" s="205" t="n"/>
      <c r="B51" s="917" t="n"/>
      <c r="C51" s="917" t="n"/>
      <c r="D51" s="917" t="n"/>
      <c r="E51" s="917" t="n"/>
      <c r="F51" s="917" t="n"/>
      <c r="G51" s="917" t="n"/>
      <c r="H51" s="917" t="n"/>
      <c r="I51" s="917" t="n"/>
      <c r="J51" s="917" t="n"/>
      <c r="K51" s="917" t="n"/>
      <c r="L51" s="917" t="n"/>
      <c r="M51" s="917" t="n"/>
      <c r="N51" s="917" t="n"/>
      <c r="O51" s="917" t="n"/>
      <c r="P51" s="917" t="n"/>
      <c r="Q51" s="917" t="n"/>
      <c r="R51" s="917" t="n"/>
      <c r="S51" s="917" t="n"/>
      <c r="T51" s="917" t="n"/>
      <c r="U51" s="917" t="n"/>
      <c r="V51" s="917" t="n"/>
    </row>
    <row r="52">
      <c r="A52" s="205" t="n"/>
      <c r="B52" s="917" t="n"/>
      <c r="C52" s="917" t="n"/>
      <c r="D52" s="917" t="n"/>
      <c r="E52" s="917" t="n"/>
      <c r="F52" s="917" t="n"/>
      <c r="G52" s="917" t="n"/>
      <c r="H52" s="917" t="n"/>
      <c r="I52" s="917" t="n"/>
      <c r="J52" s="917" t="n"/>
      <c r="K52" s="917" t="n"/>
      <c r="L52" s="917" t="n"/>
      <c r="M52" s="917" t="n"/>
      <c r="N52" s="917" t="n"/>
      <c r="O52" s="917" t="n"/>
      <c r="P52" s="917" t="n"/>
      <c r="Q52" s="917" t="n"/>
      <c r="R52" s="917" t="n"/>
      <c r="S52" s="917" t="n"/>
      <c r="T52" s="917" t="n"/>
      <c r="U52" s="917" t="n"/>
      <c r="V52" s="917" t="n"/>
    </row>
    <row r="53">
      <c r="A53" s="205" t="n"/>
      <c r="B53" s="917" t="n"/>
      <c r="C53" s="917" t="n"/>
      <c r="D53" s="917" t="n"/>
      <c r="E53" s="917" t="n"/>
      <c r="F53" s="917" t="n"/>
      <c r="G53" s="917" t="n"/>
      <c r="H53" s="917" t="n"/>
      <c r="I53" s="917" t="n"/>
      <c r="J53" s="917" t="n"/>
      <c r="K53" s="917" t="n"/>
      <c r="L53" s="917" t="n"/>
      <c r="M53" s="917" t="n"/>
      <c r="N53" s="917" t="n"/>
      <c r="O53" s="917" t="n"/>
      <c r="P53" s="917" t="n"/>
      <c r="Q53" s="917" t="n"/>
      <c r="R53" s="917" t="n"/>
      <c r="S53" s="917" t="n"/>
      <c r="T53" s="917" t="n"/>
      <c r="U53" s="917" t="n"/>
      <c r="V53" s="917" t="n"/>
    </row>
    <row r="54">
      <c r="A54" s="205" t="n"/>
      <c r="B54" s="917" t="n"/>
      <c r="C54" s="917" t="n"/>
      <c r="D54" s="917" t="n"/>
      <c r="E54" s="917" t="n"/>
      <c r="F54" s="917" t="n"/>
      <c r="G54" s="917" t="n"/>
      <c r="H54" s="917" t="n"/>
      <c r="I54" s="917" t="n"/>
      <c r="J54" s="917" t="n"/>
      <c r="K54" s="917" t="n"/>
      <c r="L54" s="917" t="n"/>
      <c r="M54" s="917" t="n"/>
      <c r="N54" s="917" t="n"/>
      <c r="O54" s="917" t="n"/>
      <c r="P54" s="917" t="n"/>
      <c r="Q54" s="917" t="n"/>
      <c r="R54" s="917" t="n"/>
      <c r="S54" s="917" t="n"/>
      <c r="T54" s="917" t="n"/>
      <c r="U54" s="917" t="n"/>
      <c r="V54" s="917" t="n"/>
    </row>
    <row r="55">
      <c r="A55" s="205" t="n"/>
      <c r="B55" s="917" t="n"/>
      <c r="C55" s="917" t="n"/>
      <c r="D55" s="917" t="n"/>
      <c r="E55" s="917" t="n"/>
      <c r="F55" s="917" t="n"/>
      <c r="G55" s="917" t="n"/>
      <c r="H55" s="917" t="n"/>
      <c r="I55" s="917" t="n"/>
      <c r="J55" s="917" t="n"/>
      <c r="K55" s="917" t="n"/>
      <c r="L55" s="917" t="n"/>
      <c r="M55" s="917" t="n"/>
      <c r="N55" s="917" t="n"/>
      <c r="O55" s="917" t="n"/>
      <c r="P55" s="917" t="n"/>
      <c r="Q55" s="917" t="n"/>
      <c r="R55" s="917" t="n"/>
      <c r="S55" s="917" t="n"/>
      <c r="T55" s="917" t="n"/>
      <c r="U55" s="917" t="n"/>
      <c r="V55" s="917" t="n"/>
    </row>
    <row r="56">
      <c r="A56" s="205" t="n"/>
      <c r="B56" s="917" t="n"/>
      <c r="C56" s="917" t="n"/>
      <c r="D56" s="917" t="n"/>
      <c r="E56" s="917" t="n"/>
      <c r="F56" s="917" t="n"/>
      <c r="G56" s="917" t="n"/>
      <c r="H56" s="917" t="n"/>
      <c r="I56" s="917" t="n"/>
      <c r="J56" s="917" t="n"/>
      <c r="K56" s="917" t="n"/>
      <c r="L56" s="917" t="n"/>
      <c r="M56" s="917" t="n"/>
      <c r="N56" s="917" t="n"/>
      <c r="O56" s="917" t="n"/>
      <c r="P56" s="917" t="n"/>
      <c r="Q56" s="917" t="n"/>
      <c r="R56" s="917" t="n"/>
      <c r="S56" s="917" t="n"/>
      <c r="T56" s="917" t="n"/>
      <c r="U56" s="917" t="n"/>
      <c r="V56" s="917" t="n"/>
    </row>
    <row r="57">
      <c r="A57" s="205" t="n"/>
      <c r="B57" s="917" t="n"/>
      <c r="C57" s="917" t="n"/>
      <c r="D57" s="917" t="n"/>
      <c r="E57" s="917" t="n"/>
      <c r="F57" s="917" t="n"/>
      <c r="G57" s="917" t="n"/>
      <c r="H57" s="917" t="n"/>
      <c r="I57" s="917" t="n"/>
      <c r="J57" s="917" t="n"/>
      <c r="K57" s="917" t="n"/>
      <c r="L57" s="917" t="n"/>
      <c r="M57" s="917" t="n"/>
      <c r="N57" s="917" t="n"/>
      <c r="O57" s="917" t="n"/>
      <c r="P57" s="917" t="n"/>
      <c r="Q57" s="917" t="n"/>
      <c r="R57" s="917" t="n"/>
      <c r="S57" s="917" t="n"/>
      <c r="T57" s="917" t="n"/>
      <c r="U57" s="917" t="n"/>
      <c r="V57" s="917" t="n"/>
    </row>
    <row r="58">
      <c r="A58" s="205" t="n"/>
      <c r="B58" s="917" t="n"/>
      <c r="C58" s="917" t="n"/>
      <c r="D58" s="917" t="n"/>
      <c r="E58" s="917" t="n"/>
      <c r="F58" s="917" t="n"/>
      <c r="G58" s="917" t="n"/>
      <c r="H58" s="917" t="n"/>
      <c r="I58" s="917" t="n"/>
      <c r="J58" s="917" t="n"/>
      <c r="K58" s="917" t="n"/>
      <c r="L58" s="917" t="n"/>
      <c r="M58" s="917" t="n"/>
      <c r="N58" s="917" t="n"/>
      <c r="O58" s="917" t="n"/>
      <c r="P58" s="917" t="n"/>
      <c r="Q58" s="917" t="n"/>
      <c r="R58" s="917" t="n"/>
      <c r="S58" s="917" t="n"/>
      <c r="T58" s="917" t="n"/>
      <c r="U58" s="917" t="n"/>
      <c r="V58" s="917" t="n"/>
    </row>
    <row r="59">
      <c r="A59" s="205" t="n"/>
      <c r="B59" s="917" t="n"/>
      <c r="C59" s="917" t="n"/>
      <c r="D59" s="917" t="n"/>
      <c r="E59" s="917" t="n"/>
      <c r="F59" s="917" t="n"/>
      <c r="G59" s="917" t="n"/>
      <c r="H59" s="917" t="n"/>
      <c r="I59" s="917" t="n"/>
      <c r="J59" s="917" t="n"/>
      <c r="K59" s="917" t="n"/>
      <c r="L59" s="917" t="n"/>
      <c r="M59" s="917" t="n"/>
      <c r="N59" s="917" t="n"/>
      <c r="O59" s="917" t="n"/>
      <c r="P59" s="917" t="n"/>
      <c r="Q59" s="917" t="n"/>
      <c r="R59" s="917" t="n"/>
      <c r="S59" s="917" t="n"/>
      <c r="T59" s="917" t="n"/>
      <c r="U59" s="917" t="n"/>
      <c r="V59" s="917" t="n"/>
    </row>
    <row r="60">
      <c r="A60" s="205" t="n"/>
      <c r="B60" s="917" t="n"/>
      <c r="C60" s="917" t="n"/>
      <c r="D60" s="917" t="n"/>
      <c r="E60" s="917" t="n"/>
      <c r="F60" s="917" t="n"/>
      <c r="G60" s="917" t="n"/>
      <c r="H60" s="917" t="n"/>
      <c r="I60" s="917" t="n"/>
      <c r="J60" s="917" t="n"/>
      <c r="K60" s="917" t="n"/>
      <c r="L60" s="917" t="n"/>
      <c r="M60" s="917" t="n"/>
      <c r="N60" s="917" t="n"/>
      <c r="O60" s="917" t="n"/>
      <c r="P60" s="917" t="n"/>
      <c r="Q60" s="917" t="n"/>
      <c r="R60" s="917" t="n"/>
      <c r="S60" s="917" t="n"/>
      <c r="T60" s="917" t="n"/>
      <c r="U60" s="917" t="n"/>
      <c r="V60" s="917" t="n"/>
    </row>
    <row r="61">
      <c r="A61" s="205" t="n"/>
      <c r="B61" s="917" t="n"/>
      <c r="C61" s="917" t="n"/>
      <c r="D61" s="917" t="n"/>
      <c r="E61" s="917" t="n"/>
      <c r="F61" s="917" t="n"/>
      <c r="G61" s="917" t="n"/>
      <c r="H61" s="917" t="n"/>
      <c r="I61" s="917" t="n"/>
      <c r="J61" s="917" t="n"/>
      <c r="K61" s="917" t="n"/>
      <c r="L61" s="917" t="n"/>
      <c r="M61" s="917" t="n"/>
      <c r="N61" s="917" t="n"/>
      <c r="O61" s="917" t="n"/>
      <c r="P61" s="917" t="n"/>
      <c r="Q61" s="917" t="n"/>
      <c r="R61" s="917" t="n"/>
      <c r="S61" s="917" t="n"/>
      <c r="T61" s="917" t="n"/>
      <c r="U61" s="917" t="n"/>
      <c r="V61" s="917" t="n"/>
    </row>
    <row r="62">
      <c r="A62" s="205" t="n"/>
      <c r="B62" s="917" t="n"/>
      <c r="C62" s="917" t="n"/>
      <c r="D62" s="917" t="n"/>
      <c r="E62" s="917" t="n"/>
      <c r="F62" s="917" t="n"/>
      <c r="G62" s="917" t="n"/>
      <c r="H62" s="917" t="n"/>
      <c r="I62" s="917" t="n"/>
      <c r="J62" s="917" t="n"/>
      <c r="K62" s="917" t="n"/>
      <c r="L62" s="917" t="n"/>
      <c r="M62" s="917" t="n"/>
      <c r="N62" s="917" t="n"/>
      <c r="O62" s="917" t="n"/>
      <c r="P62" s="917" t="n"/>
      <c r="Q62" s="917" t="n"/>
      <c r="R62" s="917" t="n"/>
      <c r="S62" s="917" t="n"/>
      <c r="T62" s="917" t="n"/>
      <c r="U62" s="917" t="n"/>
      <c r="V62" s="917" t="n"/>
    </row>
    <row r="63">
      <c r="A63" s="205" t="n"/>
      <c r="B63" s="917" t="n"/>
      <c r="C63" s="917" t="n"/>
      <c r="D63" s="917" t="n"/>
      <c r="E63" s="917" t="n"/>
      <c r="F63" s="917" t="n"/>
      <c r="G63" s="917" t="n"/>
      <c r="H63" s="917" t="n"/>
      <c r="I63" s="917" t="n"/>
      <c r="J63" s="917" t="n"/>
      <c r="K63" s="917" t="n"/>
      <c r="L63" s="917" t="n"/>
      <c r="M63" s="917" t="n"/>
      <c r="N63" s="917" t="n"/>
      <c r="O63" s="917" t="n"/>
      <c r="P63" s="917" t="n"/>
      <c r="Q63" s="917" t="n"/>
      <c r="R63" s="917" t="n"/>
      <c r="S63" s="917" t="n"/>
      <c r="T63" s="917" t="n"/>
      <c r="U63" s="917" t="n"/>
      <c r="V63" s="917" t="n"/>
    </row>
    <row r="64">
      <c r="A64" s="205" t="n"/>
      <c r="B64" s="917" t="n"/>
      <c r="C64" s="917" t="n"/>
      <c r="D64" s="917" t="n"/>
      <c r="E64" s="917" t="n"/>
      <c r="F64" s="917" t="n"/>
      <c r="G64" s="917" t="n"/>
      <c r="H64" s="917" t="n"/>
      <c r="I64" s="917" t="n"/>
      <c r="J64" s="917" t="n"/>
      <c r="K64" s="917" t="n"/>
      <c r="L64" s="917" t="n"/>
      <c r="M64" s="917" t="n"/>
      <c r="N64" s="917" t="n"/>
      <c r="O64" s="917" t="n"/>
      <c r="P64" s="917" t="n"/>
      <c r="Q64" s="917" t="n"/>
      <c r="R64" s="917" t="n"/>
      <c r="S64" s="917" t="n"/>
      <c r="T64" s="917" t="n"/>
      <c r="U64" s="917" t="n"/>
      <c r="V64" s="917" t="n"/>
    </row>
    <row r="65">
      <c r="A65" s="205" t="n"/>
      <c r="B65" s="917" t="n"/>
      <c r="C65" s="917" t="n"/>
      <c r="D65" s="917" t="n"/>
      <c r="E65" s="917" t="n"/>
      <c r="F65" s="917" t="n"/>
      <c r="G65" s="917" t="n"/>
      <c r="H65" s="917" t="n"/>
      <c r="I65" s="917" t="n"/>
      <c r="J65" s="917" t="n"/>
      <c r="K65" s="917" t="n"/>
      <c r="L65" s="917" t="n"/>
      <c r="M65" s="917" t="n"/>
      <c r="N65" s="917" t="n"/>
      <c r="O65" s="917" t="n"/>
      <c r="P65" s="917" t="n"/>
      <c r="Q65" s="917" t="n"/>
      <c r="R65" s="917" t="n"/>
      <c r="S65" s="917" t="n"/>
      <c r="T65" s="917" t="n"/>
      <c r="U65" s="917" t="n"/>
      <c r="V65" s="917" t="n"/>
    </row>
    <row r="66">
      <c r="A66" s="205" t="n"/>
      <c r="B66" s="917" t="n"/>
      <c r="C66" s="917" t="n"/>
      <c r="D66" s="917" t="n"/>
      <c r="E66" s="917" t="n"/>
      <c r="F66" s="917" t="n"/>
      <c r="G66" s="917" t="n"/>
      <c r="H66" s="917" t="n"/>
      <c r="I66" s="917" t="n"/>
      <c r="J66" s="917" t="n"/>
      <c r="K66" s="917" t="n"/>
      <c r="L66" s="917" t="n"/>
      <c r="M66" s="917" t="n"/>
      <c r="N66" s="917" t="n"/>
      <c r="O66" s="917" t="n"/>
      <c r="P66" s="917" t="n"/>
      <c r="Q66" s="917" t="n"/>
      <c r="R66" s="917" t="n"/>
      <c r="S66" s="917" t="n"/>
      <c r="T66" s="917" t="n"/>
      <c r="U66" s="917" t="n"/>
      <c r="V66" s="917" t="n"/>
    </row>
    <row r="67">
      <c r="A67" s="205" t="n"/>
      <c r="B67" s="917" t="n"/>
      <c r="C67" s="917" t="n"/>
      <c r="D67" s="917" t="n"/>
      <c r="E67" s="917" t="n"/>
      <c r="F67" s="917" t="n"/>
      <c r="G67" s="917" t="n"/>
      <c r="H67" s="917" t="n"/>
      <c r="I67" s="917" t="n"/>
      <c r="J67" s="917" t="n"/>
      <c r="K67" s="917" t="n"/>
      <c r="L67" s="917" t="n"/>
      <c r="M67" s="917" t="n"/>
      <c r="N67" s="917" t="n"/>
      <c r="O67" s="917" t="n"/>
      <c r="P67" s="917" t="n"/>
      <c r="Q67" s="917" t="n"/>
      <c r="R67" s="917" t="n"/>
      <c r="S67" s="917" t="n"/>
      <c r="T67" s="917" t="n"/>
      <c r="U67" s="917" t="n"/>
      <c r="V67" s="917" t="n"/>
    </row>
    <row r="68">
      <c r="A68" s="205" t="n"/>
      <c r="B68" s="917" t="n"/>
      <c r="C68" s="917" t="n"/>
      <c r="D68" s="917" t="n"/>
      <c r="E68" s="917" t="n"/>
      <c r="F68" s="917" t="n"/>
      <c r="G68" s="917" t="n"/>
      <c r="H68" s="917" t="n"/>
      <c r="I68" s="917" t="n"/>
      <c r="J68" s="917" t="n"/>
      <c r="K68" s="917" t="n"/>
      <c r="L68" s="917" t="n"/>
      <c r="M68" s="917" t="n"/>
      <c r="N68" s="917" t="n"/>
      <c r="O68" s="917" t="n"/>
      <c r="P68" s="917" t="n"/>
      <c r="Q68" s="917" t="n"/>
      <c r="R68" s="917" t="n"/>
      <c r="S68" s="917" t="n"/>
      <c r="T68" s="917" t="n"/>
      <c r="U68" s="917" t="n"/>
      <c r="V68" s="917" t="n"/>
    </row>
    <row r="69">
      <c r="A69" s="205" t="n"/>
      <c r="B69" s="917" t="n"/>
      <c r="C69" s="917" t="n"/>
      <c r="D69" s="917" t="n"/>
      <c r="E69" s="917" t="n"/>
      <c r="F69" s="917" t="n"/>
      <c r="G69" s="917" t="n"/>
      <c r="H69" s="917" t="n"/>
      <c r="I69" s="917" t="n"/>
      <c r="J69" s="917" t="n"/>
      <c r="K69" s="917" t="n"/>
      <c r="L69" s="917" t="n"/>
      <c r="M69" s="917" t="n"/>
      <c r="N69" s="917" t="n"/>
      <c r="O69" s="917" t="n"/>
      <c r="P69" s="917" t="n"/>
      <c r="Q69" s="917" t="n"/>
      <c r="R69" s="917" t="n"/>
      <c r="S69" s="917" t="n"/>
      <c r="T69" s="917" t="n"/>
      <c r="U69" s="917" t="n"/>
      <c r="V69" s="917" t="n"/>
    </row>
    <row r="70">
      <c r="A70" s="205" t="n"/>
      <c r="B70" s="917" t="n"/>
      <c r="C70" s="917" t="n"/>
      <c r="D70" s="917" t="n"/>
      <c r="E70" s="917" t="n"/>
      <c r="F70" s="917" t="n"/>
      <c r="G70" s="917" t="n"/>
      <c r="H70" s="917" t="n"/>
      <c r="I70" s="917" t="n"/>
      <c r="J70" s="917" t="n"/>
      <c r="K70" s="917" t="n"/>
      <c r="L70" s="917" t="n"/>
      <c r="M70" s="917" t="n"/>
      <c r="N70" s="917" t="n"/>
      <c r="O70" s="917" t="n"/>
      <c r="P70" s="917" t="n"/>
      <c r="Q70" s="917" t="n"/>
      <c r="R70" s="917" t="n"/>
      <c r="S70" s="917" t="n"/>
      <c r="T70" s="917" t="n"/>
      <c r="U70" s="917" t="n"/>
      <c r="V70" s="917" t="n"/>
    </row>
    <row r="71">
      <c r="A71" s="205" t="n"/>
      <c r="B71" s="917" t="n"/>
      <c r="C71" s="917" t="n"/>
      <c r="D71" s="917" t="n"/>
      <c r="E71" s="917" t="n"/>
      <c r="F71" s="917" t="n"/>
      <c r="G71" s="917" t="n"/>
      <c r="H71" s="917" t="n"/>
      <c r="I71" s="917" t="n"/>
      <c r="J71" s="917" t="n"/>
      <c r="K71" s="917" t="n"/>
      <c r="L71" s="917" t="n"/>
      <c r="M71" s="917" t="n"/>
      <c r="N71" s="917" t="n"/>
      <c r="O71" s="917" t="n"/>
      <c r="P71" s="917" t="n"/>
      <c r="Q71" s="917" t="n"/>
      <c r="R71" s="917" t="n"/>
      <c r="S71" s="917" t="n"/>
      <c r="T71" s="917" t="n"/>
      <c r="U71" s="917" t="n"/>
      <c r="V71" s="917" t="n"/>
    </row>
    <row r="72">
      <c r="A72" s="205" t="n"/>
      <c r="B72" s="917" t="n"/>
      <c r="C72" s="917" t="n"/>
      <c r="D72" s="917" t="n"/>
      <c r="E72" s="917" t="n"/>
      <c r="F72" s="917" t="n"/>
      <c r="G72" s="917" t="n"/>
      <c r="H72" s="917" t="n"/>
      <c r="I72" s="917" t="n"/>
      <c r="J72" s="917" t="n"/>
      <c r="K72" s="917" t="n"/>
      <c r="L72" s="917" t="n"/>
      <c r="M72" s="917" t="n"/>
      <c r="N72" s="917" t="n"/>
      <c r="O72" s="917" t="n"/>
      <c r="P72" s="917" t="n"/>
      <c r="Q72" s="917" t="n"/>
      <c r="R72" s="917" t="n"/>
      <c r="S72" s="917" t="n"/>
      <c r="T72" s="917" t="n"/>
      <c r="U72" s="917" t="n"/>
      <c r="V72" s="917" t="n"/>
    </row>
    <row r="73">
      <c r="A73" s="205" t="n"/>
      <c r="B73" s="917" t="n"/>
      <c r="C73" s="917" t="n"/>
      <c r="D73" s="917" t="n"/>
      <c r="E73" s="917" t="n"/>
      <c r="F73" s="917" t="n"/>
      <c r="G73" s="917" t="n"/>
      <c r="H73" s="917" t="n"/>
      <c r="I73" s="917" t="n"/>
      <c r="J73" s="917" t="n"/>
      <c r="K73" s="917" t="n"/>
      <c r="L73" s="917" t="n"/>
      <c r="M73" s="917" t="n"/>
      <c r="N73" s="917" t="n"/>
      <c r="O73" s="917" t="n"/>
      <c r="P73" s="917" t="n"/>
      <c r="Q73" s="917" t="n"/>
      <c r="R73" s="917" t="n"/>
      <c r="S73" s="917" t="n"/>
      <c r="T73" s="917" t="n"/>
      <c r="U73" s="917" t="n"/>
      <c r="V73" s="917" t="n"/>
    </row>
    <row r="74">
      <c r="A74" s="205" t="n"/>
      <c r="B74" s="917" t="n"/>
      <c r="C74" s="917" t="n"/>
      <c r="D74" s="917" t="n"/>
      <c r="E74" s="917" t="n"/>
      <c r="F74" s="917" t="n"/>
      <c r="G74" s="917" t="n"/>
      <c r="H74" s="917" t="n"/>
      <c r="I74" s="917" t="n"/>
      <c r="J74" s="917" t="n"/>
      <c r="K74" s="917" t="n"/>
      <c r="L74" s="917" t="n"/>
      <c r="M74" s="917" t="n"/>
      <c r="N74" s="917" t="n"/>
      <c r="O74" s="917" t="n"/>
      <c r="P74" s="917" t="n"/>
      <c r="Q74" s="917" t="n"/>
      <c r="R74" s="917" t="n"/>
      <c r="S74" s="917" t="n"/>
      <c r="T74" s="917" t="n"/>
      <c r="U74" s="917" t="n"/>
      <c r="V74" s="917" t="n"/>
    </row>
    <row r="75">
      <c r="A75" s="205" t="n"/>
      <c r="B75" s="917" t="n"/>
      <c r="C75" s="917" t="n"/>
      <c r="D75" s="917" t="n"/>
      <c r="E75" s="917" t="n"/>
      <c r="F75" s="917" t="n"/>
      <c r="G75" s="917" t="n"/>
      <c r="H75" s="917" t="n"/>
      <c r="I75" s="917" t="n"/>
      <c r="J75" s="917" t="n"/>
      <c r="K75" s="917" t="n"/>
      <c r="L75" s="917" t="n"/>
      <c r="M75" s="917" t="n"/>
      <c r="N75" s="917" t="n"/>
      <c r="O75" s="917" t="n"/>
      <c r="P75" s="917" t="n"/>
      <c r="Q75" s="917" t="n"/>
      <c r="R75" s="917" t="n"/>
      <c r="S75" s="917" t="n"/>
      <c r="T75" s="917" t="n"/>
      <c r="U75" s="917" t="n"/>
      <c r="V75" s="917" t="n"/>
    </row>
    <row r="76">
      <c r="A76" s="205" t="n"/>
      <c r="B76" s="917" t="n"/>
      <c r="C76" s="917" t="n"/>
      <c r="D76" s="917" t="n"/>
      <c r="E76" s="917" t="n"/>
      <c r="F76" s="917" t="n"/>
      <c r="G76" s="917" t="n"/>
      <c r="H76" s="917" t="n"/>
      <c r="I76" s="917" t="n"/>
      <c r="J76" s="917" t="n"/>
      <c r="K76" s="917" t="n"/>
      <c r="L76" s="917" t="n"/>
      <c r="M76" s="917" t="n"/>
      <c r="N76" s="917" t="n"/>
      <c r="O76" s="917" t="n"/>
      <c r="P76" s="917" t="n"/>
      <c r="Q76" s="917" t="n"/>
      <c r="R76" s="917" t="n"/>
      <c r="S76" s="917" t="n"/>
      <c r="T76" s="917" t="n"/>
      <c r="U76" s="917" t="n"/>
      <c r="V76" s="917" t="n"/>
    </row>
    <row r="77">
      <c r="A77" s="205" t="n"/>
      <c r="B77" s="917" t="n"/>
      <c r="C77" s="917" t="n"/>
      <c r="D77" s="917" t="n"/>
      <c r="E77" s="917" t="n"/>
      <c r="F77" s="917" t="n"/>
      <c r="G77" s="917" t="n"/>
      <c r="H77" s="917" t="n"/>
      <c r="I77" s="917" t="n"/>
      <c r="J77" s="917" t="n"/>
      <c r="K77" s="917" t="n"/>
      <c r="L77" s="917" t="n"/>
      <c r="M77" s="917" t="n"/>
      <c r="N77" s="917" t="n"/>
      <c r="O77" s="917" t="n"/>
      <c r="P77" s="917" t="n"/>
      <c r="Q77" s="917" t="n"/>
      <c r="R77" s="917" t="n"/>
      <c r="S77" s="917" t="n"/>
      <c r="T77" s="917" t="n"/>
      <c r="U77" s="917" t="n"/>
      <c r="V77" s="917" t="n"/>
    </row>
    <row r="78">
      <c r="A78" s="205" t="n"/>
      <c r="B78" s="917" t="n"/>
      <c r="C78" s="917" t="n"/>
      <c r="D78" s="917" t="n"/>
      <c r="E78" s="917" t="n"/>
      <c r="F78" s="917" t="n"/>
      <c r="G78" s="917" t="n"/>
      <c r="H78" s="917" t="n"/>
      <c r="I78" s="917" t="n"/>
      <c r="J78" s="917" t="n"/>
      <c r="K78" s="917" t="n"/>
      <c r="L78" s="917" t="n"/>
      <c r="M78" s="917" t="n"/>
      <c r="N78" s="917" t="n"/>
      <c r="O78" s="917" t="n"/>
      <c r="P78" s="917" t="n"/>
      <c r="Q78" s="917" t="n"/>
      <c r="R78" s="917" t="n"/>
      <c r="S78" s="917" t="n"/>
      <c r="T78" s="917" t="n"/>
      <c r="U78" s="917" t="n"/>
      <c r="V78" s="917" t="n"/>
    </row>
    <row r="79">
      <c r="A79" s="205" t="n"/>
      <c r="B79" s="917" t="n"/>
      <c r="C79" s="917" t="n"/>
      <c r="D79" s="917" t="n"/>
      <c r="E79" s="917" t="n"/>
      <c r="F79" s="917" t="n"/>
      <c r="G79" s="917" t="n"/>
      <c r="H79" s="917" t="n"/>
      <c r="I79" s="917" t="n"/>
      <c r="J79" s="917" t="n"/>
      <c r="K79" s="917" t="n"/>
      <c r="L79" s="917" t="n"/>
      <c r="M79" s="917" t="n"/>
      <c r="N79" s="917" t="n"/>
      <c r="O79" s="917" t="n"/>
      <c r="P79" s="917" t="n"/>
      <c r="Q79" s="917" t="n"/>
      <c r="R79" s="917" t="n"/>
      <c r="S79" s="917" t="n"/>
      <c r="T79" s="917" t="n"/>
      <c r="U79" s="917" t="n"/>
      <c r="V79" s="917" t="n"/>
    </row>
    <row r="80">
      <c r="A80" s="205" t="n"/>
      <c r="B80" s="917" t="n"/>
      <c r="C80" s="917" t="n"/>
      <c r="D80" s="917" t="n"/>
      <c r="E80" s="917" t="n"/>
      <c r="F80" s="917" t="n"/>
      <c r="G80" s="917" t="n"/>
      <c r="H80" s="917" t="n"/>
      <c r="I80" s="917" t="n"/>
      <c r="J80" s="917" t="n"/>
      <c r="K80" s="917" t="n"/>
      <c r="L80" s="917" t="n"/>
      <c r="M80" s="917" t="n"/>
      <c r="N80" s="917" t="n"/>
      <c r="O80" s="917" t="n"/>
      <c r="P80" s="917" t="n"/>
      <c r="Q80" s="917" t="n"/>
      <c r="R80" s="917" t="n"/>
      <c r="S80" s="917" t="n"/>
      <c r="T80" s="917" t="n"/>
      <c r="U80" s="917" t="n"/>
      <c r="V80" s="917" t="n"/>
    </row>
    <row r="81">
      <c r="A81" s="205" t="n"/>
      <c r="B81" s="917" t="n"/>
      <c r="C81" s="917" t="n"/>
      <c r="D81" s="917" t="n"/>
      <c r="E81" s="917" t="n"/>
      <c r="F81" s="917" t="n"/>
      <c r="G81" s="917" t="n"/>
      <c r="H81" s="917" t="n"/>
      <c r="I81" s="917" t="n"/>
      <c r="J81" s="917" t="n"/>
      <c r="K81" s="917" t="n"/>
      <c r="L81" s="917" t="n"/>
      <c r="M81" s="917" t="n"/>
      <c r="N81" s="917" t="n"/>
      <c r="O81" s="917" t="n"/>
      <c r="P81" s="917" t="n"/>
      <c r="Q81" s="917" t="n"/>
      <c r="R81" s="917" t="n"/>
      <c r="S81" s="917" t="n"/>
      <c r="T81" s="917" t="n"/>
      <c r="U81" s="917" t="n"/>
      <c r="V81" s="917" t="n"/>
    </row>
    <row r="82">
      <c r="A82" s="205" t="n"/>
      <c r="B82" s="917" t="n"/>
      <c r="C82" s="917" t="n"/>
      <c r="D82" s="917" t="n"/>
      <c r="E82" s="917" t="n"/>
      <c r="F82" s="917" t="n"/>
      <c r="G82" s="917" t="n"/>
      <c r="H82" s="917" t="n"/>
      <c r="I82" s="917" t="n"/>
      <c r="J82" s="917" t="n"/>
      <c r="K82" s="917" t="n"/>
      <c r="L82" s="917" t="n"/>
      <c r="M82" s="917" t="n"/>
      <c r="N82" s="917" t="n"/>
      <c r="O82" s="917" t="n"/>
      <c r="P82" s="917" t="n"/>
      <c r="Q82" s="917" t="n"/>
      <c r="R82" s="917" t="n"/>
      <c r="S82" s="917" t="n"/>
      <c r="T82" s="917" t="n"/>
      <c r="U82" s="917" t="n"/>
      <c r="V82" s="917" t="n"/>
    </row>
    <row r="83">
      <c r="A83" s="205" t="n"/>
      <c r="B83" s="917" t="n"/>
      <c r="C83" s="917" t="n"/>
      <c r="D83" s="917" t="n"/>
      <c r="E83" s="917" t="n"/>
      <c r="F83" s="917" t="n"/>
      <c r="G83" s="917" t="n"/>
      <c r="H83" s="917" t="n"/>
      <c r="I83" s="917" t="n"/>
      <c r="J83" s="917" t="n"/>
      <c r="K83" s="917" t="n"/>
      <c r="L83" s="917" t="n"/>
      <c r="M83" s="917" t="n"/>
      <c r="N83" s="917" t="n"/>
      <c r="O83" s="917" t="n"/>
      <c r="P83" s="917" t="n"/>
      <c r="Q83" s="917" t="n"/>
      <c r="R83" s="917" t="n"/>
      <c r="S83" s="917" t="n"/>
      <c r="T83" s="917" t="n"/>
      <c r="U83" s="917" t="n"/>
      <c r="V83" s="917" t="n"/>
    </row>
    <row r="84">
      <c r="A84" s="205" t="n"/>
      <c r="B84" s="917" t="n"/>
      <c r="C84" s="917" t="n"/>
      <c r="D84" s="917" t="n"/>
      <c r="E84" s="917" t="n"/>
      <c r="F84" s="917" t="n"/>
      <c r="G84" s="917" t="n"/>
      <c r="H84" s="917" t="n"/>
      <c r="I84" s="917" t="n"/>
      <c r="J84" s="917" t="n"/>
      <c r="K84" s="917" t="n"/>
      <c r="L84" s="917" t="n"/>
      <c r="M84" s="917" t="n"/>
      <c r="N84" s="917" t="n"/>
      <c r="O84" s="917" t="n"/>
      <c r="P84" s="917" t="n"/>
      <c r="Q84" s="917" t="n"/>
      <c r="R84" s="917" t="n"/>
      <c r="S84" s="917" t="n"/>
      <c r="T84" s="917" t="n"/>
      <c r="U84" s="917" t="n"/>
      <c r="V84" s="917" t="n"/>
    </row>
    <row r="85">
      <c r="A85" s="205" t="n"/>
      <c r="B85" s="917" t="n"/>
      <c r="C85" s="917" t="n"/>
      <c r="D85" s="917" t="n"/>
      <c r="E85" s="917" t="n"/>
      <c r="F85" s="917" t="n"/>
      <c r="G85" s="917" t="n"/>
      <c r="H85" s="917" t="n"/>
      <c r="I85" s="917" t="n"/>
      <c r="J85" s="917" t="n"/>
      <c r="K85" s="917" t="n"/>
      <c r="L85" s="917" t="n"/>
      <c r="M85" s="917" t="n"/>
      <c r="N85" s="917" t="n"/>
      <c r="O85" s="917" t="n"/>
      <c r="P85" s="917" t="n"/>
      <c r="Q85" s="917" t="n"/>
      <c r="R85" s="917" t="n"/>
      <c r="S85" s="917" t="n"/>
      <c r="T85" s="917" t="n"/>
      <c r="U85" s="917" t="n"/>
      <c r="V85" s="917" t="n"/>
    </row>
    <row r="86">
      <c r="A86" s="205" t="n"/>
      <c r="B86" s="917" t="n"/>
      <c r="C86" s="917" t="n"/>
      <c r="D86" s="917" t="n"/>
      <c r="E86" s="917" t="n"/>
      <c r="F86" s="917" t="n"/>
      <c r="G86" s="917" t="n"/>
      <c r="H86" s="917" t="n"/>
      <c r="I86" s="917" t="n"/>
      <c r="J86" s="917" t="n"/>
      <c r="K86" s="917" t="n"/>
      <c r="L86" s="917" t="n"/>
      <c r="M86" s="917" t="n"/>
      <c r="N86" s="917" t="n"/>
      <c r="O86" s="917" t="n"/>
      <c r="P86" s="917" t="n"/>
      <c r="Q86" s="917" t="n"/>
      <c r="R86" s="917" t="n"/>
      <c r="S86" s="917" t="n"/>
      <c r="T86" s="917" t="n"/>
      <c r="U86" s="917" t="n"/>
      <c r="V86" s="917" t="n"/>
    </row>
    <row r="87">
      <c r="A87" s="205" t="n"/>
      <c r="B87" s="917" t="n"/>
      <c r="C87" s="917" t="n"/>
      <c r="D87" s="917" t="n"/>
      <c r="E87" s="917" t="n"/>
      <c r="F87" s="917" t="n"/>
      <c r="G87" s="917" t="n"/>
      <c r="H87" s="917" t="n"/>
      <c r="I87" s="917" t="n"/>
      <c r="J87" s="917" t="n"/>
      <c r="K87" s="917" t="n"/>
      <c r="L87" s="917" t="n"/>
      <c r="M87" s="917" t="n"/>
      <c r="N87" s="917" t="n"/>
      <c r="O87" s="917" t="n"/>
      <c r="P87" s="917" t="n"/>
      <c r="Q87" s="917" t="n"/>
      <c r="R87" s="917" t="n"/>
      <c r="S87" s="917" t="n"/>
      <c r="T87" s="917" t="n"/>
      <c r="U87" s="917" t="n"/>
      <c r="V87" s="917" t="n"/>
    </row>
    <row r="88">
      <c r="A88" s="205" t="n"/>
      <c r="B88" s="917" t="n"/>
      <c r="C88" s="917" t="n"/>
      <c r="D88" s="917" t="n"/>
      <c r="E88" s="917" t="n"/>
      <c r="F88" s="917" t="n"/>
      <c r="G88" s="917" t="n"/>
      <c r="H88" s="917" t="n"/>
      <c r="I88" s="917" t="n"/>
      <c r="J88" s="917" t="n"/>
      <c r="K88" s="917" t="n"/>
      <c r="L88" s="917" t="n"/>
      <c r="M88" s="917" t="n"/>
      <c r="N88" s="917" t="n"/>
      <c r="O88" s="917" t="n"/>
      <c r="P88" s="917" t="n"/>
      <c r="Q88" s="917" t="n"/>
      <c r="R88" s="917" t="n"/>
      <c r="S88" s="917" t="n"/>
      <c r="T88" s="917" t="n"/>
      <c r="U88" s="917" t="n"/>
      <c r="V88" s="917" t="n"/>
    </row>
    <row r="89">
      <c r="A89" s="205" t="n"/>
      <c r="B89" s="917" t="n"/>
      <c r="C89" s="917" t="n"/>
      <c r="D89" s="917" t="n"/>
      <c r="E89" s="917" t="n"/>
      <c r="F89" s="917" t="n"/>
      <c r="G89" s="917" t="n"/>
      <c r="H89" s="917" t="n"/>
      <c r="I89" s="917" t="n"/>
      <c r="J89" s="917" t="n"/>
      <c r="K89" s="917" t="n"/>
      <c r="L89" s="917" t="n"/>
      <c r="M89" s="917" t="n"/>
      <c r="N89" s="917" t="n"/>
      <c r="O89" s="917" t="n"/>
      <c r="P89" s="917" t="n"/>
      <c r="Q89" s="917" t="n"/>
      <c r="R89" s="917" t="n"/>
      <c r="S89" s="917" t="n"/>
      <c r="T89" s="917" t="n"/>
      <c r="U89" s="917" t="n"/>
      <c r="V89" s="917" t="n"/>
    </row>
    <row r="90">
      <c r="A90" s="205" t="n"/>
      <c r="B90" s="917" t="n"/>
      <c r="C90" s="917" t="n"/>
      <c r="D90" s="917" t="n"/>
      <c r="E90" s="917" t="n"/>
      <c r="F90" s="917" t="n"/>
      <c r="G90" s="917" t="n"/>
      <c r="H90" s="917" t="n"/>
      <c r="I90" s="917" t="n"/>
      <c r="J90" s="917" t="n"/>
      <c r="K90" s="917" t="n"/>
      <c r="L90" s="917" t="n"/>
      <c r="M90" s="917" t="n"/>
      <c r="N90" s="917" t="n"/>
      <c r="O90" s="917" t="n"/>
      <c r="P90" s="917" t="n"/>
      <c r="Q90" s="917" t="n"/>
      <c r="R90" s="917" t="n"/>
      <c r="S90" s="917" t="n"/>
      <c r="T90" s="917" t="n"/>
      <c r="U90" s="917" t="n"/>
      <c r="V90" s="917" t="n"/>
    </row>
    <row r="91">
      <c r="A91" s="205" t="n"/>
      <c r="B91" s="917" t="n"/>
      <c r="C91" s="917" t="n"/>
      <c r="D91" s="917" t="n"/>
      <c r="E91" s="917" t="n"/>
      <c r="F91" s="917" t="n"/>
      <c r="G91" s="917" t="n"/>
      <c r="H91" s="917" t="n"/>
      <c r="I91" s="917" t="n"/>
      <c r="J91" s="917" t="n"/>
      <c r="K91" s="917" t="n"/>
      <c r="L91" s="917" t="n"/>
      <c r="M91" s="917" t="n"/>
      <c r="N91" s="917" t="n"/>
      <c r="O91" s="917" t="n"/>
      <c r="P91" s="917" t="n"/>
      <c r="Q91" s="917" t="n"/>
      <c r="R91" s="917" t="n"/>
      <c r="S91" s="917" t="n"/>
      <c r="T91" s="917" t="n"/>
      <c r="U91" s="917" t="n"/>
      <c r="V91" s="917" t="n"/>
    </row>
    <row r="92">
      <c r="A92" s="205" t="n"/>
      <c r="B92" s="917" t="n"/>
      <c r="C92" s="917" t="n"/>
      <c r="D92" s="917" t="n"/>
      <c r="E92" s="917" t="n"/>
      <c r="F92" s="917" t="n"/>
      <c r="G92" s="917" t="n"/>
      <c r="H92" s="917" t="n"/>
      <c r="I92" s="917" t="n"/>
      <c r="J92" s="917" t="n"/>
      <c r="K92" s="917" t="n"/>
      <c r="L92" s="917" t="n"/>
      <c r="M92" s="917" t="n"/>
      <c r="N92" s="917" t="n"/>
      <c r="O92" s="917" t="n"/>
      <c r="P92" s="917" t="n"/>
      <c r="Q92" s="917" t="n"/>
      <c r="R92" s="917" t="n"/>
      <c r="S92" s="917" t="n"/>
      <c r="T92" s="917" t="n"/>
      <c r="U92" s="917" t="n"/>
      <c r="V92" s="917" t="n"/>
    </row>
    <row r="93">
      <c r="A93" s="205" t="n"/>
      <c r="B93" s="917" t="n"/>
      <c r="C93" s="917" t="n"/>
      <c r="D93" s="917" t="n"/>
      <c r="E93" s="917" t="n"/>
      <c r="F93" s="917" t="n"/>
      <c r="G93" s="917" t="n"/>
      <c r="H93" s="917" t="n"/>
      <c r="I93" s="917" t="n"/>
      <c r="J93" s="917" t="n"/>
      <c r="K93" s="917" t="n"/>
      <c r="L93" s="917" t="n"/>
      <c r="M93" s="917" t="n"/>
      <c r="N93" s="917" t="n"/>
      <c r="O93" s="917" t="n"/>
      <c r="P93" s="917" t="n"/>
      <c r="Q93" s="917" t="n"/>
      <c r="R93" s="917" t="n"/>
      <c r="S93" s="917" t="n"/>
      <c r="T93" s="917" t="n"/>
      <c r="U93" s="917" t="n"/>
      <c r="V93" s="917" t="n"/>
    </row>
    <row r="94">
      <c r="A94" s="205" t="n"/>
      <c r="B94" s="917" t="n"/>
      <c r="C94" s="917" t="n"/>
      <c r="D94" s="917" t="n"/>
      <c r="E94" s="917" t="n"/>
      <c r="F94" s="917" t="n"/>
      <c r="G94" s="917" t="n"/>
      <c r="H94" s="917" t="n"/>
      <c r="I94" s="917" t="n"/>
      <c r="J94" s="917" t="n"/>
      <c r="K94" s="917" t="n"/>
      <c r="L94" s="917" t="n"/>
      <c r="M94" s="917" t="n"/>
      <c r="N94" s="917" t="n"/>
      <c r="O94" s="917" t="n"/>
      <c r="P94" s="917" t="n"/>
      <c r="Q94" s="917" t="n"/>
      <c r="R94" s="917" t="n"/>
      <c r="S94" s="917" t="n"/>
      <c r="T94" s="917" t="n"/>
      <c r="U94" s="917" t="n"/>
      <c r="V94" s="917" t="n"/>
    </row>
    <row r="95">
      <c r="A95" s="205" t="n"/>
      <c r="B95" s="917" t="n"/>
      <c r="C95" s="917" t="n"/>
      <c r="D95" s="917" t="n"/>
      <c r="E95" s="917" t="n"/>
      <c r="F95" s="917" t="n"/>
      <c r="G95" s="917" t="n"/>
      <c r="H95" s="917" t="n"/>
      <c r="I95" s="917" t="n"/>
      <c r="J95" s="917" t="n"/>
      <c r="K95" s="917" t="n"/>
      <c r="L95" s="917" t="n"/>
      <c r="M95" s="917" t="n"/>
      <c r="N95" s="917" t="n"/>
      <c r="O95" s="917" t="n"/>
      <c r="P95" s="917" t="n"/>
      <c r="Q95" s="917" t="n"/>
      <c r="R95" s="917" t="n"/>
      <c r="S95" s="917" t="n"/>
      <c r="T95" s="917" t="n"/>
      <c r="U95" s="917" t="n"/>
      <c r="V95" s="917" t="n"/>
    </row>
    <row r="96">
      <c r="A96" s="205" t="n"/>
      <c r="B96" s="917" t="n"/>
      <c r="C96" s="917" t="n"/>
      <c r="D96" s="917" t="n"/>
      <c r="E96" s="917" t="n"/>
      <c r="F96" s="917" t="n"/>
      <c r="G96" s="917" t="n"/>
      <c r="H96" s="917" t="n"/>
      <c r="I96" s="917" t="n"/>
      <c r="J96" s="917" t="n"/>
      <c r="K96" s="917" t="n"/>
      <c r="L96" s="917" t="n"/>
      <c r="M96" s="917" t="n"/>
      <c r="N96" s="917" t="n"/>
      <c r="O96" s="917" t="n"/>
      <c r="P96" s="917" t="n"/>
      <c r="Q96" s="917" t="n"/>
      <c r="R96" s="917" t="n"/>
      <c r="S96" s="917" t="n"/>
      <c r="T96" s="917" t="n"/>
      <c r="U96" s="917" t="n"/>
      <c r="V96" s="917" t="n"/>
    </row>
    <row r="97">
      <c r="A97" s="205" t="n"/>
      <c r="B97" s="917" t="n"/>
      <c r="C97" s="917" t="n"/>
      <c r="D97" s="917" t="n"/>
      <c r="E97" s="917" t="n"/>
      <c r="F97" s="917" t="n"/>
      <c r="G97" s="917" t="n"/>
      <c r="H97" s="917" t="n"/>
      <c r="I97" s="917" t="n"/>
      <c r="J97" s="917" t="n"/>
      <c r="K97" s="917" t="n"/>
      <c r="L97" s="917" t="n"/>
      <c r="M97" s="917" t="n"/>
      <c r="N97" s="917" t="n"/>
      <c r="O97" s="917" t="n"/>
      <c r="P97" s="917" t="n"/>
      <c r="Q97" s="917" t="n"/>
      <c r="R97" s="917" t="n"/>
      <c r="S97" s="917" t="n"/>
      <c r="T97" s="917" t="n"/>
      <c r="U97" s="917" t="n"/>
      <c r="V97" s="917" t="n"/>
    </row>
    <row r="98">
      <c r="A98" s="205" t="n"/>
      <c r="B98" s="917" t="n"/>
      <c r="C98" s="917" t="n"/>
      <c r="D98" s="917" t="n"/>
      <c r="E98" s="917" t="n"/>
      <c r="F98" s="917" t="n"/>
      <c r="G98" s="917" t="n"/>
      <c r="H98" s="917" t="n"/>
      <c r="I98" s="917" t="n"/>
      <c r="J98" s="917" t="n"/>
      <c r="K98" s="917" t="n"/>
      <c r="L98" s="917" t="n"/>
      <c r="M98" s="917" t="n"/>
      <c r="N98" s="917" t="n"/>
      <c r="O98" s="917" t="n"/>
      <c r="P98" s="917" t="n"/>
      <c r="Q98" s="917" t="n"/>
      <c r="R98" s="917" t="n"/>
      <c r="S98" s="917" t="n"/>
      <c r="T98" s="917" t="n"/>
      <c r="U98" s="917" t="n"/>
      <c r="V98" s="917" t="n"/>
    </row>
    <row r="99">
      <c r="A99" s="205" t="n"/>
      <c r="B99" s="917" t="n"/>
      <c r="C99" s="917" t="n"/>
      <c r="D99" s="917" t="n"/>
      <c r="E99" s="917" t="n"/>
      <c r="F99" s="917" t="n"/>
      <c r="G99" s="917" t="n"/>
      <c r="H99" s="917" t="n"/>
      <c r="I99" s="917" t="n"/>
      <c r="J99" s="917" t="n"/>
      <c r="K99" s="917" t="n"/>
      <c r="L99" s="917" t="n"/>
      <c r="M99" s="917" t="n"/>
      <c r="N99" s="917" t="n"/>
      <c r="O99" s="917" t="n"/>
      <c r="P99" s="917" t="n"/>
      <c r="Q99" s="917" t="n"/>
      <c r="R99" s="917" t="n"/>
      <c r="S99" s="917" t="n"/>
      <c r="T99" s="917" t="n"/>
      <c r="U99" s="917" t="n"/>
      <c r="V99" s="917" t="n"/>
    </row>
    <row r="100">
      <c r="A100" s="205" t="n"/>
      <c r="B100" s="917" t="n"/>
      <c r="C100" s="917" t="n"/>
      <c r="D100" s="917" t="n"/>
      <c r="E100" s="917" t="n"/>
      <c r="F100" s="917" t="n"/>
      <c r="G100" s="917" t="n"/>
      <c r="H100" s="917" t="n"/>
      <c r="I100" s="917" t="n"/>
      <c r="J100" s="917" t="n"/>
      <c r="K100" s="917" t="n"/>
      <c r="L100" s="917" t="n"/>
      <c r="M100" s="917" t="n"/>
      <c r="N100" s="917" t="n"/>
      <c r="O100" s="917" t="n"/>
      <c r="P100" s="917" t="n"/>
      <c r="Q100" s="917" t="n"/>
      <c r="R100" s="917" t="n"/>
      <c r="S100" s="917" t="n"/>
      <c r="T100" s="917" t="n"/>
      <c r="U100" s="917" t="n"/>
      <c r="V100" s="917" t="n"/>
    </row>
    <row r="101">
      <c r="A101" s="205" t="n"/>
      <c r="B101" s="917" t="n"/>
      <c r="C101" s="917" t="n"/>
      <c r="D101" s="917" t="n"/>
      <c r="E101" s="917" t="n"/>
      <c r="F101" s="917" t="n"/>
      <c r="G101" s="917" t="n"/>
      <c r="H101" s="917" t="n"/>
      <c r="I101" s="917" t="n"/>
      <c r="J101" s="917" t="n"/>
      <c r="K101" s="917" t="n"/>
      <c r="L101" s="917" t="n"/>
      <c r="M101" s="917" t="n"/>
      <c r="N101" s="917" t="n"/>
      <c r="O101" s="917" t="n"/>
      <c r="P101" s="917" t="n"/>
      <c r="Q101" s="917" t="n"/>
      <c r="R101" s="917" t="n"/>
      <c r="S101" s="917" t="n"/>
      <c r="T101" s="917" t="n"/>
      <c r="U101" s="917" t="n"/>
      <c r="V101" s="917" t="n"/>
    </row>
    <row r="102">
      <c r="A102" s="205" t="n"/>
      <c r="B102" s="917" t="n"/>
      <c r="C102" s="917" t="n"/>
      <c r="D102" s="917" t="n"/>
      <c r="E102" s="917" t="n"/>
      <c r="F102" s="917" t="n"/>
      <c r="G102" s="917" t="n"/>
      <c r="H102" s="917" t="n"/>
      <c r="I102" s="917" t="n"/>
      <c r="J102" s="917" t="n"/>
      <c r="K102" s="917" t="n"/>
      <c r="L102" s="917" t="n"/>
      <c r="M102" s="917" t="n"/>
      <c r="N102" s="917" t="n"/>
      <c r="O102" s="917" t="n"/>
      <c r="P102" s="917" t="n"/>
      <c r="Q102" s="917" t="n"/>
      <c r="R102" s="917" t="n"/>
      <c r="S102" s="917" t="n"/>
      <c r="T102" s="917" t="n"/>
      <c r="U102" s="917" t="n"/>
      <c r="V102" s="917" t="n"/>
    </row>
    <row r="103">
      <c r="A103" s="205" t="n"/>
      <c r="B103" s="917" t="n"/>
      <c r="C103" s="917" t="n"/>
      <c r="D103" s="917" t="n"/>
      <c r="E103" s="917" t="n"/>
      <c r="F103" s="917" t="n"/>
      <c r="G103" s="917" t="n"/>
      <c r="H103" s="917" t="n"/>
      <c r="I103" s="917" t="n"/>
      <c r="J103" s="917" t="n"/>
      <c r="K103" s="917" t="n"/>
      <c r="L103" s="917" t="n"/>
      <c r="M103" s="917" t="n"/>
      <c r="N103" s="917" t="n"/>
      <c r="O103" s="917" t="n"/>
      <c r="P103" s="917" t="n"/>
      <c r="Q103" s="917" t="n"/>
      <c r="R103" s="917" t="n"/>
      <c r="S103" s="917" t="n"/>
      <c r="T103" s="917" t="n"/>
      <c r="U103" s="917" t="n"/>
      <c r="V103" s="917" t="n"/>
    </row>
    <row r="104">
      <c r="A104" s="205" t="n"/>
      <c r="B104" s="917" t="n"/>
      <c r="C104" s="917" t="n"/>
      <c r="D104" s="917" t="n"/>
      <c r="E104" s="917" t="n"/>
      <c r="F104" s="917" t="n"/>
      <c r="G104" s="917" t="n"/>
      <c r="H104" s="917" t="n"/>
      <c r="I104" s="917" t="n"/>
      <c r="J104" s="917" t="n"/>
      <c r="K104" s="917" t="n"/>
      <c r="L104" s="917" t="n"/>
      <c r="M104" s="917" t="n"/>
      <c r="N104" s="917" t="n"/>
      <c r="O104" s="917" t="n"/>
      <c r="P104" s="917" t="n"/>
      <c r="Q104" s="917" t="n"/>
      <c r="R104" s="917" t="n"/>
      <c r="S104" s="917" t="n"/>
      <c r="T104" s="917" t="n"/>
      <c r="U104" s="917" t="n"/>
      <c r="V104" s="917" t="n"/>
    </row>
    <row r="105">
      <c r="A105" s="205" t="n"/>
      <c r="B105" s="917" t="n"/>
      <c r="C105" s="917" t="n"/>
      <c r="D105" s="917" t="n"/>
      <c r="E105" s="917" t="n"/>
      <c r="F105" s="917" t="n"/>
      <c r="G105" s="917" t="n"/>
      <c r="H105" s="917" t="n"/>
      <c r="I105" s="917" t="n"/>
      <c r="J105" s="917" t="n"/>
      <c r="K105" s="917" t="n"/>
      <c r="L105" s="917" t="n"/>
      <c r="M105" s="917" t="n"/>
      <c r="N105" s="917" t="n"/>
      <c r="O105" s="917" t="n"/>
      <c r="P105" s="917" t="n"/>
      <c r="Q105" s="917" t="n"/>
      <c r="R105" s="917" t="n"/>
      <c r="S105" s="917" t="n"/>
      <c r="T105" s="917" t="n"/>
      <c r="U105" s="917" t="n"/>
      <c r="V105" s="917" t="n"/>
    </row>
    <row r="106">
      <c r="A106" s="205" t="n"/>
      <c r="B106" s="917" t="n"/>
      <c r="C106" s="917" t="n"/>
      <c r="D106" s="917" t="n"/>
      <c r="E106" s="917" t="n"/>
      <c r="F106" s="917" t="n"/>
      <c r="G106" s="917" t="n"/>
      <c r="H106" s="917" t="n"/>
      <c r="I106" s="917" t="n"/>
      <c r="J106" s="917" t="n"/>
      <c r="K106" s="917" t="n"/>
      <c r="L106" s="917" t="n"/>
      <c r="M106" s="917" t="n"/>
      <c r="N106" s="917" t="n"/>
      <c r="O106" s="917" t="n"/>
      <c r="P106" s="917" t="n"/>
      <c r="Q106" s="917" t="n"/>
      <c r="R106" s="917" t="n"/>
      <c r="S106" s="917" t="n"/>
      <c r="T106" s="917" t="n"/>
      <c r="U106" s="917" t="n"/>
      <c r="V106" s="917" t="n"/>
    </row>
    <row r="107">
      <c r="A107" s="205" t="n"/>
      <c r="B107" s="917" t="n"/>
      <c r="C107" s="917" t="n"/>
      <c r="D107" s="917" t="n"/>
      <c r="E107" s="917" t="n"/>
      <c r="F107" s="917" t="n"/>
      <c r="G107" s="917" t="n"/>
      <c r="H107" s="917" t="n"/>
      <c r="I107" s="917" t="n"/>
      <c r="J107" s="917" t="n"/>
      <c r="K107" s="917" t="n"/>
      <c r="L107" s="917" t="n"/>
      <c r="M107" s="917" t="n"/>
      <c r="N107" s="917" t="n"/>
      <c r="O107" s="917" t="n"/>
      <c r="P107" s="917" t="n"/>
      <c r="Q107" s="917" t="n"/>
      <c r="R107" s="917" t="n"/>
      <c r="S107" s="917" t="n"/>
      <c r="T107" s="917" t="n"/>
      <c r="U107" s="917" t="n"/>
      <c r="V107" s="917" t="n"/>
    </row>
    <row r="108">
      <c r="A108" s="205" t="n"/>
      <c r="B108" s="917" t="n"/>
      <c r="C108" s="917" t="n"/>
      <c r="D108" s="917" t="n"/>
      <c r="E108" s="917" t="n"/>
      <c r="F108" s="917" t="n"/>
      <c r="G108" s="917" t="n"/>
      <c r="H108" s="917" t="n"/>
      <c r="I108" s="917" t="n"/>
      <c r="J108" s="917" t="n"/>
      <c r="K108" s="917" t="n"/>
      <c r="L108" s="917" t="n"/>
      <c r="M108" s="917" t="n"/>
      <c r="N108" s="917" t="n"/>
      <c r="O108" s="917" t="n"/>
      <c r="P108" s="917" t="n"/>
      <c r="Q108" s="917" t="n"/>
      <c r="R108" s="917" t="n"/>
      <c r="S108" s="917" t="n"/>
      <c r="T108" s="917" t="n"/>
      <c r="U108" s="917" t="n"/>
      <c r="V108" s="917" t="n"/>
    </row>
    <row r="109">
      <c r="A109" s="205" t="n"/>
      <c r="B109" s="917" t="n"/>
      <c r="C109" s="917" t="n"/>
      <c r="D109" s="917" t="n"/>
      <c r="E109" s="917" t="n"/>
      <c r="F109" s="917" t="n"/>
      <c r="G109" s="917" t="n"/>
      <c r="H109" s="917" t="n"/>
      <c r="I109" s="917" t="n"/>
      <c r="J109" s="917" t="n"/>
      <c r="K109" s="917" t="n"/>
      <c r="L109" s="917" t="n"/>
      <c r="M109" s="917" t="n"/>
      <c r="N109" s="917" t="n"/>
      <c r="O109" s="917" t="n"/>
      <c r="P109" s="917" t="n"/>
      <c r="Q109" s="917" t="n"/>
      <c r="R109" s="917" t="n"/>
      <c r="S109" s="917" t="n"/>
      <c r="T109" s="917" t="n"/>
      <c r="U109" s="917" t="n"/>
      <c r="V109" s="917" t="n"/>
    </row>
    <row r="110">
      <c r="A110" s="205" t="n"/>
      <c r="B110" s="917" t="n"/>
      <c r="C110" s="917" t="n"/>
      <c r="D110" s="917" t="n"/>
      <c r="E110" s="917" t="n"/>
      <c r="F110" s="917" t="n"/>
      <c r="G110" s="917" t="n"/>
      <c r="H110" s="917" t="n"/>
      <c r="I110" s="917" t="n"/>
      <c r="J110" s="917" t="n"/>
      <c r="K110" s="917" t="n"/>
      <c r="L110" s="917" t="n"/>
      <c r="M110" s="917" t="n"/>
      <c r="N110" s="917" t="n"/>
      <c r="O110" s="917" t="n"/>
      <c r="P110" s="917" t="n"/>
      <c r="Q110" s="917" t="n"/>
      <c r="R110" s="917" t="n"/>
      <c r="S110" s="917" t="n"/>
      <c r="T110" s="917" t="n"/>
      <c r="U110" s="917" t="n"/>
      <c r="V110" s="917" t="n"/>
    </row>
    <row r="111">
      <c r="A111" s="205" t="n"/>
      <c r="B111" s="917" t="n"/>
      <c r="C111" s="917" t="n"/>
      <c r="D111" s="917" t="n"/>
      <c r="E111" s="917" t="n"/>
      <c r="F111" s="917" t="n"/>
      <c r="G111" s="917" t="n"/>
      <c r="H111" s="917" t="n"/>
      <c r="I111" s="917" t="n"/>
      <c r="J111" s="917" t="n"/>
      <c r="K111" s="917" t="n"/>
      <c r="L111" s="917" t="n"/>
      <c r="M111" s="917" t="n"/>
      <c r="N111" s="917" t="n"/>
      <c r="O111" s="917" t="n"/>
      <c r="P111" s="917" t="n"/>
      <c r="Q111" s="917" t="n"/>
      <c r="R111" s="917" t="n"/>
      <c r="S111" s="917" t="n"/>
      <c r="T111" s="917" t="n"/>
      <c r="U111" s="917" t="n"/>
      <c r="V111" s="917" t="n"/>
    </row>
    <row r="112">
      <c r="A112" s="205" t="n"/>
      <c r="B112" s="917" t="n"/>
      <c r="C112" s="917" t="n"/>
      <c r="D112" s="917" t="n"/>
      <c r="E112" s="917" t="n"/>
      <c r="F112" s="917" t="n"/>
      <c r="G112" s="917" t="n"/>
      <c r="H112" s="917" t="n"/>
      <c r="I112" s="917" t="n"/>
      <c r="J112" s="917" t="n"/>
      <c r="K112" s="917" t="n"/>
      <c r="L112" s="917" t="n"/>
      <c r="M112" s="917" t="n"/>
      <c r="N112" s="917" t="n"/>
      <c r="O112" s="917" t="n"/>
      <c r="P112" s="917" t="n"/>
      <c r="Q112" s="917" t="n"/>
      <c r="R112" s="917" t="n"/>
      <c r="S112" s="917" t="n"/>
      <c r="T112" s="917" t="n"/>
      <c r="U112" s="917" t="n"/>
      <c r="V112" s="917" t="n"/>
    </row>
    <row r="113">
      <c r="A113" s="205" t="n"/>
      <c r="B113" s="917" t="n"/>
      <c r="C113" s="917" t="n"/>
      <c r="D113" s="917" t="n"/>
      <c r="E113" s="917" t="n"/>
      <c r="F113" s="917" t="n"/>
      <c r="G113" s="917" t="n"/>
      <c r="H113" s="917" t="n"/>
      <c r="I113" s="917" t="n"/>
      <c r="J113" s="917" t="n"/>
      <c r="K113" s="917" t="n"/>
      <c r="L113" s="917" t="n"/>
      <c r="M113" s="917" t="n"/>
      <c r="N113" s="917" t="n"/>
      <c r="O113" s="917" t="n"/>
      <c r="P113" s="917" t="n"/>
      <c r="Q113" s="917" t="n"/>
      <c r="R113" s="917" t="n"/>
      <c r="S113" s="917" t="n"/>
      <c r="T113" s="917" t="n"/>
      <c r="U113" s="917" t="n"/>
      <c r="V113" s="917" t="n"/>
    </row>
    <row r="114">
      <c r="A114" s="205" t="n"/>
      <c r="B114" s="917" t="n"/>
      <c r="C114" s="917" t="n"/>
      <c r="D114" s="917" t="n"/>
      <c r="E114" s="917" t="n"/>
      <c r="F114" s="917" t="n"/>
      <c r="G114" s="917" t="n"/>
      <c r="H114" s="917" t="n"/>
      <c r="I114" s="917" t="n"/>
      <c r="J114" s="917" t="n"/>
      <c r="K114" s="917" t="n"/>
      <c r="L114" s="917" t="n"/>
      <c r="M114" s="917" t="n"/>
      <c r="N114" s="917" t="n"/>
      <c r="O114" s="917" t="n"/>
      <c r="P114" s="917" t="n"/>
      <c r="Q114" s="917" t="n"/>
      <c r="R114" s="917" t="n"/>
      <c r="S114" s="917" t="n"/>
      <c r="T114" s="917" t="n"/>
      <c r="U114" s="917" t="n"/>
      <c r="V114" s="917" t="n"/>
    </row>
    <row r="115">
      <c r="A115" s="205" t="n"/>
      <c r="B115" s="917" t="n"/>
      <c r="C115" s="917" t="n"/>
      <c r="D115" s="917" t="n"/>
      <c r="E115" s="917" t="n"/>
      <c r="F115" s="917" t="n"/>
      <c r="G115" s="917" t="n"/>
      <c r="H115" s="917" t="n"/>
      <c r="I115" s="917" t="n"/>
      <c r="J115" s="917" t="n"/>
      <c r="K115" s="917" t="n"/>
      <c r="L115" s="917" t="n"/>
      <c r="M115" s="917" t="n"/>
      <c r="N115" s="917" t="n"/>
      <c r="O115" s="917" t="n"/>
      <c r="P115" s="917" t="n"/>
      <c r="Q115" s="917" t="n"/>
      <c r="R115" s="917" t="n"/>
      <c r="S115" s="917" t="n"/>
      <c r="T115" s="917" t="n"/>
      <c r="U115" s="917" t="n"/>
      <c r="V115" s="917" t="n"/>
    </row>
    <row r="116">
      <c r="A116" s="205" t="n"/>
      <c r="B116" s="917" t="n"/>
      <c r="C116" s="917" t="n"/>
      <c r="D116" s="917" t="n"/>
      <c r="E116" s="917" t="n"/>
      <c r="F116" s="917" t="n"/>
      <c r="G116" s="917" t="n"/>
      <c r="H116" s="917" t="n"/>
      <c r="I116" s="917" t="n"/>
      <c r="J116" s="917" t="n"/>
      <c r="K116" s="917" t="n"/>
      <c r="L116" s="917" t="n"/>
      <c r="M116" s="917" t="n"/>
      <c r="N116" s="917" t="n"/>
      <c r="O116" s="917" t="n"/>
      <c r="P116" s="917" t="n"/>
      <c r="Q116" s="917" t="n"/>
      <c r="R116" s="917" t="n"/>
      <c r="S116" s="917" t="n"/>
      <c r="T116" s="917" t="n"/>
      <c r="U116" s="917" t="n"/>
      <c r="V116" s="917" t="n"/>
    </row>
    <row r="117">
      <c r="A117" s="205" t="n"/>
      <c r="B117" s="917" t="n"/>
      <c r="C117" s="917" t="n"/>
      <c r="D117" s="917" t="n"/>
      <c r="E117" s="917" t="n"/>
      <c r="F117" s="917" t="n"/>
      <c r="G117" s="917" t="n"/>
      <c r="H117" s="917" t="n"/>
      <c r="I117" s="917" t="n"/>
      <c r="J117" s="917" t="n"/>
      <c r="K117" s="917" t="n"/>
      <c r="L117" s="917" t="n"/>
      <c r="M117" s="917" t="n"/>
      <c r="N117" s="917" t="n"/>
      <c r="O117" s="917" t="n"/>
      <c r="P117" s="917" t="n"/>
      <c r="Q117" s="917" t="n"/>
      <c r="R117" s="917" t="n"/>
      <c r="S117" s="917" t="n"/>
      <c r="T117" s="917" t="n"/>
      <c r="U117" s="917" t="n"/>
      <c r="V117" s="917" t="n"/>
    </row>
    <row r="118">
      <c r="A118" s="205" t="n"/>
      <c r="B118" s="917" t="n"/>
      <c r="C118" s="917" t="n"/>
      <c r="D118" s="917" t="n"/>
      <c r="E118" s="917" t="n"/>
      <c r="F118" s="917" t="n"/>
      <c r="G118" s="917" t="n"/>
      <c r="H118" s="917" t="n"/>
      <c r="I118" s="917" t="n"/>
      <c r="J118" s="917" t="n"/>
      <c r="K118" s="917" t="n"/>
      <c r="L118" s="917" t="n"/>
      <c r="M118" s="917" t="n"/>
      <c r="N118" s="917" t="n"/>
      <c r="O118" s="917" t="n"/>
      <c r="P118" s="917" t="n"/>
      <c r="Q118" s="917" t="n"/>
      <c r="R118" s="917" t="n"/>
      <c r="S118" s="917" t="n"/>
      <c r="T118" s="917" t="n"/>
      <c r="U118" s="917" t="n"/>
      <c r="V118" s="917" t="n"/>
    </row>
    <row r="119">
      <c r="A119" s="205" t="n"/>
      <c r="B119" s="917" t="n"/>
      <c r="C119" s="917" t="n"/>
      <c r="D119" s="917" t="n"/>
      <c r="E119" s="917" t="n"/>
      <c r="F119" s="917" t="n"/>
      <c r="G119" s="917" t="n"/>
      <c r="H119" s="917" t="n"/>
      <c r="I119" s="917" t="n"/>
      <c r="J119" s="917" t="n"/>
      <c r="K119" s="917" t="n"/>
      <c r="L119" s="917" t="n"/>
      <c r="M119" s="917" t="n"/>
      <c r="N119" s="917" t="n"/>
      <c r="O119" s="917" t="n"/>
      <c r="P119" s="917" t="n"/>
      <c r="Q119" s="917" t="n"/>
      <c r="R119" s="917" t="n"/>
      <c r="S119" s="917" t="n"/>
      <c r="T119" s="917" t="n"/>
      <c r="U119" s="917" t="n"/>
      <c r="V119" s="917" t="n"/>
    </row>
    <row r="120">
      <c r="A120" s="205" t="n"/>
      <c r="B120" s="917" t="n"/>
      <c r="C120" s="917" t="n"/>
      <c r="D120" s="917" t="n"/>
      <c r="E120" s="917" t="n"/>
      <c r="F120" s="917" t="n"/>
      <c r="G120" s="917" t="n"/>
      <c r="H120" s="917" t="n"/>
      <c r="I120" s="917" t="n"/>
      <c r="J120" s="917" t="n"/>
      <c r="K120" s="917" t="n"/>
      <c r="L120" s="917" t="n"/>
      <c r="M120" s="917" t="n"/>
      <c r="N120" s="917" t="n"/>
      <c r="O120" s="917" t="n"/>
      <c r="P120" s="917" t="n"/>
      <c r="Q120" s="917" t="n"/>
      <c r="R120" s="917" t="n"/>
      <c r="S120" s="917" t="n"/>
      <c r="T120" s="917" t="n"/>
      <c r="U120" s="917" t="n"/>
      <c r="V120" s="917" t="n"/>
    </row>
    <row r="121">
      <c r="A121" s="205" t="n"/>
      <c r="B121" s="917" t="n"/>
      <c r="C121" s="917" t="n"/>
      <c r="D121" s="917" t="n"/>
      <c r="E121" s="917" t="n"/>
      <c r="F121" s="917" t="n"/>
      <c r="G121" s="917" t="n"/>
      <c r="H121" s="917" t="n"/>
      <c r="I121" s="917" t="n"/>
      <c r="J121" s="917" t="n"/>
      <c r="K121" s="917" t="n"/>
      <c r="L121" s="917" t="n"/>
      <c r="M121" s="917" t="n"/>
      <c r="N121" s="917" t="n"/>
      <c r="O121" s="917" t="n"/>
      <c r="P121" s="917" t="n"/>
      <c r="Q121" s="917" t="n"/>
      <c r="R121" s="917" t="n"/>
      <c r="S121" s="917" t="n"/>
      <c r="T121" s="917" t="n"/>
      <c r="U121" s="917" t="n"/>
      <c r="V121" s="917" t="n"/>
    </row>
    <row r="122">
      <c r="A122" s="205" t="n"/>
      <c r="B122" s="917" t="n"/>
      <c r="C122" s="917" t="n"/>
      <c r="D122" s="917" t="n"/>
      <c r="E122" s="917" t="n"/>
      <c r="F122" s="917" t="n"/>
      <c r="G122" s="917" t="n"/>
      <c r="H122" s="917" t="n"/>
      <c r="I122" s="917" t="n"/>
      <c r="J122" s="917" t="n"/>
      <c r="K122" s="917" t="n"/>
      <c r="L122" s="917" t="n"/>
      <c r="M122" s="917" t="n"/>
      <c r="N122" s="917" t="n"/>
      <c r="O122" s="917" t="n"/>
      <c r="P122" s="917" t="n"/>
      <c r="Q122" s="917" t="n"/>
      <c r="R122" s="917" t="n"/>
      <c r="S122" s="917" t="n"/>
      <c r="T122" s="917" t="n"/>
      <c r="U122" s="917" t="n"/>
      <c r="V122" s="917" t="n"/>
    </row>
    <row r="123">
      <c r="A123" s="205" t="n"/>
      <c r="B123" s="917" t="n"/>
      <c r="C123" s="917" t="n"/>
      <c r="D123" s="917" t="n"/>
      <c r="E123" s="917" t="n"/>
      <c r="F123" s="917" t="n"/>
      <c r="G123" s="917" t="n"/>
      <c r="H123" s="917" t="n"/>
      <c r="I123" s="917" t="n"/>
      <c r="J123" s="917" t="n"/>
      <c r="K123" s="917" t="n"/>
      <c r="L123" s="917" t="n"/>
      <c r="M123" s="917" t="n"/>
      <c r="N123" s="917" t="n"/>
      <c r="O123" s="917" t="n"/>
      <c r="P123" s="917" t="n"/>
      <c r="Q123" s="917" t="n"/>
      <c r="R123" s="917" t="n"/>
      <c r="S123" s="917" t="n"/>
      <c r="T123" s="917" t="n"/>
      <c r="U123" s="917" t="n"/>
      <c r="V123" s="917" t="n"/>
    </row>
    <row r="124">
      <c r="A124" s="205" t="n"/>
      <c r="B124" s="917" t="n"/>
      <c r="C124" s="917" t="n"/>
      <c r="D124" s="917" t="n"/>
      <c r="E124" s="917" t="n"/>
      <c r="F124" s="917" t="n"/>
      <c r="G124" s="917" t="n"/>
      <c r="H124" s="917" t="n"/>
      <c r="I124" s="917" t="n"/>
      <c r="J124" s="917" t="n"/>
      <c r="K124" s="917" t="n"/>
      <c r="L124" s="917" t="n"/>
      <c r="M124" s="917" t="n"/>
      <c r="N124" s="917" t="n"/>
      <c r="O124" s="917" t="n"/>
      <c r="P124" s="917" t="n"/>
      <c r="Q124" s="917" t="n"/>
      <c r="R124" s="917" t="n"/>
      <c r="S124" s="917" t="n"/>
      <c r="T124" s="917" t="n"/>
      <c r="U124" s="917" t="n"/>
      <c r="V124" s="917" t="n"/>
    </row>
    <row r="125">
      <c r="A125" s="205" t="n"/>
      <c r="B125" s="917" t="n"/>
      <c r="C125" s="917" t="n"/>
      <c r="D125" s="917" t="n"/>
      <c r="E125" s="917" t="n"/>
      <c r="F125" s="917" t="n"/>
      <c r="G125" s="917" t="n"/>
      <c r="H125" s="917" t="n"/>
      <c r="I125" s="917" t="n"/>
      <c r="J125" s="917" t="n"/>
      <c r="K125" s="917" t="n"/>
      <c r="L125" s="917" t="n"/>
      <c r="M125" s="917" t="n"/>
      <c r="N125" s="917" t="n"/>
      <c r="O125" s="917" t="n"/>
      <c r="P125" s="917" t="n"/>
      <c r="Q125" s="917" t="n"/>
      <c r="R125" s="917" t="n"/>
      <c r="S125" s="917" t="n"/>
      <c r="T125" s="917" t="n"/>
      <c r="U125" s="917" t="n"/>
      <c r="V125" s="917" t="n"/>
    </row>
    <row r="126">
      <c r="A126" s="205" t="n"/>
      <c r="B126" s="917" t="n"/>
      <c r="C126" s="917" t="n"/>
      <c r="D126" s="917" t="n"/>
      <c r="E126" s="917" t="n"/>
      <c r="F126" s="917" t="n"/>
      <c r="G126" s="917" t="n"/>
      <c r="H126" s="917" t="n"/>
      <c r="I126" s="917" t="n"/>
      <c r="J126" s="917" t="n"/>
      <c r="K126" s="917" t="n"/>
      <c r="L126" s="917" t="n"/>
      <c r="M126" s="917" t="n"/>
      <c r="N126" s="917" t="n"/>
      <c r="O126" s="917" t="n"/>
      <c r="P126" s="917" t="n"/>
      <c r="Q126" s="917" t="n"/>
      <c r="R126" s="917" t="n"/>
      <c r="S126" s="917" t="n"/>
      <c r="T126" s="917" t="n"/>
      <c r="U126" s="917" t="n"/>
      <c r="V126" s="917" t="n"/>
    </row>
    <row r="127">
      <c r="A127" s="205" t="n"/>
      <c r="B127" s="917" t="n"/>
      <c r="C127" s="917" t="n"/>
      <c r="D127" s="917" t="n"/>
      <c r="E127" s="917" t="n"/>
      <c r="F127" s="917" t="n"/>
      <c r="G127" s="917" t="n"/>
      <c r="H127" s="917" t="n"/>
      <c r="I127" s="917" t="n"/>
      <c r="J127" s="917" t="n"/>
      <c r="K127" s="917" t="n"/>
      <c r="L127" s="917" t="n"/>
      <c r="M127" s="917" t="n"/>
      <c r="N127" s="917" t="n"/>
      <c r="O127" s="917" t="n"/>
      <c r="P127" s="917" t="n"/>
      <c r="Q127" s="917" t="n"/>
      <c r="R127" s="917" t="n"/>
      <c r="S127" s="917" t="n"/>
      <c r="T127" s="917" t="n"/>
      <c r="U127" s="917" t="n"/>
      <c r="V127" s="917" t="n"/>
    </row>
    <row r="128">
      <c r="A128" s="205" t="n"/>
      <c r="B128" s="917" t="n"/>
      <c r="C128" s="917" t="n"/>
      <c r="D128" s="917" t="n"/>
      <c r="E128" s="917" t="n"/>
      <c r="F128" s="917" t="n"/>
      <c r="G128" s="917" t="n"/>
      <c r="H128" s="917" t="n"/>
      <c r="I128" s="917" t="n"/>
      <c r="J128" s="917" t="n"/>
      <c r="K128" s="917" t="n"/>
      <c r="L128" s="917" t="n"/>
      <c r="M128" s="917" t="n"/>
      <c r="N128" s="917" t="n"/>
      <c r="O128" s="917" t="n"/>
      <c r="P128" s="917" t="n"/>
      <c r="Q128" s="917" t="n"/>
      <c r="R128" s="917" t="n"/>
      <c r="S128" s="917" t="n"/>
      <c r="T128" s="917" t="n"/>
      <c r="U128" s="917" t="n"/>
      <c r="V128" s="917" t="n"/>
    </row>
    <row r="129">
      <c r="A129" s="205" t="n"/>
      <c r="B129" s="917" t="n"/>
      <c r="C129" s="917" t="n"/>
      <c r="D129" s="917" t="n"/>
      <c r="E129" s="917" t="n"/>
      <c r="F129" s="917" t="n"/>
      <c r="G129" s="917" t="n"/>
      <c r="H129" s="917" t="n"/>
      <c r="I129" s="917" t="n"/>
      <c r="J129" s="917" t="n"/>
      <c r="K129" s="917" t="n"/>
      <c r="L129" s="917" t="n"/>
      <c r="M129" s="917" t="n"/>
      <c r="N129" s="917" t="n"/>
      <c r="O129" s="917" t="n"/>
      <c r="P129" s="917" t="n"/>
      <c r="Q129" s="917" t="n"/>
      <c r="R129" s="917" t="n"/>
      <c r="S129" s="917" t="n"/>
      <c r="T129" s="917" t="n"/>
      <c r="U129" s="917" t="n"/>
      <c r="V129" s="917" t="n"/>
    </row>
    <row r="130">
      <c r="A130" s="205" t="n"/>
      <c r="B130" s="917" t="n"/>
      <c r="C130" s="917" t="n"/>
      <c r="D130" s="917" t="n"/>
      <c r="E130" s="917" t="n"/>
      <c r="F130" s="917" t="n"/>
      <c r="G130" s="917" t="n"/>
      <c r="H130" s="917" t="n"/>
      <c r="I130" s="917" t="n"/>
      <c r="J130" s="917" t="n"/>
      <c r="K130" s="917" t="n"/>
      <c r="L130" s="917" t="n"/>
      <c r="M130" s="917" t="n"/>
      <c r="N130" s="917" t="n"/>
      <c r="O130" s="917" t="n"/>
      <c r="P130" s="917" t="n"/>
      <c r="Q130" s="917" t="n"/>
      <c r="R130" s="917" t="n"/>
      <c r="S130" s="917" t="n"/>
      <c r="T130" s="917" t="n"/>
      <c r="U130" s="917" t="n"/>
      <c r="V130" s="917" t="n"/>
    </row>
    <row r="131">
      <c r="A131" s="205" t="n"/>
      <c r="B131" s="917" t="n"/>
      <c r="C131" s="917" t="n"/>
      <c r="D131" s="917" t="n"/>
      <c r="E131" s="917" t="n"/>
      <c r="F131" s="917" t="n"/>
      <c r="G131" s="917" t="n"/>
      <c r="H131" s="917" t="n"/>
      <c r="I131" s="917" t="n"/>
      <c r="J131" s="917" t="n"/>
      <c r="K131" s="917" t="n"/>
      <c r="L131" s="917" t="n"/>
      <c r="M131" s="917" t="n"/>
      <c r="N131" s="917" t="n"/>
      <c r="O131" s="917" t="n"/>
      <c r="P131" s="917" t="n"/>
      <c r="Q131" s="917" t="n"/>
      <c r="R131" s="917" t="n"/>
      <c r="S131" s="917" t="n"/>
      <c r="T131" s="917" t="n"/>
      <c r="U131" s="917" t="n"/>
      <c r="V131" s="917" t="n"/>
    </row>
    <row r="132">
      <c r="A132" s="205" t="n"/>
      <c r="B132" s="917" t="n"/>
      <c r="C132" s="917" t="n"/>
      <c r="D132" s="917" t="n"/>
      <c r="E132" s="917" t="n"/>
      <c r="F132" s="917" t="n"/>
      <c r="G132" s="917" t="n"/>
      <c r="H132" s="917" t="n"/>
      <c r="I132" s="917" t="n"/>
      <c r="J132" s="917" t="n"/>
      <c r="K132" s="917" t="n"/>
      <c r="L132" s="917" t="n"/>
      <c r="M132" s="917" t="n"/>
      <c r="N132" s="917" t="n"/>
      <c r="O132" s="917" t="n"/>
      <c r="P132" s="917" t="n"/>
      <c r="Q132" s="917" t="n"/>
      <c r="R132" s="917" t="n"/>
      <c r="S132" s="917" t="n"/>
      <c r="T132" s="917" t="n"/>
      <c r="U132" s="917" t="n"/>
      <c r="V132" s="917" t="n"/>
    </row>
    <row r="133">
      <c r="A133" s="205" t="n"/>
      <c r="B133" s="917" t="n"/>
      <c r="C133" s="917" t="n"/>
      <c r="D133" s="917" t="n"/>
      <c r="E133" s="917" t="n"/>
      <c r="F133" s="917" t="n"/>
      <c r="G133" s="917" t="n"/>
      <c r="H133" s="917" t="n"/>
      <c r="I133" s="917" t="n"/>
      <c r="J133" s="917" t="n"/>
      <c r="K133" s="917" t="n"/>
      <c r="L133" s="917" t="n"/>
      <c r="M133" s="917" t="n"/>
      <c r="N133" s="917" t="n"/>
      <c r="O133" s="917" t="n"/>
      <c r="P133" s="917" t="n"/>
      <c r="Q133" s="917" t="n"/>
      <c r="R133" s="917" t="n"/>
      <c r="S133" s="917" t="n"/>
      <c r="T133" s="917" t="n"/>
      <c r="U133" s="917" t="n"/>
      <c r="V133" s="917" t="n"/>
    </row>
    <row r="134">
      <c r="A134" s="205" t="n"/>
      <c r="B134" s="917" t="n"/>
      <c r="C134" s="917" t="n"/>
      <c r="D134" s="917" t="n"/>
      <c r="E134" s="917" t="n"/>
      <c r="F134" s="917" t="n"/>
      <c r="G134" s="917" t="n"/>
      <c r="H134" s="917" t="n"/>
      <c r="I134" s="917" t="n"/>
      <c r="J134" s="917" t="n"/>
      <c r="K134" s="917" t="n"/>
      <c r="L134" s="917" t="n"/>
      <c r="M134" s="917" t="n"/>
      <c r="N134" s="917" t="n"/>
      <c r="O134" s="917" t="n"/>
      <c r="P134" s="917" t="n"/>
      <c r="Q134" s="917" t="n"/>
      <c r="R134" s="917" t="n"/>
      <c r="S134" s="917" t="n"/>
      <c r="T134" s="917" t="n"/>
      <c r="U134" s="917" t="n"/>
      <c r="V134" s="917" t="n"/>
    </row>
    <row r="135">
      <c r="A135" s="205" t="n"/>
      <c r="B135" s="917" t="n"/>
      <c r="C135" s="917" t="n"/>
      <c r="D135" s="917" t="n"/>
      <c r="E135" s="917" t="n"/>
      <c r="F135" s="917" t="n"/>
      <c r="G135" s="917" t="n"/>
      <c r="H135" s="917" t="n"/>
      <c r="I135" s="917" t="n"/>
      <c r="J135" s="917" t="n"/>
      <c r="K135" s="917" t="n"/>
      <c r="L135" s="917" t="n"/>
      <c r="M135" s="917" t="n"/>
      <c r="N135" s="917" t="n"/>
      <c r="O135" s="917" t="n"/>
      <c r="P135" s="917" t="n"/>
      <c r="Q135" s="917" t="n"/>
      <c r="R135" s="917" t="n"/>
      <c r="S135" s="917" t="n"/>
      <c r="T135" s="917" t="n"/>
      <c r="U135" s="917" t="n"/>
      <c r="V135" s="917" t="n"/>
    </row>
    <row r="136">
      <c r="A136" s="205" t="n"/>
      <c r="B136" s="917" t="n"/>
      <c r="C136" s="917" t="n"/>
      <c r="D136" s="917" t="n"/>
      <c r="E136" s="917" t="n"/>
      <c r="F136" s="917" t="n"/>
      <c r="G136" s="917" t="n"/>
      <c r="H136" s="917" t="n"/>
      <c r="I136" s="917" t="n"/>
      <c r="J136" s="917" t="n"/>
      <c r="K136" s="917" t="n"/>
      <c r="L136" s="917" t="n"/>
      <c r="M136" s="917" t="n"/>
      <c r="N136" s="917" t="n"/>
      <c r="O136" s="917" t="n"/>
      <c r="P136" s="917" t="n"/>
      <c r="Q136" s="917" t="n"/>
      <c r="R136" s="917" t="n"/>
      <c r="S136" s="917" t="n"/>
      <c r="T136" s="917" t="n"/>
      <c r="U136" s="917" t="n"/>
      <c r="V136" s="917" t="n"/>
    </row>
    <row r="137">
      <c r="A137" s="205" t="n"/>
      <c r="B137" s="917" t="n"/>
      <c r="C137" s="917" t="n"/>
      <c r="D137" s="917" t="n"/>
      <c r="E137" s="917" t="n"/>
      <c r="F137" s="917" t="n"/>
      <c r="G137" s="917" t="n"/>
      <c r="H137" s="917" t="n"/>
      <c r="I137" s="917" t="n"/>
      <c r="J137" s="917" t="n"/>
      <c r="K137" s="917" t="n"/>
      <c r="L137" s="917" t="n"/>
      <c r="M137" s="917" t="n"/>
      <c r="N137" s="917" t="n"/>
      <c r="O137" s="917" t="n"/>
      <c r="P137" s="917" t="n"/>
      <c r="Q137" s="917" t="n"/>
      <c r="R137" s="917" t="n"/>
      <c r="S137" s="917" t="n"/>
      <c r="T137" s="917" t="n"/>
      <c r="U137" s="917" t="n"/>
      <c r="V137" s="917" t="n"/>
    </row>
    <row r="138">
      <c r="A138" s="205" t="n"/>
      <c r="B138" s="917" t="n"/>
      <c r="C138" s="917" t="n"/>
      <c r="D138" s="917" t="n"/>
      <c r="E138" s="917" t="n"/>
      <c r="F138" s="917" t="n"/>
      <c r="G138" s="917" t="n"/>
      <c r="H138" s="917" t="n"/>
      <c r="I138" s="917" t="n"/>
      <c r="J138" s="917" t="n"/>
      <c r="K138" s="917" t="n"/>
      <c r="L138" s="917" t="n"/>
      <c r="M138" s="917" t="n"/>
      <c r="N138" s="917" t="n"/>
      <c r="O138" s="917" t="n"/>
      <c r="P138" s="917" t="n"/>
      <c r="Q138" s="917" t="n"/>
      <c r="R138" s="917" t="n"/>
      <c r="S138" s="917" t="n"/>
      <c r="T138" s="917" t="n"/>
      <c r="U138" s="917" t="n"/>
      <c r="V138" s="917" t="n"/>
    </row>
    <row r="139">
      <c r="A139" s="205" t="n"/>
      <c r="B139" s="917" t="n"/>
      <c r="C139" s="917" t="n"/>
      <c r="D139" s="917" t="n"/>
      <c r="E139" s="917" t="n"/>
      <c r="F139" s="917" t="n"/>
      <c r="G139" s="917" t="n"/>
      <c r="H139" s="917" t="n"/>
      <c r="I139" s="917" t="n"/>
      <c r="J139" s="917" t="n"/>
      <c r="K139" s="917" t="n"/>
      <c r="L139" s="917" t="n"/>
      <c r="M139" s="917" t="n"/>
      <c r="N139" s="917" t="n"/>
      <c r="O139" s="917" t="n"/>
      <c r="P139" s="917" t="n"/>
      <c r="Q139" s="917" t="n"/>
      <c r="R139" s="917" t="n"/>
      <c r="S139" s="917" t="n"/>
      <c r="T139" s="917" t="n"/>
      <c r="U139" s="917" t="n"/>
      <c r="V139" s="917" t="n"/>
    </row>
    <row r="140">
      <c r="A140" s="205" t="n"/>
      <c r="B140" s="917" t="n"/>
      <c r="C140" s="917" t="n"/>
      <c r="D140" s="917" t="n"/>
      <c r="E140" s="917" t="n"/>
      <c r="F140" s="917" t="n"/>
      <c r="G140" s="917" t="n"/>
      <c r="H140" s="917" t="n"/>
      <c r="I140" s="917" t="n"/>
      <c r="J140" s="917" t="n"/>
      <c r="K140" s="917" t="n"/>
      <c r="L140" s="917" t="n"/>
      <c r="M140" s="917" t="n"/>
      <c r="N140" s="917" t="n"/>
      <c r="O140" s="917" t="n"/>
      <c r="P140" s="917" t="n"/>
      <c r="Q140" s="917" t="n"/>
      <c r="R140" s="917" t="n"/>
      <c r="S140" s="917" t="n"/>
      <c r="T140" s="917" t="n"/>
      <c r="U140" s="917" t="n"/>
      <c r="V140" s="917" t="n"/>
    </row>
    <row r="141">
      <c r="A141" s="205" t="n"/>
      <c r="B141" s="917" t="n"/>
      <c r="C141" s="917" t="n"/>
      <c r="D141" s="917" t="n"/>
      <c r="E141" s="917" t="n"/>
      <c r="F141" s="917" t="n"/>
      <c r="G141" s="917" t="n"/>
      <c r="H141" s="917" t="n"/>
      <c r="I141" s="917" t="n"/>
      <c r="J141" s="917" t="n"/>
      <c r="K141" s="917" t="n"/>
      <c r="L141" s="917" t="n"/>
      <c r="M141" s="917" t="n"/>
      <c r="N141" s="917" t="n"/>
      <c r="O141" s="917" t="n"/>
      <c r="P141" s="917" t="n"/>
      <c r="Q141" s="917" t="n"/>
      <c r="R141" s="917" t="n"/>
      <c r="S141" s="917" t="n"/>
      <c r="T141" s="917" t="n"/>
      <c r="U141" s="917" t="n"/>
      <c r="V141" s="917" t="n"/>
    </row>
    <row r="142">
      <c r="A142" s="205" t="n"/>
      <c r="B142" s="917" t="n"/>
      <c r="C142" s="917" t="n"/>
      <c r="D142" s="917" t="n"/>
      <c r="E142" s="917" t="n"/>
      <c r="F142" s="917" t="n"/>
      <c r="G142" s="917" t="n"/>
      <c r="H142" s="917" t="n"/>
      <c r="I142" s="917" t="n"/>
      <c r="J142" s="917" t="n"/>
      <c r="K142" s="917" t="n"/>
      <c r="L142" s="917" t="n"/>
      <c r="M142" s="917" t="n"/>
      <c r="N142" s="917" t="n"/>
      <c r="O142" s="917" t="n"/>
      <c r="P142" s="917" t="n"/>
      <c r="Q142" s="917" t="n"/>
      <c r="R142" s="917" t="n"/>
      <c r="S142" s="917" t="n"/>
      <c r="T142" s="917" t="n"/>
      <c r="U142" s="917" t="n"/>
      <c r="V142" s="917" t="n"/>
    </row>
    <row r="143">
      <c r="A143" s="205" t="n"/>
      <c r="B143" s="917" t="n"/>
      <c r="C143" s="917" t="n"/>
      <c r="D143" s="917" t="n"/>
      <c r="E143" s="917" t="n"/>
      <c r="F143" s="917" t="n"/>
      <c r="G143" s="917" t="n"/>
      <c r="H143" s="917" t="n"/>
      <c r="I143" s="917" t="n"/>
      <c r="J143" s="917" t="n"/>
      <c r="K143" s="917" t="n"/>
      <c r="L143" s="917" t="n"/>
      <c r="M143" s="917" t="n"/>
      <c r="N143" s="917" t="n"/>
      <c r="O143" s="917" t="n"/>
      <c r="P143" s="917" t="n"/>
      <c r="Q143" s="917" t="n"/>
      <c r="R143" s="917" t="n"/>
      <c r="S143" s="917" t="n"/>
      <c r="T143" s="917" t="n"/>
      <c r="U143" s="917" t="n"/>
      <c r="V143" s="917" t="n"/>
    </row>
    <row r="144">
      <c r="A144" s="205" t="n"/>
      <c r="B144" s="917" t="n"/>
      <c r="C144" s="917" t="n"/>
      <c r="D144" s="917" t="n"/>
      <c r="E144" s="917" t="n"/>
      <c r="F144" s="917" t="n"/>
      <c r="G144" s="917" t="n"/>
      <c r="H144" s="917" t="n"/>
      <c r="I144" s="917" t="n"/>
      <c r="J144" s="917" t="n"/>
      <c r="K144" s="917" t="n"/>
      <c r="L144" s="917" t="n"/>
      <c r="M144" s="917" t="n"/>
      <c r="N144" s="917" t="n"/>
      <c r="O144" s="917" t="n"/>
      <c r="P144" s="917" t="n"/>
      <c r="Q144" s="917" t="n"/>
      <c r="R144" s="917" t="n"/>
      <c r="S144" s="917" t="n"/>
      <c r="T144" s="917" t="n"/>
      <c r="U144" s="917" t="n"/>
      <c r="V144" s="917" t="n"/>
    </row>
    <row r="145">
      <c r="A145" s="205" t="n"/>
      <c r="B145" s="917" t="n"/>
      <c r="C145" s="917" t="n"/>
      <c r="D145" s="917" t="n"/>
      <c r="E145" s="917" t="n"/>
      <c r="F145" s="917" t="n"/>
      <c r="G145" s="917" t="n"/>
      <c r="H145" s="917" t="n"/>
      <c r="I145" s="917" t="n"/>
      <c r="J145" s="917" t="n"/>
      <c r="K145" s="917" t="n"/>
      <c r="L145" s="917" t="n"/>
      <c r="M145" s="917" t="n"/>
      <c r="N145" s="917" t="n"/>
      <c r="O145" s="917" t="n"/>
      <c r="P145" s="917" t="n"/>
      <c r="Q145" s="917" t="n"/>
      <c r="R145" s="917" t="n"/>
      <c r="S145" s="917" t="n"/>
      <c r="T145" s="917" t="n"/>
      <c r="U145" s="917" t="n"/>
      <c r="V145" s="917" t="n"/>
    </row>
    <row r="146">
      <c r="A146" s="205" t="n"/>
      <c r="B146" s="917" t="n"/>
      <c r="C146" s="917" t="n"/>
      <c r="D146" s="917" t="n"/>
      <c r="E146" s="917" t="n"/>
      <c r="F146" s="917" t="n"/>
      <c r="G146" s="917" t="n"/>
      <c r="H146" s="917" t="n"/>
      <c r="I146" s="917" t="n"/>
      <c r="J146" s="917" t="n"/>
      <c r="K146" s="917" t="n"/>
      <c r="L146" s="917" t="n"/>
      <c r="M146" s="917" t="n"/>
      <c r="N146" s="917" t="n"/>
      <c r="O146" s="917" t="n"/>
      <c r="P146" s="917" t="n"/>
      <c r="Q146" s="917" t="n"/>
      <c r="R146" s="917" t="n"/>
      <c r="S146" s="917" t="n"/>
      <c r="T146" s="917" t="n"/>
      <c r="U146" s="917" t="n"/>
      <c r="V146" s="917" t="n"/>
    </row>
    <row r="147">
      <c r="A147" s="205" t="n"/>
      <c r="B147" s="917" t="n"/>
      <c r="C147" s="917" t="n"/>
      <c r="D147" s="917" t="n"/>
      <c r="E147" s="917" t="n"/>
      <c r="F147" s="917" t="n"/>
      <c r="G147" s="917" t="n"/>
      <c r="H147" s="917" t="n"/>
      <c r="I147" s="917" t="n"/>
      <c r="J147" s="917" t="n"/>
      <c r="K147" s="917" t="n"/>
      <c r="L147" s="917" t="n"/>
      <c r="M147" s="917" t="n"/>
      <c r="N147" s="917" t="n"/>
      <c r="O147" s="917" t="n"/>
      <c r="P147" s="917" t="n"/>
      <c r="Q147" s="917" t="n"/>
      <c r="R147" s="917" t="n"/>
      <c r="S147" s="917" t="n"/>
      <c r="T147" s="917" t="n"/>
      <c r="U147" s="917" t="n"/>
      <c r="V147" s="917" t="n"/>
      <c r="W147" s="205" t="n"/>
      <c r="X147" s="917" t="n"/>
      <c r="Y147" s="917" t="n"/>
      <c r="Z147" s="917" t="n"/>
      <c r="AA147" s="917" t="n"/>
      <c r="AB147" s="917" t="n"/>
      <c r="AC147" s="917" t="n"/>
      <c r="AD147" s="917" t="n"/>
      <c r="AE147" s="917" t="n"/>
      <c r="AF147" s="917" t="n"/>
      <c r="AG147" s="917" t="n"/>
      <c r="AH147" s="917" t="n"/>
      <c r="AI147" s="917" t="n"/>
      <c r="AJ147" s="917" t="n"/>
      <c r="AK147" s="917" t="n"/>
      <c r="AL147" s="917" t="n"/>
      <c r="AM147" s="917" t="n"/>
      <c r="AN147" s="917" t="n"/>
      <c r="AO147" s="917" t="n"/>
      <c r="AP147" s="917" t="n"/>
      <c r="AQ147" s="917" t="n"/>
      <c r="AR147" s="917" t="n"/>
    </row>
    <row r="148">
      <c r="A148" s="205" t="n"/>
      <c r="B148" s="917" t="n"/>
      <c r="C148" s="917" t="n"/>
      <c r="D148" s="917" t="n"/>
      <c r="E148" s="917" t="n"/>
      <c r="F148" s="917" t="n"/>
      <c r="G148" s="917" t="n"/>
      <c r="H148" s="917" t="n"/>
      <c r="I148" s="917" t="n"/>
      <c r="J148" s="917" t="n"/>
      <c r="K148" s="917" t="n"/>
      <c r="L148" s="917" t="n"/>
      <c r="M148" s="917" t="n"/>
      <c r="N148" s="917" t="n"/>
      <c r="O148" s="917" t="n"/>
      <c r="P148" s="917" t="n"/>
      <c r="Q148" s="917" t="n"/>
      <c r="R148" s="917" t="n"/>
      <c r="S148" s="917" t="n"/>
      <c r="T148" s="917" t="n"/>
      <c r="U148" s="917" t="n"/>
      <c r="V148" s="917" t="n"/>
    </row>
  </sheetData>
  <conditionalFormatting sqref="B4:U4">
    <cfRule type="colorScale" priority="1">
      <colorScale>
        <cfvo type="min"/>
        <cfvo type="percentile" val="50"/>
        <cfvo type="max"/>
        <color rgb="FF63BE7B"/>
        <color rgb="FFFFEB84"/>
        <color rgb="FFF8696B"/>
      </colorScale>
    </cfRule>
  </conditionalFormatting>
  <conditionalFormatting sqref="B2:V2">
    <cfRule type="colorScale" priority="4">
      <colorScale>
        <cfvo type="min"/>
        <cfvo type="percentile" val="50"/>
        <cfvo type="max"/>
        <color rgb="FFF8696B"/>
        <color rgb="FFFFEB84"/>
        <color rgb="FF63BE7B"/>
      </colorScale>
    </cfRule>
  </conditionalFormatting>
  <conditionalFormatting sqref="B3:V3">
    <cfRule type="colorScale" priority="3">
      <colorScale>
        <cfvo type="min"/>
        <cfvo type="percentile" val="50"/>
        <cfvo type="max"/>
        <color rgb="FFF8696B"/>
        <color rgb="FFFFEB84"/>
        <color rgb="FF63BE7B"/>
      </colorScale>
    </cfRule>
  </conditionalFormatting>
  <hyperlinks>
    <hyperlink xmlns:r="http://schemas.openxmlformats.org/officeDocument/2006/relationships" ref="A7" display="https://www.ons.gov.uk/employmentandlabourmarket/peopleinwork/earningsandworkinghours/datasets/realtimeinformationstatisticsreferencetableseasonallyadjusted" r:id="rId1"/>
  </hyperlinks>
  <pageMargins left="0.7" right="0.7" top="0.75" bottom="0.75" header="0.3" footer="0.3"/>
</worksheet>
</file>

<file path=xl/worksheets/sheet6.xml><?xml version="1.0" encoding="utf-8"?>
<worksheet xmlns="http://schemas.openxmlformats.org/spreadsheetml/2006/main">
  <sheetPr>
    <tabColor rgb="FF00B0F0"/>
    <outlinePr summaryBelow="1" summaryRight="1"/>
    <pageSetUpPr/>
  </sheetPr>
  <dimension ref="A2:BN433"/>
  <sheetViews>
    <sheetView workbookViewId="0">
      <selection activeCell="D13" sqref="D13"/>
    </sheetView>
  </sheetViews>
  <sheetFormatPr baseColWidth="8" defaultColWidth="14.1796875" defaultRowHeight="12.5"/>
  <cols>
    <col width="29" customWidth="1" style="123" min="1" max="1"/>
    <col width="18.1796875" customWidth="1" style="123" min="2" max="2"/>
    <col width="10.453125" customWidth="1" style="123" min="3" max="3"/>
    <col width="12.81640625" customWidth="1" style="123" min="4" max="4"/>
    <col width="9.453125" customWidth="1" style="123" min="5" max="5"/>
    <col width="10.453125" bestFit="1" customWidth="1" style="123" min="6" max="6"/>
    <col width="11" customWidth="1" style="123" min="7" max="7"/>
    <col width="10.1796875" bestFit="1" customWidth="1" style="123" min="8" max="8"/>
    <col width="9.453125" customWidth="1" style="123" min="9" max="9"/>
    <col width="10.81640625" bestFit="1" customWidth="1" style="123" min="10" max="10"/>
    <col width="12.1796875" customWidth="1" style="123" min="11" max="12"/>
    <col width="9.453125" customWidth="1" style="123" min="13" max="13"/>
    <col width="10.1796875" bestFit="1" customWidth="1" style="123" min="14" max="14"/>
    <col width="7.453125" bestFit="1" customWidth="1" style="123" min="15" max="15"/>
    <col width="9.81640625" bestFit="1" customWidth="1" style="123" min="16" max="16"/>
    <col width="9.453125" customWidth="1" style="123" min="17" max="18"/>
    <col width="10.26953125" customWidth="1" style="123" min="19" max="19"/>
    <col width="9.453125" customWidth="1" style="123" min="20" max="63"/>
    <col width="11.81640625" customWidth="1" style="123" min="64" max="64"/>
    <col width="9.453125" customWidth="1" style="123" min="65" max="65"/>
    <col width="14.1796875" customWidth="1" style="123" min="66" max="256"/>
    <col width="29" customWidth="1" style="123" min="257" max="257"/>
    <col width="10.1796875" customWidth="1" style="123" min="258" max="258"/>
    <col width="10.453125" customWidth="1" style="123" min="259" max="259"/>
    <col width="9.453125" customWidth="1" style="123" min="260" max="266"/>
    <col width="12.1796875" customWidth="1" style="123" min="267" max="268"/>
    <col width="9.453125" customWidth="1" style="123" min="269" max="321"/>
    <col width="14.1796875" customWidth="1" style="123" min="322" max="512"/>
    <col width="29" customWidth="1" style="123" min="513" max="513"/>
    <col width="10.1796875" customWidth="1" style="123" min="514" max="514"/>
    <col width="10.453125" customWidth="1" style="123" min="515" max="515"/>
    <col width="9.453125" customWidth="1" style="123" min="516" max="522"/>
    <col width="12.1796875" customWidth="1" style="123" min="523" max="524"/>
    <col width="9.453125" customWidth="1" style="123" min="525" max="577"/>
    <col width="14.1796875" customWidth="1" style="123" min="578" max="768"/>
    <col width="29" customWidth="1" style="123" min="769" max="769"/>
    <col width="10.1796875" customWidth="1" style="123" min="770" max="770"/>
    <col width="10.453125" customWidth="1" style="123" min="771" max="771"/>
    <col width="9.453125" customWidth="1" style="123" min="772" max="778"/>
    <col width="12.1796875" customWidth="1" style="123" min="779" max="780"/>
    <col width="9.453125" customWidth="1" style="123" min="781" max="833"/>
    <col width="14.1796875" customWidth="1" style="123" min="834" max="1024"/>
    <col width="29" customWidth="1" style="123" min="1025" max="1025"/>
    <col width="10.1796875" customWidth="1" style="123" min="1026" max="1026"/>
    <col width="10.453125" customWidth="1" style="123" min="1027" max="1027"/>
    <col width="9.453125" customWidth="1" style="123" min="1028" max="1034"/>
    <col width="12.1796875" customWidth="1" style="123" min="1035" max="1036"/>
    <col width="9.453125" customWidth="1" style="123" min="1037" max="1089"/>
    <col width="14.1796875" customWidth="1" style="123" min="1090" max="1280"/>
    <col width="29" customWidth="1" style="123" min="1281" max="1281"/>
    <col width="10.1796875" customWidth="1" style="123" min="1282" max="1282"/>
    <col width="10.453125" customWidth="1" style="123" min="1283" max="1283"/>
    <col width="9.453125" customWidth="1" style="123" min="1284" max="1290"/>
    <col width="12.1796875" customWidth="1" style="123" min="1291" max="1292"/>
    <col width="9.453125" customWidth="1" style="123" min="1293" max="1345"/>
    <col width="14.1796875" customWidth="1" style="123" min="1346" max="1536"/>
    <col width="29" customWidth="1" style="123" min="1537" max="1537"/>
    <col width="10.1796875" customWidth="1" style="123" min="1538" max="1538"/>
    <col width="10.453125" customWidth="1" style="123" min="1539" max="1539"/>
    <col width="9.453125" customWidth="1" style="123" min="1540" max="1546"/>
    <col width="12.1796875" customWidth="1" style="123" min="1547" max="1548"/>
    <col width="9.453125" customWidth="1" style="123" min="1549" max="1601"/>
    <col width="14.1796875" customWidth="1" style="123" min="1602" max="1792"/>
    <col width="29" customWidth="1" style="123" min="1793" max="1793"/>
    <col width="10.1796875" customWidth="1" style="123" min="1794" max="1794"/>
    <col width="10.453125" customWidth="1" style="123" min="1795" max="1795"/>
    <col width="9.453125" customWidth="1" style="123" min="1796" max="1802"/>
    <col width="12.1796875" customWidth="1" style="123" min="1803" max="1804"/>
    <col width="9.453125" customWidth="1" style="123" min="1805" max="1857"/>
    <col width="14.1796875" customWidth="1" style="123" min="1858" max="2048"/>
    <col width="29" customWidth="1" style="123" min="2049" max="2049"/>
    <col width="10.1796875" customWidth="1" style="123" min="2050" max="2050"/>
    <col width="10.453125" customWidth="1" style="123" min="2051" max="2051"/>
    <col width="9.453125" customWidth="1" style="123" min="2052" max="2058"/>
    <col width="12.1796875" customWidth="1" style="123" min="2059" max="2060"/>
    <col width="9.453125" customWidth="1" style="123" min="2061" max="2113"/>
    <col width="14.1796875" customWidth="1" style="123" min="2114" max="2304"/>
    <col width="29" customWidth="1" style="123" min="2305" max="2305"/>
    <col width="10.1796875" customWidth="1" style="123" min="2306" max="2306"/>
    <col width="10.453125" customWidth="1" style="123" min="2307" max="2307"/>
    <col width="9.453125" customWidth="1" style="123" min="2308" max="2314"/>
    <col width="12.1796875" customWidth="1" style="123" min="2315" max="2316"/>
    <col width="9.453125" customWidth="1" style="123" min="2317" max="2369"/>
    <col width="14.1796875" customWidth="1" style="123" min="2370" max="2560"/>
    <col width="29" customWidth="1" style="123" min="2561" max="2561"/>
    <col width="10.1796875" customWidth="1" style="123" min="2562" max="2562"/>
    <col width="10.453125" customWidth="1" style="123" min="2563" max="2563"/>
    <col width="9.453125" customWidth="1" style="123" min="2564" max="2570"/>
    <col width="12.1796875" customWidth="1" style="123" min="2571" max="2572"/>
    <col width="9.453125" customWidth="1" style="123" min="2573" max="2625"/>
    <col width="14.1796875" customWidth="1" style="123" min="2626" max="2816"/>
    <col width="29" customWidth="1" style="123" min="2817" max="2817"/>
    <col width="10.1796875" customWidth="1" style="123" min="2818" max="2818"/>
    <col width="10.453125" customWidth="1" style="123" min="2819" max="2819"/>
    <col width="9.453125" customWidth="1" style="123" min="2820" max="2826"/>
    <col width="12.1796875" customWidth="1" style="123" min="2827" max="2828"/>
    <col width="9.453125" customWidth="1" style="123" min="2829" max="2881"/>
    <col width="14.1796875" customWidth="1" style="123" min="2882" max="3072"/>
    <col width="29" customWidth="1" style="123" min="3073" max="3073"/>
    <col width="10.1796875" customWidth="1" style="123" min="3074" max="3074"/>
    <col width="10.453125" customWidth="1" style="123" min="3075" max="3075"/>
    <col width="9.453125" customWidth="1" style="123" min="3076" max="3082"/>
    <col width="12.1796875" customWidth="1" style="123" min="3083" max="3084"/>
    <col width="9.453125" customWidth="1" style="123" min="3085" max="3137"/>
    <col width="14.1796875" customWidth="1" style="123" min="3138" max="3328"/>
    <col width="29" customWidth="1" style="123" min="3329" max="3329"/>
    <col width="10.1796875" customWidth="1" style="123" min="3330" max="3330"/>
    <col width="10.453125" customWidth="1" style="123" min="3331" max="3331"/>
    <col width="9.453125" customWidth="1" style="123" min="3332" max="3338"/>
    <col width="12.1796875" customWidth="1" style="123" min="3339" max="3340"/>
    <col width="9.453125" customWidth="1" style="123" min="3341" max="3393"/>
    <col width="14.1796875" customWidth="1" style="123" min="3394" max="3584"/>
    <col width="29" customWidth="1" style="123" min="3585" max="3585"/>
    <col width="10.1796875" customWidth="1" style="123" min="3586" max="3586"/>
    <col width="10.453125" customWidth="1" style="123" min="3587" max="3587"/>
    <col width="9.453125" customWidth="1" style="123" min="3588" max="3594"/>
    <col width="12.1796875" customWidth="1" style="123" min="3595" max="3596"/>
    <col width="9.453125" customWidth="1" style="123" min="3597" max="3649"/>
    <col width="14.1796875" customWidth="1" style="123" min="3650" max="3840"/>
    <col width="29" customWidth="1" style="123" min="3841" max="3841"/>
    <col width="10.1796875" customWidth="1" style="123" min="3842" max="3842"/>
    <col width="10.453125" customWidth="1" style="123" min="3843" max="3843"/>
    <col width="9.453125" customWidth="1" style="123" min="3844" max="3850"/>
    <col width="12.1796875" customWidth="1" style="123" min="3851" max="3852"/>
    <col width="9.453125" customWidth="1" style="123" min="3853" max="3905"/>
    <col width="14.1796875" customWidth="1" style="123" min="3906" max="4096"/>
    <col width="29" customWidth="1" style="123" min="4097" max="4097"/>
    <col width="10.1796875" customWidth="1" style="123" min="4098" max="4098"/>
    <col width="10.453125" customWidth="1" style="123" min="4099" max="4099"/>
    <col width="9.453125" customWidth="1" style="123" min="4100" max="4106"/>
    <col width="12.1796875" customWidth="1" style="123" min="4107" max="4108"/>
    <col width="9.453125" customWidth="1" style="123" min="4109" max="4161"/>
    <col width="14.1796875" customWidth="1" style="123" min="4162" max="4352"/>
    <col width="29" customWidth="1" style="123" min="4353" max="4353"/>
    <col width="10.1796875" customWidth="1" style="123" min="4354" max="4354"/>
    <col width="10.453125" customWidth="1" style="123" min="4355" max="4355"/>
    <col width="9.453125" customWidth="1" style="123" min="4356" max="4362"/>
    <col width="12.1796875" customWidth="1" style="123" min="4363" max="4364"/>
    <col width="9.453125" customWidth="1" style="123" min="4365" max="4417"/>
    <col width="14.1796875" customWidth="1" style="123" min="4418" max="4608"/>
    <col width="29" customWidth="1" style="123" min="4609" max="4609"/>
    <col width="10.1796875" customWidth="1" style="123" min="4610" max="4610"/>
    <col width="10.453125" customWidth="1" style="123" min="4611" max="4611"/>
    <col width="9.453125" customWidth="1" style="123" min="4612" max="4618"/>
    <col width="12.1796875" customWidth="1" style="123" min="4619" max="4620"/>
    <col width="9.453125" customWidth="1" style="123" min="4621" max="4673"/>
    <col width="14.1796875" customWidth="1" style="123" min="4674" max="4864"/>
    <col width="29" customWidth="1" style="123" min="4865" max="4865"/>
    <col width="10.1796875" customWidth="1" style="123" min="4866" max="4866"/>
    <col width="10.453125" customWidth="1" style="123" min="4867" max="4867"/>
    <col width="9.453125" customWidth="1" style="123" min="4868" max="4874"/>
    <col width="12.1796875" customWidth="1" style="123" min="4875" max="4876"/>
    <col width="9.453125" customWidth="1" style="123" min="4877" max="4929"/>
    <col width="14.1796875" customWidth="1" style="123" min="4930" max="5120"/>
    <col width="29" customWidth="1" style="123" min="5121" max="5121"/>
    <col width="10.1796875" customWidth="1" style="123" min="5122" max="5122"/>
    <col width="10.453125" customWidth="1" style="123" min="5123" max="5123"/>
    <col width="9.453125" customWidth="1" style="123" min="5124" max="5130"/>
    <col width="12.1796875" customWidth="1" style="123" min="5131" max="5132"/>
    <col width="9.453125" customWidth="1" style="123" min="5133" max="5185"/>
    <col width="14.1796875" customWidth="1" style="123" min="5186" max="5376"/>
    <col width="29" customWidth="1" style="123" min="5377" max="5377"/>
    <col width="10.1796875" customWidth="1" style="123" min="5378" max="5378"/>
    <col width="10.453125" customWidth="1" style="123" min="5379" max="5379"/>
    <col width="9.453125" customWidth="1" style="123" min="5380" max="5386"/>
    <col width="12.1796875" customWidth="1" style="123" min="5387" max="5388"/>
    <col width="9.453125" customWidth="1" style="123" min="5389" max="5441"/>
    <col width="14.1796875" customWidth="1" style="123" min="5442" max="5632"/>
    <col width="29" customWidth="1" style="123" min="5633" max="5633"/>
    <col width="10.1796875" customWidth="1" style="123" min="5634" max="5634"/>
    <col width="10.453125" customWidth="1" style="123" min="5635" max="5635"/>
    <col width="9.453125" customWidth="1" style="123" min="5636" max="5642"/>
    <col width="12.1796875" customWidth="1" style="123" min="5643" max="5644"/>
    <col width="9.453125" customWidth="1" style="123" min="5645" max="5697"/>
    <col width="14.1796875" customWidth="1" style="123" min="5698" max="5888"/>
    <col width="29" customWidth="1" style="123" min="5889" max="5889"/>
    <col width="10.1796875" customWidth="1" style="123" min="5890" max="5890"/>
    <col width="10.453125" customWidth="1" style="123" min="5891" max="5891"/>
    <col width="9.453125" customWidth="1" style="123" min="5892" max="5898"/>
    <col width="12.1796875" customWidth="1" style="123" min="5899" max="5900"/>
    <col width="9.453125" customWidth="1" style="123" min="5901" max="5953"/>
    <col width="14.1796875" customWidth="1" style="123" min="5954" max="6144"/>
    <col width="29" customWidth="1" style="123" min="6145" max="6145"/>
    <col width="10.1796875" customWidth="1" style="123" min="6146" max="6146"/>
    <col width="10.453125" customWidth="1" style="123" min="6147" max="6147"/>
    <col width="9.453125" customWidth="1" style="123" min="6148" max="6154"/>
    <col width="12.1796875" customWidth="1" style="123" min="6155" max="6156"/>
    <col width="9.453125" customWidth="1" style="123" min="6157" max="6209"/>
    <col width="14.1796875" customWidth="1" style="123" min="6210" max="6400"/>
    <col width="29" customWidth="1" style="123" min="6401" max="6401"/>
    <col width="10.1796875" customWidth="1" style="123" min="6402" max="6402"/>
    <col width="10.453125" customWidth="1" style="123" min="6403" max="6403"/>
    <col width="9.453125" customWidth="1" style="123" min="6404" max="6410"/>
    <col width="12.1796875" customWidth="1" style="123" min="6411" max="6412"/>
    <col width="9.453125" customWidth="1" style="123" min="6413" max="6465"/>
    <col width="14.1796875" customWidth="1" style="123" min="6466" max="6656"/>
    <col width="29" customWidth="1" style="123" min="6657" max="6657"/>
    <col width="10.1796875" customWidth="1" style="123" min="6658" max="6658"/>
    <col width="10.453125" customWidth="1" style="123" min="6659" max="6659"/>
    <col width="9.453125" customWidth="1" style="123" min="6660" max="6666"/>
    <col width="12.1796875" customWidth="1" style="123" min="6667" max="6668"/>
    <col width="9.453125" customWidth="1" style="123" min="6669" max="6721"/>
    <col width="14.1796875" customWidth="1" style="123" min="6722" max="6912"/>
    <col width="29" customWidth="1" style="123" min="6913" max="6913"/>
    <col width="10.1796875" customWidth="1" style="123" min="6914" max="6914"/>
    <col width="10.453125" customWidth="1" style="123" min="6915" max="6915"/>
    <col width="9.453125" customWidth="1" style="123" min="6916" max="6922"/>
    <col width="12.1796875" customWidth="1" style="123" min="6923" max="6924"/>
    <col width="9.453125" customWidth="1" style="123" min="6925" max="6977"/>
    <col width="14.1796875" customWidth="1" style="123" min="6978" max="7168"/>
    <col width="29" customWidth="1" style="123" min="7169" max="7169"/>
    <col width="10.1796875" customWidth="1" style="123" min="7170" max="7170"/>
    <col width="10.453125" customWidth="1" style="123" min="7171" max="7171"/>
    <col width="9.453125" customWidth="1" style="123" min="7172" max="7178"/>
    <col width="12.1796875" customWidth="1" style="123" min="7179" max="7180"/>
    <col width="9.453125" customWidth="1" style="123" min="7181" max="7233"/>
    <col width="14.1796875" customWidth="1" style="123" min="7234" max="7424"/>
    <col width="29" customWidth="1" style="123" min="7425" max="7425"/>
    <col width="10.1796875" customWidth="1" style="123" min="7426" max="7426"/>
    <col width="10.453125" customWidth="1" style="123" min="7427" max="7427"/>
    <col width="9.453125" customWidth="1" style="123" min="7428" max="7434"/>
    <col width="12.1796875" customWidth="1" style="123" min="7435" max="7436"/>
    <col width="9.453125" customWidth="1" style="123" min="7437" max="7489"/>
    <col width="14.1796875" customWidth="1" style="123" min="7490" max="7680"/>
    <col width="29" customWidth="1" style="123" min="7681" max="7681"/>
    <col width="10.1796875" customWidth="1" style="123" min="7682" max="7682"/>
    <col width="10.453125" customWidth="1" style="123" min="7683" max="7683"/>
    <col width="9.453125" customWidth="1" style="123" min="7684" max="7690"/>
    <col width="12.1796875" customWidth="1" style="123" min="7691" max="7692"/>
    <col width="9.453125" customWidth="1" style="123" min="7693" max="7745"/>
    <col width="14.1796875" customWidth="1" style="123" min="7746" max="7936"/>
    <col width="29" customWidth="1" style="123" min="7937" max="7937"/>
    <col width="10.1796875" customWidth="1" style="123" min="7938" max="7938"/>
    <col width="10.453125" customWidth="1" style="123" min="7939" max="7939"/>
    <col width="9.453125" customWidth="1" style="123" min="7940" max="7946"/>
    <col width="12.1796875" customWidth="1" style="123" min="7947" max="7948"/>
    <col width="9.453125" customWidth="1" style="123" min="7949" max="8001"/>
    <col width="14.1796875" customWidth="1" style="123" min="8002" max="8192"/>
    <col width="29" customWidth="1" style="123" min="8193" max="8193"/>
    <col width="10.1796875" customWidth="1" style="123" min="8194" max="8194"/>
    <col width="10.453125" customWidth="1" style="123" min="8195" max="8195"/>
    <col width="9.453125" customWidth="1" style="123" min="8196" max="8202"/>
    <col width="12.1796875" customWidth="1" style="123" min="8203" max="8204"/>
    <col width="9.453125" customWidth="1" style="123" min="8205" max="8257"/>
    <col width="14.1796875" customWidth="1" style="123" min="8258" max="8448"/>
    <col width="29" customWidth="1" style="123" min="8449" max="8449"/>
    <col width="10.1796875" customWidth="1" style="123" min="8450" max="8450"/>
    <col width="10.453125" customWidth="1" style="123" min="8451" max="8451"/>
    <col width="9.453125" customWidth="1" style="123" min="8452" max="8458"/>
    <col width="12.1796875" customWidth="1" style="123" min="8459" max="8460"/>
    <col width="9.453125" customWidth="1" style="123" min="8461" max="8513"/>
    <col width="14.1796875" customWidth="1" style="123" min="8514" max="8704"/>
    <col width="29" customWidth="1" style="123" min="8705" max="8705"/>
    <col width="10.1796875" customWidth="1" style="123" min="8706" max="8706"/>
    <col width="10.453125" customWidth="1" style="123" min="8707" max="8707"/>
    <col width="9.453125" customWidth="1" style="123" min="8708" max="8714"/>
    <col width="12.1796875" customWidth="1" style="123" min="8715" max="8716"/>
    <col width="9.453125" customWidth="1" style="123" min="8717" max="8769"/>
    <col width="14.1796875" customWidth="1" style="123" min="8770" max="8960"/>
    <col width="29" customWidth="1" style="123" min="8961" max="8961"/>
    <col width="10.1796875" customWidth="1" style="123" min="8962" max="8962"/>
    <col width="10.453125" customWidth="1" style="123" min="8963" max="8963"/>
    <col width="9.453125" customWidth="1" style="123" min="8964" max="8970"/>
    <col width="12.1796875" customWidth="1" style="123" min="8971" max="8972"/>
    <col width="9.453125" customWidth="1" style="123" min="8973" max="9025"/>
    <col width="14.1796875" customWidth="1" style="123" min="9026" max="9216"/>
    <col width="29" customWidth="1" style="123" min="9217" max="9217"/>
    <col width="10.1796875" customWidth="1" style="123" min="9218" max="9218"/>
    <col width="10.453125" customWidth="1" style="123" min="9219" max="9219"/>
    <col width="9.453125" customWidth="1" style="123" min="9220" max="9226"/>
    <col width="12.1796875" customWidth="1" style="123" min="9227" max="9228"/>
    <col width="9.453125" customWidth="1" style="123" min="9229" max="9281"/>
    <col width="14.1796875" customWidth="1" style="123" min="9282" max="9472"/>
    <col width="29" customWidth="1" style="123" min="9473" max="9473"/>
    <col width="10.1796875" customWidth="1" style="123" min="9474" max="9474"/>
    <col width="10.453125" customWidth="1" style="123" min="9475" max="9475"/>
    <col width="9.453125" customWidth="1" style="123" min="9476" max="9482"/>
    <col width="12.1796875" customWidth="1" style="123" min="9483" max="9484"/>
    <col width="9.453125" customWidth="1" style="123" min="9485" max="9537"/>
    <col width="14.1796875" customWidth="1" style="123" min="9538" max="9728"/>
    <col width="29" customWidth="1" style="123" min="9729" max="9729"/>
    <col width="10.1796875" customWidth="1" style="123" min="9730" max="9730"/>
    <col width="10.453125" customWidth="1" style="123" min="9731" max="9731"/>
    <col width="9.453125" customWidth="1" style="123" min="9732" max="9738"/>
    <col width="12.1796875" customWidth="1" style="123" min="9739" max="9740"/>
    <col width="9.453125" customWidth="1" style="123" min="9741" max="9793"/>
    <col width="14.1796875" customWidth="1" style="123" min="9794" max="9984"/>
    <col width="29" customWidth="1" style="123" min="9985" max="9985"/>
    <col width="10.1796875" customWidth="1" style="123" min="9986" max="9986"/>
    <col width="10.453125" customWidth="1" style="123" min="9987" max="9987"/>
    <col width="9.453125" customWidth="1" style="123" min="9988" max="9994"/>
    <col width="12.1796875" customWidth="1" style="123" min="9995" max="9996"/>
    <col width="9.453125" customWidth="1" style="123" min="9997" max="10049"/>
    <col width="14.1796875" customWidth="1" style="123" min="10050" max="10240"/>
    <col width="29" customWidth="1" style="123" min="10241" max="10241"/>
    <col width="10.1796875" customWidth="1" style="123" min="10242" max="10242"/>
    <col width="10.453125" customWidth="1" style="123" min="10243" max="10243"/>
    <col width="9.453125" customWidth="1" style="123" min="10244" max="10250"/>
    <col width="12.1796875" customWidth="1" style="123" min="10251" max="10252"/>
    <col width="9.453125" customWidth="1" style="123" min="10253" max="10305"/>
    <col width="14.1796875" customWidth="1" style="123" min="10306" max="10496"/>
    <col width="29" customWidth="1" style="123" min="10497" max="10497"/>
    <col width="10.1796875" customWidth="1" style="123" min="10498" max="10498"/>
    <col width="10.453125" customWidth="1" style="123" min="10499" max="10499"/>
    <col width="9.453125" customWidth="1" style="123" min="10500" max="10506"/>
    <col width="12.1796875" customWidth="1" style="123" min="10507" max="10508"/>
    <col width="9.453125" customWidth="1" style="123" min="10509" max="10561"/>
    <col width="14.1796875" customWidth="1" style="123" min="10562" max="10752"/>
    <col width="29" customWidth="1" style="123" min="10753" max="10753"/>
    <col width="10.1796875" customWidth="1" style="123" min="10754" max="10754"/>
    <col width="10.453125" customWidth="1" style="123" min="10755" max="10755"/>
    <col width="9.453125" customWidth="1" style="123" min="10756" max="10762"/>
    <col width="12.1796875" customWidth="1" style="123" min="10763" max="10764"/>
    <col width="9.453125" customWidth="1" style="123" min="10765" max="10817"/>
    <col width="14.1796875" customWidth="1" style="123" min="10818" max="11008"/>
    <col width="29" customWidth="1" style="123" min="11009" max="11009"/>
    <col width="10.1796875" customWidth="1" style="123" min="11010" max="11010"/>
    <col width="10.453125" customWidth="1" style="123" min="11011" max="11011"/>
    <col width="9.453125" customWidth="1" style="123" min="11012" max="11018"/>
    <col width="12.1796875" customWidth="1" style="123" min="11019" max="11020"/>
    <col width="9.453125" customWidth="1" style="123" min="11021" max="11073"/>
    <col width="14.1796875" customWidth="1" style="123" min="11074" max="11264"/>
    <col width="29" customWidth="1" style="123" min="11265" max="11265"/>
    <col width="10.1796875" customWidth="1" style="123" min="11266" max="11266"/>
    <col width="10.453125" customWidth="1" style="123" min="11267" max="11267"/>
    <col width="9.453125" customWidth="1" style="123" min="11268" max="11274"/>
    <col width="12.1796875" customWidth="1" style="123" min="11275" max="11276"/>
    <col width="9.453125" customWidth="1" style="123" min="11277" max="11329"/>
    <col width="14.1796875" customWidth="1" style="123" min="11330" max="11520"/>
    <col width="29" customWidth="1" style="123" min="11521" max="11521"/>
    <col width="10.1796875" customWidth="1" style="123" min="11522" max="11522"/>
    <col width="10.453125" customWidth="1" style="123" min="11523" max="11523"/>
    <col width="9.453125" customWidth="1" style="123" min="11524" max="11530"/>
    <col width="12.1796875" customWidth="1" style="123" min="11531" max="11532"/>
    <col width="9.453125" customWidth="1" style="123" min="11533" max="11585"/>
    <col width="14.1796875" customWidth="1" style="123" min="11586" max="11776"/>
    <col width="29" customWidth="1" style="123" min="11777" max="11777"/>
    <col width="10.1796875" customWidth="1" style="123" min="11778" max="11778"/>
    <col width="10.453125" customWidth="1" style="123" min="11779" max="11779"/>
    <col width="9.453125" customWidth="1" style="123" min="11780" max="11786"/>
    <col width="12.1796875" customWidth="1" style="123" min="11787" max="11788"/>
    <col width="9.453125" customWidth="1" style="123" min="11789" max="11841"/>
    <col width="14.1796875" customWidth="1" style="123" min="11842" max="12032"/>
    <col width="29" customWidth="1" style="123" min="12033" max="12033"/>
    <col width="10.1796875" customWidth="1" style="123" min="12034" max="12034"/>
    <col width="10.453125" customWidth="1" style="123" min="12035" max="12035"/>
    <col width="9.453125" customWidth="1" style="123" min="12036" max="12042"/>
    <col width="12.1796875" customWidth="1" style="123" min="12043" max="12044"/>
    <col width="9.453125" customWidth="1" style="123" min="12045" max="12097"/>
    <col width="14.1796875" customWidth="1" style="123" min="12098" max="12288"/>
    <col width="29" customWidth="1" style="123" min="12289" max="12289"/>
    <col width="10.1796875" customWidth="1" style="123" min="12290" max="12290"/>
    <col width="10.453125" customWidth="1" style="123" min="12291" max="12291"/>
    <col width="9.453125" customWidth="1" style="123" min="12292" max="12298"/>
    <col width="12.1796875" customWidth="1" style="123" min="12299" max="12300"/>
    <col width="9.453125" customWidth="1" style="123" min="12301" max="12353"/>
    <col width="14.1796875" customWidth="1" style="123" min="12354" max="12544"/>
    <col width="29" customWidth="1" style="123" min="12545" max="12545"/>
    <col width="10.1796875" customWidth="1" style="123" min="12546" max="12546"/>
    <col width="10.453125" customWidth="1" style="123" min="12547" max="12547"/>
    <col width="9.453125" customWidth="1" style="123" min="12548" max="12554"/>
    <col width="12.1796875" customWidth="1" style="123" min="12555" max="12556"/>
    <col width="9.453125" customWidth="1" style="123" min="12557" max="12609"/>
    <col width="14.1796875" customWidth="1" style="123" min="12610" max="12800"/>
    <col width="29" customWidth="1" style="123" min="12801" max="12801"/>
    <col width="10.1796875" customWidth="1" style="123" min="12802" max="12802"/>
    <col width="10.453125" customWidth="1" style="123" min="12803" max="12803"/>
    <col width="9.453125" customWidth="1" style="123" min="12804" max="12810"/>
    <col width="12.1796875" customWidth="1" style="123" min="12811" max="12812"/>
    <col width="9.453125" customWidth="1" style="123" min="12813" max="12865"/>
    <col width="14.1796875" customWidth="1" style="123" min="12866" max="13056"/>
    <col width="29" customWidth="1" style="123" min="13057" max="13057"/>
    <col width="10.1796875" customWidth="1" style="123" min="13058" max="13058"/>
    <col width="10.453125" customWidth="1" style="123" min="13059" max="13059"/>
    <col width="9.453125" customWidth="1" style="123" min="13060" max="13066"/>
    <col width="12.1796875" customWidth="1" style="123" min="13067" max="13068"/>
    <col width="9.453125" customWidth="1" style="123" min="13069" max="13121"/>
    <col width="14.1796875" customWidth="1" style="123" min="13122" max="13312"/>
    <col width="29" customWidth="1" style="123" min="13313" max="13313"/>
    <col width="10.1796875" customWidth="1" style="123" min="13314" max="13314"/>
    <col width="10.453125" customWidth="1" style="123" min="13315" max="13315"/>
    <col width="9.453125" customWidth="1" style="123" min="13316" max="13322"/>
    <col width="12.1796875" customWidth="1" style="123" min="13323" max="13324"/>
    <col width="9.453125" customWidth="1" style="123" min="13325" max="13377"/>
    <col width="14.1796875" customWidth="1" style="123" min="13378" max="13568"/>
    <col width="29" customWidth="1" style="123" min="13569" max="13569"/>
    <col width="10.1796875" customWidth="1" style="123" min="13570" max="13570"/>
    <col width="10.453125" customWidth="1" style="123" min="13571" max="13571"/>
    <col width="9.453125" customWidth="1" style="123" min="13572" max="13578"/>
    <col width="12.1796875" customWidth="1" style="123" min="13579" max="13580"/>
    <col width="9.453125" customWidth="1" style="123" min="13581" max="13633"/>
    <col width="14.1796875" customWidth="1" style="123" min="13634" max="13824"/>
    <col width="29" customWidth="1" style="123" min="13825" max="13825"/>
    <col width="10.1796875" customWidth="1" style="123" min="13826" max="13826"/>
    <col width="10.453125" customWidth="1" style="123" min="13827" max="13827"/>
    <col width="9.453125" customWidth="1" style="123" min="13828" max="13834"/>
    <col width="12.1796875" customWidth="1" style="123" min="13835" max="13836"/>
    <col width="9.453125" customWidth="1" style="123" min="13837" max="13889"/>
    <col width="14.1796875" customWidth="1" style="123" min="13890" max="14080"/>
    <col width="29" customWidth="1" style="123" min="14081" max="14081"/>
    <col width="10.1796875" customWidth="1" style="123" min="14082" max="14082"/>
    <col width="10.453125" customWidth="1" style="123" min="14083" max="14083"/>
    <col width="9.453125" customWidth="1" style="123" min="14084" max="14090"/>
    <col width="12.1796875" customWidth="1" style="123" min="14091" max="14092"/>
    <col width="9.453125" customWidth="1" style="123" min="14093" max="14145"/>
    <col width="14.1796875" customWidth="1" style="123" min="14146" max="14336"/>
    <col width="29" customWidth="1" style="123" min="14337" max="14337"/>
    <col width="10.1796875" customWidth="1" style="123" min="14338" max="14338"/>
    <col width="10.453125" customWidth="1" style="123" min="14339" max="14339"/>
    <col width="9.453125" customWidth="1" style="123" min="14340" max="14346"/>
    <col width="12.1796875" customWidth="1" style="123" min="14347" max="14348"/>
    <col width="9.453125" customWidth="1" style="123" min="14349" max="14401"/>
    <col width="14.1796875" customWidth="1" style="123" min="14402" max="14592"/>
    <col width="29" customWidth="1" style="123" min="14593" max="14593"/>
    <col width="10.1796875" customWidth="1" style="123" min="14594" max="14594"/>
    <col width="10.453125" customWidth="1" style="123" min="14595" max="14595"/>
    <col width="9.453125" customWidth="1" style="123" min="14596" max="14602"/>
    <col width="12.1796875" customWidth="1" style="123" min="14603" max="14604"/>
    <col width="9.453125" customWidth="1" style="123" min="14605" max="14657"/>
    <col width="14.1796875" customWidth="1" style="123" min="14658" max="14848"/>
    <col width="29" customWidth="1" style="123" min="14849" max="14849"/>
    <col width="10.1796875" customWidth="1" style="123" min="14850" max="14850"/>
    <col width="10.453125" customWidth="1" style="123" min="14851" max="14851"/>
    <col width="9.453125" customWidth="1" style="123" min="14852" max="14858"/>
    <col width="12.1796875" customWidth="1" style="123" min="14859" max="14860"/>
    <col width="9.453125" customWidth="1" style="123" min="14861" max="14913"/>
    <col width="14.1796875" customWidth="1" style="123" min="14914" max="15104"/>
    <col width="29" customWidth="1" style="123" min="15105" max="15105"/>
    <col width="10.1796875" customWidth="1" style="123" min="15106" max="15106"/>
    <col width="10.453125" customWidth="1" style="123" min="15107" max="15107"/>
    <col width="9.453125" customWidth="1" style="123" min="15108" max="15114"/>
    <col width="12.1796875" customWidth="1" style="123" min="15115" max="15116"/>
    <col width="9.453125" customWidth="1" style="123" min="15117" max="15169"/>
    <col width="14.1796875" customWidth="1" style="123" min="15170" max="15360"/>
    <col width="29" customWidth="1" style="123" min="15361" max="15361"/>
    <col width="10.1796875" customWidth="1" style="123" min="15362" max="15362"/>
    <col width="10.453125" customWidth="1" style="123" min="15363" max="15363"/>
    <col width="9.453125" customWidth="1" style="123" min="15364" max="15370"/>
    <col width="12.1796875" customWidth="1" style="123" min="15371" max="15372"/>
    <col width="9.453125" customWidth="1" style="123" min="15373" max="15425"/>
    <col width="14.1796875" customWidth="1" style="123" min="15426" max="15616"/>
    <col width="29" customWidth="1" style="123" min="15617" max="15617"/>
    <col width="10.1796875" customWidth="1" style="123" min="15618" max="15618"/>
    <col width="10.453125" customWidth="1" style="123" min="15619" max="15619"/>
    <col width="9.453125" customWidth="1" style="123" min="15620" max="15626"/>
    <col width="12.1796875" customWidth="1" style="123" min="15627" max="15628"/>
    <col width="9.453125" customWidth="1" style="123" min="15629" max="15681"/>
    <col width="14.1796875" customWidth="1" style="123" min="15682" max="15872"/>
    <col width="29" customWidth="1" style="123" min="15873" max="15873"/>
    <col width="10.1796875" customWidth="1" style="123" min="15874" max="15874"/>
    <col width="10.453125" customWidth="1" style="123" min="15875" max="15875"/>
    <col width="9.453125" customWidth="1" style="123" min="15876" max="15882"/>
    <col width="12.1796875" customWidth="1" style="123" min="15883" max="15884"/>
    <col width="9.453125" customWidth="1" style="123" min="15885" max="15937"/>
    <col width="14.1796875" customWidth="1" style="123" min="15938" max="16128"/>
    <col width="29" customWidth="1" style="123" min="16129" max="16129"/>
    <col width="10.1796875" customWidth="1" style="123" min="16130" max="16130"/>
    <col width="10.453125" customWidth="1" style="123" min="16131" max="16131"/>
    <col width="9.453125" customWidth="1" style="123" min="16132" max="16138"/>
    <col width="12.1796875" customWidth="1" style="123" min="16139" max="16140"/>
    <col width="9.453125" customWidth="1" style="123" min="16141" max="16193"/>
    <col width="14.1796875" customWidth="1" style="123" min="16194" max="16384"/>
  </cols>
  <sheetData>
    <row r="1" ht="13" customHeight="1" s="828" thickBot="1"/>
    <row r="2" ht="13" customHeight="1" s="828">
      <c r="B2" s="811" t="inlineStr">
        <is>
          <t>Aged 16 and over</t>
        </is>
      </c>
      <c r="C2" s="925" t="n"/>
      <c r="D2" s="925" t="n"/>
      <c r="E2" s="925" t="n"/>
      <c r="F2" s="925" t="n"/>
      <c r="G2" s="925" t="n"/>
      <c r="H2" s="925" t="n"/>
      <c r="I2" s="926" t="n"/>
      <c r="J2" s="811" t="inlineStr">
        <is>
          <t xml:space="preserve">Aged 16-64 </t>
        </is>
      </c>
      <c r="K2" s="925" t="n"/>
      <c r="L2" s="925" t="n"/>
      <c r="M2" s="925" t="n"/>
      <c r="N2" s="925" t="n"/>
      <c r="O2" s="925" t="n"/>
      <c r="P2" s="925" t="n"/>
      <c r="Q2" s="926" t="n"/>
      <c r="R2" s="811" t="inlineStr">
        <is>
          <t>Aged 16-17</t>
        </is>
      </c>
      <c r="S2" s="925" t="n"/>
      <c r="T2" s="925" t="n"/>
      <c r="U2" s="925" t="n"/>
      <c r="V2" s="925" t="n"/>
      <c r="W2" s="925" t="n"/>
      <c r="X2" s="925" t="n"/>
      <c r="Y2" s="926" t="n"/>
      <c r="Z2" s="811" t="inlineStr">
        <is>
          <t>Aged 18-24</t>
        </is>
      </c>
      <c r="AA2" s="925" t="n"/>
      <c r="AB2" s="925" t="n"/>
      <c r="AC2" s="925" t="n"/>
      <c r="AD2" s="925" t="n"/>
      <c r="AE2" s="925" t="n"/>
      <c r="AF2" s="925" t="n"/>
      <c r="AG2" s="926" t="n"/>
      <c r="AH2" s="811" t="inlineStr">
        <is>
          <t>Aged 25-34</t>
        </is>
      </c>
      <c r="AI2" s="925" t="n"/>
      <c r="AJ2" s="925" t="n"/>
      <c r="AK2" s="925" t="n"/>
      <c r="AL2" s="925" t="n"/>
      <c r="AM2" s="925" t="n"/>
      <c r="AN2" s="925" t="n"/>
      <c r="AO2" s="926" t="n"/>
      <c r="AP2" s="811" t="inlineStr">
        <is>
          <t>Aged 35-49</t>
        </is>
      </c>
      <c r="AQ2" s="925" t="n"/>
      <c r="AR2" s="925" t="n"/>
      <c r="AS2" s="925" t="n"/>
      <c r="AT2" s="925" t="n"/>
      <c r="AU2" s="925" t="n"/>
      <c r="AV2" s="925" t="n"/>
      <c r="AW2" s="926" t="n"/>
      <c r="AX2" s="811" t="inlineStr">
        <is>
          <t>Aged 50-64</t>
        </is>
      </c>
      <c r="AY2" s="925" t="n"/>
      <c r="AZ2" s="925" t="n"/>
      <c r="BA2" s="925" t="n"/>
      <c r="BB2" s="925" t="n"/>
      <c r="BC2" s="925" t="n"/>
      <c r="BD2" s="925" t="n"/>
      <c r="BE2" s="926" t="n"/>
      <c r="BF2" s="811" t="inlineStr">
        <is>
          <t>Age 65+</t>
        </is>
      </c>
      <c r="BG2" s="925" t="n"/>
      <c r="BH2" s="925" t="n"/>
      <c r="BI2" s="925" t="n"/>
      <c r="BJ2" s="925" t="n"/>
      <c r="BK2" s="925" t="n"/>
      <c r="BL2" s="925" t="n"/>
      <c r="BM2" s="926" t="n"/>
    </row>
    <row r="3">
      <c r="B3" s="808" t="inlineStr">
        <is>
          <t>Employment</t>
        </is>
      </c>
      <c r="C3" s="489" t="n"/>
      <c r="D3" s="809" t="inlineStr">
        <is>
          <t>Unemployment</t>
        </is>
      </c>
      <c r="E3" s="489" t="n"/>
      <c r="F3" s="809" t="inlineStr">
        <is>
          <t>Activity</t>
        </is>
      </c>
      <c r="G3" s="489" t="n"/>
      <c r="H3" s="809" t="inlineStr">
        <is>
          <t>Inactivity</t>
        </is>
      </c>
      <c r="I3" s="489" t="n"/>
      <c r="J3" s="808" t="inlineStr">
        <is>
          <t>Employment</t>
        </is>
      </c>
      <c r="K3" s="489" t="n"/>
      <c r="L3" s="809" t="inlineStr">
        <is>
          <t>Unemployment</t>
        </is>
      </c>
      <c r="M3" s="489" t="n"/>
      <c r="N3" s="809" t="inlineStr">
        <is>
          <t>Activity</t>
        </is>
      </c>
      <c r="O3" s="489" t="n"/>
      <c r="P3" s="809" t="inlineStr">
        <is>
          <t>Inactivity</t>
        </is>
      </c>
      <c r="Q3" s="489" t="n"/>
      <c r="R3" s="808" t="inlineStr">
        <is>
          <t>Employment</t>
        </is>
      </c>
      <c r="S3" s="489" t="n"/>
      <c r="T3" s="809" t="inlineStr">
        <is>
          <t>Unemployment</t>
        </is>
      </c>
      <c r="U3" s="489" t="n"/>
      <c r="V3" s="809" t="inlineStr">
        <is>
          <t>Activity</t>
        </is>
      </c>
      <c r="W3" s="489" t="n"/>
      <c r="X3" s="809" t="inlineStr">
        <is>
          <t>Inactivity</t>
        </is>
      </c>
      <c r="Y3" s="489" t="n"/>
      <c r="Z3" s="808" t="inlineStr">
        <is>
          <t>Employment</t>
        </is>
      </c>
      <c r="AA3" s="489" t="n"/>
      <c r="AB3" s="809" t="inlineStr">
        <is>
          <t>Unemployment</t>
        </is>
      </c>
      <c r="AC3" s="489" t="n"/>
      <c r="AD3" s="809" t="inlineStr">
        <is>
          <t>Activity</t>
        </is>
      </c>
      <c r="AE3" s="489" t="n"/>
      <c r="AF3" s="809" t="inlineStr">
        <is>
          <t>Inactivity</t>
        </is>
      </c>
      <c r="AG3" s="489" t="n"/>
      <c r="AH3" s="808" t="inlineStr">
        <is>
          <t>Employment</t>
        </is>
      </c>
      <c r="AI3" s="489" t="n"/>
      <c r="AJ3" s="809" t="inlineStr">
        <is>
          <t>Unemployment</t>
        </is>
      </c>
      <c r="AK3" s="489" t="n"/>
      <c r="AL3" s="809" t="inlineStr">
        <is>
          <t>Activity</t>
        </is>
      </c>
      <c r="AM3" s="489" t="n"/>
      <c r="AN3" s="809" t="inlineStr">
        <is>
          <t>Inactivity</t>
        </is>
      </c>
      <c r="AO3" s="489" t="n"/>
      <c r="AP3" s="808" t="inlineStr">
        <is>
          <t>Employment</t>
        </is>
      </c>
      <c r="AQ3" s="489" t="n"/>
      <c r="AR3" s="809" t="inlineStr">
        <is>
          <t>Unemployment</t>
        </is>
      </c>
      <c r="AS3" s="489" t="n"/>
      <c r="AT3" s="809" t="inlineStr">
        <is>
          <t>Activity</t>
        </is>
      </c>
      <c r="AU3" s="489" t="n"/>
      <c r="AV3" s="809" t="inlineStr">
        <is>
          <t>Inactivity</t>
        </is>
      </c>
      <c r="AW3" s="489" t="n"/>
      <c r="AX3" s="808" t="inlineStr">
        <is>
          <t>Employment</t>
        </is>
      </c>
      <c r="AY3" s="489" t="n"/>
      <c r="AZ3" s="809" t="inlineStr">
        <is>
          <t>Unemployment</t>
        </is>
      </c>
      <c r="BA3" s="489" t="n"/>
      <c r="BB3" s="809" t="inlineStr">
        <is>
          <t>Activity</t>
        </is>
      </c>
      <c r="BC3" s="489" t="n"/>
      <c r="BD3" s="809" t="inlineStr">
        <is>
          <t>Inactivity</t>
        </is>
      </c>
      <c r="BE3" s="489" t="n"/>
      <c r="BF3" s="808" t="inlineStr">
        <is>
          <t>Employment</t>
        </is>
      </c>
      <c r="BG3" s="489" t="n"/>
      <c r="BH3" s="809" t="inlineStr">
        <is>
          <t>Unemployment</t>
        </is>
      </c>
      <c r="BI3" s="489" t="n"/>
      <c r="BJ3" s="809" t="inlineStr">
        <is>
          <t>Activity</t>
        </is>
      </c>
      <c r="BK3" s="489" t="n"/>
      <c r="BL3" s="809" t="inlineStr">
        <is>
          <t>Inactivity</t>
        </is>
      </c>
      <c r="BM3" s="489" t="n"/>
    </row>
    <row r="4" ht="13" customHeight="1" s="828" thickBot="1">
      <c r="B4" s="464" t="inlineStr">
        <is>
          <t>level</t>
        </is>
      </c>
      <c r="C4" s="465" t="inlineStr">
        <is>
          <t>rate (%)</t>
        </is>
      </c>
      <c r="D4" s="465" t="inlineStr">
        <is>
          <t>level</t>
        </is>
      </c>
      <c r="E4" s="465" t="inlineStr">
        <is>
          <t>rate (%)</t>
        </is>
      </c>
      <c r="F4" s="465" t="inlineStr">
        <is>
          <t>level</t>
        </is>
      </c>
      <c r="G4" s="465" t="inlineStr">
        <is>
          <t>rate (%)</t>
        </is>
      </c>
      <c r="H4" s="465" t="inlineStr">
        <is>
          <t>level</t>
        </is>
      </c>
      <c r="I4" s="466" t="inlineStr">
        <is>
          <t>rate (%)</t>
        </is>
      </c>
      <c r="J4" s="464" t="inlineStr">
        <is>
          <t>level</t>
        </is>
      </c>
      <c r="K4" s="465" t="inlineStr">
        <is>
          <t>rate (%)</t>
        </is>
      </c>
      <c r="L4" s="465" t="inlineStr">
        <is>
          <t>level</t>
        </is>
      </c>
      <c r="M4" s="465" t="inlineStr">
        <is>
          <t>rate (%)</t>
        </is>
      </c>
      <c r="N4" s="465" t="inlineStr">
        <is>
          <t>level</t>
        </is>
      </c>
      <c r="O4" s="465" t="inlineStr">
        <is>
          <t>rate (%)</t>
        </is>
      </c>
      <c r="P4" s="465" t="inlineStr">
        <is>
          <t>level</t>
        </is>
      </c>
      <c r="Q4" s="466" t="inlineStr">
        <is>
          <t>rate (%)</t>
        </is>
      </c>
      <c r="R4" s="464" t="inlineStr">
        <is>
          <t>level</t>
        </is>
      </c>
      <c r="S4" s="465" t="inlineStr">
        <is>
          <t>rate (%)</t>
        </is>
      </c>
      <c r="T4" s="465" t="inlineStr">
        <is>
          <t>level</t>
        </is>
      </c>
      <c r="U4" s="465" t="inlineStr">
        <is>
          <t>rate (%)</t>
        </is>
      </c>
      <c r="V4" s="465" t="inlineStr">
        <is>
          <t>level</t>
        </is>
      </c>
      <c r="W4" s="465" t="inlineStr">
        <is>
          <t>rate (%)</t>
        </is>
      </c>
      <c r="X4" s="465" t="inlineStr">
        <is>
          <t>level</t>
        </is>
      </c>
      <c r="Y4" s="466" t="inlineStr">
        <is>
          <t>rate (%)</t>
        </is>
      </c>
      <c r="Z4" s="464" t="inlineStr">
        <is>
          <t>level</t>
        </is>
      </c>
      <c r="AA4" s="465" t="inlineStr">
        <is>
          <t>rate (%)</t>
        </is>
      </c>
      <c r="AB4" s="465" t="inlineStr">
        <is>
          <t>level</t>
        </is>
      </c>
      <c r="AC4" s="465" t="inlineStr">
        <is>
          <t>rate (%)</t>
        </is>
      </c>
      <c r="AD4" s="465" t="inlineStr">
        <is>
          <t>level</t>
        </is>
      </c>
      <c r="AE4" s="465" t="inlineStr">
        <is>
          <t>rate (%)</t>
        </is>
      </c>
      <c r="AF4" s="465" t="inlineStr">
        <is>
          <t>level</t>
        </is>
      </c>
      <c r="AG4" s="466" t="inlineStr">
        <is>
          <t>rate (%)</t>
        </is>
      </c>
      <c r="AH4" s="464" t="inlineStr">
        <is>
          <t>level</t>
        </is>
      </c>
      <c r="AI4" s="465" t="inlineStr">
        <is>
          <t>rate (%)</t>
        </is>
      </c>
      <c r="AJ4" s="465" t="inlineStr">
        <is>
          <t>level</t>
        </is>
      </c>
      <c r="AK4" s="465" t="inlineStr">
        <is>
          <t>rate (%)</t>
        </is>
      </c>
      <c r="AL4" s="465" t="inlineStr">
        <is>
          <t>level</t>
        </is>
      </c>
      <c r="AM4" s="465" t="inlineStr">
        <is>
          <t>rate (%)</t>
        </is>
      </c>
      <c r="AN4" s="465" t="inlineStr">
        <is>
          <t>level</t>
        </is>
      </c>
      <c r="AO4" s="466" t="inlineStr">
        <is>
          <t>rate (%)</t>
        </is>
      </c>
      <c r="AP4" s="464" t="inlineStr">
        <is>
          <t>level</t>
        </is>
      </c>
      <c r="AQ4" s="465" t="inlineStr">
        <is>
          <t>rate (%)</t>
        </is>
      </c>
      <c r="AR4" s="465" t="inlineStr">
        <is>
          <t>level</t>
        </is>
      </c>
      <c r="AS4" s="465" t="inlineStr">
        <is>
          <t>rate (%)</t>
        </is>
      </c>
      <c r="AT4" s="465" t="inlineStr">
        <is>
          <t>level</t>
        </is>
      </c>
      <c r="AU4" s="465" t="inlineStr">
        <is>
          <t>rate (%)</t>
        </is>
      </c>
      <c r="AV4" s="465" t="inlineStr">
        <is>
          <t>level</t>
        </is>
      </c>
      <c r="AW4" s="466" t="inlineStr">
        <is>
          <t>rate (%)</t>
        </is>
      </c>
      <c r="AX4" s="464" t="inlineStr">
        <is>
          <t>level</t>
        </is>
      </c>
      <c r="AY4" s="465" t="inlineStr">
        <is>
          <t>rate (%)</t>
        </is>
      </c>
      <c r="AZ4" s="465" t="inlineStr">
        <is>
          <t>level</t>
        </is>
      </c>
      <c r="BA4" s="465" t="inlineStr">
        <is>
          <t>rate (%)</t>
        </is>
      </c>
      <c r="BB4" s="465" t="inlineStr">
        <is>
          <t>level</t>
        </is>
      </c>
      <c r="BC4" s="465" t="inlineStr">
        <is>
          <t>rate (%)</t>
        </is>
      </c>
      <c r="BD4" s="465" t="inlineStr">
        <is>
          <t>level</t>
        </is>
      </c>
      <c r="BE4" s="466" t="inlineStr">
        <is>
          <t>rate (%)</t>
        </is>
      </c>
      <c r="BF4" s="464" t="inlineStr">
        <is>
          <t>level</t>
        </is>
      </c>
      <c r="BG4" s="465" t="inlineStr">
        <is>
          <t>rate (%)</t>
        </is>
      </c>
      <c r="BH4" s="465" t="inlineStr">
        <is>
          <t>level</t>
        </is>
      </c>
      <c r="BI4" s="465" t="inlineStr">
        <is>
          <t>rate (%)</t>
        </is>
      </c>
      <c r="BJ4" s="465" t="inlineStr">
        <is>
          <t>level</t>
        </is>
      </c>
      <c r="BK4" s="465" t="inlineStr">
        <is>
          <t>rate (%)</t>
        </is>
      </c>
      <c r="BL4" s="465" t="inlineStr">
        <is>
          <t>level</t>
        </is>
      </c>
      <c r="BM4" s="466" t="inlineStr">
        <is>
          <t>rate (%)</t>
        </is>
      </c>
    </row>
    <row r="5" ht="13.5" customHeight="1" s="828" thickBot="1">
      <c r="A5" s="399" t="inlineStr">
        <is>
          <t>Current</t>
        </is>
      </c>
      <c r="B5" s="927" t="inlineStr">
        <is>
          <t>{{EMP16_CUR}}</t>
        </is>
      </c>
      <c r="C5" s="928" t="inlineStr">
        <is>
          <t>{{EMP_RT_CUR}}</t>
        </is>
      </c>
      <c r="D5" s="929" t="inlineStr">
        <is>
          <t>{{UNEMP16_CUR}}</t>
        </is>
      </c>
      <c r="E5" s="930" t="inlineStr">
        <is>
          <t>{{UNEMP_RT_CUR}}</t>
        </is>
      </c>
      <c r="F5" s="474">
        <f t="array" ref="F5">INDEX(F$18:F$1048576,COUNTA(F$18:F$1048576))</f>
        <v/>
      </c>
      <c r="G5" s="468">
        <f t="array" ref="G5">INDEX(G$18:G$1048576,COUNTA(G$18:G$1048576))</f>
        <v/>
      </c>
      <c r="H5" s="928" t="inlineStr">
        <is>
          <t>{{INACT_CUR}}</t>
        </is>
      </c>
      <c r="I5" s="931" t="inlineStr">
        <is>
          <t>{{INACT_RT_CUR}}</t>
        </is>
      </c>
      <c r="J5" s="473">
        <f t="array" ref="J5">INDEX(J$18:J$1048576,COUNTA(J$18:J$1048576))</f>
        <v/>
      </c>
      <c r="K5" s="932">
        <f t="array" ref="K5">INDEX(K$18:K$1048576,COUNTA(K$18:K$1048576))</f>
        <v/>
      </c>
      <c r="L5" s="474">
        <f t="array" ref="L5">INDEX(L$18:L$1048576,COUNTA(L$18:L$1048576))</f>
        <v/>
      </c>
      <c r="M5" s="468">
        <f t="array" ref="M5">INDEX(M$18:M$1048576,COUNTA(M$18:M$1048576))</f>
        <v/>
      </c>
      <c r="N5" s="468">
        <f t="array" ref="N5">INDEX(N$18:N$1048576,COUNTA(N$18:N$1048576))</f>
        <v/>
      </c>
      <c r="O5" s="933">
        <f t="array" ref="O5">INDEX(O$18:O$1048576,COUNTA(O$18:O$1048576))</f>
        <v/>
      </c>
      <c r="P5" s="470">
        <f t="array" ref="P5">INDEX(P$18:P$1048576,COUNTA(P$18:P$1048576))</f>
        <v/>
      </c>
      <c r="Q5" s="932">
        <f t="array" ref="Q5">INDEX(Q$18:Q$1048576,COUNTA(Q$18:Q$1048576))</f>
        <v/>
      </c>
      <c r="R5" s="467">
        <f t="array" ref="R5">INDEX(R$18:R$1048576,COUNTA(R$18:R$1048576))</f>
        <v/>
      </c>
      <c r="S5" s="933">
        <f t="array" ref="S5">INDEX(S$18:S$1048576,COUNTA(S$18:S$1048576))</f>
        <v/>
      </c>
      <c r="T5" s="468">
        <f t="array" ref="T5">INDEX(T$18:T$1048576,COUNTA(T$18:T$1048576))</f>
        <v/>
      </c>
      <c r="U5" s="468">
        <f t="array" ref="U5">INDEX(U$18:U$1048576,COUNTA(U$18:U$1048576))</f>
        <v/>
      </c>
      <c r="V5" s="468">
        <f t="array" ref="V5">INDEX(V$18:V$1048576,COUNTA(V$18:V$1048576))</f>
        <v/>
      </c>
      <c r="W5" s="468">
        <f t="array" ref="W5">INDEX(W$18:W$1048576,COUNTA(W$18:W$1048576))</f>
        <v/>
      </c>
      <c r="X5" s="468">
        <f t="array" ref="X5">INDEX(X$18:X$1048576,COUNTA(X$18:X$1048576))</f>
        <v/>
      </c>
      <c r="Y5" s="470">
        <f t="array" ref="Y5">INDEX(Y$18:Y$1048576,COUNTA(Y$18:Y$1048576))</f>
        <v/>
      </c>
      <c r="Z5" s="467">
        <f t="array" ref="Z5">INDEX(Z$18:Z$1048576,COUNTA(Z$18:Z$1048576))</f>
        <v/>
      </c>
      <c r="AA5" s="593">
        <f t="array" ref="AA5">INDEX(AA$18:AA$1048576,COUNTA(AA$18:AA$1048576))</f>
        <v/>
      </c>
      <c r="AB5" s="468">
        <f t="array" ref="AB5">INDEX(AB$18:AB$1048576,COUNTA(AB$18:AB$1048576))</f>
        <v/>
      </c>
      <c r="AC5" s="934">
        <f t="array" ref="AC5">INDEX(AC$18:AC$1048576,COUNTA(AC$18:AC$1048576))</f>
        <v/>
      </c>
      <c r="AD5" s="468">
        <f t="array" ref="AD5">INDEX(AD$18:AD$1048576,COUNTA(AD$18:AD$1048576))</f>
        <v/>
      </c>
      <c r="AE5" s="590">
        <f t="array" ref="AE5">INDEX(AE$18:AE$1048576,COUNTA(AE$18:AE$1048576))</f>
        <v/>
      </c>
      <c r="AF5" s="468">
        <f t="array" ref="AF5">INDEX(AF$18:AF$1048576,COUNTA(AF$18:AF$1048576))</f>
        <v/>
      </c>
      <c r="AG5" s="470">
        <f t="array" ref="AG5">INDEX(AG$18:AG$1048576,COUNTA(AG$18:AG$1048576))</f>
        <v/>
      </c>
      <c r="AH5" s="467">
        <f t="array" ref="AH5">INDEX(AH$18:AH$1048576,COUNTA(AH$18:AH$1048576))</f>
        <v/>
      </c>
      <c r="AI5" s="468">
        <f t="array" ref="AI5">INDEX(AI$18:AI$1048576,COUNTA(AI$18:AI$1048576))</f>
        <v/>
      </c>
      <c r="AJ5" s="468">
        <f t="array" ref="AJ5">INDEX(AJ$18:AJ$1048576,COUNTA(AJ$18:AJ$1048576))</f>
        <v/>
      </c>
      <c r="AK5" s="468">
        <f t="array" ref="AK5">INDEX(AK$18:AK$1048576,COUNTA(AK$18:AK$1048576))</f>
        <v/>
      </c>
      <c r="AL5" s="468">
        <f t="array" ref="AL5">INDEX(AL$18:AL$1048576,COUNTA(AL$18:AL$1048576))</f>
        <v/>
      </c>
      <c r="AM5" s="468">
        <f t="array" ref="AM5">INDEX(AM$18:AM$1048576,COUNTA(AM$18:AM$1048576))</f>
        <v/>
      </c>
      <c r="AN5" s="468">
        <f t="array" ref="AN5">INDEX(AN$18:AN$1048576,COUNTA(AN$18:AN$1048576))</f>
        <v/>
      </c>
      <c r="AO5" s="470">
        <f t="array" ref="AO5">INDEX(AO$18:AO$1048576,COUNTA(AO$18:AO$1048576))</f>
        <v/>
      </c>
      <c r="AP5" s="467">
        <f t="array" ref="AP5">INDEX(AP$18:AP$1048576,COUNTA(AP$18:AP$1048576))</f>
        <v/>
      </c>
      <c r="AQ5" s="468">
        <f t="array" ref="AQ5">INDEX(AQ$18:AQ$1048576,COUNTA(AQ$18:AQ$1048576))</f>
        <v/>
      </c>
      <c r="AR5" s="468">
        <f t="array" ref="AR5">INDEX(AR$18:AR$1048576,COUNTA(AR$18:AR$1048576))</f>
        <v/>
      </c>
      <c r="AS5" s="468">
        <f t="array" ref="AS5">INDEX(AS$18:AS$1048576,COUNTA(AS$18:AS$1048576))</f>
        <v/>
      </c>
      <c r="AT5" s="468">
        <f t="array" ref="AT5">INDEX(AT$18:AT$1048576,COUNTA(AT$18:AT$1048576))</f>
        <v/>
      </c>
      <c r="AU5" s="468">
        <f t="array" ref="AU5">INDEX(AU$18:AU$1048576,COUNTA(AU$18:AU$1048576))</f>
        <v/>
      </c>
      <c r="AV5" s="468">
        <f t="array" ref="AV5">INDEX(AV$18:AV$1048576,COUNTA(AV$18:AV$1048576))</f>
        <v/>
      </c>
      <c r="AW5" s="470">
        <f t="array" ref="AW5">INDEX(AW$18:AW$1048576,COUNTA(AW$18:AW$1048576))</f>
        <v/>
      </c>
      <c r="AX5" s="467">
        <f t="array" ref="AX5">INDEX(AX$18:AX$1048576,COUNTA(AX$18:AX$1048576))</f>
        <v/>
      </c>
      <c r="AY5" s="468">
        <f t="array" ref="AY5">INDEX(AY$18:AY$1048576,COUNTA(AY$18:AY$1048576))</f>
        <v/>
      </c>
      <c r="AZ5" s="468">
        <f t="array" ref="AZ5">INDEX(AZ$18:AZ$1048576,COUNTA(AZ$18:AZ$1048576))</f>
        <v/>
      </c>
      <c r="BA5" s="468">
        <f t="array" ref="BA5">INDEX(BA$18:BA$1048576,COUNTA(BA$18:BA$1048576))</f>
        <v/>
      </c>
      <c r="BB5" s="468">
        <f t="array" ref="BB5">INDEX(BB$18:BB$1048576,COUNTA(BB$18:BB$1048576))</f>
        <v/>
      </c>
      <c r="BC5" s="933">
        <f t="array" ref="BC5">INDEX(BC$18:BC$1048576,COUNTA(BC$18:BC$1048576))</f>
        <v/>
      </c>
      <c r="BD5" s="468">
        <f t="array" ref="BD5">INDEX(BD$18:BD$1048576,COUNTA(BD$18:BD$1048576))</f>
        <v/>
      </c>
      <c r="BE5" s="935">
        <f t="array" ref="BE5">INDEX(BE$18:BE$1048576,COUNTA(BE$18:BE$1048576))</f>
        <v/>
      </c>
      <c r="BF5" s="467">
        <f t="array" ref="BF5">INDEX(BF$18:BF$1048576,COUNTA(BF$18:BF$1048576))</f>
        <v/>
      </c>
      <c r="BG5" s="468">
        <f t="array" ref="BG5">INDEX(BG$18:BG$1048576,COUNTA(BG$18:BG$1048576))</f>
        <v/>
      </c>
      <c r="BH5" s="468">
        <f t="array" ref="BH5">INDEX(BH$18:BH$1048576,COUNTA(BH$18:BH$1048576))</f>
        <v/>
      </c>
      <c r="BI5" s="468">
        <f t="array" ref="BI5">INDEX(BI$18:BI$1048576,COUNTA(BI$18:BI$1048576))</f>
        <v/>
      </c>
      <c r="BJ5" s="468">
        <f t="array" ref="BJ5">INDEX(BJ$18:BJ$1048576,COUNTA(BJ$18:BJ$1048576))</f>
        <v/>
      </c>
      <c r="BK5" s="468">
        <f t="array" ref="BK5">INDEX(BK$18:BK$1048576,COUNTA(BK$18:BK$1048576))</f>
        <v/>
      </c>
      <c r="BL5" s="468">
        <f t="array" ref="BL5">INDEX(BL$18:BL$1048576,COUNTA(BL$18:BL$1048576))</f>
        <v/>
      </c>
      <c r="BM5" s="469">
        <f t="array" ref="BM5">INDEX(BM$18:BM$1048576,COUNTA(BM$18:BM$1048576))</f>
        <v/>
      </c>
    </row>
    <row r="6" ht="13.5" customHeight="1" s="828" thickBot="1">
      <c r="A6" s="399" t="inlineStr">
        <is>
          <t>Quarterly change</t>
        </is>
      </c>
      <c r="B6" s="927" t="inlineStr">
        <is>
          <t>{{EMP16_DQ}}</t>
        </is>
      </c>
      <c r="C6" s="936" t="inlineStr">
        <is>
          <t>{{EMP_RT_DQ}}</t>
        </is>
      </c>
      <c r="D6" s="937" t="inlineStr">
        <is>
          <t>{{UNEMP16_DQ}}</t>
        </is>
      </c>
      <c r="E6" s="930" t="inlineStr">
        <is>
          <t>{{UNEMP_RT_DQ}}</t>
        </is>
      </c>
      <c r="F6" s="463">
        <f t="array" ref="F6">INDEX(F$18:F$1048576,COUNTA(F$18:F$1048576))-INDEX(F$18:F$1048576,COUNTA(F$18:F$1048576)-3)</f>
        <v/>
      </c>
      <c r="G6" s="938">
        <f t="array" ref="G6">INDEX(G$18:G$1048576,COUNTA(G$18:G$1048576))-INDEX(G$18:G$1048576,COUNTA(G$18:G$1048576)-3)</f>
        <v/>
      </c>
      <c r="H6" s="936" t="inlineStr">
        <is>
          <t>{{INACT_DQ}}</t>
        </is>
      </c>
      <c r="I6" s="939" t="inlineStr">
        <is>
          <t>{{INACT_RT_DQ}}</t>
        </is>
      </c>
      <c r="J6" s="476">
        <f t="array" ref="J6">INDEX(J$18:J$1048576,COUNTA(J$18:J$1048576))-INDEX(J$18:J$1048576,COUNTA(J$18:J$1048576)-3)</f>
        <v/>
      </c>
      <c r="K6" s="932">
        <f t="array" ref="K6">INDEX(K$18:K$1048576,COUNTA(K$18:K$1048576))-INDEX(K$18:K$1048576,COUNTA(K$18:K$1048576)-3)</f>
        <v/>
      </c>
      <c r="L6" s="463">
        <f t="array" ref="L6">INDEX(L$18:L$1048576,COUNTA(L$18:L$1048576))-INDEX(L$18:L$1048576,COUNTA(L$18:L$1048576)-3)</f>
        <v/>
      </c>
      <c r="M6" s="402">
        <f t="array" ref="M6">INDEX(M$18:M$1048576,COUNTA(M$18:M$1048576))-INDEX(M$18:M$1048576,COUNTA(M$18:M$1048576)-3)</f>
        <v/>
      </c>
      <c r="N6" s="402">
        <f t="array" ref="N6">INDEX(N$18:N$1048576,COUNTA(N$18:N$1048576))-INDEX(N$18:N$1048576,COUNTA(N$18:N$1048576)-3)</f>
        <v/>
      </c>
      <c r="O6" s="938">
        <f t="array" ref="O6">INDEX(O$18:O$1048576,COUNTA(O$18:O$1048576))-INDEX(O$18:O$1048576,COUNTA(O$18:O$1048576)-3)</f>
        <v/>
      </c>
      <c r="P6" s="471">
        <f t="array" ref="P6">INDEX(P$18:P$1048576,COUNTA(P$18:P$1048576))-INDEX(P$18:P$1048576,COUNTA(P$18:P$1048576)-3)</f>
        <v/>
      </c>
      <c r="Q6" s="932">
        <f t="array" ref="Q6">INDEX(Q$18:Q$1048576,COUNTA(Q$18:Q$1048576))-INDEX(Q$18:Q$1048576,COUNTA(Q$18:Q$1048576)-3)</f>
        <v/>
      </c>
      <c r="R6" s="401">
        <f t="array" ref="R6">INDEX(R$18:R$1048576,COUNTA(R$18:R$1048576))-INDEX(R$18:R$1048576,COUNTA(R$18:R$1048576)-3)</f>
        <v/>
      </c>
      <c r="S6" s="938">
        <f t="array" ref="S6">INDEX(S$18:S$1048576,COUNTA(S$18:S$1048576))-INDEX(S$18:S$1048576,COUNTA(S$18:S$1048576)-3)</f>
        <v/>
      </c>
      <c r="T6" s="402">
        <f t="array" ref="T6">INDEX(T$18:T$1048576,COUNTA(T$18:T$1048576))-INDEX(T$18:T$1048576,COUNTA(T$18:T$1048576)-3)</f>
        <v/>
      </c>
      <c r="U6" s="402">
        <f t="array" ref="U6">INDEX(U$18:U$1048576,COUNTA(U$18:U$1048576))-INDEX(U$18:U$1048576,COUNTA(U$18:U$1048576)-3)</f>
        <v/>
      </c>
      <c r="V6" s="402">
        <f t="array" ref="V6">INDEX(V$18:V$1048576,COUNTA(V$18:V$1048576))-INDEX(V$18:V$1048576,COUNTA(V$18:V$1048576)-3)</f>
        <v/>
      </c>
      <c r="W6" s="402">
        <f t="array" ref="W6">INDEX(W$18:W$1048576,COUNTA(W$18:W$1048576))-INDEX(W$18:W$1048576,COUNTA(W$18:W$1048576)-3)</f>
        <v/>
      </c>
      <c r="X6" s="402">
        <f t="array" ref="X6">INDEX(X$18:X$1048576,COUNTA(X$18:X$1048576))-INDEX(X$18:X$1048576,COUNTA(X$18:X$1048576)-3)</f>
        <v/>
      </c>
      <c r="Y6" s="471">
        <f t="array" ref="Y6">INDEX(Y$18:Y$1048576,COUNTA(Y$18:Y$1048576))-INDEX(Y$18:Y$1048576,COUNTA(Y$18:Y$1048576)-3)</f>
        <v/>
      </c>
      <c r="Z6" s="401">
        <f t="array" ref="Z6">INDEX(Z$18:Z$1048576,COUNTA(Z$18:Z$1048576))-INDEX(Z$18:Z$1048576,COUNTA(Z$18:Z$1048576)-3)</f>
        <v/>
      </c>
      <c r="AA6" s="592">
        <f t="array" ref="AA6">INDEX(AA$18:AA$1048576,COUNTA(AA$18:AA$1048576))-INDEX(AA$18:AA$1048576,COUNTA(AA$18:AA$1048576)-3)</f>
        <v/>
      </c>
      <c r="AB6" s="402">
        <f t="array" ref="AB6">INDEX(AB$18:AB$1048576,COUNTA(AB$18:AB$1048576))-INDEX(AB$18:AB$1048576,COUNTA(AB$18:AB$1048576)-3)</f>
        <v/>
      </c>
      <c r="AC6" s="592">
        <f t="array" ref="AC6">INDEX(AC$18:AC$1048576,COUNTA(AC$18:AC$1048576))-INDEX(AC$18:AC$1048576,COUNTA(AC$18:AC$1048576)-3)</f>
        <v/>
      </c>
      <c r="AD6" s="402">
        <f t="array" ref="AD6">INDEX(AD$18:AD$1048576,COUNTA(AD$18:AD$1048576))-INDEX(AD$18:AD$1048576,COUNTA(AD$18:AD$1048576)-3)</f>
        <v/>
      </c>
      <c r="AE6" s="589">
        <f t="array" ref="AE6">INDEX(AE$18:AE$1048576,COUNTA(AE$18:AE$1048576))-INDEX(AE$18:AE$1048576,COUNTA(AE$18:AE$1048576)-3)</f>
        <v/>
      </c>
      <c r="AF6" s="402">
        <f t="array" ref="AF6">INDEX(AF$18:AF$1048576,COUNTA(AF$18:AF$1048576))-INDEX(AF$18:AF$1048576,COUNTA(AF$18:AF$1048576)-3)</f>
        <v/>
      </c>
      <c r="AG6" s="940">
        <f t="array" ref="AG6">INDEX(AG$18:AG$1048576,COUNTA(AG$18:AG$1048576))-INDEX(AG$18:AG$1048576,COUNTA(AG$18:AG$1048576)-3)</f>
        <v/>
      </c>
      <c r="AH6" s="401">
        <f t="array" ref="AH6">INDEX(AH$18:AH$1048576,COUNTA(AH$18:AH$1048576))-INDEX(AH$18:AH$1048576,COUNTA(AH$18:AH$1048576)-3)</f>
        <v/>
      </c>
      <c r="AI6" s="402">
        <f t="array" ref="AI6">INDEX(AI$18:AI$1048576,COUNTA(AI$18:AI$1048576))-INDEX(AI$18:AI$1048576,COUNTA(AI$18:AI$1048576)-3)</f>
        <v/>
      </c>
      <c r="AJ6" s="402">
        <f t="array" ref="AJ6">INDEX(AJ$18:AJ$1048576,COUNTA(AJ$18:AJ$1048576))-INDEX(AJ$18:AJ$1048576,COUNTA(AJ$18:AJ$1048576)-3)</f>
        <v/>
      </c>
      <c r="AK6" s="402">
        <f t="array" ref="AK6">INDEX(AK$18:AK$1048576,COUNTA(AK$18:AK$1048576))-INDEX(AK$18:AK$1048576,COUNTA(AK$18:AK$1048576)-3)</f>
        <v/>
      </c>
      <c r="AL6" s="402">
        <f t="array" ref="AL6">INDEX(AL$18:AL$1048576,COUNTA(AL$18:AL$1048576))-INDEX(AL$18:AL$1048576,COUNTA(AL$18:AL$1048576)-3)</f>
        <v/>
      </c>
      <c r="AM6" s="402">
        <f t="array" ref="AM6">INDEX(AM$18:AM$1048576,COUNTA(AM$18:AM$1048576))-INDEX(AM$18:AM$1048576,COUNTA(AM$18:AM$1048576)-3)</f>
        <v/>
      </c>
      <c r="AN6" s="402">
        <f t="array" ref="AN6">INDEX(AN$18:AN$1048576,COUNTA(AN$18:AN$1048576))-INDEX(AN$18:AN$1048576,COUNTA(AN$18:AN$1048576)-3)</f>
        <v/>
      </c>
      <c r="AO6" s="471">
        <f t="array" ref="AO6">INDEX(AO$18:AO$1048576,COUNTA(AO$18:AO$1048576))-INDEX(AO$18:AO$1048576,COUNTA(AO$18:AO$1048576)-3)</f>
        <v/>
      </c>
      <c r="AP6" s="401">
        <f t="array" ref="AP6">INDEX(AP$18:AP$1048576,COUNTA(AP$18:AP$1048576))-INDEX(AP$18:AP$1048576,COUNTA(AP$18:AP$1048576)-3)</f>
        <v/>
      </c>
      <c r="AQ6" s="402">
        <f t="array" ref="AQ6">INDEX(AQ$18:AQ$1048576,COUNTA(AQ$18:AQ$1048576))-INDEX(AQ$18:AQ$1048576,COUNTA(AQ$18:AQ$1048576)-3)</f>
        <v/>
      </c>
      <c r="AR6" s="402">
        <f t="array" ref="AR6">INDEX(AR$18:AR$1048576,COUNTA(AR$18:AR$1048576))-INDEX(AR$18:AR$1048576,COUNTA(AR$18:AR$1048576)-3)</f>
        <v/>
      </c>
      <c r="AS6" s="402">
        <f t="array" ref="AS6">INDEX(AS$18:AS$1048576,COUNTA(AS$18:AS$1048576))-INDEX(AS$18:AS$1048576,COUNTA(AS$18:AS$1048576)-3)</f>
        <v/>
      </c>
      <c r="AT6" s="402">
        <f t="array" ref="AT6">INDEX(AT$18:AT$1048576,COUNTA(AT$18:AT$1048576))-INDEX(AT$18:AT$1048576,COUNTA(AT$18:AT$1048576)-3)</f>
        <v/>
      </c>
      <c r="AU6" s="402">
        <f t="array" ref="AU6">INDEX(AU$18:AU$1048576,COUNTA(AU$18:AU$1048576))-INDEX(AU$18:AU$1048576,COUNTA(AU$18:AU$1048576)-3)</f>
        <v/>
      </c>
      <c r="AV6" s="402">
        <f t="array" ref="AV6">INDEX(AV$18:AV$1048576,COUNTA(AV$18:AV$1048576))-INDEX(AV$18:AV$1048576,COUNTA(AV$18:AV$1048576)-3)</f>
        <v/>
      </c>
      <c r="AW6" s="471">
        <f t="array" ref="AW6">INDEX(AW$18:AW$1048576,COUNTA(AW$18:AW$1048576))-INDEX(AW$18:AW$1048576,COUNTA(AW$18:AW$1048576)-3)</f>
        <v/>
      </c>
      <c r="AX6" s="401">
        <f t="array" ref="AX6">INDEX(AX$18:AX$1048576,COUNTA(AX$18:AX$1048576))-INDEX(AX$18:AX$1048576,COUNTA(AX$18:AX$1048576)-3)</f>
        <v/>
      </c>
      <c r="AY6" s="402">
        <f t="array" ref="AY6">INDEX(AY$18:AY$1048576,COUNTA(AY$18:AY$1048576))-INDEX(AY$18:AY$1048576,COUNTA(AY$18:AY$1048576)-3)</f>
        <v/>
      </c>
      <c r="AZ6" s="402">
        <f t="array" ref="AZ6">INDEX(AZ$18:AZ$1048576,COUNTA(AZ$18:AZ$1048576))-INDEX(AZ$18:AZ$1048576,COUNTA(AZ$18:AZ$1048576)-3)</f>
        <v/>
      </c>
      <c r="BA6" s="402">
        <f t="array" ref="BA6">INDEX(BA$18:BA$1048576,COUNTA(BA$18:BA$1048576))-INDEX(BA$18:BA$1048576,COUNTA(BA$18:BA$1048576)-3)</f>
        <v/>
      </c>
      <c r="BB6" s="402">
        <f t="array" ref="BB6">INDEX(BB$18:BB$1048576,COUNTA(BB$18:BB$1048576))-INDEX(BB$18:BB$1048576,COUNTA(BB$18:BB$1048576)-3)</f>
        <v/>
      </c>
      <c r="BC6" s="938">
        <f t="array" ref="BC6">INDEX(BC$18:BC$1048576,COUNTA(BC$18:BC$1048576))-INDEX(BC$18:BC$1048576,COUNTA(BC$18:BC$1048576)-3)</f>
        <v/>
      </c>
      <c r="BD6" s="402">
        <f t="array" ref="BD6">INDEX(BD$18:BD$1048576,COUNTA(BD$18:BD$1048576))-INDEX(BD$18:BD$1048576,COUNTA(BD$18:BD$1048576)-3)</f>
        <v/>
      </c>
      <c r="BE6" s="787">
        <f t="array" ref="BE6">INDEX(BE$18:BE$1048576,COUNTA(BE$18:BE$1048576))-INDEX(BE$18:BE$1048576,COUNTA(BE$18:BE$1048576)-3)</f>
        <v/>
      </c>
      <c r="BF6" s="401">
        <f t="array" ref="BF6">INDEX(BF$18:BF$1048576,COUNTA(BF$18:BF$1048576))-INDEX(BF$18:BF$1048576,COUNTA(BF$18:BF$1048576)-3)</f>
        <v/>
      </c>
      <c r="BG6" s="402">
        <f t="array" ref="BG6">INDEX(BG$18:BG$1048576,COUNTA(BG$18:BG$1048576))-INDEX(BG$18:BG$1048576,COUNTA(BG$18:BG$1048576)-3)</f>
        <v/>
      </c>
      <c r="BH6" s="402">
        <f t="array" ref="BH6">INDEX(BH$18:BH$1048576,COUNTA(BH$18:BH$1048576))-INDEX(BH$18:BH$1048576,COUNTA(BH$18:BH$1048576)-3)</f>
        <v/>
      </c>
      <c r="BI6" s="402">
        <f t="array" ref="BI6">INDEX(BI$18:BI$1048576,COUNTA(BI$18:BI$1048576))-INDEX(BI$18:BI$1048576,COUNTA(BI$18:BI$1048576)-3)</f>
        <v/>
      </c>
      <c r="BJ6" s="402">
        <f t="array" ref="BJ6">INDEX(BJ$18:BJ$1048576,COUNTA(BJ$18:BJ$1048576))-INDEX(BJ$18:BJ$1048576,COUNTA(BJ$18:BJ$1048576)-3)</f>
        <v/>
      </c>
      <c r="BK6" s="402">
        <f t="array" ref="BK6">INDEX(BK$18:BK$1048576,COUNTA(BK$18:BK$1048576))-INDEX(BK$18:BK$1048576,COUNTA(BK$18:BK$1048576)-3)</f>
        <v/>
      </c>
      <c r="BL6" s="402">
        <f t="array" ref="BL6">INDEX(BL$18:BL$1048576,COUNTA(BL$18:BL$1048576))-INDEX(BL$18:BL$1048576,COUNTA(BL$18:BL$1048576)-3)</f>
        <v/>
      </c>
      <c r="BM6" s="403">
        <f t="array" ref="BM6">INDEX(BM$18:BM$1048576,COUNTA(BM$18:BM$1048576))-INDEX(BM$18:BM$1048576,COUNTA(BM$18:BM$1048576)-3)</f>
        <v/>
      </c>
    </row>
    <row r="7" ht="13.5" customHeight="1" s="828" thickBot="1">
      <c r="A7" s="399" t="inlineStr">
        <is>
          <t>Change year on year</t>
        </is>
      </c>
      <c r="B7" s="927" t="inlineStr">
        <is>
          <t>{{EMP16_DY}}</t>
        </is>
      </c>
      <c r="C7" s="936" t="inlineStr">
        <is>
          <t>{{EMP_RT_DY}}</t>
        </is>
      </c>
      <c r="D7" s="937" t="inlineStr">
        <is>
          <t>{{UNEMP16_DY}}</t>
        </is>
      </c>
      <c r="E7" s="930" t="inlineStr">
        <is>
          <t>{{UNEMP_RT_DY}}</t>
        </is>
      </c>
      <c r="F7" s="463">
        <f t="array" ref="F7">INDEX(F$18:F$1048576,COUNTA(F$18:F$1048576))-INDEX(F$18:F$1048576,COUNTA(F$18:F$1048576)-12)</f>
        <v/>
      </c>
      <c r="G7" s="938">
        <f t="array" ref="G7">INDEX(G$18:G$1048576,COUNTA(G$18:G$1048576))-INDEX(G$18:G$1048576,COUNTA(G$18:G$1048576)-12)</f>
        <v/>
      </c>
      <c r="H7" s="936" t="inlineStr">
        <is>
          <t>{{INACT_DY}}</t>
        </is>
      </c>
      <c r="I7" s="939" t="inlineStr">
        <is>
          <t>{{INACT_RT_DY}}</t>
        </is>
      </c>
      <c r="J7" s="476">
        <f t="array" ref="J7">INDEX(J$18:J$1048576,COUNTA(J$18:J$1048576))-INDEX(J$18:J$1048576,COUNTA(J$18:J$1048576)-12)</f>
        <v/>
      </c>
      <c r="K7" s="777">
        <f t="array" ref="K7">INDEX(K$18:K$1048576,COUNTA(K$18:K$1048576))-INDEX(K$18:K$1048576,COUNTA(K$18:K$1048576)-12)</f>
        <v/>
      </c>
      <c r="L7" s="463">
        <f t="array" ref="L7">INDEX(L$18:L$1048576,COUNTA(L$18:L$1048576))-INDEX(L$18:L$1048576,COUNTA(L$18:L$1048576)-12)</f>
        <v/>
      </c>
      <c r="M7" s="402">
        <f t="array" ref="M7">INDEX(M$18:M$1048576,COUNTA(M$18:M$1048576))-INDEX(M$18:M$1048576,COUNTA(M$18:M$1048576)-12)</f>
        <v/>
      </c>
      <c r="N7" s="402">
        <f t="array" ref="N7">INDEX(N$18:N$1048576,COUNTA(N$18:N$1048576))-INDEX(N$18:N$1048576,COUNTA(N$18:N$1048576)-12)</f>
        <v/>
      </c>
      <c r="O7" s="938">
        <f t="array" ref="O7">INDEX(O$18:O$1048576,COUNTA(O$18:O$1048576))-INDEX(O$18:O$1048576,COUNTA(O$18:O$1048576)-12)</f>
        <v/>
      </c>
      <c r="P7" s="471">
        <f t="array" ref="P7">INDEX(P$18:P$1048576,COUNTA(P$18:P$1048576))-INDEX(P$18:P$1048576,COUNTA(P$18:P$1048576)-12)</f>
        <v/>
      </c>
      <c r="Q7" s="932">
        <f t="array" ref="Q7">INDEX(Q$18:Q$1048576,COUNTA(Q$18:Q$1048576))-INDEX(Q$18:Q$1048576,COUNTA(Q$18:Q$1048576)-12)</f>
        <v/>
      </c>
      <c r="R7" s="401">
        <f t="array" ref="R7">INDEX(R$18:R$1048576,COUNTA(R$18:R$1048576))-INDEX(R$18:R$1048576,COUNTA(R$18:R$1048576)-12)</f>
        <v/>
      </c>
      <c r="S7" s="938">
        <f t="array" ref="S7">INDEX(S$18:S$1048576,COUNTA(S$18:S$1048576))-INDEX(S$18:S$1048576,COUNTA(S$18:S$1048576)-12)</f>
        <v/>
      </c>
      <c r="T7" s="402">
        <f t="array" ref="T7">INDEX(T$18:T$1048576,COUNTA(T$18:T$1048576))-INDEX(T$18:T$1048576,COUNTA(T$18:T$1048576)-12)</f>
        <v/>
      </c>
      <c r="U7" s="402">
        <f t="array" ref="U7">INDEX(U$18:U$1048576,COUNTA(U$18:U$1048576))-INDEX(U$18:U$1048576,COUNTA(U$18:U$1048576)-12)</f>
        <v/>
      </c>
      <c r="V7" s="402">
        <f t="array" ref="V7">INDEX(V$18:V$1048576,COUNTA(V$18:V$1048576))-INDEX(V$18:V$1048576,COUNTA(V$18:V$1048576)-12)</f>
        <v/>
      </c>
      <c r="W7" s="402">
        <f t="array" ref="W7">INDEX(W$18:W$1048576,COUNTA(W$18:W$1048576))-INDEX(W$18:W$1048576,COUNTA(W$18:W$1048576)-12)</f>
        <v/>
      </c>
      <c r="X7" s="402">
        <f t="array" ref="X7">INDEX(X$18:X$1048576,COUNTA(X$18:X$1048576))-INDEX(X$18:X$1048576,COUNTA(X$18:X$1048576)-12)</f>
        <v/>
      </c>
      <c r="Y7" s="471">
        <f t="array" ref="Y7">INDEX(Y$18:Y$1048576,COUNTA(Y$18:Y$1048576))-INDEX(Y$18:Y$1048576,COUNTA(Y$18:Y$1048576)-12)</f>
        <v/>
      </c>
      <c r="Z7" s="401">
        <f t="array" ref="Z7">INDEX(Z$18:Z$1048576,COUNTA(Z$18:Z$1048576))-INDEX(Z$18:Z$1048576,COUNTA(Z$18:Z$1048576)-12)</f>
        <v/>
      </c>
      <c r="AA7" s="592">
        <f t="array" ref="AA7">INDEX(AA$18:AA$1048576,COUNTA(AA$18:AA$1048576))-INDEX(AA$18:AA$1048576,COUNTA(AA$18:AA$1048576)-12)</f>
        <v/>
      </c>
      <c r="AB7" s="402">
        <f t="array" ref="AB7">INDEX(AB$18:AB$1048576,COUNTA(AB$18:AB$1048576))-INDEX(AB$18:AB$1048576,COUNTA(AB$18:AB$1048576)-12)</f>
        <v/>
      </c>
      <c r="AC7" s="592">
        <f t="array" ref="AC7">INDEX(AC$18:AC$1048576,COUNTA(AC$18:AC$1048576))-INDEX(AC$18:AC$1048576,COUNTA(AC$18:AC$1048576)-12)</f>
        <v/>
      </c>
      <c r="AD7" s="402">
        <f t="array" ref="AD7">INDEX(AD$18:AD$1048576,COUNTA(AD$18:AD$1048576))-INDEX(AD$18:AD$1048576,COUNTA(AD$18:AD$1048576)-12)</f>
        <v/>
      </c>
      <c r="AE7" s="589">
        <f t="array" ref="AE7">INDEX(AE$18:AE$1048576,COUNTA(AE$18:AE$1048576))-INDEX(AE$18:AE$1048576,COUNTA(AE$18:AE$1048576)-12)</f>
        <v/>
      </c>
      <c r="AF7" s="402">
        <f t="array" ref="AF7">INDEX(AF$18:AF$1048576,COUNTA(AF$18:AF$1048576))-INDEX(AF$18:AF$1048576,COUNTA(AF$18:AF$1048576)-12)</f>
        <v/>
      </c>
      <c r="AG7" s="940">
        <f t="array" ref="AG7">INDEX(AG$18:AG$1048576,COUNTA(AG$18:AG$1048576))-INDEX(AG$18:AG$1048576,COUNTA(AG$18:AG$1048576)-12)</f>
        <v/>
      </c>
      <c r="AH7" s="401">
        <f t="array" ref="AH7">INDEX(AH$18:AH$1048576,COUNTA(AH$18:AH$1048576))-INDEX(AH$18:AH$1048576,COUNTA(AH$18:AH$1048576)-12)</f>
        <v/>
      </c>
      <c r="AI7" s="402">
        <f t="array" ref="AI7">INDEX(AI$18:AI$1048576,COUNTA(AI$18:AI$1048576))-INDEX(AI$18:AI$1048576,COUNTA(AI$18:AI$1048576)-12)</f>
        <v/>
      </c>
      <c r="AJ7" s="402">
        <f t="array" ref="AJ7">INDEX(AJ$18:AJ$1048576,COUNTA(AJ$18:AJ$1048576))-INDEX(AJ$18:AJ$1048576,COUNTA(AJ$18:AJ$1048576)-12)</f>
        <v/>
      </c>
      <c r="AK7" s="402">
        <f t="array" ref="AK7">INDEX(AK$18:AK$1048576,COUNTA(AK$18:AK$1048576))-INDEX(AK$18:AK$1048576,COUNTA(AK$18:AK$1048576)-12)</f>
        <v/>
      </c>
      <c r="AL7" s="402">
        <f t="array" ref="AL7">INDEX(AL$18:AL$1048576,COUNTA(AL$18:AL$1048576))-INDEX(AL$18:AL$1048576,COUNTA(AL$18:AL$1048576)-12)</f>
        <v/>
      </c>
      <c r="AM7" s="402">
        <f t="array" ref="AM7">INDEX(AM$18:AM$1048576,COUNTA(AM$18:AM$1048576))-INDEX(AM$18:AM$1048576,COUNTA(AM$18:AM$1048576)-12)</f>
        <v/>
      </c>
      <c r="AN7" s="402">
        <f t="array" ref="AN7">INDEX(AN$18:AN$1048576,COUNTA(AN$18:AN$1048576))-INDEX(AN$18:AN$1048576,COUNTA(AN$18:AN$1048576)-12)</f>
        <v/>
      </c>
      <c r="AO7" s="471">
        <f t="array" ref="AO7">INDEX(AO$18:AO$1048576,COUNTA(AO$18:AO$1048576))-INDEX(AO$18:AO$1048576,COUNTA(AO$18:AO$1048576)-12)</f>
        <v/>
      </c>
      <c r="AP7" s="401">
        <f t="array" ref="AP7">INDEX(AP$18:AP$1048576,COUNTA(AP$18:AP$1048576))-INDEX(AP$18:AP$1048576,COUNTA(AP$18:AP$1048576)-12)</f>
        <v/>
      </c>
      <c r="AQ7" s="402">
        <f t="array" ref="AQ7">INDEX(AQ$18:AQ$1048576,COUNTA(AQ$18:AQ$1048576))-INDEX(AQ$18:AQ$1048576,COUNTA(AQ$18:AQ$1048576)-12)</f>
        <v/>
      </c>
      <c r="AR7" s="402">
        <f t="array" ref="AR7">INDEX(AR$18:AR$1048576,COUNTA(AR$18:AR$1048576))-INDEX(AR$18:AR$1048576,COUNTA(AR$18:AR$1048576)-12)</f>
        <v/>
      </c>
      <c r="AS7" s="402">
        <f t="array" ref="AS7">INDEX(AS$18:AS$1048576,COUNTA(AS$18:AS$1048576))-INDEX(AS$18:AS$1048576,COUNTA(AS$18:AS$1048576)-12)</f>
        <v/>
      </c>
      <c r="AT7" s="402">
        <f t="array" ref="AT7">INDEX(AT$18:AT$1048576,COUNTA(AT$18:AT$1048576))-INDEX(AT$18:AT$1048576,COUNTA(AT$18:AT$1048576)-12)</f>
        <v/>
      </c>
      <c r="AU7" s="402">
        <f t="array" ref="AU7">INDEX(AU$18:AU$1048576,COUNTA(AU$18:AU$1048576))-INDEX(AU$18:AU$1048576,COUNTA(AU$18:AU$1048576)-12)</f>
        <v/>
      </c>
      <c r="AV7" s="402">
        <f t="array" ref="AV7">INDEX(AV$18:AV$1048576,COUNTA(AV$18:AV$1048576))-INDEX(AV$18:AV$1048576,COUNTA(AV$18:AV$1048576)-12)</f>
        <v/>
      </c>
      <c r="AW7" s="471">
        <f t="array" ref="AW7">INDEX(AW$18:AW$1048576,COUNTA(AW$18:AW$1048576))-INDEX(AW$18:AW$1048576,COUNTA(AW$18:AW$1048576)-12)</f>
        <v/>
      </c>
      <c r="AX7" s="401">
        <f t="array" ref="AX7">INDEX(AX$18:AX$1048576,COUNTA(AX$18:AX$1048576))-INDEX(AX$18:AX$1048576,COUNTA(AX$18:AX$1048576)-12)</f>
        <v/>
      </c>
      <c r="AY7" s="402">
        <f t="array" ref="AY7">INDEX(AY$18:AY$1048576,COUNTA(AY$18:AY$1048576))-INDEX(AY$18:AY$1048576,COUNTA(AY$18:AY$1048576)-12)</f>
        <v/>
      </c>
      <c r="AZ7" s="402">
        <f t="array" ref="AZ7">INDEX(AZ$18:AZ$1048576,COUNTA(AZ$18:AZ$1048576))-INDEX(AZ$18:AZ$1048576,COUNTA(AZ$18:AZ$1048576)-12)</f>
        <v/>
      </c>
      <c r="BA7" s="402">
        <f t="array" ref="BA7">INDEX(BA$18:BA$1048576,COUNTA(BA$18:BA$1048576))-INDEX(BA$18:BA$1048576,COUNTA(BA$18:BA$1048576)-12)</f>
        <v/>
      </c>
      <c r="BB7" s="402">
        <f t="array" ref="BB7">INDEX(BB$18:BB$1048576,COUNTA(BB$18:BB$1048576))-INDEX(BB$18:BB$1048576,COUNTA(BB$18:BB$1048576)-12)</f>
        <v/>
      </c>
      <c r="BC7" s="938">
        <f t="array" ref="BC7">INDEX(BC$18:BC$1048576,COUNTA(BC$18:BC$1048576))-INDEX(BC$18:BC$1048576,COUNTA(BC$18:BC$1048576)-12)</f>
        <v/>
      </c>
      <c r="BD7" s="402">
        <f t="array" ref="BD7">INDEX(BD$18:BD$1048576,COUNTA(BD$18:BD$1048576))-INDEX(BD$18:BD$1048576,COUNTA(BD$18:BD$1048576)-12)</f>
        <v/>
      </c>
      <c r="BE7" s="941">
        <f t="array" ref="BE7">INDEX(BE$18:BE$1048576,COUNTA(BE$18:BE$1048576))-INDEX(BE$18:BE$1048576,COUNTA(BE$18:BE$1048576)-12)</f>
        <v/>
      </c>
      <c r="BF7" s="401">
        <f t="array" ref="BF7">INDEX(BF$18:BF$1048576,COUNTA(BF$18:BF$1048576))-INDEX(BF$18:BF$1048576,COUNTA(BF$18:BF$1048576)-12)</f>
        <v/>
      </c>
      <c r="BG7" s="402">
        <f t="array" ref="BG7">INDEX(BG$18:BG$1048576,COUNTA(BG$18:BG$1048576))-INDEX(BG$18:BG$1048576,COUNTA(BG$18:BG$1048576)-12)</f>
        <v/>
      </c>
      <c r="BH7" s="402">
        <f t="array" ref="BH7">INDEX(BH$18:BH$1048576,COUNTA(BH$18:BH$1048576))-INDEX(BH$18:BH$1048576,COUNTA(BH$18:BH$1048576)-12)</f>
        <v/>
      </c>
      <c r="BI7" s="402">
        <f t="array" ref="BI7">INDEX(BI$18:BI$1048576,COUNTA(BI$18:BI$1048576))-INDEX(BI$18:BI$1048576,COUNTA(BI$18:BI$1048576)-12)</f>
        <v/>
      </c>
      <c r="BJ7" s="402">
        <f t="array" ref="BJ7">INDEX(BJ$18:BJ$1048576,COUNTA(BJ$18:BJ$1048576))-INDEX(BJ$18:BJ$1048576,COUNTA(BJ$18:BJ$1048576)-12)</f>
        <v/>
      </c>
      <c r="BK7" s="402">
        <f t="array" ref="BK7">INDEX(BK$18:BK$1048576,COUNTA(BK$18:BK$1048576))-INDEX(BK$18:BK$1048576,COUNTA(BK$18:BK$1048576)-12)</f>
        <v/>
      </c>
      <c r="BL7" s="402">
        <f t="array" ref="BL7">INDEX(BL$18:BL$1048576,COUNTA(BL$18:BL$1048576))-INDEX(BL$18:BL$1048576,COUNTA(BL$18:BL$1048576)-12)</f>
        <v/>
      </c>
      <c r="BM7" s="403">
        <f t="array" ref="BM7">INDEX(BM$18:BM$1048576,COUNTA(BM$18:BM$1048576))-INDEX(BM$18:BM$1048576,COUNTA(BM$18:BM$1048576)-12)</f>
        <v/>
      </c>
    </row>
    <row r="8" ht="13.5" customHeight="1" s="828" thickBot="1">
      <c r="A8" s="942" t="inlineStr">
        <is>
          <t>Change since Covid (Dec 19-feb 20)</t>
        </is>
      </c>
      <c r="B8" s="927" t="inlineStr">
        <is>
          <t>{{EMP16_DC}}</t>
        </is>
      </c>
      <c r="C8" s="943" t="inlineStr">
        <is>
          <t>{{EMP_RT_DC}}</t>
        </is>
      </c>
      <c r="D8" s="937" t="inlineStr">
        <is>
          <t>{{UNEMP16_DC}}</t>
        </is>
      </c>
      <c r="E8" s="930" t="inlineStr">
        <is>
          <t>{{UNEMP_RT_DC}}</t>
        </is>
      </c>
      <c r="F8" s="463">
        <f t="array" ref="F8">INDEX(F$18:F$1048576,COUNTA(F$18:F$1048576))-F$351</f>
        <v/>
      </c>
      <c r="G8" s="938">
        <f t="array" ref="G8">INDEX(G$18:G$1048576,COUNTA(G$18:G$1048576))-G$351</f>
        <v/>
      </c>
      <c r="H8" s="936" t="inlineStr">
        <is>
          <t>{{INACT_DC}}</t>
        </is>
      </c>
      <c r="I8" s="939" t="inlineStr">
        <is>
          <t>{{INACT_RT_DC}}</t>
        </is>
      </c>
      <c r="J8" s="476">
        <f t="array" ref="J8">INDEX(J$18:J$1048576,COUNTA(J$18:J$1048576))-J$351</f>
        <v/>
      </c>
      <c r="K8" s="932">
        <f t="array" ref="K8">INDEX(K$18:K$1048576,COUNTA(K$18:K$1048576))-K$351</f>
        <v/>
      </c>
      <c r="L8" s="463">
        <f t="array" ref="L8">INDEX(L$18:L$1048576,COUNTA(L$18:L$1048576))-L$351</f>
        <v/>
      </c>
      <c r="M8" s="402">
        <f t="array" ref="M8">INDEX(M$18:M$1048576,COUNTA(M$18:M$1048576))-M$351</f>
        <v/>
      </c>
      <c r="N8" s="402">
        <f t="array" ref="N8">INDEX(N$18:N$1048576,COUNTA(N$18:N$1048576))-N$351</f>
        <v/>
      </c>
      <c r="O8" s="938">
        <f t="array" ref="O8">INDEX(O$18:O$1048576,COUNTA(O$18:O$1048576))-O$351</f>
        <v/>
      </c>
      <c r="P8" s="471">
        <f t="array" ref="P8">INDEX(P$18:P$1048576,COUNTA(P$18:P$1048576))-P$351</f>
        <v/>
      </c>
      <c r="Q8" s="932">
        <f t="array" ref="Q8">INDEX(Q$18:Q$1048576,COUNTA(Q$18:Q$1048576))-Q$351</f>
        <v/>
      </c>
      <c r="R8" s="401">
        <f t="array" ref="R8">INDEX(R$18:R$1048576,COUNTA(R$18:R$1048576))-R$351</f>
        <v/>
      </c>
      <c r="S8" s="938">
        <f t="array" ref="S8">INDEX(S$18:S$1048576,COUNTA(S$18:S$1048576))-S$351</f>
        <v/>
      </c>
      <c r="T8" s="402">
        <f t="array" ref="T8">INDEX(T$18:T$1048576,COUNTA(T$18:T$1048576))-T$351</f>
        <v/>
      </c>
      <c r="U8" s="402">
        <f t="array" ref="U8">INDEX(U$18:U$1048576,COUNTA(U$18:U$1048576))-U$351</f>
        <v/>
      </c>
      <c r="V8" s="402">
        <f t="array" ref="V8">INDEX(V$18:V$1048576,COUNTA(V$18:V$1048576))-V$351</f>
        <v/>
      </c>
      <c r="W8" s="402">
        <f t="array" ref="W8">INDEX(W$18:W$1048576,COUNTA(W$18:W$1048576))-W$351</f>
        <v/>
      </c>
      <c r="X8" s="402">
        <f t="array" ref="X8">INDEX(X$18:X$1048576,COUNTA(X$18:X$1048576))-X$351</f>
        <v/>
      </c>
      <c r="Y8" s="471">
        <f t="array" ref="Y8">INDEX(Y$18:Y$1048576,COUNTA(Y$18:Y$1048576))-Y$351</f>
        <v/>
      </c>
      <c r="Z8" s="401">
        <f t="array" ref="Z8">INDEX(Z$18:Z$1048576,COUNTA(Z$18:Z$1048576))-Z$351</f>
        <v/>
      </c>
      <c r="AA8" s="592">
        <f t="array" ref="AA8">INDEX(AA$18:AA$1048576,COUNTA(AA$18:AA$1048576))-AA$351</f>
        <v/>
      </c>
      <c r="AB8" s="402">
        <f t="array" ref="AB8">INDEX(AB$18:AB$1048576,COUNTA(AB$18:AB$1048576))-AB$351</f>
        <v/>
      </c>
      <c r="AC8" s="589">
        <f t="array" ref="AC8">INDEX(AC$18:AC$1048576,COUNTA(AC$18:AC$1048576))-AC$351</f>
        <v/>
      </c>
      <c r="AD8" s="402">
        <f t="array" ref="AD8">INDEX(AD$18:AD$1048576,COUNTA(AD$18:AD$1048576))-AD$351</f>
        <v/>
      </c>
      <c r="AE8" s="589">
        <f t="array" ref="AE8">INDEX(AE$18:AE$1048576,COUNTA(AE$18:AE$1048576))-AE$351</f>
        <v/>
      </c>
      <c r="AF8" s="402">
        <f t="array" ref="AF8">INDEX(AF$18:AF$1048576,COUNTA(AF$18:AF$1048576))-AF$351</f>
        <v/>
      </c>
      <c r="AG8" s="940">
        <f t="array" ref="AG8">INDEX(AG$18:AG$1048576,COUNTA(AG$18:AG$1048576))-AG$351</f>
        <v/>
      </c>
      <c r="AH8" s="401">
        <f t="array" ref="AH8">INDEX(AH$18:AH$1048576,COUNTA(AH$18:AH$1048576))-AH$351</f>
        <v/>
      </c>
      <c r="AI8" s="402">
        <f t="array" ref="AI8">INDEX(AI$18:AI$1048576,COUNTA(AI$18:AI$1048576))-AI$351</f>
        <v/>
      </c>
      <c r="AJ8" s="402">
        <f t="array" ref="AJ8">INDEX(AJ$18:AJ$1048576,COUNTA(AJ$18:AJ$1048576))-AJ$351</f>
        <v/>
      </c>
      <c r="AK8" s="402">
        <f t="array" ref="AK8">INDEX(AK$18:AK$1048576,COUNTA(AK$18:AK$1048576))-AK$351</f>
        <v/>
      </c>
      <c r="AL8" s="402">
        <f t="array" ref="AL8">INDEX(AL$18:AL$1048576,COUNTA(AL$18:AL$1048576))-AL$351</f>
        <v/>
      </c>
      <c r="AM8" s="402">
        <f t="array" ref="AM8">INDEX(AM$18:AM$1048576,COUNTA(AM$18:AM$1048576))-AM$351</f>
        <v/>
      </c>
      <c r="AN8" s="402">
        <f t="array" ref="AN8">INDEX(AN$18:AN$1048576,COUNTA(AN$18:AN$1048576))-AN$351</f>
        <v/>
      </c>
      <c r="AO8" s="471">
        <f t="array" ref="AO8">INDEX(AO$18:AO$1048576,COUNTA(AO$18:AO$1048576))-AO$351</f>
        <v/>
      </c>
      <c r="AP8" s="401">
        <f t="array" ref="AP8">INDEX(AP$18:AP$1048576,COUNTA(AP$18:AP$1048576))-AP$351</f>
        <v/>
      </c>
      <c r="AQ8" s="402">
        <f t="array" ref="AQ8">INDEX(AQ$18:AQ$1048576,COUNTA(AQ$18:AQ$1048576))-AQ$351</f>
        <v/>
      </c>
      <c r="AR8" s="402">
        <f t="array" ref="AR8">INDEX(AR$18:AR$1048576,COUNTA(AR$18:AR$1048576))-AR$351</f>
        <v/>
      </c>
      <c r="AS8" s="402">
        <f t="array" ref="AS8">INDEX(AS$18:AS$1048576,COUNTA(AS$18:AS$1048576))-AS$351</f>
        <v/>
      </c>
      <c r="AT8" s="402">
        <f t="array" ref="AT8">INDEX(AT$18:AT$1048576,COUNTA(AT$18:AT$1048576))-AT$351</f>
        <v/>
      </c>
      <c r="AU8" s="402">
        <f t="array" ref="AU8">INDEX(AU$18:AU$1048576,COUNTA(AU$18:AU$1048576))-AU$351</f>
        <v/>
      </c>
      <c r="AV8" s="402">
        <f t="array" ref="AV8">INDEX(AV$18:AV$1048576,COUNTA(AV$18:AV$1048576))-AV$351</f>
        <v/>
      </c>
      <c r="AW8" s="471">
        <f t="array" ref="AW8">INDEX(AW$18:AW$1048576,COUNTA(AW$18:AW$1048576))-AW$351</f>
        <v/>
      </c>
      <c r="AX8" s="401">
        <f t="array" ref="AX8">INDEX(AX$18:AX$1048576,COUNTA(AX$18:AX$1048576))-AX$351</f>
        <v/>
      </c>
      <c r="AY8" s="402">
        <f t="array" ref="AY8">INDEX(AY$18:AY$1048576,COUNTA(AY$18:AY$1048576))-AY$351</f>
        <v/>
      </c>
      <c r="AZ8" s="402">
        <f t="array" ref="AZ8">INDEX(AZ$18:AZ$1048576,COUNTA(AZ$18:AZ$1048576))-AZ$351</f>
        <v/>
      </c>
      <c r="BA8" s="402">
        <f t="array" ref="BA8">INDEX(BA$18:BA$1048576,COUNTA(BA$18:BA$1048576))-BA$351</f>
        <v/>
      </c>
      <c r="BB8" s="402">
        <f t="array" ref="BB8">INDEX(BB$18:BB$1048576,COUNTA(BB$18:BB$1048576))-BB$351</f>
        <v/>
      </c>
      <c r="BC8" s="938">
        <f t="array" ref="BC8">INDEX(BC$18:BC$1048576,COUNTA(BC$18:BC$1048576))-BC$351</f>
        <v/>
      </c>
      <c r="BD8" s="402">
        <f t="array" ref="BD8">INDEX(BD$18:BD$1048576,COUNTA(BD$18:BD$1048576))-BD$351</f>
        <v/>
      </c>
      <c r="BE8" s="941">
        <f t="array" ref="BE8">INDEX(BE$18:BE$1048576,COUNTA(BE$18:BE$1048576))-BE$351</f>
        <v/>
      </c>
      <c r="BF8" s="401">
        <f t="array" ref="BF8">INDEX(BF$18:BF$1048576,COUNTA(BF$18:BF$1048576))-BF$351</f>
        <v/>
      </c>
      <c r="BG8" s="402">
        <f t="array" ref="BG8">INDEX(BG$18:BG$1048576,COUNTA(BG$18:BG$1048576))-BG$351</f>
        <v/>
      </c>
      <c r="BH8" s="402">
        <f t="array" ref="BH8">INDEX(BH$18:BH$1048576,COUNTA(BH$18:BH$1048576))-BH$351</f>
        <v/>
      </c>
      <c r="BI8" s="402">
        <f t="array" ref="BI8">INDEX(BI$18:BI$1048576,COUNTA(BI$18:BI$1048576))-BI$351</f>
        <v/>
      </c>
      <c r="BJ8" s="402">
        <f t="array" ref="BJ8">INDEX(BJ$18:BJ$1048576,COUNTA(BJ$18:BJ$1048576))-BJ$351</f>
        <v/>
      </c>
      <c r="BK8" s="402">
        <f t="array" ref="BK8">INDEX(BK$18:BK$1048576,COUNTA(BK$18:BK$1048576))-BK$351</f>
        <v/>
      </c>
      <c r="BL8" s="402">
        <f t="array" ref="BL8">INDEX(BL$18:BL$1048576,COUNTA(BL$18:BL$1048576))-BL$351</f>
        <v/>
      </c>
      <c r="BM8" s="403">
        <f t="array" ref="BM8">INDEX(BM$18:BM$1048576,COUNTA(BM$18:BM$1048576))-BM$351</f>
        <v/>
      </c>
    </row>
    <row r="9" ht="13.5" customHeight="1" s="828" thickBot="1">
      <c r="A9" s="399" t="inlineStr">
        <is>
          <t>change since 2010 election</t>
        </is>
      </c>
      <c r="B9" s="404">
        <f t="array" ref="B9">INDEX(B$18:B$1048576,COUNTA(B$18:B$1048576))-B$233</f>
        <v/>
      </c>
      <c r="C9" s="405">
        <f t="array" ref="C9">INDEX(C$18:C$1048576,COUNTA(C$18:C$1048576))-C$233</f>
        <v/>
      </c>
      <c r="D9" s="405">
        <f t="array" ref="D9">INDEX(D$18:D$1048576,COUNTA(D$18:D$1048576))-D$233</f>
        <v/>
      </c>
      <c r="E9" s="488">
        <f t="array" ref="E9">INDEX(E$18:E$1048576,COUNTA(E$18:E$1048576))-E$233</f>
        <v/>
      </c>
      <c r="F9" s="405">
        <f t="array" ref="F9">INDEX(F$18:F$1048576,COUNTA(F$18:F$1048576))-F$233</f>
        <v/>
      </c>
      <c r="G9" s="944">
        <f t="array" ref="G9">INDEX(G$18:G$1048576,COUNTA(G$18:G$1048576))-G$233</f>
        <v/>
      </c>
      <c r="H9" s="405">
        <f t="array" ref="H9">INDEX(H$18:H$1048576,COUNTA(H$18:H$1048576))-H$233</f>
        <v/>
      </c>
      <c r="I9" s="945">
        <f t="array" ref="I9">INDEX(I$18:I$1048576,COUNTA(I$18:I$1048576))-I$233</f>
        <v/>
      </c>
      <c r="J9" s="404">
        <f t="array" ref="J9">INDEX(J$18:J$1048576,COUNTA(J$18:J$1048576))-J$233</f>
        <v/>
      </c>
      <c r="K9" s="946">
        <f t="array" ref="K9">INDEX(K$18:K$1048576,COUNTA(K$18:K$1048576))-K$233</f>
        <v/>
      </c>
      <c r="L9" s="405">
        <f t="array" ref="L9">INDEX(L$18:L$1048576,COUNTA(L$18:L$1048576))-L$233</f>
        <v/>
      </c>
      <c r="M9" s="405">
        <f t="array" ref="M9">INDEX(M$18:M$1048576,COUNTA(M$18:M$1048576))-M$233</f>
        <v/>
      </c>
      <c r="N9" s="405">
        <f t="array" ref="N9">INDEX(N$18:N$1048576,COUNTA(N$18:N$1048576))-N$233</f>
        <v/>
      </c>
      <c r="O9" s="944">
        <f t="array" ref="O9">INDEX(O$18:O$1048576,COUNTA(O$18:O$1048576))-O$233</f>
        <v/>
      </c>
      <c r="P9" s="405">
        <f t="array" ref="P9">INDEX(P$18:P$1048576,COUNTA(P$18:P$1048576))-P$233</f>
        <v/>
      </c>
      <c r="Q9" s="487">
        <f t="array" ref="Q9">INDEX(Q$18:Q$1048576,COUNTA(Q$18:Q$1048576))-Q$233</f>
        <v/>
      </c>
      <c r="R9" s="404">
        <f t="array" ref="R9">INDEX(R$18:R$1048576,COUNTA(R$18:R$1048576))-R$233</f>
        <v/>
      </c>
      <c r="S9" s="944">
        <f t="array" ref="S9">INDEX(S$18:S$1048576,COUNTA(S$18:S$1048576))-S$233</f>
        <v/>
      </c>
      <c r="T9" s="405">
        <f t="array" ref="T9">INDEX(T$18:T$1048576,COUNTA(T$18:T$1048576))-T$233</f>
        <v/>
      </c>
      <c r="U9" s="405">
        <f t="array" ref="U9">INDEX(U$18:U$1048576,COUNTA(U$18:U$1048576))-U$233</f>
        <v/>
      </c>
      <c r="V9" s="405">
        <f t="array" ref="V9">INDEX(V$18:V$1048576,COUNTA(V$18:V$1048576))-V$233</f>
        <v/>
      </c>
      <c r="W9" s="405">
        <f t="array" ref="W9">INDEX(W$18:W$1048576,COUNTA(W$18:W$1048576))-W$233</f>
        <v/>
      </c>
      <c r="X9" s="405">
        <f t="array" ref="X9">INDEX(X$18:X$1048576,COUNTA(X$18:X$1048576))-X$233</f>
        <v/>
      </c>
      <c r="Y9" s="472">
        <f t="array" ref="Y9">INDEX(Y$18:Y$1048576,COUNTA(Y$18:Y$1048576))-Y$233</f>
        <v/>
      </c>
      <c r="Z9" s="404">
        <f t="array" ref="Z9">INDEX(Z$18:Z$1048576,COUNTA(Z$18:Z$1048576))-Z$233</f>
        <v/>
      </c>
      <c r="AA9" s="591">
        <f t="array" ref="AA9">INDEX(AA$18:AA$1048576,COUNTA(AA$18:AA$1048576))-AA$233</f>
        <v/>
      </c>
      <c r="AB9" s="405">
        <f t="array" ref="AB9">INDEX(AB$18:AB$1048576,COUNTA(AB$18:AB$1048576))-AB$233</f>
        <v/>
      </c>
      <c r="AC9" s="588">
        <f t="array" ref="AC9">INDEX(AC$18:AC$1048576,COUNTA(AC$18:AC$1048576))-AC$233</f>
        <v/>
      </c>
      <c r="AD9" s="405">
        <f t="array" ref="AD9">INDEX(AD$18:AD$1048576,COUNTA(AD$18:AD$1048576))-AD$233</f>
        <v/>
      </c>
      <c r="AE9" s="588">
        <f t="array" ref="AE9">INDEX(AE$18:AE$1048576,COUNTA(AE$18:AE$1048576))-AE$233</f>
        <v/>
      </c>
      <c r="AF9" s="405">
        <f t="array" ref="AF9">INDEX(AF$18:AF$1048576,COUNTA(AF$18:AF$1048576))-AF$233</f>
        <v/>
      </c>
      <c r="AG9" s="947">
        <f t="array" ref="AG9">INDEX(AG$18:AG$1048576,COUNTA(AG$18:AG$1048576))-AG$233</f>
        <v/>
      </c>
      <c r="AH9" s="404">
        <f t="array" ref="AH9">INDEX(AH$18:AH$1048576,COUNTA(AH$18:AH$1048576))-AH$233</f>
        <v/>
      </c>
      <c r="AI9" s="405">
        <f t="array" ref="AI9">INDEX(AI$18:AI$1048576,COUNTA(AI$18:AI$1048576))-AI$233</f>
        <v/>
      </c>
      <c r="AJ9" s="405">
        <f t="array" ref="AJ9">INDEX(AJ$18:AJ$1048576,COUNTA(AJ$18:AJ$1048576))-AJ$233</f>
        <v/>
      </c>
      <c r="AK9" s="405">
        <f t="array" ref="AK9">INDEX(AK$18:AK$1048576,COUNTA(AK$18:AK$1048576))-AK$233</f>
        <v/>
      </c>
      <c r="AL9" s="405">
        <f t="array" ref="AL9">INDEX(AL$18:AL$1048576,COUNTA(AL$18:AL$1048576))-AL$233</f>
        <v/>
      </c>
      <c r="AM9" s="405">
        <f t="array" ref="AM9">INDEX(AM$18:AM$1048576,COUNTA(AM$18:AM$1048576))-AM$233</f>
        <v/>
      </c>
      <c r="AN9" s="405">
        <f t="array" ref="AN9">INDEX(AN$18:AN$1048576,COUNTA(AN$18:AN$1048576))-AN$233</f>
        <v/>
      </c>
      <c r="AO9" s="472">
        <f t="array" ref="AO9">INDEX(AO$18:AO$1048576,COUNTA(AO$18:AO$1048576))-AO$233</f>
        <v/>
      </c>
      <c r="AP9" s="404">
        <f t="array" ref="AP9">INDEX(AP$18:AP$1048576,COUNTA(AP$18:AP$1048576))-AP$233</f>
        <v/>
      </c>
      <c r="AQ9" s="405">
        <f t="array" ref="AQ9">INDEX(AQ$18:AQ$1048576,COUNTA(AQ$18:AQ$1048576))-AQ$233</f>
        <v/>
      </c>
      <c r="AR9" s="405">
        <f t="array" ref="AR9">INDEX(AR$18:AR$1048576,COUNTA(AR$18:AR$1048576))-AR$233</f>
        <v/>
      </c>
      <c r="AS9" s="405">
        <f t="array" ref="AS9">INDEX(AS$18:AS$1048576,COUNTA(AS$18:AS$1048576))-AS$233</f>
        <v/>
      </c>
      <c r="AT9" s="405">
        <f t="array" ref="AT9">INDEX(AT$18:AT$1048576,COUNTA(AT$18:AT$1048576))-AT$233</f>
        <v/>
      </c>
      <c r="AU9" s="405">
        <f t="array" ref="AU9">INDEX(AU$18:AU$1048576,COUNTA(AU$18:AU$1048576))-AU$233</f>
        <v/>
      </c>
      <c r="AV9" s="405">
        <f t="array" ref="AV9">INDEX(AV$18:AV$1048576,COUNTA(AV$18:AV$1048576))-AV$233</f>
        <v/>
      </c>
      <c r="AW9" s="472">
        <f t="array" ref="AW9">INDEX(AW$18:AW$1048576,COUNTA(AW$18:AW$1048576))-AW$233</f>
        <v/>
      </c>
      <c r="AX9" s="404">
        <f t="array" ref="AX9">INDEX(AX$18:AX$1048576,COUNTA(AX$18:AX$1048576))-AX$233</f>
        <v/>
      </c>
      <c r="AY9" s="405">
        <f t="array" ref="AY9">INDEX(AY$18:AY$1048576,COUNTA(AY$18:AY$1048576))-AY$233</f>
        <v/>
      </c>
      <c r="AZ9" s="405">
        <f t="array" ref="AZ9">INDEX(AZ$18:AZ$1048576,COUNTA(AZ$18:AZ$1048576))-AZ$233</f>
        <v/>
      </c>
      <c r="BA9" s="405">
        <f t="array" ref="BA9">INDEX(BA$18:BA$1048576,COUNTA(BA$18:BA$1048576))-BA$233</f>
        <v/>
      </c>
      <c r="BB9" s="405">
        <f t="array" ref="BB9">INDEX(BB$18:BB$1048576,COUNTA(BB$18:BB$1048576))-BB$233</f>
        <v/>
      </c>
      <c r="BC9" s="944">
        <f t="array" ref="BC9">INDEX(BC$18:BC$1048576,COUNTA(BC$18:BC$1048576))-BC$233</f>
        <v/>
      </c>
      <c r="BD9" s="405">
        <f t="array" ref="BD9">INDEX(BD$18:BD$1048576,COUNTA(BD$18:BD$1048576))-BD$233</f>
        <v/>
      </c>
      <c r="BE9" s="945">
        <f t="array" ref="BE9">INDEX(BE$18:BE$1048576,COUNTA(BE$18:BE$1048576))-BE$233</f>
        <v/>
      </c>
      <c r="BF9" s="404">
        <f t="array" ref="BF9">INDEX(BF$18:BF$1048576,COUNTA(BF$18:BF$1048576))-BF$233</f>
        <v/>
      </c>
      <c r="BG9" s="405">
        <f t="array" ref="BG9">INDEX(BG$18:BG$1048576,COUNTA(BG$18:BG$1048576))-BG$233</f>
        <v/>
      </c>
      <c r="BH9" s="405">
        <f t="array" ref="BH9">INDEX(BH$18:BH$1048576,COUNTA(BH$18:BH$1048576))-BH$233</f>
        <v/>
      </c>
      <c r="BI9" s="405">
        <f t="array" ref="BI9">INDEX(BI$18:BI$1048576,COUNTA(BI$18:BI$1048576))-BI$233</f>
        <v/>
      </c>
      <c r="BJ9" s="405">
        <f t="array" ref="BJ9">INDEX(BJ$18:BJ$1048576,COUNTA(BJ$18:BJ$1048576))-BJ$233</f>
        <v/>
      </c>
      <c r="BK9" s="405">
        <f t="array" ref="BK9">INDEX(BK$18:BK$1048576,COUNTA(BK$18:BK$1048576))-BK$233</f>
        <v/>
      </c>
      <c r="BL9" s="405">
        <f t="array" ref="BL9">INDEX(BL$18:BL$1048576,COUNTA(BL$18:BL$1048576))-BL$233</f>
        <v/>
      </c>
      <c r="BM9" s="406">
        <f t="array" ref="BM9">INDEX(BM$18:BM$1048576,COUNTA(BM$18:BM$1048576))-BM$233</f>
        <v/>
      </c>
    </row>
    <row r="10" ht="13.5" customHeight="1" s="828" thickBot="1">
      <c r="A10" s="399" t="inlineStr">
        <is>
          <t>change since 2024 election</t>
        </is>
      </c>
      <c r="B10" s="948" t="inlineStr">
        <is>
          <t>{{EMP16_DE}}</t>
        </is>
      </c>
      <c r="C10" s="949" t="inlineStr">
        <is>
          <t>{{EMP_RT_DE}}</t>
        </is>
      </c>
      <c r="D10" s="950" t="inlineStr">
        <is>
          <t>{{UNEMP16_DE}}</t>
        </is>
      </c>
      <c r="E10" s="951" t="inlineStr">
        <is>
          <t>{{UNEMP_RT_DE}}</t>
        </is>
      </c>
      <c r="F10" s="405">
        <f t="array" ref="F10">INDEX(F$18:F$1048576,COUNTA(F$18:F$1048576))-F$403</f>
        <v/>
      </c>
      <c r="G10" s="944">
        <f t="array" ref="G10">INDEX(G$18:G$1048576,COUNTA(G$18:G$1048576))-G$403</f>
        <v/>
      </c>
      <c r="H10" s="950" t="inlineStr">
        <is>
          <t>{{INACT_DE}}</t>
        </is>
      </c>
      <c r="I10" s="952" t="inlineStr">
        <is>
          <t>{{INACT_RT_DE}}</t>
        </is>
      </c>
      <c r="J10" s="404">
        <f t="array" ref="J10">INDEX(J$18:J$1048576,COUNTA(J$18:J$1048576))-J$403</f>
        <v/>
      </c>
      <c r="K10" s="786">
        <f t="array" ref="K10">INDEX(K$18:K$1048576,COUNTA(K$18:K$1048576))-K$403</f>
        <v/>
      </c>
      <c r="L10" s="784">
        <f t="array" ref="L10">INDEX(L$18:L$1048576,COUNTA(L$18:L$1048576))-L$403</f>
        <v/>
      </c>
      <c r="M10" s="784">
        <f t="array" ref="M10">INDEX(M$18:M$1048576,COUNTA(M$18:M$1048576))-M$403</f>
        <v/>
      </c>
      <c r="N10" s="784">
        <f t="array" ref="N10">INDEX(N$18:N$1048576,COUNTA(N$18:N$1048576))-N$403</f>
        <v/>
      </c>
      <c r="O10" s="784">
        <f t="array" ref="O10">INDEX(O$18:O$1048576,COUNTA(O$18:O$1048576))-O$403</f>
        <v/>
      </c>
      <c r="P10" s="784">
        <f t="array" ref="P10">INDEX(P$18:P$1048576,COUNTA(P$18:P$1048576))-P$403</f>
        <v/>
      </c>
      <c r="Q10" s="953">
        <f t="array" ref="Q10">INDEX(Q$18:Q$1048576,COUNTA(Q$18:Q$1048576))-Q$403</f>
        <v/>
      </c>
      <c r="R10" s="784">
        <f t="array" ref="R10">INDEX(R$18:R$1048576,COUNTA(R$18:R$1048576))-R$403</f>
        <v/>
      </c>
      <c r="S10" s="784">
        <f t="array" ref="S10">INDEX(S$18:S$1048576,COUNTA(S$18:S$1048576))-S$403</f>
        <v/>
      </c>
      <c r="T10" s="784">
        <f t="array" ref="T10">INDEX(T$18:T$1048576,COUNTA(T$18:T$1048576))-T$403</f>
        <v/>
      </c>
      <c r="U10" s="784">
        <f t="array" ref="U10">INDEX(U$18:U$1048576,COUNTA(U$18:U$1048576))-U$403</f>
        <v/>
      </c>
      <c r="V10" s="784">
        <f t="array" ref="V10">INDEX(V$18:V$1048576,COUNTA(V$18:V$1048576))-V$403</f>
        <v/>
      </c>
      <c r="W10" s="784">
        <f t="array" ref="W10">INDEX(W$18:W$1048576,COUNTA(W$18:W$1048576))-W$403</f>
        <v/>
      </c>
      <c r="X10" s="784">
        <f t="array" ref="X10">INDEX(X$18:X$1048576,COUNTA(X$18:X$1048576))-X$403</f>
        <v/>
      </c>
      <c r="Y10" s="784">
        <f t="array" ref="Y10">INDEX(Y$18:Y$1048576,COUNTA(Y$18:Y$1048576))-Y$403</f>
        <v/>
      </c>
      <c r="Z10" s="784">
        <f t="array" ref="Z10">INDEX(Z$18:Z$1048576,COUNTA(Z$18:Z$1048576))-Z$403</f>
        <v/>
      </c>
      <c r="AA10" s="784">
        <f t="array" ref="AA10">INDEX(AA$18:AA$1048576,COUNTA(AA$18:AA$1048576))-AA$403</f>
        <v/>
      </c>
      <c r="AB10" s="784">
        <f t="array" ref="AB10">INDEX(AB$18:AB$1048576,COUNTA(AB$18:AB$1048576))-AB$403</f>
        <v/>
      </c>
      <c r="AC10" s="784">
        <f t="array" ref="AC10">INDEX(AC$18:AC$1048576,COUNTA(AC$18:AC$1048576))-AC$403</f>
        <v/>
      </c>
      <c r="AD10" s="784">
        <f t="array" ref="AD10">INDEX(AD$18:AD$1048576,COUNTA(AD$18:AD$1048576))-AD$403</f>
        <v/>
      </c>
      <c r="AE10" s="784">
        <f t="array" ref="AE10">INDEX(AE$18:AE$1048576,COUNTA(AE$18:AE$1048576))-AE$403</f>
        <v/>
      </c>
      <c r="AF10" s="784">
        <f t="array" ref="AF10">INDEX(AF$18:AF$1048576,COUNTA(AF$18:AF$1048576))-AF$403</f>
        <v/>
      </c>
      <c r="AG10" s="784">
        <f t="array" ref="AG10">INDEX(AG$18:AG$1048576,COUNTA(AG$18:AG$1048576))-AG$403</f>
        <v/>
      </c>
      <c r="AH10" s="784">
        <f t="array" ref="AH10">INDEX(AH$18:AH$1048576,COUNTA(AH$18:AH$1048576))-AH$403</f>
        <v/>
      </c>
      <c r="AI10" s="784">
        <f t="array" ref="AI10">INDEX(AI$18:AI$1048576,COUNTA(AI$18:AI$1048576))-AI$403</f>
        <v/>
      </c>
      <c r="AJ10" s="784">
        <f t="array" ref="AJ10">INDEX(AJ$18:AJ$1048576,COUNTA(AJ$18:AJ$1048576))-AJ$403</f>
        <v/>
      </c>
      <c r="AK10" s="784">
        <f t="array" ref="AK10">INDEX(AK$18:AK$1048576,COUNTA(AK$18:AK$1048576))-AK$403</f>
        <v/>
      </c>
      <c r="AL10" s="784">
        <f t="array" ref="AL10">INDEX(AL$18:AL$1048576,COUNTA(AL$18:AL$1048576))-AL$403</f>
        <v/>
      </c>
      <c r="AM10" s="784">
        <f t="array" ref="AM10">INDEX(AM$18:AM$1048576,COUNTA(AM$18:AM$1048576))-AM$403</f>
        <v/>
      </c>
      <c r="AN10" s="784">
        <f t="array" ref="AN10">INDEX(AN$18:AN$1048576,COUNTA(AN$18:AN$1048576))-AN$403</f>
        <v/>
      </c>
      <c r="AO10" s="784">
        <f t="array" ref="AO10">INDEX(AO$18:AO$1048576,COUNTA(AO$18:AO$1048576))-AO$403</f>
        <v/>
      </c>
      <c r="AP10" s="784">
        <f t="array" ref="AP10">INDEX(AP$18:AP$1048576,COUNTA(AP$18:AP$1048576))-AP$403</f>
        <v/>
      </c>
      <c r="AQ10" s="784">
        <f t="array" ref="AQ10">INDEX(AQ$18:AQ$1048576,COUNTA(AQ$18:AQ$1048576))-AQ$403</f>
        <v/>
      </c>
      <c r="AR10" s="784">
        <f t="array" ref="AR10">INDEX(AR$18:AR$1048576,COUNTA(AR$18:AR$1048576))-AR$403</f>
        <v/>
      </c>
      <c r="AS10" s="784">
        <f t="array" ref="AS10">INDEX(AS$18:AS$1048576,COUNTA(AS$18:AS$1048576))-AS$403</f>
        <v/>
      </c>
      <c r="AT10" s="784">
        <f t="array" ref="AT10">INDEX(AT$18:AT$1048576,COUNTA(AT$18:AT$1048576))-AT$403</f>
        <v/>
      </c>
      <c r="AU10" s="784">
        <f t="array" ref="AU10">INDEX(AU$18:AU$1048576,COUNTA(AU$18:AU$1048576))-AU$403</f>
        <v/>
      </c>
      <c r="AV10" s="784">
        <f t="array" ref="AV10">INDEX(AV$18:AV$1048576,COUNTA(AV$18:AV$1048576))-AV$403</f>
        <v/>
      </c>
      <c r="AW10" s="784">
        <f t="array" ref="AW10">INDEX(AW$18:AW$1048576,COUNTA(AW$18:AW$1048576))-AW$403</f>
        <v/>
      </c>
      <c r="AX10" s="784">
        <f t="array" ref="AX10">INDEX(AX$18:AX$1048576,COUNTA(AX$18:AX$1048576))-AX$403</f>
        <v/>
      </c>
      <c r="AY10" s="784">
        <f t="array" ref="AY10">INDEX(AY$18:AY$1048576,COUNTA(AY$18:AY$1048576))-AY$403</f>
        <v/>
      </c>
      <c r="AZ10" s="784">
        <f t="array" ref="AZ10">INDEX(AZ$18:AZ$1048576,COUNTA(AZ$18:AZ$1048576))-AZ$403</f>
        <v/>
      </c>
      <c r="BA10" s="784">
        <f t="array" ref="BA10">INDEX(BA$18:BA$1048576,COUNTA(BA$18:BA$1048576))-BA$403</f>
        <v/>
      </c>
      <c r="BB10" s="784">
        <f t="array" ref="BB10">INDEX(BB$18:BB$1048576,COUNTA(BB$18:BB$1048576))-BB$403</f>
        <v/>
      </c>
      <c r="BC10" s="784">
        <f t="array" ref="BC10">INDEX(BC$18:BC$1048576,COUNTA(BC$18:BC$1048576))-BC$403</f>
        <v/>
      </c>
      <c r="BD10" s="784">
        <f t="array" ref="BD10">INDEX(BD$18:BD$1048576,COUNTA(BD$18:BD$1048576))-BD$403</f>
        <v/>
      </c>
      <c r="BE10" s="953">
        <f t="array" ref="BE10">INDEX(BE$18:BE$1048576,COUNTA(BE$18:BE$1048576))-BE$403</f>
        <v/>
      </c>
      <c r="BF10" s="784">
        <f t="array" ref="BF10">INDEX(BF$18:BF$1048576,COUNTA(BF$18:BF$1048576))-BF$403</f>
        <v/>
      </c>
      <c r="BG10" s="784">
        <f t="array" ref="BG10">INDEX(BG$18:BG$1048576,COUNTA(BG$18:BG$1048576))-BG$403</f>
        <v/>
      </c>
      <c r="BH10" s="784">
        <f t="array" ref="BH10">INDEX(BH$18:BH$1048576,COUNTA(BH$18:BH$1048576))-BH$403</f>
        <v/>
      </c>
      <c r="BI10" s="784">
        <f t="array" ref="BI10">INDEX(BI$18:BI$1048576,COUNTA(BI$18:BI$1048576))-BI$403</f>
        <v/>
      </c>
      <c r="BJ10" s="784">
        <f t="array" ref="BJ10">INDEX(BJ$18:BJ$1048576,COUNTA(BJ$18:BJ$1048576))-BJ$403</f>
        <v/>
      </c>
      <c r="BK10" s="784">
        <f t="array" ref="BK10">INDEX(BK$18:BK$1048576,COUNTA(BK$18:BK$1048576))-BK$403</f>
        <v/>
      </c>
      <c r="BL10" s="784">
        <f t="array" ref="BL10">INDEX(BL$18:BL$1048576,COUNTA(BL$18:BL$1048576))-BL$403</f>
        <v/>
      </c>
      <c r="BM10" s="784">
        <f t="array" ref="BM10">INDEX(BM$18:BM$1048576,COUNTA(BM$18:BM$1048576))-BM$403</f>
        <v/>
      </c>
    </row>
    <row r="11" ht="19.5" customFormat="1" customHeight="1" s="11">
      <c r="A11" s="183" t="inlineStr">
        <is>
          <t>Table 2: Labour market activity by age group (seasonally adjusted)</t>
        </is>
      </c>
      <c r="F11" s="181" t="n"/>
      <c r="G11" s="12" t="n"/>
      <c r="H11" s="12" t="n"/>
      <c r="J11" s="642">
        <f>J418-J402</f>
        <v/>
      </c>
    </row>
    <row r="12" ht="19.5" customFormat="1" customHeight="1" s="11">
      <c r="A12" s="853" t="inlineStr">
        <is>
          <t>Date of publication:</t>
        </is>
      </c>
      <c r="B12" s="954" t="n">
        <v>45335</v>
      </c>
      <c r="D12" s="577" t="n"/>
      <c r="E12" s="853" t="n"/>
      <c r="F12" s="853" t="n"/>
      <c r="G12" s="853" t="inlineStr">
        <is>
          <t>Date of next publication:</t>
        </is>
      </c>
      <c r="H12" s="853" t="n"/>
      <c r="I12" s="202" t="n"/>
      <c r="J12" s="954" t="n">
        <v>45363</v>
      </c>
      <c r="L12" s="578" t="n"/>
      <c r="M12" s="955" t="inlineStr">
        <is>
          <t>Source: Labour Force Survey</t>
        </is>
      </c>
      <c r="Q12" s="853" t="n"/>
      <c r="R12" s="853" t="n"/>
      <c r="S12" s="853" t="n"/>
      <c r="T12" s="853" t="n"/>
      <c r="U12" s="853" t="n"/>
      <c r="V12" s="853" t="n"/>
      <c r="W12" s="853" t="n"/>
      <c r="X12" s="853" t="n"/>
      <c r="Y12" s="853" t="n"/>
      <c r="Z12" s="853" t="n"/>
      <c r="AA12" s="853" t="n"/>
      <c r="AB12" s="853" t="n"/>
      <c r="AC12" s="853" t="n"/>
      <c r="AD12" s="853" t="n"/>
      <c r="AE12" s="853" t="n"/>
      <c r="AF12" s="853" t="n"/>
      <c r="AG12" s="853" t="n"/>
      <c r="AH12" s="853" t="n"/>
      <c r="AI12" s="853" t="n"/>
      <c r="AJ12" s="853" t="n"/>
      <c r="AK12" s="853" t="n"/>
      <c r="AL12" s="853" t="n"/>
      <c r="AM12" s="853" t="n"/>
      <c r="AN12" s="853" t="n"/>
      <c r="AO12" s="853" t="n"/>
      <c r="AP12" s="853" t="n"/>
      <c r="AQ12" s="853" t="n"/>
      <c r="AR12" s="853" t="n"/>
      <c r="AS12" s="853" t="n"/>
      <c r="AT12" s="853" t="n"/>
      <c r="AU12" s="853" t="n"/>
      <c r="AV12" s="853" t="n"/>
      <c r="AW12" s="853" t="n"/>
      <c r="AX12" s="853" t="n"/>
      <c r="AY12" s="853" t="n"/>
      <c r="AZ12" s="853" t="n"/>
      <c r="BA12" s="853" t="n"/>
      <c r="BB12" s="853" t="n"/>
      <c r="BC12" s="853" t="n"/>
      <c r="BD12" s="853" t="n"/>
      <c r="BE12" s="853" t="n"/>
      <c r="BF12" s="853" t="n"/>
      <c r="BG12" s="853" t="n"/>
      <c r="BH12" s="853" t="n"/>
      <c r="BI12" s="853" t="n"/>
      <c r="BJ12" s="853" t="n"/>
      <c r="BK12" s="853" t="n"/>
      <c r="BL12" s="853" t="n"/>
      <c r="BM12" s="853" t="n"/>
    </row>
    <row r="13" ht="19.5" customFormat="1" customHeight="1" s="176">
      <c r="A13" s="15" t="inlineStr">
        <is>
          <t xml:space="preserve">Inquiries: Email: </t>
        </is>
      </c>
      <c r="B13" s="178" t="inlineStr">
        <is>
          <t xml:space="preserve">labour.market@ons.gov.uk </t>
        </is>
      </c>
      <c r="C13" s="15" t="n"/>
      <c r="D13" s="16" t="n"/>
      <c r="E13" s="16" t="n"/>
      <c r="F13" s="16" t="n"/>
      <c r="G13" s="17" t="inlineStr">
        <is>
          <t>Tel: 01633 455400</t>
        </is>
      </c>
      <c r="H13" s="16" t="n"/>
      <c r="I13" s="16" t="n"/>
      <c r="J13" s="577">
        <f>K414-K417</f>
        <v/>
      </c>
      <c r="L13" s="16" t="n"/>
      <c r="M13" s="16" t="n"/>
      <c r="N13" s="16" t="n"/>
      <c r="O13" s="16" t="n"/>
      <c r="P13" s="641"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row>
    <row r="14" ht="30" customFormat="1" customHeight="1" s="130" thickBot="1">
      <c r="A14" s="818" t="inlineStr">
        <is>
          <t>United Kingdom (thousands) seasonally adjusted</t>
        </is>
      </c>
      <c r="B14" s="956" t="n"/>
      <c r="C14" s="956" t="n"/>
      <c r="D14" s="956" t="n"/>
      <c r="E14" s="956" t="n"/>
      <c r="F14" s="956" t="n"/>
      <c r="G14" s="956" t="n"/>
      <c r="H14" s="956" t="n"/>
      <c r="I14" s="956" t="n"/>
      <c r="J14" s="956" t="n"/>
      <c r="K14" s="956" t="n"/>
      <c r="L14" s="956" t="n"/>
      <c r="M14" s="956" t="n"/>
      <c r="N14" s="956" t="n"/>
      <c r="O14" s="956" t="n"/>
      <c r="P14" s="956" t="n"/>
      <c r="Q14" s="956" t="n"/>
      <c r="R14" s="956" t="n"/>
      <c r="S14" s="956" t="n"/>
      <c r="T14" s="956" t="n"/>
      <c r="U14" s="956" t="n"/>
      <c r="V14" s="956" t="n"/>
      <c r="W14" s="956" t="n"/>
      <c r="X14" s="956" t="n"/>
      <c r="Y14" s="956" t="n"/>
      <c r="Z14" s="956" t="n"/>
      <c r="AA14" s="956" t="n"/>
      <c r="AB14" s="956" t="n"/>
      <c r="AC14" s="956" t="n"/>
      <c r="AD14" s="956" t="n"/>
      <c r="AE14" s="956" t="n"/>
      <c r="AF14" s="956" t="n"/>
      <c r="AG14" s="956" t="n"/>
      <c r="AH14" s="956" t="n"/>
      <c r="AI14" s="956" t="n"/>
      <c r="AJ14" s="956" t="n"/>
      <c r="AK14" s="956" t="n"/>
      <c r="AL14" s="956" t="n"/>
      <c r="AM14" s="956" t="n"/>
      <c r="AN14" s="956" t="n"/>
      <c r="AO14" s="956" t="n"/>
      <c r="AP14" s="956" t="n"/>
      <c r="AQ14" s="956" t="n"/>
      <c r="AR14" s="956" t="n"/>
      <c r="AS14" s="956" t="n"/>
      <c r="AT14" s="956" t="n"/>
      <c r="AU14" s="956" t="n"/>
      <c r="AV14" s="956" t="n"/>
      <c r="AW14" s="956" t="n"/>
      <c r="AX14" s="956" t="n"/>
      <c r="AY14" s="956" t="n"/>
      <c r="AZ14" s="956" t="n"/>
      <c r="BA14" s="956" t="n"/>
      <c r="BB14" s="956" t="n"/>
      <c r="BC14" s="956" t="n"/>
      <c r="BD14" s="956" t="n"/>
      <c r="BE14" s="956" t="n"/>
      <c r="BF14" s="956" t="n"/>
      <c r="BG14" s="956" t="n"/>
      <c r="BH14" s="956" t="n"/>
      <c r="BI14" s="956" t="n"/>
      <c r="BJ14" s="956" t="n"/>
      <c r="BK14" s="956" t="n"/>
      <c r="BL14" s="956" t="n"/>
      <c r="BM14" s="956" t="n"/>
    </row>
    <row r="15">
      <c r="B15" s="822" t="inlineStr">
        <is>
          <t>Aged 16 and over</t>
        </is>
      </c>
      <c r="C15" s="957" t="n"/>
      <c r="D15" s="957" t="n"/>
      <c r="E15" s="957" t="n"/>
      <c r="F15" s="957" t="n"/>
      <c r="G15" s="957" t="n"/>
      <c r="H15" s="957" t="n"/>
      <c r="I15" s="958" t="n"/>
      <c r="J15" s="959" t="inlineStr">
        <is>
          <t xml:space="preserve">Aged 16-64 </t>
        </is>
      </c>
      <c r="K15" s="957" t="n"/>
      <c r="L15" s="957" t="n"/>
      <c r="M15" s="957" t="n"/>
      <c r="N15" s="957" t="n"/>
      <c r="O15" s="957" t="n"/>
      <c r="P15" s="957" t="n"/>
      <c r="Q15" s="958" t="n"/>
      <c r="R15" s="959" t="inlineStr">
        <is>
          <t>Aged 16-17</t>
        </is>
      </c>
      <c r="S15" s="957" t="n"/>
      <c r="T15" s="957" t="n"/>
      <c r="U15" s="957" t="n"/>
      <c r="V15" s="957" t="n"/>
      <c r="W15" s="957" t="n"/>
      <c r="X15" s="957" t="n"/>
      <c r="Y15" s="958" t="n"/>
      <c r="Z15" s="959" t="inlineStr">
        <is>
          <t>Aged 18-24</t>
        </is>
      </c>
      <c r="AA15" s="957" t="n"/>
      <c r="AB15" s="957" t="n"/>
      <c r="AC15" s="957" t="n"/>
      <c r="AD15" s="957" t="n"/>
      <c r="AE15" s="957" t="n"/>
      <c r="AF15" s="957" t="n"/>
      <c r="AG15" s="958" t="n"/>
      <c r="AH15" s="959" t="inlineStr">
        <is>
          <t>Aged 25-34</t>
        </is>
      </c>
      <c r="AI15" s="957" t="n"/>
      <c r="AJ15" s="957" t="n"/>
      <c r="AK15" s="957" t="n"/>
      <c r="AL15" s="957" t="n"/>
      <c r="AM15" s="957" t="n"/>
      <c r="AN15" s="957" t="n"/>
      <c r="AO15" s="958" t="n"/>
      <c r="AP15" s="959" t="inlineStr">
        <is>
          <t>Aged 35-49</t>
        </is>
      </c>
      <c r="AQ15" s="957" t="n"/>
      <c r="AR15" s="957" t="n"/>
      <c r="AS15" s="957" t="n"/>
      <c r="AT15" s="957" t="n"/>
      <c r="AU15" s="957" t="n"/>
      <c r="AV15" s="957" t="n"/>
      <c r="AW15" s="958" t="n"/>
      <c r="AX15" s="959" t="inlineStr">
        <is>
          <t>Aged 50-64</t>
        </is>
      </c>
      <c r="AY15" s="957" t="n"/>
      <c r="AZ15" s="957" t="n"/>
      <c r="BA15" s="957" t="n"/>
      <c r="BB15" s="957" t="n"/>
      <c r="BC15" s="957" t="n"/>
      <c r="BD15" s="957" t="n"/>
      <c r="BE15" s="958" t="n"/>
      <c r="BF15" s="959" t="inlineStr">
        <is>
          <t>Age 65+</t>
        </is>
      </c>
      <c r="BG15" s="957" t="n"/>
      <c r="BH15" s="957" t="n"/>
      <c r="BI15" s="957" t="n"/>
      <c r="BJ15" s="957" t="n"/>
      <c r="BK15" s="957" t="n"/>
      <c r="BL15" s="957" t="n"/>
      <c r="BM15" s="958" t="n"/>
    </row>
    <row r="16">
      <c r="B16" s="829" t="inlineStr">
        <is>
          <t>Employment</t>
        </is>
      </c>
      <c r="D16" s="829" t="inlineStr">
        <is>
          <t>Unemployment</t>
        </is>
      </c>
      <c r="F16" s="829" t="inlineStr">
        <is>
          <t>Activity</t>
        </is>
      </c>
      <c r="H16" s="830" t="inlineStr">
        <is>
          <t>Inactivity</t>
        </is>
      </c>
      <c r="I16" s="960" t="n"/>
      <c r="J16" s="831" t="inlineStr">
        <is>
          <t>Employment</t>
        </is>
      </c>
      <c r="L16" s="829" t="inlineStr">
        <is>
          <t>Unemployment</t>
        </is>
      </c>
      <c r="N16" s="829" t="inlineStr">
        <is>
          <t>Activity</t>
        </is>
      </c>
      <c r="P16" s="830" t="inlineStr">
        <is>
          <t>Inactivity</t>
        </is>
      </c>
      <c r="Q16" s="960" t="n"/>
      <c r="R16" s="831" t="inlineStr">
        <is>
          <t>Employment</t>
        </is>
      </c>
      <c r="T16" s="829" t="inlineStr">
        <is>
          <t>Unemployment</t>
        </is>
      </c>
      <c r="V16" s="829" t="inlineStr">
        <is>
          <t>Activity</t>
        </is>
      </c>
      <c r="X16" s="830" t="inlineStr">
        <is>
          <t>Inactivity</t>
        </is>
      </c>
      <c r="Y16" s="960" t="n"/>
      <c r="Z16" s="831" t="inlineStr">
        <is>
          <t>Employment</t>
        </is>
      </c>
      <c r="AB16" s="829" t="inlineStr">
        <is>
          <t>Unemployment</t>
        </is>
      </c>
      <c r="AD16" s="829" t="inlineStr">
        <is>
          <t>Activity</t>
        </is>
      </c>
      <c r="AF16" s="830" t="inlineStr">
        <is>
          <t>Inactivity</t>
        </is>
      </c>
      <c r="AG16" s="960" t="n"/>
      <c r="AH16" s="831" t="inlineStr">
        <is>
          <t>Employment</t>
        </is>
      </c>
      <c r="AJ16" s="829" t="inlineStr">
        <is>
          <t>Unemployment</t>
        </is>
      </c>
      <c r="AL16" s="829" t="inlineStr">
        <is>
          <t>Activity</t>
        </is>
      </c>
      <c r="AN16" s="830" t="inlineStr">
        <is>
          <t>Inactivity</t>
        </is>
      </c>
      <c r="AO16" s="960" t="n"/>
      <c r="AP16" s="831" t="inlineStr">
        <is>
          <t>Employment</t>
        </is>
      </c>
      <c r="AR16" s="829" t="inlineStr">
        <is>
          <t>Unemployment</t>
        </is>
      </c>
      <c r="AT16" s="829" t="inlineStr">
        <is>
          <t>Activity</t>
        </is>
      </c>
      <c r="AV16" s="830" t="inlineStr">
        <is>
          <t>Inactivity</t>
        </is>
      </c>
      <c r="AW16" s="960" t="n"/>
      <c r="AX16" s="831" t="inlineStr">
        <is>
          <t>Employment</t>
        </is>
      </c>
      <c r="AZ16" s="829" t="inlineStr">
        <is>
          <t>Unemployment</t>
        </is>
      </c>
      <c r="BB16" s="829" t="inlineStr">
        <is>
          <t>Activity</t>
        </is>
      </c>
      <c r="BD16" s="830" t="inlineStr">
        <is>
          <t>Inactivity</t>
        </is>
      </c>
      <c r="BE16" s="960" t="n"/>
      <c r="BF16" s="831" t="inlineStr">
        <is>
          <t>Employment</t>
        </is>
      </c>
      <c r="BH16" s="829" t="inlineStr">
        <is>
          <t>Unemployment</t>
        </is>
      </c>
      <c r="BJ16" s="829" t="inlineStr">
        <is>
          <t>Activity</t>
        </is>
      </c>
      <c r="BL16" s="830" t="inlineStr">
        <is>
          <t>Inactivity</t>
        </is>
      </c>
      <c r="BM16" s="960" t="n"/>
    </row>
    <row r="17" customFormat="1" s="125">
      <c r="B17" s="128" t="inlineStr">
        <is>
          <t>level</t>
        </is>
      </c>
      <c r="C17" s="128" t="inlineStr">
        <is>
          <t>rate (%)</t>
        </is>
      </c>
      <c r="D17" s="128" t="inlineStr">
        <is>
          <t>level</t>
        </is>
      </c>
      <c r="E17" s="128" t="inlineStr">
        <is>
          <t>rate (%)</t>
        </is>
      </c>
      <c r="F17" s="128" t="inlineStr">
        <is>
          <t>level</t>
        </is>
      </c>
      <c r="G17" s="128" t="inlineStr">
        <is>
          <t>rate (%)</t>
        </is>
      </c>
      <c r="H17" s="128" t="inlineStr">
        <is>
          <t>level</t>
        </is>
      </c>
      <c r="I17" s="127" t="inlineStr">
        <is>
          <t>rate (%)</t>
        </is>
      </c>
      <c r="J17" s="129" t="inlineStr">
        <is>
          <t>level</t>
        </is>
      </c>
      <c r="K17" s="128" t="inlineStr">
        <is>
          <t>rate (%)</t>
        </is>
      </c>
      <c r="L17" s="128" t="inlineStr">
        <is>
          <t>level</t>
        </is>
      </c>
      <c r="M17" s="128" t="inlineStr">
        <is>
          <t>rate (%)</t>
        </is>
      </c>
      <c r="N17" s="128" t="inlineStr">
        <is>
          <t>level</t>
        </is>
      </c>
      <c r="O17" s="128" t="inlineStr">
        <is>
          <t>rate (%)</t>
        </is>
      </c>
      <c r="P17" s="128" t="inlineStr">
        <is>
          <t>level</t>
        </is>
      </c>
      <c r="Q17" s="127" t="inlineStr">
        <is>
          <t>rate (%)</t>
        </is>
      </c>
      <c r="R17" s="129" t="inlineStr">
        <is>
          <t>level</t>
        </is>
      </c>
      <c r="S17" s="128" t="inlineStr">
        <is>
          <t>rate (%)</t>
        </is>
      </c>
      <c r="T17" s="128" t="inlineStr">
        <is>
          <t>level</t>
        </is>
      </c>
      <c r="U17" s="128" t="inlineStr">
        <is>
          <t>rate (%)</t>
        </is>
      </c>
      <c r="V17" s="128" t="inlineStr">
        <is>
          <t>level</t>
        </is>
      </c>
      <c r="W17" s="128" t="inlineStr">
        <is>
          <t>rate (%)</t>
        </is>
      </c>
      <c r="X17" s="128" t="inlineStr">
        <is>
          <t>level</t>
        </is>
      </c>
      <c r="Y17" s="127" t="inlineStr">
        <is>
          <t>rate (%)</t>
        </is>
      </c>
      <c r="Z17" s="129" t="inlineStr">
        <is>
          <t>level</t>
        </is>
      </c>
      <c r="AA17" s="128" t="inlineStr">
        <is>
          <t>rate (%)</t>
        </is>
      </c>
      <c r="AB17" s="128" t="inlineStr">
        <is>
          <t>level</t>
        </is>
      </c>
      <c r="AC17" s="128" t="inlineStr">
        <is>
          <t>rate (%)</t>
        </is>
      </c>
      <c r="AD17" s="128" t="inlineStr">
        <is>
          <t>level</t>
        </is>
      </c>
      <c r="AE17" s="128" t="inlineStr">
        <is>
          <t>rate (%)</t>
        </is>
      </c>
      <c r="AF17" s="128" t="inlineStr">
        <is>
          <t>level</t>
        </is>
      </c>
      <c r="AG17" s="127" t="inlineStr">
        <is>
          <t>rate (%)</t>
        </is>
      </c>
      <c r="AH17" s="129" t="inlineStr">
        <is>
          <t>level</t>
        </is>
      </c>
      <c r="AI17" s="128" t="inlineStr">
        <is>
          <t>rate (%)</t>
        </is>
      </c>
      <c r="AJ17" s="128" t="inlineStr">
        <is>
          <t>level</t>
        </is>
      </c>
      <c r="AK17" s="128" t="inlineStr">
        <is>
          <t>rate (%)</t>
        </is>
      </c>
      <c r="AL17" s="128" t="inlineStr">
        <is>
          <t>level</t>
        </is>
      </c>
      <c r="AM17" s="128" t="inlineStr">
        <is>
          <t>rate (%)</t>
        </is>
      </c>
      <c r="AN17" s="128" t="inlineStr">
        <is>
          <t>level</t>
        </is>
      </c>
      <c r="AO17" s="127" t="inlineStr">
        <is>
          <t>rate (%)</t>
        </is>
      </c>
      <c r="AP17" s="129" t="inlineStr">
        <is>
          <t>level</t>
        </is>
      </c>
      <c r="AQ17" s="128" t="inlineStr">
        <is>
          <t>rate (%)</t>
        </is>
      </c>
      <c r="AR17" s="128" t="inlineStr">
        <is>
          <t>level</t>
        </is>
      </c>
      <c r="AS17" s="128" t="inlineStr">
        <is>
          <t>rate (%)</t>
        </is>
      </c>
      <c r="AT17" s="128" t="inlineStr">
        <is>
          <t>level</t>
        </is>
      </c>
      <c r="AU17" s="128" t="inlineStr">
        <is>
          <t>rate (%)</t>
        </is>
      </c>
      <c r="AV17" s="128" t="inlineStr">
        <is>
          <t>level</t>
        </is>
      </c>
      <c r="AW17" s="127" t="inlineStr">
        <is>
          <t>rate (%)</t>
        </is>
      </c>
      <c r="AX17" s="129" t="inlineStr">
        <is>
          <t>level</t>
        </is>
      </c>
      <c r="AY17" s="128" t="inlineStr">
        <is>
          <t>rate (%)</t>
        </is>
      </c>
      <c r="AZ17" s="128" t="inlineStr">
        <is>
          <t>level</t>
        </is>
      </c>
      <c r="BA17" s="128" t="inlineStr">
        <is>
          <t>rate (%)</t>
        </is>
      </c>
      <c r="BB17" s="128" t="inlineStr">
        <is>
          <t>level</t>
        </is>
      </c>
      <c r="BC17" s="128" t="inlineStr">
        <is>
          <t>rate (%)</t>
        </is>
      </c>
      <c r="BD17" s="128" t="inlineStr">
        <is>
          <t>level</t>
        </is>
      </c>
      <c r="BE17" s="127" t="inlineStr">
        <is>
          <t>rate (%)</t>
        </is>
      </c>
      <c r="BF17" s="129" t="inlineStr">
        <is>
          <t>level</t>
        </is>
      </c>
      <c r="BG17" s="128" t="inlineStr">
        <is>
          <t>rate (%)</t>
        </is>
      </c>
      <c r="BH17" s="128" t="inlineStr">
        <is>
          <t>level</t>
        </is>
      </c>
      <c r="BI17" s="128" t="inlineStr">
        <is>
          <t>rate (%)</t>
        </is>
      </c>
      <c r="BJ17" s="128" t="inlineStr">
        <is>
          <t>level</t>
        </is>
      </c>
      <c r="BK17" s="128" t="inlineStr">
        <is>
          <t>rate (%)</t>
        </is>
      </c>
      <c r="BL17" s="128" t="inlineStr">
        <is>
          <t>level</t>
        </is>
      </c>
      <c r="BM17" s="127" t="inlineStr">
        <is>
          <t>rate (%)</t>
        </is>
      </c>
    </row>
    <row r="18">
      <c r="A18" s="722" t="n"/>
      <c r="B18" s="721" t="n"/>
      <c r="C18" s="961" t="n"/>
      <c r="D18" s="721" t="n"/>
      <c r="E18" s="961" t="n"/>
      <c r="F18" s="721" t="n"/>
      <c r="G18" s="961" t="n"/>
      <c r="H18" s="721" t="n"/>
      <c r="I18" s="962" t="n"/>
      <c r="J18" s="718" t="n"/>
      <c r="K18" s="961" t="n"/>
      <c r="L18" s="721" t="n"/>
      <c r="M18" s="961" t="n"/>
      <c r="N18" s="721" t="n"/>
      <c r="O18" s="961" t="n"/>
      <c r="P18" s="721" t="n"/>
      <c r="Q18" s="962" t="n"/>
      <c r="R18" s="718" t="n"/>
      <c r="S18" s="961" t="n"/>
      <c r="T18" s="721" t="n"/>
      <c r="U18" s="961" t="n"/>
      <c r="V18" s="721" t="n"/>
      <c r="W18" s="961" t="n"/>
      <c r="X18" s="721" t="n"/>
      <c r="Y18" s="962" t="n"/>
      <c r="Z18" s="718" t="n"/>
      <c r="AA18" s="961" t="n"/>
      <c r="AB18" s="721" t="n"/>
      <c r="AC18" s="961" t="n"/>
      <c r="AD18" s="721" t="n"/>
      <c r="AE18" s="961" t="n"/>
      <c r="AF18" s="721" t="n"/>
      <c r="AG18" s="962" t="n"/>
      <c r="AH18" s="718" t="n"/>
      <c r="AI18" s="961" t="n"/>
      <c r="AJ18" s="721" t="n"/>
      <c r="AK18" s="961" t="n"/>
      <c r="AL18" s="721" t="n"/>
      <c r="AM18" s="961" t="n"/>
      <c r="AN18" s="721" t="n"/>
      <c r="AO18" s="962" t="n"/>
      <c r="AP18" s="718" t="n"/>
      <c r="AQ18" s="961" t="n"/>
      <c r="AR18" s="721" t="n"/>
      <c r="AS18" s="961" t="n"/>
      <c r="AT18" s="721" t="n"/>
      <c r="AU18" s="961" t="n"/>
      <c r="AV18" s="721" t="n"/>
      <c r="AW18" s="962" t="n"/>
      <c r="AX18" s="718" t="n"/>
      <c r="AY18" s="961" t="n"/>
      <c r="AZ18" s="721" t="n"/>
      <c r="BA18" s="961" t="n"/>
      <c r="BB18" s="721" t="n"/>
      <c r="BC18" s="961" t="n"/>
      <c r="BD18" s="721" t="n"/>
      <c r="BE18" s="962" t="n"/>
      <c r="BF18" s="718" t="n"/>
      <c r="BG18" s="961" t="n"/>
      <c r="BH18" s="717" t="n"/>
      <c r="BI18" s="963" t="n"/>
      <c r="BJ18" s="721" t="n"/>
      <c r="BK18" s="961" t="n"/>
      <c r="BL18" s="721" t="n"/>
      <c r="BM18" s="962" t="n"/>
    </row>
    <row r="19">
      <c r="A19" s="722" t="n"/>
      <c r="B19" s="721" t="n"/>
      <c r="C19" s="961" t="n"/>
      <c r="D19" s="721" t="n"/>
      <c r="E19" s="961" t="n"/>
      <c r="F19" s="721" t="n"/>
      <c r="G19" s="961" t="n"/>
      <c r="H19" s="721" t="n"/>
      <c r="I19" s="962" t="n"/>
      <c r="J19" s="718" t="n"/>
      <c r="K19" s="961" t="n"/>
      <c r="L19" s="721" t="n"/>
      <c r="M19" s="961" t="n"/>
      <c r="N19" s="721" t="n"/>
      <c r="O19" s="961" t="n"/>
      <c r="P19" s="721" t="n"/>
      <c r="Q19" s="962" t="n"/>
      <c r="R19" s="718" t="n"/>
      <c r="S19" s="961" t="n"/>
      <c r="T19" s="721" t="n"/>
      <c r="U19" s="961" t="n"/>
      <c r="V19" s="721" t="n"/>
      <c r="W19" s="961" t="n"/>
      <c r="X19" s="721" t="n"/>
      <c r="Y19" s="962" t="n"/>
      <c r="Z19" s="718" t="n"/>
      <c r="AA19" s="961" t="n"/>
      <c r="AB19" s="721" t="n"/>
      <c r="AC19" s="961" t="n"/>
      <c r="AD19" s="721" t="n"/>
      <c r="AE19" s="961" t="n"/>
      <c r="AF19" s="721" t="n"/>
      <c r="AG19" s="962" t="n"/>
      <c r="AH19" s="718" t="n"/>
      <c r="AI19" s="961" t="n"/>
      <c r="AJ19" s="721" t="n"/>
      <c r="AK19" s="961" t="n"/>
      <c r="AL19" s="721" t="n"/>
      <c r="AM19" s="961" t="n"/>
      <c r="AN19" s="721" t="n"/>
      <c r="AO19" s="962" t="n"/>
      <c r="AP19" s="718" t="n"/>
      <c r="AQ19" s="961" t="n"/>
      <c r="AR19" s="721" t="n"/>
      <c r="AS19" s="961" t="n"/>
      <c r="AT19" s="721" t="n"/>
      <c r="AU19" s="961" t="n"/>
      <c r="AV19" s="721" t="n"/>
      <c r="AW19" s="962" t="n"/>
      <c r="AX19" s="718" t="n"/>
      <c r="AY19" s="961" t="n"/>
      <c r="AZ19" s="721" t="n"/>
      <c r="BA19" s="961" t="n"/>
      <c r="BB19" s="721" t="n"/>
      <c r="BC19" s="961" t="n"/>
      <c r="BD19" s="721" t="n"/>
      <c r="BE19" s="962" t="n"/>
      <c r="BF19" s="718" t="n"/>
      <c r="BG19" s="961" t="n"/>
      <c r="BH19" s="717" t="n"/>
      <c r="BI19" s="963" t="n"/>
      <c r="BJ19" s="721" t="n"/>
      <c r="BK19" s="961" t="n"/>
      <c r="BL19" s="721" t="n"/>
      <c r="BM19" s="962" t="n"/>
    </row>
    <row r="20">
      <c r="A20" s="722" t="n"/>
      <c r="B20" s="721" t="n"/>
      <c r="C20" s="961" t="n"/>
      <c r="D20" s="721" t="n"/>
      <c r="E20" s="961" t="n"/>
      <c r="F20" s="721" t="n"/>
      <c r="G20" s="961" t="n"/>
      <c r="H20" s="721" t="n"/>
      <c r="I20" s="962" t="n"/>
      <c r="J20" s="718" t="n"/>
      <c r="K20" s="961" t="n"/>
      <c r="L20" s="721" t="n"/>
      <c r="M20" s="961" t="n"/>
      <c r="N20" s="721" t="n"/>
      <c r="O20" s="961" t="n"/>
      <c r="P20" s="721" t="n"/>
      <c r="Q20" s="962" t="n"/>
      <c r="R20" s="718" t="n"/>
      <c r="S20" s="961" t="n"/>
      <c r="T20" s="721" t="n"/>
      <c r="U20" s="961" t="n"/>
      <c r="V20" s="721" t="n"/>
      <c r="W20" s="961" t="n"/>
      <c r="X20" s="721" t="n"/>
      <c r="Y20" s="962" t="n"/>
      <c r="Z20" s="718" t="n"/>
      <c r="AA20" s="961" t="n"/>
      <c r="AB20" s="721" t="n"/>
      <c r="AC20" s="961" t="n"/>
      <c r="AD20" s="721" t="n"/>
      <c r="AE20" s="961" t="n"/>
      <c r="AF20" s="721" t="n"/>
      <c r="AG20" s="962" t="n"/>
      <c r="AH20" s="718" t="n"/>
      <c r="AI20" s="961" t="n"/>
      <c r="AJ20" s="721" t="n"/>
      <c r="AK20" s="961" t="n"/>
      <c r="AL20" s="721" t="n"/>
      <c r="AM20" s="961" t="n"/>
      <c r="AN20" s="721" t="n"/>
      <c r="AO20" s="962" t="n"/>
      <c r="AP20" s="718" t="n"/>
      <c r="AQ20" s="961" t="n"/>
      <c r="AR20" s="721" t="n"/>
      <c r="AS20" s="961" t="n"/>
      <c r="AT20" s="721" t="n"/>
      <c r="AU20" s="961" t="n"/>
      <c r="AV20" s="721" t="n"/>
      <c r="AW20" s="962" t="n"/>
      <c r="AX20" s="718" t="n"/>
      <c r="AY20" s="961" t="n"/>
      <c r="AZ20" s="721" t="n"/>
      <c r="BA20" s="961" t="n"/>
      <c r="BB20" s="721" t="n"/>
      <c r="BC20" s="961" t="n"/>
      <c r="BD20" s="721" t="n"/>
      <c r="BE20" s="962" t="n"/>
      <c r="BF20" s="718" t="n"/>
      <c r="BG20" s="961" t="n"/>
      <c r="BH20" s="717" t="n"/>
      <c r="BI20" s="963" t="n"/>
      <c r="BJ20" s="721" t="n"/>
      <c r="BK20" s="961" t="n"/>
      <c r="BL20" s="721" t="n"/>
      <c r="BM20" s="962" t="n"/>
    </row>
    <row r="21">
      <c r="A21" s="722" t="n"/>
      <c r="B21" s="721" t="n"/>
      <c r="C21" s="961" t="n"/>
      <c r="D21" s="721" t="n"/>
      <c r="E21" s="961" t="n"/>
      <c r="F21" s="721" t="n"/>
      <c r="G21" s="961" t="n"/>
      <c r="H21" s="721" t="n"/>
      <c r="I21" s="962" t="n"/>
      <c r="J21" s="718" t="n"/>
      <c r="K21" s="961" t="n"/>
      <c r="L21" s="721" t="n"/>
      <c r="M21" s="961" t="n"/>
      <c r="N21" s="721" t="n"/>
      <c r="O21" s="961" t="n"/>
      <c r="P21" s="721" t="n"/>
      <c r="Q21" s="962" t="n"/>
      <c r="R21" s="718" t="n"/>
      <c r="S21" s="961" t="n"/>
      <c r="T21" s="721" t="n"/>
      <c r="U21" s="961" t="n"/>
      <c r="V21" s="721" t="n"/>
      <c r="W21" s="961" t="n"/>
      <c r="X21" s="721" t="n"/>
      <c r="Y21" s="962" t="n"/>
      <c r="Z21" s="718" t="n"/>
      <c r="AA21" s="961" t="n"/>
      <c r="AB21" s="721" t="n"/>
      <c r="AC21" s="961" t="n"/>
      <c r="AD21" s="721" t="n"/>
      <c r="AE21" s="961" t="n"/>
      <c r="AF21" s="721" t="n"/>
      <c r="AG21" s="962" t="n"/>
      <c r="AH21" s="718" t="n"/>
      <c r="AI21" s="961" t="n"/>
      <c r="AJ21" s="721" t="n"/>
      <c r="AK21" s="961" t="n"/>
      <c r="AL21" s="721" t="n"/>
      <c r="AM21" s="961" t="n"/>
      <c r="AN21" s="721" t="n"/>
      <c r="AO21" s="962" t="n"/>
      <c r="AP21" s="718" t="n"/>
      <c r="AQ21" s="961" t="n"/>
      <c r="AR21" s="721" t="n"/>
      <c r="AS21" s="961" t="n"/>
      <c r="AT21" s="721" t="n"/>
      <c r="AU21" s="961" t="n"/>
      <c r="AV21" s="721" t="n"/>
      <c r="AW21" s="962" t="n"/>
      <c r="AX21" s="718" t="n"/>
      <c r="AY21" s="961" t="n"/>
      <c r="AZ21" s="721" t="n"/>
      <c r="BA21" s="961" t="n"/>
      <c r="BB21" s="721" t="n"/>
      <c r="BC21" s="961" t="n"/>
      <c r="BD21" s="721" t="n"/>
      <c r="BE21" s="962" t="n"/>
      <c r="BF21" s="718" t="n"/>
      <c r="BG21" s="961" t="n"/>
      <c r="BH21" s="717" t="n"/>
      <c r="BI21" s="963" t="n"/>
      <c r="BJ21" s="721" t="n"/>
      <c r="BK21" s="961" t="n"/>
      <c r="BL21" s="721" t="n"/>
      <c r="BM21" s="962" t="n"/>
    </row>
    <row r="22">
      <c r="A22" s="722" t="n"/>
      <c r="B22" s="721" t="n"/>
      <c r="C22" s="961" t="n"/>
      <c r="D22" s="721" t="n"/>
      <c r="E22" s="961" t="n"/>
      <c r="F22" s="721" t="n"/>
      <c r="G22" s="961" t="n"/>
      <c r="H22" s="721" t="n"/>
      <c r="I22" s="962" t="n"/>
      <c r="J22" s="718" t="n"/>
      <c r="K22" s="961" t="n"/>
      <c r="L22" s="721" t="n"/>
      <c r="M22" s="961" t="n"/>
      <c r="N22" s="721" t="n"/>
      <c r="O22" s="961" t="n"/>
      <c r="P22" s="721" t="n"/>
      <c r="Q22" s="962" t="n"/>
      <c r="R22" s="718" t="n"/>
      <c r="S22" s="961" t="n"/>
      <c r="T22" s="721" t="n"/>
      <c r="U22" s="961" t="n"/>
      <c r="V22" s="721" t="n"/>
      <c r="W22" s="961" t="n"/>
      <c r="X22" s="721" t="n"/>
      <c r="Y22" s="962" t="n"/>
      <c r="Z22" s="718" t="n"/>
      <c r="AA22" s="961" t="n"/>
      <c r="AB22" s="721" t="n"/>
      <c r="AC22" s="961" t="n"/>
      <c r="AD22" s="721" t="n"/>
      <c r="AE22" s="961" t="n"/>
      <c r="AF22" s="721" t="n"/>
      <c r="AG22" s="962" t="n"/>
      <c r="AH22" s="718" t="n"/>
      <c r="AI22" s="961" t="n"/>
      <c r="AJ22" s="721" t="n"/>
      <c r="AK22" s="961" t="n"/>
      <c r="AL22" s="721" t="n"/>
      <c r="AM22" s="961" t="n"/>
      <c r="AN22" s="721" t="n"/>
      <c r="AO22" s="962" t="n"/>
      <c r="AP22" s="718" t="n"/>
      <c r="AQ22" s="961" t="n"/>
      <c r="AR22" s="721" t="n"/>
      <c r="AS22" s="961" t="n"/>
      <c r="AT22" s="721" t="n"/>
      <c r="AU22" s="961" t="n"/>
      <c r="AV22" s="721" t="n"/>
      <c r="AW22" s="962" t="n"/>
      <c r="AX22" s="718" t="n"/>
      <c r="AY22" s="961" t="n"/>
      <c r="AZ22" s="721" t="n"/>
      <c r="BA22" s="961" t="n"/>
      <c r="BB22" s="721" t="n"/>
      <c r="BC22" s="961" t="n"/>
      <c r="BD22" s="721" t="n"/>
      <c r="BE22" s="962" t="n"/>
      <c r="BF22" s="718" t="n"/>
      <c r="BG22" s="961" t="n"/>
      <c r="BH22" s="717" t="n"/>
      <c r="BI22" s="963" t="n"/>
      <c r="BJ22" s="721" t="n"/>
      <c r="BK22" s="961" t="n"/>
      <c r="BL22" s="721" t="n"/>
      <c r="BM22" s="962" t="n"/>
    </row>
    <row r="23">
      <c r="A23" s="722" t="n"/>
      <c r="B23" s="721" t="n"/>
      <c r="C23" s="961" t="n"/>
      <c r="D23" s="721" t="n"/>
      <c r="E23" s="961" t="n"/>
      <c r="F23" s="721" t="n"/>
      <c r="G23" s="961" t="n"/>
      <c r="H23" s="721" t="n"/>
      <c r="I23" s="962" t="n"/>
      <c r="J23" s="718" t="n"/>
      <c r="K23" s="961" t="n"/>
      <c r="L23" s="721" t="n"/>
      <c r="M23" s="961" t="n"/>
      <c r="N23" s="721" t="n"/>
      <c r="O23" s="961" t="n"/>
      <c r="P23" s="721" t="n"/>
      <c r="Q23" s="962" t="n"/>
      <c r="R23" s="718" t="n"/>
      <c r="S23" s="961" t="n"/>
      <c r="T23" s="721" t="n"/>
      <c r="U23" s="961" t="n"/>
      <c r="V23" s="721" t="n"/>
      <c r="W23" s="961" t="n"/>
      <c r="X23" s="721" t="n"/>
      <c r="Y23" s="962" t="n"/>
      <c r="Z23" s="718" t="n"/>
      <c r="AA23" s="961" t="n"/>
      <c r="AB23" s="721" t="n"/>
      <c r="AC23" s="961" t="n"/>
      <c r="AD23" s="721" t="n"/>
      <c r="AE23" s="961" t="n"/>
      <c r="AF23" s="721" t="n"/>
      <c r="AG23" s="962" t="n"/>
      <c r="AH23" s="718" t="n"/>
      <c r="AI23" s="961" t="n"/>
      <c r="AJ23" s="721" t="n"/>
      <c r="AK23" s="961" t="n"/>
      <c r="AL23" s="721" t="n"/>
      <c r="AM23" s="961" t="n"/>
      <c r="AN23" s="721" t="n"/>
      <c r="AO23" s="962" t="n"/>
      <c r="AP23" s="718" t="n"/>
      <c r="AQ23" s="961" t="n"/>
      <c r="AR23" s="721" t="n"/>
      <c r="AS23" s="961" t="n"/>
      <c r="AT23" s="721" t="n"/>
      <c r="AU23" s="961" t="n"/>
      <c r="AV23" s="721" t="n"/>
      <c r="AW23" s="962" t="n"/>
      <c r="AX23" s="718" t="n"/>
      <c r="AY23" s="961" t="n"/>
      <c r="AZ23" s="721" t="n"/>
      <c r="BA23" s="961" t="n"/>
      <c r="BB23" s="721" t="n"/>
      <c r="BC23" s="961" t="n"/>
      <c r="BD23" s="721" t="n"/>
      <c r="BE23" s="962" t="n"/>
      <c r="BF23" s="718" t="n"/>
      <c r="BG23" s="961" t="n"/>
      <c r="BH23" s="717" t="n"/>
      <c r="BI23" s="963" t="n"/>
      <c r="BJ23" s="721" t="n"/>
      <c r="BK23" s="961" t="n"/>
      <c r="BL23" s="721" t="n"/>
      <c r="BM23" s="962" t="n"/>
    </row>
    <row r="24">
      <c r="A24" s="722" t="n"/>
      <c r="B24" s="721" t="n"/>
      <c r="C24" s="961" t="n"/>
      <c r="D24" s="721" t="n"/>
      <c r="E24" s="961" t="n"/>
      <c r="F24" s="721" t="n"/>
      <c r="G24" s="961" t="n"/>
      <c r="H24" s="721" t="n"/>
      <c r="I24" s="962" t="n"/>
      <c r="J24" s="718" t="n"/>
      <c r="K24" s="961" t="n"/>
      <c r="L24" s="721" t="n"/>
      <c r="M24" s="961" t="n"/>
      <c r="N24" s="721" t="n"/>
      <c r="O24" s="961" t="n"/>
      <c r="P24" s="721" t="n"/>
      <c r="Q24" s="962" t="n"/>
      <c r="R24" s="718" t="n"/>
      <c r="S24" s="961" t="n"/>
      <c r="T24" s="721" t="n"/>
      <c r="U24" s="961" t="n"/>
      <c r="V24" s="721" t="n"/>
      <c r="W24" s="961" t="n"/>
      <c r="X24" s="721" t="n"/>
      <c r="Y24" s="962" t="n"/>
      <c r="Z24" s="718" t="n"/>
      <c r="AA24" s="961" t="n"/>
      <c r="AB24" s="721" t="n"/>
      <c r="AC24" s="961" t="n"/>
      <c r="AD24" s="721" t="n"/>
      <c r="AE24" s="961" t="n"/>
      <c r="AF24" s="721" t="n"/>
      <c r="AG24" s="962" t="n"/>
      <c r="AH24" s="718" t="n"/>
      <c r="AI24" s="961" t="n"/>
      <c r="AJ24" s="721" t="n"/>
      <c r="AK24" s="961" t="n"/>
      <c r="AL24" s="721" t="n"/>
      <c r="AM24" s="961" t="n"/>
      <c r="AN24" s="721" t="n"/>
      <c r="AO24" s="962" t="n"/>
      <c r="AP24" s="718" t="n"/>
      <c r="AQ24" s="961" t="n"/>
      <c r="AR24" s="721" t="n"/>
      <c r="AS24" s="961" t="n"/>
      <c r="AT24" s="721" t="n"/>
      <c r="AU24" s="961" t="n"/>
      <c r="AV24" s="721" t="n"/>
      <c r="AW24" s="962" t="n"/>
      <c r="AX24" s="718" t="n"/>
      <c r="AY24" s="961" t="n"/>
      <c r="AZ24" s="721" t="n"/>
      <c r="BA24" s="961" t="n"/>
      <c r="BB24" s="721" t="n"/>
      <c r="BC24" s="961" t="n"/>
      <c r="BD24" s="721" t="n"/>
      <c r="BE24" s="962" t="n"/>
      <c r="BF24" s="718" t="n"/>
      <c r="BG24" s="961" t="n"/>
      <c r="BH24" s="717" t="n"/>
      <c r="BI24" s="963" t="n"/>
      <c r="BJ24" s="721" t="n"/>
      <c r="BK24" s="961" t="n"/>
      <c r="BL24" s="721" t="n"/>
      <c r="BM24" s="962" t="n"/>
    </row>
    <row r="25">
      <c r="A25" s="722" t="n"/>
      <c r="B25" s="721" t="n"/>
      <c r="C25" s="961" t="n"/>
      <c r="D25" s="721" t="n"/>
      <c r="E25" s="961" t="n"/>
      <c r="F25" s="721" t="n"/>
      <c r="G25" s="961" t="n"/>
      <c r="H25" s="721" t="n"/>
      <c r="I25" s="962" t="n"/>
      <c r="J25" s="718" t="n"/>
      <c r="K25" s="961" t="n"/>
      <c r="L25" s="721" t="n"/>
      <c r="M25" s="961" t="n"/>
      <c r="N25" s="721" t="n"/>
      <c r="O25" s="961" t="n"/>
      <c r="P25" s="721" t="n"/>
      <c r="Q25" s="962" t="n"/>
      <c r="R25" s="718" t="n"/>
      <c r="S25" s="961" t="n"/>
      <c r="T25" s="721" t="n"/>
      <c r="U25" s="961" t="n"/>
      <c r="V25" s="721" t="n"/>
      <c r="W25" s="961" t="n"/>
      <c r="X25" s="721" t="n"/>
      <c r="Y25" s="962" t="n"/>
      <c r="Z25" s="718" t="n"/>
      <c r="AA25" s="961" t="n"/>
      <c r="AB25" s="721" t="n"/>
      <c r="AC25" s="961" t="n"/>
      <c r="AD25" s="721" t="n"/>
      <c r="AE25" s="961" t="n"/>
      <c r="AF25" s="721" t="n"/>
      <c r="AG25" s="962" t="n"/>
      <c r="AH25" s="718" t="n"/>
      <c r="AI25" s="961" t="n"/>
      <c r="AJ25" s="721" t="n"/>
      <c r="AK25" s="961" t="n"/>
      <c r="AL25" s="721" t="n"/>
      <c r="AM25" s="961" t="n"/>
      <c r="AN25" s="721" t="n"/>
      <c r="AO25" s="962" t="n"/>
      <c r="AP25" s="718" t="n"/>
      <c r="AQ25" s="961" t="n"/>
      <c r="AR25" s="721" t="n"/>
      <c r="AS25" s="961" t="n"/>
      <c r="AT25" s="721" t="n"/>
      <c r="AU25" s="961" t="n"/>
      <c r="AV25" s="721" t="n"/>
      <c r="AW25" s="962" t="n"/>
      <c r="AX25" s="718" t="n"/>
      <c r="AY25" s="961" t="n"/>
      <c r="AZ25" s="721" t="n"/>
      <c r="BA25" s="961" t="n"/>
      <c r="BB25" s="721" t="n"/>
      <c r="BC25" s="961" t="n"/>
      <c r="BD25" s="721" t="n"/>
      <c r="BE25" s="962" t="n"/>
      <c r="BF25" s="718" t="n"/>
      <c r="BG25" s="961" t="n"/>
      <c r="BH25" s="717" t="n"/>
      <c r="BI25" s="963" t="n"/>
      <c r="BJ25" s="721" t="n"/>
      <c r="BK25" s="961" t="n"/>
      <c r="BL25" s="721" t="n"/>
      <c r="BM25" s="962" t="n"/>
    </row>
    <row r="26">
      <c r="A26" s="722" t="n"/>
      <c r="B26" s="721" t="n"/>
      <c r="C26" s="961" t="n"/>
      <c r="D26" s="721" t="n"/>
      <c r="E26" s="961" t="n"/>
      <c r="F26" s="721" t="n"/>
      <c r="G26" s="961" t="n"/>
      <c r="H26" s="721" t="n"/>
      <c r="I26" s="962" t="n"/>
      <c r="J26" s="718" t="n"/>
      <c r="K26" s="961" t="n"/>
      <c r="L26" s="721" t="n"/>
      <c r="M26" s="961" t="n"/>
      <c r="N26" s="721" t="n"/>
      <c r="O26" s="961" t="n"/>
      <c r="P26" s="721" t="n"/>
      <c r="Q26" s="962" t="n"/>
      <c r="R26" s="718" t="n"/>
      <c r="S26" s="961" t="n"/>
      <c r="T26" s="721" t="n"/>
      <c r="U26" s="961" t="n"/>
      <c r="V26" s="721" t="n"/>
      <c r="W26" s="961" t="n"/>
      <c r="X26" s="721" t="n"/>
      <c r="Y26" s="962" t="n"/>
      <c r="Z26" s="718" t="n"/>
      <c r="AA26" s="961" t="n"/>
      <c r="AB26" s="721" t="n"/>
      <c r="AC26" s="961" t="n"/>
      <c r="AD26" s="721" t="n"/>
      <c r="AE26" s="961" t="n"/>
      <c r="AF26" s="721" t="n"/>
      <c r="AG26" s="962" t="n"/>
      <c r="AH26" s="718" t="n"/>
      <c r="AI26" s="961" t="n"/>
      <c r="AJ26" s="721" t="n"/>
      <c r="AK26" s="961" t="n"/>
      <c r="AL26" s="721" t="n"/>
      <c r="AM26" s="961" t="n"/>
      <c r="AN26" s="721" t="n"/>
      <c r="AO26" s="962" t="n"/>
      <c r="AP26" s="718" t="n"/>
      <c r="AQ26" s="961" t="n"/>
      <c r="AR26" s="721" t="n"/>
      <c r="AS26" s="961" t="n"/>
      <c r="AT26" s="721" t="n"/>
      <c r="AU26" s="961" t="n"/>
      <c r="AV26" s="721" t="n"/>
      <c r="AW26" s="962" t="n"/>
      <c r="AX26" s="718" t="n"/>
      <c r="AY26" s="961" t="n"/>
      <c r="AZ26" s="721" t="n"/>
      <c r="BA26" s="961" t="n"/>
      <c r="BB26" s="721" t="n"/>
      <c r="BC26" s="961" t="n"/>
      <c r="BD26" s="721" t="n"/>
      <c r="BE26" s="962" t="n"/>
      <c r="BF26" s="718" t="n"/>
      <c r="BG26" s="961" t="n"/>
      <c r="BH26" s="717" t="n"/>
      <c r="BI26" s="963" t="n"/>
      <c r="BJ26" s="721" t="n"/>
      <c r="BK26" s="961" t="n"/>
      <c r="BL26" s="721" t="n"/>
      <c r="BM26" s="962" t="n"/>
    </row>
    <row r="27">
      <c r="A27" s="722" t="n"/>
      <c r="B27" s="721" t="n"/>
      <c r="C27" s="961" t="n"/>
      <c r="D27" s="721" t="n"/>
      <c r="E27" s="961" t="n"/>
      <c r="F27" s="721" t="n"/>
      <c r="G27" s="961" t="n"/>
      <c r="H27" s="721" t="n"/>
      <c r="I27" s="962" t="n"/>
      <c r="J27" s="718" t="n"/>
      <c r="K27" s="961" t="n"/>
      <c r="L27" s="721" t="n"/>
      <c r="M27" s="961" t="n"/>
      <c r="N27" s="721" t="n"/>
      <c r="O27" s="961" t="n"/>
      <c r="P27" s="721" t="n"/>
      <c r="Q27" s="962" t="n"/>
      <c r="R27" s="718" t="n"/>
      <c r="S27" s="961" t="n"/>
      <c r="T27" s="721" t="n"/>
      <c r="U27" s="961" t="n"/>
      <c r="V27" s="721" t="n"/>
      <c r="W27" s="961" t="n"/>
      <c r="X27" s="721" t="n"/>
      <c r="Y27" s="962" t="n"/>
      <c r="Z27" s="718" t="n"/>
      <c r="AA27" s="961" t="n"/>
      <c r="AB27" s="721" t="n"/>
      <c r="AC27" s="961" t="n"/>
      <c r="AD27" s="721" t="n"/>
      <c r="AE27" s="961" t="n"/>
      <c r="AF27" s="721" t="n"/>
      <c r="AG27" s="962" t="n"/>
      <c r="AH27" s="718" t="n"/>
      <c r="AI27" s="961" t="n"/>
      <c r="AJ27" s="721" t="n"/>
      <c r="AK27" s="961" t="n"/>
      <c r="AL27" s="721" t="n"/>
      <c r="AM27" s="961" t="n"/>
      <c r="AN27" s="721" t="n"/>
      <c r="AO27" s="962" t="n"/>
      <c r="AP27" s="718" t="n"/>
      <c r="AQ27" s="961" t="n"/>
      <c r="AR27" s="721" t="n"/>
      <c r="AS27" s="961" t="n"/>
      <c r="AT27" s="721" t="n"/>
      <c r="AU27" s="961" t="n"/>
      <c r="AV27" s="721" t="n"/>
      <c r="AW27" s="962" t="n"/>
      <c r="AX27" s="718" t="n"/>
      <c r="AY27" s="961" t="n"/>
      <c r="AZ27" s="721" t="n"/>
      <c r="BA27" s="961" t="n"/>
      <c r="BB27" s="721" t="n"/>
      <c r="BC27" s="961" t="n"/>
      <c r="BD27" s="721" t="n"/>
      <c r="BE27" s="962" t="n"/>
      <c r="BF27" s="718" t="n"/>
      <c r="BG27" s="961" t="n"/>
      <c r="BH27" s="717" t="n"/>
      <c r="BI27" s="963" t="n"/>
      <c r="BJ27" s="721" t="n"/>
      <c r="BK27" s="961" t="n"/>
      <c r="BL27" s="721" t="n"/>
      <c r="BM27" s="962" t="n"/>
    </row>
    <row r="28">
      <c r="A28" s="722" t="n"/>
      <c r="B28" s="721" t="n"/>
      <c r="C28" s="961" t="n"/>
      <c r="D28" s="721" t="n"/>
      <c r="E28" s="961" t="n"/>
      <c r="F28" s="721" t="n"/>
      <c r="G28" s="961" t="n"/>
      <c r="H28" s="721" t="n"/>
      <c r="I28" s="962" t="n"/>
      <c r="J28" s="718" t="n"/>
      <c r="K28" s="961" t="n"/>
      <c r="L28" s="721" t="n"/>
      <c r="M28" s="961" t="n"/>
      <c r="N28" s="721" t="n"/>
      <c r="O28" s="961" t="n"/>
      <c r="P28" s="721" t="n"/>
      <c r="Q28" s="962" t="n"/>
      <c r="R28" s="718" t="n"/>
      <c r="S28" s="961" t="n"/>
      <c r="T28" s="721" t="n"/>
      <c r="U28" s="961" t="n"/>
      <c r="V28" s="721" t="n"/>
      <c r="W28" s="961" t="n"/>
      <c r="X28" s="721" t="n"/>
      <c r="Y28" s="962" t="n"/>
      <c r="Z28" s="718" t="n"/>
      <c r="AA28" s="961" t="n"/>
      <c r="AB28" s="721" t="n"/>
      <c r="AC28" s="961" t="n"/>
      <c r="AD28" s="721" t="n"/>
      <c r="AE28" s="961" t="n"/>
      <c r="AF28" s="721" t="n"/>
      <c r="AG28" s="962" t="n"/>
      <c r="AH28" s="718" t="n"/>
      <c r="AI28" s="961" t="n"/>
      <c r="AJ28" s="721" t="n"/>
      <c r="AK28" s="961" t="n"/>
      <c r="AL28" s="721" t="n"/>
      <c r="AM28" s="961" t="n"/>
      <c r="AN28" s="721" t="n"/>
      <c r="AO28" s="962" t="n"/>
      <c r="AP28" s="718" t="n"/>
      <c r="AQ28" s="961" t="n"/>
      <c r="AR28" s="721" t="n"/>
      <c r="AS28" s="961" t="n"/>
      <c r="AT28" s="721" t="n"/>
      <c r="AU28" s="961" t="n"/>
      <c r="AV28" s="721" t="n"/>
      <c r="AW28" s="962" t="n"/>
      <c r="AX28" s="718" t="n"/>
      <c r="AY28" s="961" t="n"/>
      <c r="AZ28" s="721" t="n"/>
      <c r="BA28" s="961" t="n"/>
      <c r="BB28" s="721" t="n"/>
      <c r="BC28" s="961" t="n"/>
      <c r="BD28" s="721" t="n"/>
      <c r="BE28" s="962" t="n"/>
      <c r="BF28" s="718" t="n"/>
      <c r="BG28" s="961" t="n"/>
      <c r="BH28" s="717" t="n"/>
      <c r="BI28" s="963" t="n"/>
      <c r="BJ28" s="721" t="n"/>
      <c r="BK28" s="961" t="n"/>
      <c r="BL28" s="721" t="n"/>
      <c r="BM28" s="962" t="n"/>
    </row>
    <row r="29">
      <c r="A29" s="722" t="n"/>
      <c r="B29" s="721" t="n"/>
      <c r="C29" s="961" t="n"/>
      <c r="D29" s="721" t="n"/>
      <c r="E29" s="961" t="n"/>
      <c r="F29" s="721" t="n"/>
      <c r="G29" s="961" t="n"/>
      <c r="H29" s="721" t="n"/>
      <c r="I29" s="962" t="n"/>
      <c r="J29" s="718" t="n"/>
      <c r="K29" s="961" t="n"/>
      <c r="L29" s="721" t="n"/>
      <c r="M29" s="961" t="n"/>
      <c r="N29" s="721" t="n"/>
      <c r="O29" s="961" t="n"/>
      <c r="P29" s="721" t="n"/>
      <c r="Q29" s="962" t="n"/>
      <c r="R29" s="718" t="n"/>
      <c r="S29" s="961" t="n"/>
      <c r="T29" s="721" t="n"/>
      <c r="U29" s="961" t="n"/>
      <c r="V29" s="721" t="n"/>
      <c r="W29" s="961" t="n"/>
      <c r="X29" s="721" t="n"/>
      <c r="Y29" s="962" t="n"/>
      <c r="Z29" s="718" t="n"/>
      <c r="AA29" s="961" t="n"/>
      <c r="AB29" s="721" t="n"/>
      <c r="AC29" s="961" t="n"/>
      <c r="AD29" s="721" t="n"/>
      <c r="AE29" s="961" t="n"/>
      <c r="AF29" s="721" t="n"/>
      <c r="AG29" s="962" t="n"/>
      <c r="AH29" s="718" t="n"/>
      <c r="AI29" s="961" t="n"/>
      <c r="AJ29" s="721" t="n"/>
      <c r="AK29" s="961" t="n"/>
      <c r="AL29" s="721" t="n"/>
      <c r="AM29" s="961" t="n"/>
      <c r="AN29" s="721" t="n"/>
      <c r="AO29" s="962" t="n"/>
      <c r="AP29" s="718" t="n"/>
      <c r="AQ29" s="961" t="n"/>
      <c r="AR29" s="721" t="n"/>
      <c r="AS29" s="961" t="n"/>
      <c r="AT29" s="721" t="n"/>
      <c r="AU29" s="961" t="n"/>
      <c r="AV29" s="721" t="n"/>
      <c r="AW29" s="962" t="n"/>
      <c r="AX29" s="718" t="n"/>
      <c r="AY29" s="961" t="n"/>
      <c r="AZ29" s="721" t="n"/>
      <c r="BA29" s="961" t="n"/>
      <c r="BB29" s="721" t="n"/>
      <c r="BC29" s="961" t="n"/>
      <c r="BD29" s="721" t="n"/>
      <c r="BE29" s="962" t="n"/>
      <c r="BF29" s="718" t="n"/>
      <c r="BG29" s="961" t="n"/>
      <c r="BH29" s="717" t="n"/>
      <c r="BI29" s="963" t="n"/>
      <c r="BJ29" s="721" t="n"/>
      <c r="BK29" s="961" t="n"/>
      <c r="BL29" s="721" t="n"/>
      <c r="BM29" s="962" t="n"/>
    </row>
    <row r="30">
      <c r="A30" s="722" t="n"/>
      <c r="B30" s="721" t="n"/>
      <c r="C30" s="961" t="n"/>
      <c r="D30" s="721" t="n"/>
      <c r="E30" s="961" t="n"/>
      <c r="F30" s="721" t="n"/>
      <c r="G30" s="961" t="n"/>
      <c r="H30" s="721" t="n"/>
      <c r="I30" s="962" t="n"/>
      <c r="J30" s="718" t="n"/>
      <c r="K30" s="961" t="n"/>
      <c r="L30" s="721" t="n"/>
      <c r="M30" s="961" t="n"/>
      <c r="N30" s="721" t="n"/>
      <c r="O30" s="961" t="n"/>
      <c r="P30" s="721" t="n"/>
      <c r="Q30" s="962" t="n"/>
      <c r="R30" s="718" t="n"/>
      <c r="S30" s="961" t="n"/>
      <c r="T30" s="721" t="n"/>
      <c r="U30" s="961" t="n"/>
      <c r="V30" s="721" t="n"/>
      <c r="W30" s="961" t="n"/>
      <c r="X30" s="721" t="n"/>
      <c r="Y30" s="962" t="n"/>
      <c r="Z30" s="718" t="n"/>
      <c r="AA30" s="961" t="n"/>
      <c r="AB30" s="721" t="n"/>
      <c r="AC30" s="961" t="n"/>
      <c r="AD30" s="721" t="n"/>
      <c r="AE30" s="961" t="n"/>
      <c r="AF30" s="721" t="n"/>
      <c r="AG30" s="962" t="n"/>
      <c r="AH30" s="718" t="n"/>
      <c r="AI30" s="961" t="n"/>
      <c r="AJ30" s="721" t="n"/>
      <c r="AK30" s="961" t="n"/>
      <c r="AL30" s="721" t="n"/>
      <c r="AM30" s="961" t="n"/>
      <c r="AN30" s="721" t="n"/>
      <c r="AO30" s="962" t="n"/>
      <c r="AP30" s="718" t="n"/>
      <c r="AQ30" s="961" t="n"/>
      <c r="AR30" s="721" t="n"/>
      <c r="AS30" s="961" t="n"/>
      <c r="AT30" s="721" t="n"/>
      <c r="AU30" s="961" t="n"/>
      <c r="AV30" s="721" t="n"/>
      <c r="AW30" s="962" t="n"/>
      <c r="AX30" s="718" t="n"/>
      <c r="AY30" s="961" t="n"/>
      <c r="AZ30" s="721" t="n"/>
      <c r="BA30" s="961" t="n"/>
      <c r="BB30" s="721" t="n"/>
      <c r="BC30" s="961" t="n"/>
      <c r="BD30" s="721" t="n"/>
      <c r="BE30" s="962" t="n"/>
      <c r="BF30" s="718" t="n"/>
      <c r="BG30" s="961" t="n"/>
      <c r="BH30" s="717" t="n"/>
      <c r="BI30" s="963" t="n"/>
      <c r="BJ30" s="721" t="n"/>
      <c r="BK30" s="961" t="n"/>
      <c r="BL30" s="721" t="n"/>
      <c r="BM30" s="962" t="n"/>
    </row>
    <row r="31">
      <c r="A31" s="722" t="n"/>
      <c r="B31" s="721" t="n"/>
      <c r="C31" s="961" t="n"/>
      <c r="D31" s="721" t="n"/>
      <c r="E31" s="961" t="n"/>
      <c r="F31" s="721" t="n"/>
      <c r="G31" s="961" t="n"/>
      <c r="H31" s="721" t="n"/>
      <c r="I31" s="962" t="n"/>
      <c r="J31" s="718" t="n"/>
      <c r="K31" s="961" t="n"/>
      <c r="L31" s="721" t="n"/>
      <c r="M31" s="961" t="n"/>
      <c r="N31" s="721" t="n"/>
      <c r="O31" s="961" t="n"/>
      <c r="P31" s="721" t="n"/>
      <c r="Q31" s="962" t="n"/>
      <c r="R31" s="718" t="n"/>
      <c r="S31" s="961" t="n"/>
      <c r="T31" s="721" t="n"/>
      <c r="U31" s="961" t="n"/>
      <c r="V31" s="721" t="n"/>
      <c r="W31" s="961" t="n"/>
      <c r="X31" s="721" t="n"/>
      <c r="Y31" s="962" t="n"/>
      <c r="Z31" s="718" t="n"/>
      <c r="AA31" s="961" t="n"/>
      <c r="AB31" s="721" t="n"/>
      <c r="AC31" s="961" t="n"/>
      <c r="AD31" s="721" t="n"/>
      <c r="AE31" s="961" t="n"/>
      <c r="AF31" s="721" t="n"/>
      <c r="AG31" s="962" t="n"/>
      <c r="AH31" s="718" t="n"/>
      <c r="AI31" s="961" t="n"/>
      <c r="AJ31" s="721" t="n"/>
      <c r="AK31" s="961" t="n"/>
      <c r="AL31" s="721" t="n"/>
      <c r="AM31" s="961" t="n"/>
      <c r="AN31" s="721" t="n"/>
      <c r="AO31" s="962" t="n"/>
      <c r="AP31" s="718" t="n"/>
      <c r="AQ31" s="961" t="n"/>
      <c r="AR31" s="721" t="n"/>
      <c r="AS31" s="961" t="n"/>
      <c r="AT31" s="721" t="n"/>
      <c r="AU31" s="961" t="n"/>
      <c r="AV31" s="721" t="n"/>
      <c r="AW31" s="962" t="n"/>
      <c r="AX31" s="718" t="n"/>
      <c r="AY31" s="961" t="n"/>
      <c r="AZ31" s="721" t="n"/>
      <c r="BA31" s="961" t="n"/>
      <c r="BB31" s="721" t="n"/>
      <c r="BC31" s="961" t="n"/>
      <c r="BD31" s="721" t="n"/>
      <c r="BE31" s="962" t="n"/>
      <c r="BF31" s="718" t="n"/>
      <c r="BG31" s="961" t="n"/>
      <c r="BH31" s="717" t="n"/>
      <c r="BI31" s="963" t="n"/>
      <c r="BJ31" s="721" t="n"/>
      <c r="BK31" s="961" t="n"/>
      <c r="BL31" s="721" t="n"/>
      <c r="BM31" s="962" t="n"/>
    </row>
    <row r="32">
      <c r="A32" s="722" t="n"/>
      <c r="B32" s="721" t="n"/>
      <c r="C32" s="961" t="n"/>
      <c r="D32" s="721" t="n"/>
      <c r="E32" s="961" t="n"/>
      <c r="F32" s="721" t="n"/>
      <c r="G32" s="961" t="n"/>
      <c r="H32" s="721" t="n"/>
      <c r="I32" s="962" t="n"/>
      <c r="J32" s="718" t="n"/>
      <c r="K32" s="961" t="n"/>
      <c r="L32" s="721" t="n"/>
      <c r="M32" s="961" t="n"/>
      <c r="N32" s="721" t="n"/>
      <c r="O32" s="961" t="n"/>
      <c r="P32" s="721" t="n"/>
      <c r="Q32" s="962" t="n"/>
      <c r="R32" s="718" t="n"/>
      <c r="S32" s="961" t="n"/>
      <c r="T32" s="721" t="n"/>
      <c r="U32" s="961" t="n"/>
      <c r="V32" s="721" t="n"/>
      <c r="W32" s="961" t="n"/>
      <c r="X32" s="721" t="n"/>
      <c r="Y32" s="962" t="n"/>
      <c r="Z32" s="718" t="n"/>
      <c r="AA32" s="961" t="n"/>
      <c r="AB32" s="721" t="n"/>
      <c r="AC32" s="961" t="n"/>
      <c r="AD32" s="721" t="n"/>
      <c r="AE32" s="961" t="n"/>
      <c r="AF32" s="721" t="n"/>
      <c r="AG32" s="962" t="n"/>
      <c r="AH32" s="718" t="n"/>
      <c r="AI32" s="961" t="n"/>
      <c r="AJ32" s="721" t="n"/>
      <c r="AK32" s="961" t="n"/>
      <c r="AL32" s="721" t="n"/>
      <c r="AM32" s="961" t="n"/>
      <c r="AN32" s="721" t="n"/>
      <c r="AO32" s="962" t="n"/>
      <c r="AP32" s="718" t="n"/>
      <c r="AQ32" s="961" t="n"/>
      <c r="AR32" s="721" t="n"/>
      <c r="AS32" s="961" t="n"/>
      <c r="AT32" s="721" t="n"/>
      <c r="AU32" s="961" t="n"/>
      <c r="AV32" s="721" t="n"/>
      <c r="AW32" s="962" t="n"/>
      <c r="AX32" s="718" t="n"/>
      <c r="AY32" s="961" t="n"/>
      <c r="AZ32" s="721" t="n"/>
      <c r="BA32" s="961" t="n"/>
      <c r="BB32" s="721" t="n"/>
      <c r="BC32" s="961" t="n"/>
      <c r="BD32" s="721" t="n"/>
      <c r="BE32" s="962" t="n"/>
      <c r="BF32" s="718" t="n"/>
      <c r="BG32" s="961" t="n"/>
      <c r="BH32" s="717" t="n"/>
      <c r="BI32" s="963" t="n"/>
      <c r="BJ32" s="721" t="n"/>
      <c r="BK32" s="961" t="n"/>
      <c r="BL32" s="721" t="n"/>
      <c r="BM32" s="962" t="n"/>
    </row>
    <row r="33">
      <c r="A33" s="722" t="n"/>
      <c r="B33" s="721" t="n"/>
      <c r="C33" s="961" t="n"/>
      <c r="D33" s="721" t="n"/>
      <c r="E33" s="961" t="n"/>
      <c r="F33" s="721" t="n"/>
      <c r="G33" s="961" t="n"/>
      <c r="H33" s="721" t="n"/>
      <c r="I33" s="962" t="n"/>
      <c r="J33" s="718" t="n"/>
      <c r="K33" s="961" t="n"/>
      <c r="L33" s="721" t="n"/>
      <c r="M33" s="961" t="n"/>
      <c r="N33" s="721" t="n"/>
      <c r="O33" s="961" t="n"/>
      <c r="P33" s="721" t="n"/>
      <c r="Q33" s="962" t="n"/>
      <c r="R33" s="718" t="n"/>
      <c r="S33" s="961" t="n"/>
      <c r="T33" s="721" t="n"/>
      <c r="U33" s="961" t="n"/>
      <c r="V33" s="721" t="n"/>
      <c r="W33" s="961" t="n"/>
      <c r="X33" s="721" t="n"/>
      <c r="Y33" s="962" t="n"/>
      <c r="Z33" s="718" t="n"/>
      <c r="AA33" s="961" t="n"/>
      <c r="AB33" s="721" t="n"/>
      <c r="AC33" s="961" t="n"/>
      <c r="AD33" s="721" t="n"/>
      <c r="AE33" s="961" t="n"/>
      <c r="AF33" s="721" t="n"/>
      <c r="AG33" s="962" t="n"/>
      <c r="AH33" s="718" t="n"/>
      <c r="AI33" s="961" t="n"/>
      <c r="AJ33" s="721" t="n"/>
      <c r="AK33" s="961" t="n"/>
      <c r="AL33" s="721" t="n"/>
      <c r="AM33" s="961" t="n"/>
      <c r="AN33" s="721" t="n"/>
      <c r="AO33" s="962" t="n"/>
      <c r="AP33" s="718" t="n"/>
      <c r="AQ33" s="961" t="n"/>
      <c r="AR33" s="721" t="n"/>
      <c r="AS33" s="961" t="n"/>
      <c r="AT33" s="721" t="n"/>
      <c r="AU33" s="961" t="n"/>
      <c r="AV33" s="721" t="n"/>
      <c r="AW33" s="962" t="n"/>
      <c r="AX33" s="718" t="n"/>
      <c r="AY33" s="961" t="n"/>
      <c r="AZ33" s="721" t="n"/>
      <c r="BA33" s="961" t="n"/>
      <c r="BB33" s="721" t="n"/>
      <c r="BC33" s="961" t="n"/>
      <c r="BD33" s="721" t="n"/>
      <c r="BE33" s="962" t="n"/>
      <c r="BF33" s="718" t="n"/>
      <c r="BG33" s="961" t="n"/>
      <c r="BH33" s="717" t="n"/>
      <c r="BI33" s="963" t="n"/>
      <c r="BJ33" s="721" t="n"/>
      <c r="BK33" s="961" t="n"/>
      <c r="BL33" s="721" t="n"/>
      <c r="BM33" s="962" t="n"/>
    </row>
    <row r="34">
      <c r="A34" s="722" t="n"/>
      <c r="B34" s="721" t="n"/>
      <c r="C34" s="961" t="n"/>
      <c r="D34" s="721" t="n"/>
      <c r="E34" s="961" t="n"/>
      <c r="F34" s="721" t="n"/>
      <c r="G34" s="961" t="n"/>
      <c r="H34" s="721" t="n"/>
      <c r="I34" s="962" t="n"/>
      <c r="J34" s="718" t="n"/>
      <c r="K34" s="961" t="n"/>
      <c r="L34" s="721" t="n"/>
      <c r="M34" s="961" t="n"/>
      <c r="N34" s="721" t="n"/>
      <c r="O34" s="961" t="n"/>
      <c r="P34" s="721" t="n"/>
      <c r="Q34" s="962" t="n"/>
      <c r="R34" s="718" t="n"/>
      <c r="S34" s="961" t="n"/>
      <c r="T34" s="721" t="n"/>
      <c r="U34" s="961" t="n"/>
      <c r="V34" s="721" t="n"/>
      <c r="W34" s="961" t="n"/>
      <c r="X34" s="721" t="n"/>
      <c r="Y34" s="962" t="n"/>
      <c r="Z34" s="718" t="n"/>
      <c r="AA34" s="961" t="n"/>
      <c r="AB34" s="721" t="n"/>
      <c r="AC34" s="961" t="n"/>
      <c r="AD34" s="721" t="n"/>
      <c r="AE34" s="961" t="n"/>
      <c r="AF34" s="721" t="n"/>
      <c r="AG34" s="962" t="n"/>
      <c r="AH34" s="718" t="n"/>
      <c r="AI34" s="961" t="n"/>
      <c r="AJ34" s="721" t="n"/>
      <c r="AK34" s="961" t="n"/>
      <c r="AL34" s="721" t="n"/>
      <c r="AM34" s="961" t="n"/>
      <c r="AN34" s="721" t="n"/>
      <c r="AO34" s="962" t="n"/>
      <c r="AP34" s="718" t="n"/>
      <c r="AQ34" s="961" t="n"/>
      <c r="AR34" s="721" t="n"/>
      <c r="AS34" s="961" t="n"/>
      <c r="AT34" s="721" t="n"/>
      <c r="AU34" s="961" t="n"/>
      <c r="AV34" s="721" t="n"/>
      <c r="AW34" s="962" t="n"/>
      <c r="AX34" s="718" t="n"/>
      <c r="AY34" s="961" t="n"/>
      <c r="AZ34" s="721" t="n"/>
      <c r="BA34" s="961" t="n"/>
      <c r="BB34" s="721" t="n"/>
      <c r="BC34" s="961" t="n"/>
      <c r="BD34" s="721" t="n"/>
      <c r="BE34" s="962" t="n"/>
      <c r="BF34" s="718" t="n"/>
      <c r="BG34" s="961" t="n"/>
      <c r="BH34" s="717" t="n"/>
      <c r="BI34" s="963" t="n"/>
      <c r="BJ34" s="721" t="n"/>
      <c r="BK34" s="961" t="n"/>
      <c r="BL34" s="721" t="n"/>
      <c r="BM34" s="962" t="n"/>
    </row>
    <row r="35">
      <c r="A35" s="722" t="n"/>
      <c r="B35" s="721" t="n"/>
      <c r="C35" s="961" t="n"/>
      <c r="D35" s="721" t="n"/>
      <c r="E35" s="961" t="n"/>
      <c r="F35" s="721" t="n"/>
      <c r="G35" s="961" t="n"/>
      <c r="H35" s="721" t="n"/>
      <c r="I35" s="962" t="n"/>
      <c r="J35" s="718" t="n"/>
      <c r="K35" s="961" t="n"/>
      <c r="L35" s="721" t="n"/>
      <c r="M35" s="961" t="n"/>
      <c r="N35" s="721" t="n"/>
      <c r="O35" s="961" t="n"/>
      <c r="P35" s="721" t="n"/>
      <c r="Q35" s="962" t="n"/>
      <c r="R35" s="718" t="n"/>
      <c r="S35" s="961" t="n"/>
      <c r="T35" s="721" t="n"/>
      <c r="U35" s="961" t="n"/>
      <c r="V35" s="721" t="n"/>
      <c r="W35" s="961" t="n"/>
      <c r="X35" s="721" t="n"/>
      <c r="Y35" s="962" t="n"/>
      <c r="Z35" s="718" t="n"/>
      <c r="AA35" s="961" t="n"/>
      <c r="AB35" s="721" t="n"/>
      <c r="AC35" s="961" t="n"/>
      <c r="AD35" s="721" t="n"/>
      <c r="AE35" s="961" t="n"/>
      <c r="AF35" s="721" t="n"/>
      <c r="AG35" s="962" t="n"/>
      <c r="AH35" s="718" t="n"/>
      <c r="AI35" s="961" t="n"/>
      <c r="AJ35" s="721" t="n"/>
      <c r="AK35" s="961" t="n"/>
      <c r="AL35" s="721" t="n"/>
      <c r="AM35" s="961" t="n"/>
      <c r="AN35" s="721" t="n"/>
      <c r="AO35" s="962" t="n"/>
      <c r="AP35" s="718" t="n"/>
      <c r="AQ35" s="961" t="n"/>
      <c r="AR35" s="721" t="n"/>
      <c r="AS35" s="961" t="n"/>
      <c r="AT35" s="721" t="n"/>
      <c r="AU35" s="961" t="n"/>
      <c r="AV35" s="721" t="n"/>
      <c r="AW35" s="962" t="n"/>
      <c r="AX35" s="718" t="n"/>
      <c r="AY35" s="961" t="n"/>
      <c r="AZ35" s="721" t="n"/>
      <c r="BA35" s="961" t="n"/>
      <c r="BB35" s="721" t="n"/>
      <c r="BC35" s="961" t="n"/>
      <c r="BD35" s="721" t="n"/>
      <c r="BE35" s="962" t="n"/>
      <c r="BF35" s="718" t="n"/>
      <c r="BG35" s="961" t="n"/>
      <c r="BH35" s="717" t="n"/>
      <c r="BI35" s="963" t="n"/>
      <c r="BJ35" s="721" t="n"/>
      <c r="BK35" s="961" t="n"/>
      <c r="BL35" s="721" t="n"/>
      <c r="BM35" s="962" t="n"/>
    </row>
    <row r="36">
      <c r="A36" s="722" t="n"/>
      <c r="B36" s="721" t="n"/>
      <c r="C36" s="961" t="n"/>
      <c r="D36" s="721" t="n"/>
      <c r="E36" s="961" t="n"/>
      <c r="F36" s="721" t="n"/>
      <c r="G36" s="961" t="n"/>
      <c r="H36" s="721" t="n"/>
      <c r="I36" s="962" t="n"/>
      <c r="J36" s="718" t="n"/>
      <c r="K36" s="961" t="n"/>
      <c r="L36" s="721" t="n"/>
      <c r="M36" s="961" t="n"/>
      <c r="N36" s="721" t="n"/>
      <c r="O36" s="961" t="n"/>
      <c r="P36" s="721" t="n"/>
      <c r="Q36" s="962" t="n"/>
      <c r="R36" s="718" t="n"/>
      <c r="S36" s="961" t="n"/>
      <c r="T36" s="721" t="n"/>
      <c r="U36" s="961" t="n"/>
      <c r="V36" s="721" t="n"/>
      <c r="W36" s="961" t="n"/>
      <c r="X36" s="721" t="n"/>
      <c r="Y36" s="962" t="n"/>
      <c r="Z36" s="718" t="n"/>
      <c r="AA36" s="961" t="n"/>
      <c r="AB36" s="721" t="n"/>
      <c r="AC36" s="961" t="n"/>
      <c r="AD36" s="721" t="n"/>
      <c r="AE36" s="961" t="n"/>
      <c r="AF36" s="721" t="n"/>
      <c r="AG36" s="962" t="n"/>
      <c r="AH36" s="718" t="n"/>
      <c r="AI36" s="961" t="n"/>
      <c r="AJ36" s="721" t="n"/>
      <c r="AK36" s="961" t="n"/>
      <c r="AL36" s="721" t="n"/>
      <c r="AM36" s="961" t="n"/>
      <c r="AN36" s="721" t="n"/>
      <c r="AO36" s="962" t="n"/>
      <c r="AP36" s="718" t="n"/>
      <c r="AQ36" s="961" t="n"/>
      <c r="AR36" s="721" t="n"/>
      <c r="AS36" s="961" t="n"/>
      <c r="AT36" s="721" t="n"/>
      <c r="AU36" s="961" t="n"/>
      <c r="AV36" s="721" t="n"/>
      <c r="AW36" s="962" t="n"/>
      <c r="AX36" s="718" t="n"/>
      <c r="AY36" s="961" t="n"/>
      <c r="AZ36" s="721" t="n"/>
      <c r="BA36" s="961" t="n"/>
      <c r="BB36" s="721" t="n"/>
      <c r="BC36" s="961" t="n"/>
      <c r="BD36" s="721" t="n"/>
      <c r="BE36" s="962" t="n"/>
      <c r="BF36" s="718" t="n"/>
      <c r="BG36" s="961" t="n"/>
      <c r="BH36" s="717" t="n"/>
      <c r="BI36" s="963" t="n"/>
      <c r="BJ36" s="721" t="n"/>
      <c r="BK36" s="961" t="n"/>
      <c r="BL36" s="721" t="n"/>
      <c r="BM36" s="962" t="n"/>
    </row>
    <row r="37">
      <c r="A37" s="722" t="n"/>
      <c r="B37" s="721" t="n"/>
      <c r="C37" s="961" t="n"/>
      <c r="D37" s="721" t="n"/>
      <c r="E37" s="961" t="n"/>
      <c r="F37" s="721" t="n"/>
      <c r="G37" s="961" t="n"/>
      <c r="H37" s="721" t="n"/>
      <c r="I37" s="962" t="n"/>
      <c r="J37" s="718" t="n"/>
      <c r="K37" s="961" t="n"/>
      <c r="L37" s="721" t="n"/>
      <c r="M37" s="961" t="n"/>
      <c r="N37" s="721" t="n"/>
      <c r="O37" s="961" t="n"/>
      <c r="P37" s="721" t="n"/>
      <c r="Q37" s="962" t="n"/>
      <c r="R37" s="718" t="n"/>
      <c r="S37" s="961" t="n"/>
      <c r="T37" s="721" t="n"/>
      <c r="U37" s="961" t="n"/>
      <c r="V37" s="721" t="n"/>
      <c r="W37" s="961" t="n"/>
      <c r="X37" s="721" t="n"/>
      <c r="Y37" s="962" t="n"/>
      <c r="Z37" s="718" t="n"/>
      <c r="AA37" s="961" t="n"/>
      <c r="AB37" s="721" t="n"/>
      <c r="AC37" s="961" t="n"/>
      <c r="AD37" s="721" t="n"/>
      <c r="AE37" s="961" t="n"/>
      <c r="AF37" s="721" t="n"/>
      <c r="AG37" s="962" t="n"/>
      <c r="AH37" s="718" t="n"/>
      <c r="AI37" s="961" t="n"/>
      <c r="AJ37" s="721" t="n"/>
      <c r="AK37" s="961" t="n"/>
      <c r="AL37" s="721" t="n"/>
      <c r="AM37" s="961" t="n"/>
      <c r="AN37" s="721" t="n"/>
      <c r="AO37" s="962" t="n"/>
      <c r="AP37" s="718" t="n"/>
      <c r="AQ37" s="961" t="n"/>
      <c r="AR37" s="721" t="n"/>
      <c r="AS37" s="961" t="n"/>
      <c r="AT37" s="721" t="n"/>
      <c r="AU37" s="961" t="n"/>
      <c r="AV37" s="721" t="n"/>
      <c r="AW37" s="962" t="n"/>
      <c r="AX37" s="718" t="n"/>
      <c r="AY37" s="961" t="n"/>
      <c r="AZ37" s="721" t="n"/>
      <c r="BA37" s="961" t="n"/>
      <c r="BB37" s="721" t="n"/>
      <c r="BC37" s="961" t="n"/>
      <c r="BD37" s="721" t="n"/>
      <c r="BE37" s="962" t="n"/>
      <c r="BF37" s="718" t="n"/>
      <c r="BG37" s="961" t="n"/>
      <c r="BH37" s="717" t="n"/>
      <c r="BI37" s="963" t="n"/>
      <c r="BJ37" s="721" t="n"/>
      <c r="BK37" s="961" t="n"/>
      <c r="BL37" s="721" t="n"/>
      <c r="BM37" s="962" t="n"/>
    </row>
    <row r="38">
      <c r="A38" s="722" t="n"/>
      <c r="B38" s="721" t="n"/>
      <c r="C38" s="961" t="n"/>
      <c r="D38" s="721" t="n"/>
      <c r="E38" s="961" t="n"/>
      <c r="F38" s="721" t="n"/>
      <c r="G38" s="961" t="n"/>
      <c r="H38" s="721" t="n"/>
      <c r="I38" s="962" t="n"/>
      <c r="J38" s="718" t="n"/>
      <c r="K38" s="961" t="n"/>
      <c r="L38" s="721" t="n"/>
      <c r="M38" s="961" t="n"/>
      <c r="N38" s="721" t="n"/>
      <c r="O38" s="961" t="n"/>
      <c r="P38" s="721" t="n"/>
      <c r="Q38" s="962" t="n"/>
      <c r="R38" s="718" t="n"/>
      <c r="S38" s="961" t="n"/>
      <c r="T38" s="721" t="n"/>
      <c r="U38" s="961" t="n"/>
      <c r="V38" s="721" t="n"/>
      <c r="W38" s="961" t="n"/>
      <c r="X38" s="721" t="n"/>
      <c r="Y38" s="962" t="n"/>
      <c r="Z38" s="718" t="n"/>
      <c r="AA38" s="961" t="n"/>
      <c r="AB38" s="721" t="n"/>
      <c r="AC38" s="961" t="n"/>
      <c r="AD38" s="721" t="n"/>
      <c r="AE38" s="961" t="n"/>
      <c r="AF38" s="721" t="n"/>
      <c r="AG38" s="962" t="n"/>
      <c r="AH38" s="718" t="n"/>
      <c r="AI38" s="961" t="n"/>
      <c r="AJ38" s="721" t="n"/>
      <c r="AK38" s="961" t="n"/>
      <c r="AL38" s="721" t="n"/>
      <c r="AM38" s="961" t="n"/>
      <c r="AN38" s="721" t="n"/>
      <c r="AO38" s="962" t="n"/>
      <c r="AP38" s="718" t="n"/>
      <c r="AQ38" s="961" t="n"/>
      <c r="AR38" s="721" t="n"/>
      <c r="AS38" s="961" t="n"/>
      <c r="AT38" s="721" t="n"/>
      <c r="AU38" s="961" t="n"/>
      <c r="AV38" s="721" t="n"/>
      <c r="AW38" s="962" t="n"/>
      <c r="AX38" s="718" t="n"/>
      <c r="AY38" s="961" t="n"/>
      <c r="AZ38" s="721" t="n"/>
      <c r="BA38" s="961" t="n"/>
      <c r="BB38" s="721" t="n"/>
      <c r="BC38" s="961" t="n"/>
      <c r="BD38" s="721" t="n"/>
      <c r="BE38" s="962" t="n"/>
      <c r="BF38" s="718" t="n"/>
      <c r="BG38" s="961" t="n"/>
      <c r="BH38" s="717" t="n"/>
      <c r="BI38" s="963" t="n"/>
      <c r="BJ38" s="721" t="n"/>
      <c r="BK38" s="961" t="n"/>
      <c r="BL38" s="721" t="n"/>
      <c r="BM38" s="962" t="n"/>
    </row>
    <row r="39">
      <c r="A39" s="722" t="n"/>
      <c r="B39" s="721" t="n"/>
      <c r="C39" s="961" t="n"/>
      <c r="D39" s="721" t="n"/>
      <c r="E39" s="961" t="n"/>
      <c r="F39" s="721" t="n"/>
      <c r="G39" s="961" t="n"/>
      <c r="H39" s="721" t="n"/>
      <c r="I39" s="962" t="n"/>
      <c r="J39" s="718" t="n"/>
      <c r="K39" s="961" t="n"/>
      <c r="L39" s="721" t="n"/>
      <c r="M39" s="961" t="n"/>
      <c r="N39" s="721" t="n"/>
      <c r="O39" s="961" t="n"/>
      <c r="P39" s="721" t="n"/>
      <c r="Q39" s="962" t="n"/>
      <c r="R39" s="718" t="n"/>
      <c r="S39" s="961" t="n"/>
      <c r="T39" s="721" t="n"/>
      <c r="U39" s="961" t="n"/>
      <c r="V39" s="721" t="n"/>
      <c r="W39" s="961" t="n"/>
      <c r="X39" s="721" t="n"/>
      <c r="Y39" s="962" t="n"/>
      <c r="Z39" s="718" t="n"/>
      <c r="AA39" s="961" t="n"/>
      <c r="AB39" s="721" t="n"/>
      <c r="AC39" s="961" t="n"/>
      <c r="AD39" s="721" t="n"/>
      <c r="AE39" s="961" t="n"/>
      <c r="AF39" s="721" t="n"/>
      <c r="AG39" s="962" t="n"/>
      <c r="AH39" s="718" t="n"/>
      <c r="AI39" s="961" t="n"/>
      <c r="AJ39" s="721" t="n"/>
      <c r="AK39" s="961" t="n"/>
      <c r="AL39" s="721" t="n"/>
      <c r="AM39" s="961" t="n"/>
      <c r="AN39" s="721" t="n"/>
      <c r="AO39" s="962" t="n"/>
      <c r="AP39" s="718" t="n"/>
      <c r="AQ39" s="961" t="n"/>
      <c r="AR39" s="721" t="n"/>
      <c r="AS39" s="961" t="n"/>
      <c r="AT39" s="721" t="n"/>
      <c r="AU39" s="961" t="n"/>
      <c r="AV39" s="721" t="n"/>
      <c r="AW39" s="962" t="n"/>
      <c r="AX39" s="718" t="n"/>
      <c r="AY39" s="961" t="n"/>
      <c r="AZ39" s="721" t="n"/>
      <c r="BA39" s="961" t="n"/>
      <c r="BB39" s="721" t="n"/>
      <c r="BC39" s="961" t="n"/>
      <c r="BD39" s="721" t="n"/>
      <c r="BE39" s="962" t="n"/>
      <c r="BF39" s="718" t="n"/>
      <c r="BG39" s="961" t="n"/>
      <c r="BH39" s="717" t="n"/>
      <c r="BI39" s="963" t="n"/>
      <c r="BJ39" s="721" t="n"/>
      <c r="BK39" s="961" t="n"/>
      <c r="BL39" s="721" t="n"/>
      <c r="BM39" s="962" t="n"/>
    </row>
    <row r="40">
      <c r="A40" s="722" t="n"/>
      <c r="B40" s="721" t="n"/>
      <c r="C40" s="961" t="n"/>
      <c r="D40" s="721" t="n"/>
      <c r="E40" s="961" t="n"/>
      <c r="F40" s="721" t="n"/>
      <c r="G40" s="961" t="n"/>
      <c r="H40" s="721" t="n"/>
      <c r="I40" s="962" t="n"/>
      <c r="J40" s="718" t="n"/>
      <c r="K40" s="961" t="n"/>
      <c r="L40" s="721" t="n"/>
      <c r="M40" s="961" t="n"/>
      <c r="N40" s="721" t="n"/>
      <c r="O40" s="961" t="n"/>
      <c r="P40" s="721" t="n"/>
      <c r="Q40" s="962" t="n"/>
      <c r="R40" s="718" t="n"/>
      <c r="S40" s="961" t="n"/>
      <c r="T40" s="721" t="n"/>
      <c r="U40" s="961" t="n"/>
      <c r="V40" s="721" t="n"/>
      <c r="W40" s="961" t="n"/>
      <c r="X40" s="721" t="n"/>
      <c r="Y40" s="962" t="n"/>
      <c r="Z40" s="718" t="n"/>
      <c r="AA40" s="961" t="n"/>
      <c r="AB40" s="721" t="n"/>
      <c r="AC40" s="961" t="n"/>
      <c r="AD40" s="721" t="n"/>
      <c r="AE40" s="961" t="n"/>
      <c r="AF40" s="721" t="n"/>
      <c r="AG40" s="962" t="n"/>
      <c r="AH40" s="718" t="n"/>
      <c r="AI40" s="961" t="n"/>
      <c r="AJ40" s="721" t="n"/>
      <c r="AK40" s="961" t="n"/>
      <c r="AL40" s="721" t="n"/>
      <c r="AM40" s="961" t="n"/>
      <c r="AN40" s="721" t="n"/>
      <c r="AO40" s="962" t="n"/>
      <c r="AP40" s="718" t="n"/>
      <c r="AQ40" s="961" t="n"/>
      <c r="AR40" s="721" t="n"/>
      <c r="AS40" s="961" t="n"/>
      <c r="AT40" s="721" t="n"/>
      <c r="AU40" s="961" t="n"/>
      <c r="AV40" s="721" t="n"/>
      <c r="AW40" s="962" t="n"/>
      <c r="AX40" s="718" t="n"/>
      <c r="AY40" s="961" t="n"/>
      <c r="AZ40" s="721" t="n"/>
      <c r="BA40" s="961" t="n"/>
      <c r="BB40" s="721" t="n"/>
      <c r="BC40" s="961" t="n"/>
      <c r="BD40" s="721" t="n"/>
      <c r="BE40" s="962" t="n"/>
      <c r="BF40" s="718" t="n"/>
      <c r="BG40" s="961" t="n"/>
      <c r="BH40" s="717" t="n"/>
      <c r="BI40" s="963" t="n"/>
      <c r="BJ40" s="721" t="n"/>
      <c r="BK40" s="961" t="n"/>
      <c r="BL40" s="721" t="n"/>
      <c r="BM40" s="962" t="n"/>
    </row>
    <row r="41">
      <c r="A41" s="722" t="n"/>
      <c r="B41" s="721" t="n"/>
      <c r="C41" s="961" t="n"/>
      <c r="D41" s="721" t="n"/>
      <c r="E41" s="961" t="n"/>
      <c r="F41" s="721" t="n"/>
      <c r="G41" s="961" t="n"/>
      <c r="H41" s="721" t="n"/>
      <c r="I41" s="962" t="n"/>
      <c r="J41" s="718" t="n"/>
      <c r="K41" s="961" t="n"/>
      <c r="L41" s="721" t="n"/>
      <c r="M41" s="961" t="n"/>
      <c r="N41" s="721" t="n"/>
      <c r="O41" s="961" t="n"/>
      <c r="P41" s="721" t="n"/>
      <c r="Q41" s="962" t="n"/>
      <c r="R41" s="718" t="n"/>
      <c r="S41" s="961" t="n"/>
      <c r="T41" s="721" t="n"/>
      <c r="U41" s="961" t="n"/>
      <c r="V41" s="721" t="n"/>
      <c r="W41" s="961" t="n"/>
      <c r="X41" s="721" t="n"/>
      <c r="Y41" s="962" t="n"/>
      <c r="Z41" s="718" t="n"/>
      <c r="AA41" s="961" t="n"/>
      <c r="AB41" s="721" t="n"/>
      <c r="AC41" s="961" t="n"/>
      <c r="AD41" s="721" t="n"/>
      <c r="AE41" s="961" t="n"/>
      <c r="AF41" s="721" t="n"/>
      <c r="AG41" s="962" t="n"/>
      <c r="AH41" s="718" t="n"/>
      <c r="AI41" s="961" t="n"/>
      <c r="AJ41" s="721" t="n"/>
      <c r="AK41" s="961" t="n"/>
      <c r="AL41" s="721" t="n"/>
      <c r="AM41" s="961" t="n"/>
      <c r="AN41" s="721" t="n"/>
      <c r="AO41" s="962" t="n"/>
      <c r="AP41" s="718" t="n"/>
      <c r="AQ41" s="961" t="n"/>
      <c r="AR41" s="721" t="n"/>
      <c r="AS41" s="961" t="n"/>
      <c r="AT41" s="721" t="n"/>
      <c r="AU41" s="961" t="n"/>
      <c r="AV41" s="721" t="n"/>
      <c r="AW41" s="962" t="n"/>
      <c r="AX41" s="718" t="n"/>
      <c r="AY41" s="961" t="n"/>
      <c r="AZ41" s="721" t="n"/>
      <c r="BA41" s="961" t="n"/>
      <c r="BB41" s="721" t="n"/>
      <c r="BC41" s="961" t="n"/>
      <c r="BD41" s="721" t="n"/>
      <c r="BE41" s="962" t="n"/>
      <c r="BF41" s="718" t="n"/>
      <c r="BG41" s="961" t="n"/>
      <c r="BH41" s="717" t="n"/>
      <c r="BI41" s="963" t="n"/>
      <c r="BJ41" s="721" t="n"/>
      <c r="BK41" s="961" t="n"/>
      <c r="BL41" s="721" t="n"/>
      <c r="BM41" s="962" t="n"/>
    </row>
    <row r="42">
      <c r="A42" s="722" t="n"/>
      <c r="B42" s="721" t="n"/>
      <c r="C42" s="961" t="n"/>
      <c r="D42" s="721" t="n"/>
      <c r="E42" s="961" t="n"/>
      <c r="F42" s="721" t="n"/>
      <c r="G42" s="961" t="n"/>
      <c r="H42" s="721" t="n"/>
      <c r="I42" s="962" t="n"/>
      <c r="J42" s="718" t="n"/>
      <c r="K42" s="961" t="n"/>
      <c r="L42" s="721" t="n"/>
      <c r="M42" s="961" t="n"/>
      <c r="N42" s="721" t="n"/>
      <c r="O42" s="961" t="n"/>
      <c r="P42" s="721" t="n"/>
      <c r="Q42" s="962" t="n"/>
      <c r="R42" s="718" t="n"/>
      <c r="S42" s="961" t="n"/>
      <c r="T42" s="721" t="n"/>
      <c r="U42" s="961" t="n"/>
      <c r="V42" s="721" t="n"/>
      <c r="W42" s="961" t="n"/>
      <c r="X42" s="721" t="n"/>
      <c r="Y42" s="962" t="n"/>
      <c r="Z42" s="718" t="n"/>
      <c r="AA42" s="961" t="n"/>
      <c r="AB42" s="721" t="n"/>
      <c r="AC42" s="961" t="n"/>
      <c r="AD42" s="721" t="n"/>
      <c r="AE42" s="961" t="n"/>
      <c r="AF42" s="721" t="n"/>
      <c r="AG42" s="962" t="n"/>
      <c r="AH42" s="718" t="n"/>
      <c r="AI42" s="961" t="n"/>
      <c r="AJ42" s="721" t="n"/>
      <c r="AK42" s="961" t="n"/>
      <c r="AL42" s="721" t="n"/>
      <c r="AM42" s="961" t="n"/>
      <c r="AN42" s="721" t="n"/>
      <c r="AO42" s="962" t="n"/>
      <c r="AP42" s="718" t="n"/>
      <c r="AQ42" s="961" t="n"/>
      <c r="AR42" s="721" t="n"/>
      <c r="AS42" s="961" t="n"/>
      <c r="AT42" s="721" t="n"/>
      <c r="AU42" s="961" t="n"/>
      <c r="AV42" s="721" t="n"/>
      <c r="AW42" s="962" t="n"/>
      <c r="AX42" s="718" t="n"/>
      <c r="AY42" s="961" t="n"/>
      <c r="AZ42" s="721" t="n"/>
      <c r="BA42" s="961" t="n"/>
      <c r="BB42" s="721" t="n"/>
      <c r="BC42" s="961" t="n"/>
      <c r="BD42" s="721" t="n"/>
      <c r="BE42" s="962" t="n"/>
      <c r="BF42" s="718" t="n"/>
      <c r="BG42" s="961" t="n"/>
      <c r="BH42" s="717" t="n"/>
      <c r="BI42" s="963" t="n"/>
      <c r="BJ42" s="721" t="n"/>
      <c r="BK42" s="961" t="n"/>
      <c r="BL42" s="721" t="n"/>
      <c r="BM42" s="962" t="n"/>
    </row>
    <row r="43">
      <c r="A43" s="722" t="n"/>
      <c r="B43" s="721" t="n"/>
      <c r="C43" s="961" t="n"/>
      <c r="D43" s="721" t="n"/>
      <c r="E43" s="961" t="n"/>
      <c r="F43" s="721" t="n"/>
      <c r="G43" s="961" t="n"/>
      <c r="H43" s="721" t="n"/>
      <c r="I43" s="962" t="n"/>
      <c r="J43" s="718" t="n"/>
      <c r="K43" s="961" t="n"/>
      <c r="L43" s="721" t="n"/>
      <c r="M43" s="961" t="n"/>
      <c r="N43" s="721" t="n"/>
      <c r="O43" s="961" t="n"/>
      <c r="P43" s="721" t="n"/>
      <c r="Q43" s="962" t="n"/>
      <c r="R43" s="718" t="n"/>
      <c r="S43" s="961" t="n"/>
      <c r="T43" s="721" t="n"/>
      <c r="U43" s="961" t="n"/>
      <c r="V43" s="721" t="n"/>
      <c r="W43" s="961" t="n"/>
      <c r="X43" s="721" t="n"/>
      <c r="Y43" s="962" t="n"/>
      <c r="Z43" s="718" t="n"/>
      <c r="AA43" s="961" t="n"/>
      <c r="AB43" s="721" t="n"/>
      <c r="AC43" s="961" t="n"/>
      <c r="AD43" s="721" t="n"/>
      <c r="AE43" s="961" t="n"/>
      <c r="AF43" s="721" t="n"/>
      <c r="AG43" s="962" t="n"/>
      <c r="AH43" s="718" t="n"/>
      <c r="AI43" s="961" t="n"/>
      <c r="AJ43" s="721" t="n"/>
      <c r="AK43" s="961" t="n"/>
      <c r="AL43" s="721" t="n"/>
      <c r="AM43" s="961" t="n"/>
      <c r="AN43" s="721" t="n"/>
      <c r="AO43" s="962" t="n"/>
      <c r="AP43" s="718" t="n"/>
      <c r="AQ43" s="961" t="n"/>
      <c r="AR43" s="721" t="n"/>
      <c r="AS43" s="961" t="n"/>
      <c r="AT43" s="721" t="n"/>
      <c r="AU43" s="961" t="n"/>
      <c r="AV43" s="721" t="n"/>
      <c r="AW43" s="962" t="n"/>
      <c r="AX43" s="718" t="n"/>
      <c r="AY43" s="961" t="n"/>
      <c r="AZ43" s="721" t="n"/>
      <c r="BA43" s="961" t="n"/>
      <c r="BB43" s="721" t="n"/>
      <c r="BC43" s="961" t="n"/>
      <c r="BD43" s="721" t="n"/>
      <c r="BE43" s="962" t="n"/>
      <c r="BF43" s="718" t="n"/>
      <c r="BG43" s="961" t="n"/>
      <c r="BH43" s="717" t="n"/>
      <c r="BI43" s="963" t="n"/>
      <c r="BJ43" s="721" t="n"/>
      <c r="BK43" s="961" t="n"/>
      <c r="BL43" s="721" t="n"/>
      <c r="BM43" s="962" t="n"/>
    </row>
    <row r="44">
      <c r="A44" s="722" t="n"/>
      <c r="B44" s="721" t="n"/>
      <c r="C44" s="961" t="n"/>
      <c r="D44" s="721" t="n"/>
      <c r="E44" s="961" t="n"/>
      <c r="F44" s="721" t="n"/>
      <c r="G44" s="961" t="n"/>
      <c r="H44" s="721" t="n"/>
      <c r="I44" s="962" t="n"/>
      <c r="J44" s="718" t="n"/>
      <c r="K44" s="961" t="n"/>
      <c r="L44" s="721" t="n"/>
      <c r="M44" s="961" t="n"/>
      <c r="N44" s="721" t="n"/>
      <c r="O44" s="961" t="n"/>
      <c r="P44" s="721" t="n"/>
      <c r="Q44" s="962" t="n"/>
      <c r="R44" s="718" t="n"/>
      <c r="S44" s="961" t="n"/>
      <c r="T44" s="721" t="n"/>
      <c r="U44" s="961" t="n"/>
      <c r="V44" s="721" t="n"/>
      <c r="W44" s="961" t="n"/>
      <c r="X44" s="721" t="n"/>
      <c r="Y44" s="962" t="n"/>
      <c r="Z44" s="718" t="n"/>
      <c r="AA44" s="961" t="n"/>
      <c r="AB44" s="721" t="n"/>
      <c r="AC44" s="961" t="n"/>
      <c r="AD44" s="721" t="n"/>
      <c r="AE44" s="961" t="n"/>
      <c r="AF44" s="721" t="n"/>
      <c r="AG44" s="962" t="n"/>
      <c r="AH44" s="718" t="n"/>
      <c r="AI44" s="961" t="n"/>
      <c r="AJ44" s="721" t="n"/>
      <c r="AK44" s="961" t="n"/>
      <c r="AL44" s="721" t="n"/>
      <c r="AM44" s="961" t="n"/>
      <c r="AN44" s="721" t="n"/>
      <c r="AO44" s="962" t="n"/>
      <c r="AP44" s="718" t="n"/>
      <c r="AQ44" s="961" t="n"/>
      <c r="AR44" s="721" t="n"/>
      <c r="AS44" s="961" t="n"/>
      <c r="AT44" s="721" t="n"/>
      <c r="AU44" s="961" t="n"/>
      <c r="AV44" s="721" t="n"/>
      <c r="AW44" s="962" t="n"/>
      <c r="AX44" s="718" t="n"/>
      <c r="AY44" s="961" t="n"/>
      <c r="AZ44" s="721" t="n"/>
      <c r="BA44" s="961" t="n"/>
      <c r="BB44" s="721" t="n"/>
      <c r="BC44" s="961" t="n"/>
      <c r="BD44" s="721" t="n"/>
      <c r="BE44" s="962" t="n"/>
      <c r="BF44" s="718" t="n"/>
      <c r="BG44" s="961" t="n"/>
      <c r="BH44" s="717" t="n"/>
      <c r="BI44" s="963" t="n"/>
      <c r="BJ44" s="721" t="n"/>
      <c r="BK44" s="961" t="n"/>
      <c r="BL44" s="721" t="n"/>
      <c r="BM44" s="962" t="n"/>
    </row>
    <row r="45">
      <c r="A45" s="722" t="n"/>
      <c r="B45" s="721" t="n"/>
      <c r="C45" s="961" t="n"/>
      <c r="D45" s="721" t="n"/>
      <c r="E45" s="961" t="n"/>
      <c r="F45" s="721" t="n"/>
      <c r="G45" s="961" t="n"/>
      <c r="H45" s="721" t="n"/>
      <c r="I45" s="962" t="n"/>
      <c r="J45" s="718" t="n"/>
      <c r="K45" s="961" t="n"/>
      <c r="L45" s="721" t="n"/>
      <c r="M45" s="961" t="n"/>
      <c r="N45" s="721" t="n"/>
      <c r="O45" s="961" t="n"/>
      <c r="P45" s="721" t="n"/>
      <c r="Q45" s="962" t="n"/>
      <c r="R45" s="718" t="n"/>
      <c r="S45" s="961" t="n"/>
      <c r="T45" s="721" t="n"/>
      <c r="U45" s="961" t="n"/>
      <c r="V45" s="721" t="n"/>
      <c r="W45" s="961" t="n"/>
      <c r="X45" s="721" t="n"/>
      <c r="Y45" s="962" t="n"/>
      <c r="Z45" s="718" t="n"/>
      <c r="AA45" s="961" t="n"/>
      <c r="AB45" s="721" t="n"/>
      <c r="AC45" s="961" t="n"/>
      <c r="AD45" s="721" t="n"/>
      <c r="AE45" s="961" t="n"/>
      <c r="AF45" s="721" t="n"/>
      <c r="AG45" s="962" t="n"/>
      <c r="AH45" s="718" t="n"/>
      <c r="AI45" s="961" t="n"/>
      <c r="AJ45" s="721" t="n"/>
      <c r="AK45" s="961" t="n"/>
      <c r="AL45" s="721" t="n"/>
      <c r="AM45" s="961" t="n"/>
      <c r="AN45" s="721" t="n"/>
      <c r="AO45" s="962" t="n"/>
      <c r="AP45" s="718" t="n"/>
      <c r="AQ45" s="961" t="n"/>
      <c r="AR45" s="721" t="n"/>
      <c r="AS45" s="961" t="n"/>
      <c r="AT45" s="721" t="n"/>
      <c r="AU45" s="961" t="n"/>
      <c r="AV45" s="721" t="n"/>
      <c r="AW45" s="962" t="n"/>
      <c r="AX45" s="718" t="n"/>
      <c r="AY45" s="961" t="n"/>
      <c r="AZ45" s="721" t="n"/>
      <c r="BA45" s="961" t="n"/>
      <c r="BB45" s="721" t="n"/>
      <c r="BC45" s="961" t="n"/>
      <c r="BD45" s="721" t="n"/>
      <c r="BE45" s="962" t="n"/>
      <c r="BF45" s="718" t="n"/>
      <c r="BG45" s="961" t="n"/>
      <c r="BH45" s="717" t="n"/>
      <c r="BI45" s="963" t="n"/>
      <c r="BJ45" s="721" t="n"/>
      <c r="BK45" s="961" t="n"/>
      <c r="BL45" s="721" t="n"/>
      <c r="BM45" s="962" t="n"/>
    </row>
    <row r="46">
      <c r="A46" s="722" t="n"/>
      <c r="B46" s="721" t="n"/>
      <c r="C46" s="961" t="n"/>
      <c r="D46" s="721" t="n"/>
      <c r="E46" s="961" t="n"/>
      <c r="F46" s="721" t="n"/>
      <c r="G46" s="961" t="n"/>
      <c r="H46" s="721" t="n"/>
      <c r="I46" s="962" t="n"/>
      <c r="J46" s="718" t="n"/>
      <c r="K46" s="961" t="n"/>
      <c r="L46" s="721" t="n"/>
      <c r="M46" s="961" t="n"/>
      <c r="N46" s="721" t="n"/>
      <c r="O46" s="961" t="n"/>
      <c r="P46" s="721" t="n"/>
      <c r="Q46" s="962" t="n"/>
      <c r="R46" s="718" t="n"/>
      <c r="S46" s="961" t="n"/>
      <c r="T46" s="721" t="n"/>
      <c r="U46" s="961" t="n"/>
      <c r="V46" s="721" t="n"/>
      <c r="W46" s="961" t="n"/>
      <c r="X46" s="721" t="n"/>
      <c r="Y46" s="962" t="n"/>
      <c r="Z46" s="718" t="n"/>
      <c r="AA46" s="961" t="n"/>
      <c r="AB46" s="721" t="n"/>
      <c r="AC46" s="961" t="n"/>
      <c r="AD46" s="721" t="n"/>
      <c r="AE46" s="961" t="n"/>
      <c r="AF46" s="721" t="n"/>
      <c r="AG46" s="962" t="n"/>
      <c r="AH46" s="718" t="n"/>
      <c r="AI46" s="961" t="n"/>
      <c r="AJ46" s="721" t="n"/>
      <c r="AK46" s="961" t="n"/>
      <c r="AL46" s="721" t="n"/>
      <c r="AM46" s="961" t="n"/>
      <c r="AN46" s="721" t="n"/>
      <c r="AO46" s="962" t="n"/>
      <c r="AP46" s="718" t="n"/>
      <c r="AQ46" s="961" t="n"/>
      <c r="AR46" s="721" t="n"/>
      <c r="AS46" s="961" t="n"/>
      <c r="AT46" s="721" t="n"/>
      <c r="AU46" s="961" t="n"/>
      <c r="AV46" s="721" t="n"/>
      <c r="AW46" s="962" t="n"/>
      <c r="AX46" s="718" t="n"/>
      <c r="AY46" s="961" t="n"/>
      <c r="AZ46" s="721" t="n"/>
      <c r="BA46" s="961" t="n"/>
      <c r="BB46" s="721" t="n"/>
      <c r="BC46" s="961" t="n"/>
      <c r="BD46" s="721" t="n"/>
      <c r="BE46" s="962" t="n"/>
      <c r="BF46" s="718" t="n"/>
      <c r="BG46" s="961" t="n"/>
      <c r="BH46" s="717" t="n"/>
      <c r="BI46" s="963" t="n"/>
      <c r="BJ46" s="721" t="n"/>
      <c r="BK46" s="961" t="n"/>
      <c r="BL46" s="721" t="n"/>
      <c r="BM46" s="962" t="n"/>
    </row>
    <row r="47">
      <c r="A47" s="722" t="n"/>
      <c r="B47" s="721" t="n"/>
      <c r="C47" s="961" t="n"/>
      <c r="D47" s="721" t="n"/>
      <c r="E47" s="961" t="n"/>
      <c r="F47" s="721" t="n"/>
      <c r="G47" s="961" t="n"/>
      <c r="H47" s="721" t="n"/>
      <c r="I47" s="962" t="n"/>
      <c r="J47" s="718" t="n"/>
      <c r="K47" s="961" t="n"/>
      <c r="L47" s="721" t="n"/>
      <c r="M47" s="961" t="n"/>
      <c r="N47" s="721" t="n"/>
      <c r="O47" s="961" t="n"/>
      <c r="P47" s="721" t="n"/>
      <c r="Q47" s="962" t="n"/>
      <c r="R47" s="718" t="n"/>
      <c r="S47" s="961" t="n"/>
      <c r="T47" s="721" t="n"/>
      <c r="U47" s="961" t="n"/>
      <c r="V47" s="721" t="n"/>
      <c r="W47" s="961" t="n"/>
      <c r="X47" s="721" t="n"/>
      <c r="Y47" s="962" t="n"/>
      <c r="Z47" s="718" t="n"/>
      <c r="AA47" s="961" t="n"/>
      <c r="AB47" s="721" t="n"/>
      <c r="AC47" s="961" t="n"/>
      <c r="AD47" s="721" t="n"/>
      <c r="AE47" s="961" t="n"/>
      <c r="AF47" s="721" t="n"/>
      <c r="AG47" s="962" t="n"/>
      <c r="AH47" s="718" t="n"/>
      <c r="AI47" s="961" t="n"/>
      <c r="AJ47" s="721" t="n"/>
      <c r="AK47" s="961" t="n"/>
      <c r="AL47" s="721" t="n"/>
      <c r="AM47" s="961" t="n"/>
      <c r="AN47" s="721" t="n"/>
      <c r="AO47" s="962" t="n"/>
      <c r="AP47" s="718" t="n"/>
      <c r="AQ47" s="961" t="n"/>
      <c r="AR47" s="721" t="n"/>
      <c r="AS47" s="961" t="n"/>
      <c r="AT47" s="721" t="n"/>
      <c r="AU47" s="961" t="n"/>
      <c r="AV47" s="721" t="n"/>
      <c r="AW47" s="962" t="n"/>
      <c r="AX47" s="718" t="n"/>
      <c r="AY47" s="961" t="n"/>
      <c r="AZ47" s="721" t="n"/>
      <c r="BA47" s="961" t="n"/>
      <c r="BB47" s="721" t="n"/>
      <c r="BC47" s="961" t="n"/>
      <c r="BD47" s="721" t="n"/>
      <c r="BE47" s="962" t="n"/>
      <c r="BF47" s="718" t="n"/>
      <c r="BG47" s="961" t="n"/>
      <c r="BH47" s="717" t="n"/>
      <c r="BI47" s="963" t="n"/>
      <c r="BJ47" s="721" t="n"/>
      <c r="BK47" s="961" t="n"/>
      <c r="BL47" s="721" t="n"/>
      <c r="BM47" s="962" t="n"/>
    </row>
    <row r="48">
      <c r="A48" s="722" t="n"/>
      <c r="B48" s="721" t="n"/>
      <c r="C48" s="961" t="n"/>
      <c r="D48" s="721" t="n"/>
      <c r="E48" s="961" t="n"/>
      <c r="F48" s="721" t="n"/>
      <c r="G48" s="961" t="n"/>
      <c r="H48" s="721" t="n"/>
      <c r="I48" s="962" t="n"/>
      <c r="J48" s="718" t="n"/>
      <c r="K48" s="961" t="n"/>
      <c r="L48" s="721" t="n"/>
      <c r="M48" s="961" t="n"/>
      <c r="N48" s="721" t="n"/>
      <c r="O48" s="961" t="n"/>
      <c r="P48" s="721" t="n"/>
      <c r="Q48" s="962" t="n"/>
      <c r="R48" s="718" t="n"/>
      <c r="S48" s="961" t="n"/>
      <c r="T48" s="721" t="n"/>
      <c r="U48" s="961" t="n"/>
      <c r="V48" s="721" t="n"/>
      <c r="W48" s="961" t="n"/>
      <c r="X48" s="721" t="n"/>
      <c r="Y48" s="962" t="n"/>
      <c r="Z48" s="718" t="n"/>
      <c r="AA48" s="961" t="n"/>
      <c r="AB48" s="721" t="n"/>
      <c r="AC48" s="961" t="n"/>
      <c r="AD48" s="721" t="n"/>
      <c r="AE48" s="961" t="n"/>
      <c r="AF48" s="721" t="n"/>
      <c r="AG48" s="962" t="n"/>
      <c r="AH48" s="718" t="n"/>
      <c r="AI48" s="961" t="n"/>
      <c r="AJ48" s="721" t="n"/>
      <c r="AK48" s="961" t="n"/>
      <c r="AL48" s="721" t="n"/>
      <c r="AM48" s="961" t="n"/>
      <c r="AN48" s="721" t="n"/>
      <c r="AO48" s="962" t="n"/>
      <c r="AP48" s="718" t="n"/>
      <c r="AQ48" s="961" t="n"/>
      <c r="AR48" s="721" t="n"/>
      <c r="AS48" s="961" t="n"/>
      <c r="AT48" s="721" t="n"/>
      <c r="AU48" s="961" t="n"/>
      <c r="AV48" s="721" t="n"/>
      <c r="AW48" s="962" t="n"/>
      <c r="AX48" s="718" t="n"/>
      <c r="AY48" s="961" t="n"/>
      <c r="AZ48" s="721" t="n"/>
      <c r="BA48" s="961" t="n"/>
      <c r="BB48" s="721" t="n"/>
      <c r="BC48" s="961" t="n"/>
      <c r="BD48" s="721" t="n"/>
      <c r="BE48" s="962" t="n"/>
      <c r="BF48" s="718" t="n"/>
      <c r="BG48" s="961" t="n"/>
      <c r="BH48" s="717" t="n"/>
      <c r="BI48" s="963" t="n"/>
      <c r="BJ48" s="721" t="n"/>
      <c r="BK48" s="961" t="n"/>
      <c r="BL48" s="721" t="n"/>
      <c r="BM48" s="962" t="n"/>
    </row>
    <row r="49">
      <c r="A49" s="722" t="n"/>
      <c r="B49" s="721" t="n"/>
      <c r="C49" s="961" t="n"/>
      <c r="D49" s="721" t="n"/>
      <c r="E49" s="961" t="n"/>
      <c r="F49" s="721" t="n"/>
      <c r="G49" s="961" t="n"/>
      <c r="H49" s="721" t="n"/>
      <c r="I49" s="962" t="n"/>
      <c r="J49" s="718" t="n"/>
      <c r="K49" s="961" t="n"/>
      <c r="L49" s="721" t="n"/>
      <c r="M49" s="961" t="n"/>
      <c r="N49" s="721" t="n"/>
      <c r="O49" s="961" t="n"/>
      <c r="P49" s="721" t="n"/>
      <c r="Q49" s="962" t="n"/>
      <c r="R49" s="718" t="n"/>
      <c r="S49" s="961" t="n"/>
      <c r="T49" s="721" t="n"/>
      <c r="U49" s="961" t="n"/>
      <c r="V49" s="721" t="n"/>
      <c r="W49" s="961" t="n"/>
      <c r="X49" s="721" t="n"/>
      <c r="Y49" s="962" t="n"/>
      <c r="Z49" s="718" t="n"/>
      <c r="AA49" s="961" t="n"/>
      <c r="AB49" s="721" t="n"/>
      <c r="AC49" s="961" t="n"/>
      <c r="AD49" s="721" t="n"/>
      <c r="AE49" s="961" t="n"/>
      <c r="AF49" s="721" t="n"/>
      <c r="AG49" s="962" t="n"/>
      <c r="AH49" s="718" t="n"/>
      <c r="AI49" s="961" t="n"/>
      <c r="AJ49" s="721" t="n"/>
      <c r="AK49" s="961" t="n"/>
      <c r="AL49" s="721" t="n"/>
      <c r="AM49" s="961" t="n"/>
      <c r="AN49" s="721" t="n"/>
      <c r="AO49" s="962" t="n"/>
      <c r="AP49" s="718" t="n"/>
      <c r="AQ49" s="961" t="n"/>
      <c r="AR49" s="721" t="n"/>
      <c r="AS49" s="961" t="n"/>
      <c r="AT49" s="721" t="n"/>
      <c r="AU49" s="961" t="n"/>
      <c r="AV49" s="721" t="n"/>
      <c r="AW49" s="962" t="n"/>
      <c r="AX49" s="718" t="n"/>
      <c r="AY49" s="961" t="n"/>
      <c r="AZ49" s="721" t="n"/>
      <c r="BA49" s="961" t="n"/>
      <c r="BB49" s="721" t="n"/>
      <c r="BC49" s="961" t="n"/>
      <c r="BD49" s="721" t="n"/>
      <c r="BE49" s="962" t="n"/>
      <c r="BF49" s="718" t="n"/>
      <c r="BG49" s="961" t="n"/>
      <c r="BH49" s="717" t="n"/>
      <c r="BI49" s="963" t="n"/>
      <c r="BJ49" s="721" t="n"/>
      <c r="BK49" s="961" t="n"/>
      <c r="BL49" s="721" t="n"/>
      <c r="BM49" s="962" t="n"/>
    </row>
    <row r="50">
      <c r="A50" s="722" t="n"/>
      <c r="B50" s="721" t="n"/>
      <c r="C50" s="961" t="n"/>
      <c r="D50" s="721" t="n"/>
      <c r="E50" s="961" t="n"/>
      <c r="F50" s="721" t="n"/>
      <c r="G50" s="961" t="n"/>
      <c r="H50" s="721" t="n"/>
      <c r="I50" s="962" t="n"/>
      <c r="J50" s="718" t="n"/>
      <c r="K50" s="961" t="n"/>
      <c r="L50" s="721" t="n"/>
      <c r="M50" s="961" t="n"/>
      <c r="N50" s="721" t="n"/>
      <c r="O50" s="961" t="n"/>
      <c r="P50" s="721" t="n"/>
      <c r="Q50" s="962" t="n"/>
      <c r="R50" s="718" t="n"/>
      <c r="S50" s="961" t="n"/>
      <c r="T50" s="721" t="n"/>
      <c r="U50" s="961" t="n"/>
      <c r="V50" s="721" t="n"/>
      <c r="W50" s="961" t="n"/>
      <c r="X50" s="721" t="n"/>
      <c r="Y50" s="962" t="n"/>
      <c r="Z50" s="718" t="n"/>
      <c r="AA50" s="961" t="n"/>
      <c r="AB50" s="721" t="n"/>
      <c r="AC50" s="961" t="n"/>
      <c r="AD50" s="721" t="n"/>
      <c r="AE50" s="961" t="n"/>
      <c r="AF50" s="721" t="n"/>
      <c r="AG50" s="962" t="n"/>
      <c r="AH50" s="718" t="n"/>
      <c r="AI50" s="961" t="n"/>
      <c r="AJ50" s="721" t="n"/>
      <c r="AK50" s="961" t="n"/>
      <c r="AL50" s="721" t="n"/>
      <c r="AM50" s="961" t="n"/>
      <c r="AN50" s="721" t="n"/>
      <c r="AO50" s="962" t="n"/>
      <c r="AP50" s="718" t="n"/>
      <c r="AQ50" s="961" t="n"/>
      <c r="AR50" s="721" t="n"/>
      <c r="AS50" s="961" t="n"/>
      <c r="AT50" s="721" t="n"/>
      <c r="AU50" s="961" t="n"/>
      <c r="AV50" s="721" t="n"/>
      <c r="AW50" s="962" t="n"/>
      <c r="AX50" s="718" t="n"/>
      <c r="AY50" s="961" t="n"/>
      <c r="AZ50" s="721" t="n"/>
      <c r="BA50" s="961" t="n"/>
      <c r="BB50" s="721" t="n"/>
      <c r="BC50" s="961" t="n"/>
      <c r="BD50" s="721" t="n"/>
      <c r="BE50" s="962" t="n"/>
      <c r="BF50" s="718" t="n"/>
      <c r="BG50" s="961" t="n"/>
      <c r="BH50" s="717" t="n"/>
      <c r="BI50" s="963" t="n"/>
      <c r="BJ50" s="721" t="n"/>
      <c r="BK50" s="961" t="n"/>
      <c r="BL50" s="721" t="n"/>
      <c r="BM50" s="962" t="n"/>
    </row>
    <row r="51">
      <c r="A51" s="722" t="n"/>
      <c r="B51" s="721" t="n"/>
      <c r="C51" s="961" t="n"/>
      <c r="D51" s="721" t="n"/>
      <c r="E51" s="961" t="n"/>
      <c r="F51" s="721" t="n"/>
      <c r="G51" s="961" t="n"/>
      <c r="H51" s="721" t="n"/>
      <c r="I51" s="962" t="n"/>
      <c r="J51" s="718" t="n"/>
      <c r="K51" s="961" t="n"/>
      <c r="L51" s="721" t="n"/>
      <c r="M51" s="961" t="n"/>
      <c r="N51" s="721" t="n"/>
      <c r="O51" s="961" t="n"/>
      <c r="P51" s="721" t="n"/>
      <c r="Q51" s="962" t="n"/>
      <c r="R51" s="718" t="n"/>
      <c r="S51" s="961" t="n"/>
      <c r="T51" s="721" t="n"/>
      <c r="U51" s="961" t="n"/>
      <c r="V51" s="721" t="n"/>
      <c r="W51" s="961" t="n"/>
      <c r="X51" s="721" t="n"/>
      <c r="Y51" s="962" t="n"/>
      <c r="Z51" s="718" t="n"/>
      <c r="AA51" s="961" t="n"/>
      <c r="AB51" s="721" t="n"/>
      <c r="AC51" s="961" t="n"/>
      <c r="AD51" s="721" t="n"/>
      <c r="AE51" s="961" t="n"/>
      <c r="AF51" s="721" t="n"/>
      <c r="AG51" s="962" t="n"/>
      <c r="AH51" s="718" t="n"/>
      <c r="AI51" s="961" t="n"/>
      <c r="AJ51" s="721" t="n"/>
      <c r="AK51" s="961" t="n"/>
      <c r="AL51" s="721" t="n"/>
      <c r="AM51" s="961" t="n"/>
      <c r="AN51" s="721" t="n"/>
      <c r="AO51" s="962" t="n"/>
      <c r="AP51" s="718" t="n"/>
      <c r="AQ51" s="961" t="n"/>
      <c r="AR51" s="721" t="n"/>
      <c r="AS51" s="961" t="n"/>
      <c r="AT51" s="721" t="n"/>
      <c r="AU51" s="961" t="n"/>
      <c r="AV51" s="721" t="n"/>
      <c r="AW51" s="962" t="n"/>
      <c r="AX51" s="718" t="n"/>
      <c r="AY51" s="961" t="n"/>
      <c r="AZ51" s="721" t="n"/>
      <c r="BA51" s="961" t="n"/>
      <c r="BB51" s="721" t="n"/>
      <c r="BC51" s="961" t="n"/>
      <c r="BD51" s="721" t="n"/>
      <c r="BE51" s="962" t="n"/>
      <c r="BF51" s="718" t="n"/>
      <c r="BG51" s="961" t="n"/>
      <c r="BH51" s="717" t="n"/>
      <c r="BI51" s="963" t="n"/>
      <c r="BJ51" s="721" t="n"/>
      <c r="BK51" s="961" t="n"/>
      <c r="BL51" s="721" t="n"/>
      <c r="BM51" s="962" t="n"/>
    </row>
    <row r="52">
      <c r="A52" s="722" t="n"/>
      <c r="B52" s="721" t="n"/>
      <c r="C52" s="961" t="n"/>
      <c r="D52" s="721" t="n"/>
      <c r="E52" s="961" t="n"/>
      <c r="F52" s="721" t="n"/>
      <c r="G52" s="961" t="n"/>
      <c r="H52" s="721" t="n"/>
      <c r="I52" s="962" t="n"/>
      <c r="J52" s="718" t="n"/>
      <c r="K52" s="961" t="n"/>
      <c r="L52" s="721" t="n"/>
      <c r="M52" s="961" t="n"/>
      <c r="N52" s="721" t="n"/>
      <c r="O52" s="961" t="n"/>
      <c r="P52" s="721" t="n"/>
      <c r="Q52" s="962" t="n"/>
      <c r="R52" s="718" t="n"/>
      <c r="S52" s="961" t="n"/>
      <c r="T52" s="721" t="n"/>
      <c r="U52" s="961" t="n"/>
      <c r="V52" s="721" t="n"/>
      <c r="W52" s="961" t="n"/>
      <c r="X52" s="721" t="n"/>
      <c r="Y52" s="962" t="n"/>
      <c r="Z52" s="718" t="n"/>
      <c r="AA52" s="961" t="n"/>
      <c r="AB52" s="721" t="n"/>
      <c r="AC52" s="961" t="n"/>
      <c r="AD52" s="721" t="n"/>
      <c r="AE52" s="961" t="n"/>
      <c r="AF52" s="721" t="n"/>
      <c r="AG52" s="962" t="n"/>
      <c r="AH52" s="718" t="n"/>
      <c r="AI52" s="961" t="n"/>
      <c r="AJ52" s="721" t="n"/>
      <c r="AK52" s="961" t="n"/>
      <c r="AL52" s="721" t="n"/>
      <c r="AM52" s="961" t="n"/>
      <c r="AN52" s="721" t="n"/>
      <c r="AO52" s="962" t="n"/>
      <c r="AP52" s="718" t="n"/>
      <c r="AQ52" s="961" t="n"/>
      <c r="AR52" s="721" t="n"/>
      <c r="AS52" s="961" t="n"/>
      <c r="AT52" s="721" t="n"/>
      <c r="AU52" s="961" t="n"/>
      <c r="AV52" s="721" t="n"/>
      <c r="AW52" s="962" t="n"/>
      <c r="AX52" s="718" t="n"/>
      <c r="AY52" s="961" t="n"/>
      <c r="AZ52" s="721" t="n"/>
      <c r="BA52" s="961" t="n"/>
      <c r="BB52" s="721" t="n"/>
      <c r="BC52" s="961" t="n"/>
      <c r="BD52" s="721" t="n"/>
      <c r="BE52" s="962" t="n"/>
      <c r="BF52" s="718" t="n"/>
      <c r="BG52" s="961" t="n"/>
      <c r="BH52" s="717" t="n"/>
      <c r="BI52" s="963" t="n"/>
      <c r="BJ52" s="721" t="n"/>
      <c r="BK52" s="961" t="n"/>
      <c r="BL52" s="721" t="n"/>
      <c r="BM52" s="962" t="n"/>
    </row>
    <row r="53">
      <c r="A53" s="722" t="n"/>
      <c r="B53" s="721" t="n"/>
      <c r="C53" s="961" t="n"/>
      <c r="D53" s="721" t="n"/>
      <c r="E53" s="961" t="n"/>
      <c r="F53" s="721" t="n"/>
      <c r="G53" s="961" t="n"/>
      <c r="H53" s="721" t="n"/>
      <c r="I53" s="962" t="n"/>
      <c r="J53" s="718" t="n"/>
      <c r="K53" s="961" t="n"/>
      <c r="L53" s="721" t="n"/>
      <c r="M53" s="961" t="n"/>
      <c r="N53" s="721" t="n"/>
      <c r="O53" s="961" t="n"/>
      <c r="P53" s="721" t="n"/>
      <c r="Q53" s="962" t="n"/>
      <c r="R53" s="718" t="n"/>
      <c r="S53" s="961" t="n"/>
      <c r="T53" s="721" t="n"/>
      <c r="U53" s="961" t="n"/>
      <c r="V53" s="721" t="n"/>
      <c r="W53" s="961" t="n"/>
      <c r="X53" s="721" t="n"/>
      <c r="Y53" s="962" t="n"/>
      <c r="Z53" s="718" t="n"/>
      <c r="AA53" s="961" t="n"/>
      <c r="AB53" s="721" t="n"/>
      <c r="AC53" s="961" t="n"/>
      <c r="AD53" s="721" t="n"/>
      <c r="AE53" s="961" t="n"/>
      <c r="AF53" s="721" t="n"/>
      <c r="AG53" s="962" t="n"/>
      <c r="AH53" s="718" t="n"/>
      <c r="AI53" s="961" t="n"/>
      <c r="AJ53" s="721" t="n"/>
      <c r="AK53" s="961" t="n"/>
      <c r="AL53" s="721" t="n"/>
      <c r="AM53" s="961" t="n"/>
      <c r="AN53" s="721" t="n"/>
      <c r="AO53" s="962" t="n"/>
      <c r="AP53" s="718" t="n"/>
      <c r="AQ53" s="961" t="n"/>
      <c r="AR53" s="721" t="n"/>
      <c r="AS53" s="961" t="n"/>
      <c r="AT53" s="721" t="n"/>
      <c r="AU53" s="961" t="n"/>
      <c r="AV53" s="721" t="n"/>
      <c r="AW53" s="962" t="n"/>
      <c r="AX53" s="718" t="n"/>
      <c r="AY53" s="961" t="n"/>
      <c r="AZ53" s="721" t="n"/>
      <c r="BA53" s="961" t="n"/>
      <c r="BB53" s="721" t="n"/>
      <c r="BC53" s="961" t="n"/>
      <c r="BD53" s="721" t="n"/>
      <c r="BE53" s="962" t="n"/>
      <c r="BF53" s="718" t="n"/>
      <c r="BG53" s="961" t="n"/>
      <c r="BH53" s="717" t="n"/>
      <c r="BI53" s="963" t="n"/>
      <c r="BJ53" s="721" t="n"/>
      <c r="BK53" s="961" t="n"/>
      <c r="BL53" s="721" t="n"/>
      <c r="BM53" s="962" t="n"/>
    </row>
    <row r="54">
      <c r="A54" s="722" t="n"/>
      <c r="B54" s="721" t="n"/>
      <c r="C54" s="961" t="n"/>
      <c r="D54" s="721" t="n"/>
      <c r="E54" s="961" t="n"/>
      <c r="F54" s="721" t="n"/>
      <c r="G54" s="961" t="n"/>
      <c r="H54" s="721" t="n"/>
      <c r="I54" s="962" t="n"/>
      <c r="J54" s="718" t="n"/>
      <c r="K54" s="961" t="n"/>
      <c r="L54" s="721" t="n"/>
      <c r="M54" s="961" t="n"/>
      <c r="N54" s="721" t="n"/>
      <c r="O54" s="961" t="n"/>
      <c r="P54" s="721" t="n"/>
      <c r="Q54" s="962" t="n"/>
      <c r="R54" s="718" t="n"/>
      <c r="S54" s="961" t="n"/>
      <c r="T54" s="721" t="n"/>
      <c r="U54" s="961" t="n"/>
      <c r="V54" s="721" t="n"/>
      <c r="W54" s="961" t="n"/>
      <c r="X54" s="721" t="n"/>
      <c r="Y54" s="962" t="n"/>
      <c r="Z54" s="718" t="n"/>
      <c r="AA54" s="961" t="n"/>
      <c r="AB54" s="721" t="n"/>
      <c r="AC54" s="961" t="n"/>
      <c r="AD54" s="721" t="n"/>
      <c r="AE54" s="961" t="n"/>
      <c r="AF54" s="721" t="n"/>
      <c r="AG54" s="962" t="n"/>
      <c r="AH54" s="718" t="n"/>
      <c r="AI54" s="961" t="n"/>
      <c r="AJ54" s="721" t="n"/>
      <c r="AK54" s="961" t="n"/>
      <c r="AL54" s="721" t="n"/>
      <c r="AM54" s="961" t="n"/>
      <c r="AN54" s="721" t="n"/>
      <c r="AO54" s="962" t="n"/>
      <c r="AP54" s="718" t="n"/>
      <c r="AQ54" s="961" t="n"/>
      <c r="AR54" s="721" t="n"/>
      <c r="AS54" s="961" t="n"/>
      <c r="AT54" s="721" t="n"/>
      <c r="AU54" s="961" t="n"/>
      <c r="AV54" s="721" t="n"/>
      <c r="AW54" s="962" t="n"/>
      <c r="AX54" s="718" t="n"/>
      <c r="AY54" s="961" t="n"/>
      <c r="AZ54" s="721" t="n"/>
      <c r="BA54" s="961" t="n"/>
      <c r="BB54" s="721" t="n"/>
      <c r="BC54" s="961" t="n"/>
      <c r="BD54" s="721" t="n"/>
      <c r="BE54" s="962" t="n"/>
      <c r="BF54" s="718" t="n"/>
      <c r="BG54" s="961" t="n"/>
      <c r="BH54" s="717" t="n"/>
      <c r="BI54" s="963" t="n"/>
      <c r="BJ54" s="721" t="n"/>
      <c r="BK54" s="961" t="n"/>
      <c r="BL54" s="721" t="n"/>
      <c r="BM54" s="962" t="n"/>
    </row>
    <row r="55">
      <c r="A55" s="722" t="n"/>
      <c r="B55" s="721" t="n"/>
      <c r="C55" s="961" t="n"/>
      <c r="D55" s="721" t="n"/>
      <c r="E55" s="961" t="n"/>
      <c r="F55" s="721" t="n"/>
      <c r="G55" s="961" t="n"/>
      <c r="H55" s="721" t="n"/>
      <c r="I55" s="962" t="n"/>
      <c r="J55" s="718" t="n"/>
      <c r="K55" s="961" t="n"/>
      <c r="L55" s="721" t="n"/>
      <c r="M55" s="961" t="n"/>
      <c r="N55" s="721" t="n"/>
      <c r="O55" s="961" t="n"/>
      <c r="P55" s="721" t="n"/>
      <c r="Q55" s="962" t="n"/>
      <c r="R55" s="718" t="n"/>
      <c r="S55" s="961" t="n"/>
      <c r="T55" s="721" t="n"/>
      <c r="U55" s="961" t="n"/>
      <c r="V55" s="721" t="n"/>
      <c r="W55" s="961" t="n"/>
      <c r="X55" s="721" t="n"/>
      <c r="Y55" s="962" t="n"/>
      <c r="Z55" s="718" t="n"/>
      <c r="AA55" s="961" t="n"/>
      <c r="AB55" s="721" t="n"/>
      <c r="AC55" s="961" t="n"/>
      <c r="AD55" s="721" t="n"/>
      <c r="AE55" s="961" t="n"/>
      <c r="AF55" s="721" t="n"/>
      <c r="AG55" s="962" t="n"/>
      <c r="AH55" s="718" t="n"/>
      <c r="AI55" s="961" t="n"/>
      <c r="AJ55" s="721" t="n"/>
      <c r="AK55" s="961" t="n"/>
      <c r="AL55" s="721" t="n"/>
      <c r="AM55" s="961" t="n"/>
      <c r="AN55" s="721" t="n"/>
      <c r="AO55" s="962" t="n"/>
      <c r="AP55" s="718" t="n"/>
      <c r="AQ55" s="961" t="n"/>
      <c r="AR55" s="721" t="n"/>
      <c r="AS55" s="961" t="n"/>
      <c r="AT55" s="721" t="n"/>
      <c r="AU55" s="961" t="n"/>
      <c r="AV55" s="721" t="n"/>
      <c r="AW55" s="962" t="n"/>
      <c r="AX55" s="718" t="n"/>
      <c r="AY55" s="961" t="n"/>
      <c r="AZ55" s="721" t="n"/>
      <c r="BA55" s="961" t="n"/>
      <c r="BB55" s="721" t="n"/>
      <c r="BC55" s="961" t="n"/>
      <c r="BD55" s="721" t="n"/>
      <c r="BE55" s="962" t="n"/>
      <c r="BF55" s="718" t="n"/>
      <c r="BG55" s="961" t="n"/>
      <c r="BH55" s="717" t="n"/>
      <c r="BI55" s="963" t="n"/>
      <c r="BJ55" s="721" t="n"/>
      <c r="BK55" s="961" t="n"/>
      <c r="BL55" s="721" t="n"/>
      <c r="BM55" s="962" t="n"/>
    </row>
    <row r="56">
      <c r="A56" s="722" t="n"/>
      <c r="B56" s="721" t="n"/>
      <c r="C56" s="961" t="n"/>
      <c r="D56" s="721" t="n"/>
      <c r="E56" s="961" t="n"/>
      <c r="F56" s="721" t="n"/>
      <c r="G56" s="961" t="n"/>
      <c r="H56" s="721" t="n"/>
      <c r="I56" s="962" t="n"/>
      <c r="J56" s="718" t="n"/>
      <c r="K56" s="961" t="n"/>
      <c r="L56" s="721" t="n"/>
      <c r="M56" s="961" t="n"/>
      <c r="N56" s="721" t="n"/>
      <c r="O56" s="961" t="n"/>
      <c r="P56" s="721" t="n"/>
      <c r="Q56" s="962" t="n"/>
      <c r="R56" s="718" t="n"/>
      <c r="S56" s="961" t="n"/>
      <c r="T56" s="721" t="n"/>
      <c r="U56" s="961" t="n"/>
      <c r="V56" s="721" t="n"/>
      <c r="W56" s="961" t="n"/>
      <c r="X56" s="721" t="n"/>
      <c r="Y56" s="962" t="n"/>
      <c r="Z56" s="718" t="n"/>
      <c r="AA56" s="961" t="n"/>
      <c r="AB56" s="721" t="n"/>
      <c r="AC56" s="961" t="n"/>
      <c r="AD56" s="721" t="n"/>
      <c r="AE56" s="961" t="n"/>
      <c r="AF56" s="721" t="n"/>
      <c r="AG56" s="962" t="n"/>
      <c r="AH56" s="718" t="n"/>
      <c r="AI56" s="961" t="n"/>
      <c r="AJ56" s="721" t="n"/>
      <c r="AK56" s="961" t="n"/>
      <c r="AL56" s="721" t="n"/>
      <c r="AM56" s="961" t="n"/>
      <c r="AN56" s="721" t="n"/>
      <c r="AO56" s="962" t="n"/>
      <c r="AP56" s="718" t="n"/>
      <c r="AQ56" s="961" t="n"/>
      <c r="AR56" s="721" t="n"/>
      <c r="AS56" s="961" t="n"/>
      <c r="AT56" s="721" t="n"/>
      <c r="AU56" s="961" t="n"/>
      <c r="AV56" s="721" t="n"/>
      <c r="AW56" s="962" t="n"/>
      <c r="AX56" s="718" t="n"/>
      <c r="AY56" s="961" t="n"/>
      <c r="AZ56" s="721" t="n"/>
      <c r="BA56" s="961" t="n"/>
      <c r="BB56" s="721" t="n"/>
      <c r="BC56" s="961" t="n"/>
      <c r="BD56" s="721" t="n"/>
      <c r="BE56" s="962" t="n"/>
      <c r="BF56" s="718" t="n"/>
      <c r="BG56" s="961" t="n"/>
      <c r="BH56" s="717" t="n"/>
      <c r="BI56" s="963" t="n"/>
      <c r="BJ56" s="721" t="n"/>
      <c r="BK56" s="961" t="n"/>
      <c r="BL56" s="721" t="n"/>
      <c r="BM56" s="962" t="n"/>
    </row>
    <row r="57">
      <c r="A57" s="722" t="n"/>
      <c r="B57" s="721" t="n"/>
      <c r="C57" s="961" t="n"/>
      <c r="D57" s="721" t="n"/>
      <c r="E57" s="961" t="n"/>
      <c r="F57" s="721" t="n"/>
      <c r="G57" s="961" t="n"/>
      <c r="H57" s="721" t="n"/>
      <c r="I57" s="962" t="n"/>
      <c r="J57" s="718" t="n"/>
      <c r="K57" s="961" t="n"/>
      <c r="L57" s="721" t="n"/>
      <c r="M57" s="961" t="n"/>
      <c r="N57" s="721" t="n"/>
      <c r="O57" s="961" t="n"/>
      <c r="P57" s="721" t="n"/>
      <c r="Q57" s="962" t="n"/>
      <c r="R57" s="718" t="n"/>
      <c r="S57" s="961" t="n"/>
      <c r="T57" s="721" t="n"/>
      <c r="U57" s="961" t="n"/>
      <c r="V57" s="721" t="n"/>
      <c r="W57" s="961" t="n"/>
      <c r="X57" s="721" t="n"/>
      <c r="Y57" s="962" t="n"/>
      <c r="Z57" s="718" t="n"/>
      <c r="AA57" s="961" t="n"/>
      <c r="AB57" s="721" t="n"/>
      <c r="AC57" s="961" t="n"/>
      <c r="AD57" s="721" t="n"/>
      <c r="AE57" s="961" t="n"/>
      <c r="AF57" s="721" t="n"/>
      <c r="AG57" s="962" t="n"/>
      <c r="AH57" s="718" t="n"/>
      <c r="AI57" s="961" t="n"/>
      <c r="AJ57" s="721" t="n"/>
      <c r="AK57" s="961" t="n"/>
      <c r="AL57" s="721" t="n"/>
      <c r="AM57" s="961" t="n"/>
      <c r="AN57" s="721" t="n"/>
      <c r="AO57" s="962" t="n"/>
      <c r="AP57" s="718" t="n"/>
      <c r="AQ57" s="961" t="n"/>
      <c r="AR57" s="721" t="n"/>
      <c r="AS57" s="961" t="n"/>
      <c r="AT57" s="721" t="n"/>
      <c r="AU57" s="961" t="n"/>
      <c r="AV57" s="721" t="n"/>
      <c r="AW57" s="962" t="n"/>
      <c r="AX57" s="718" t="n"/>
      <c r="AY57" s="961" t="n"/>
      <c r="AZ57" s="721" t="n"/>
      <c r="BA57" s="961" t="n"/>
      <c r="BB57" s="721" t="n"/>
      <c r="BC57" s="961" t="n"/>
      <c r="BD57" s="721" t="n"/>
      <c r="BE57" s="962" t="n"/>
      <c r="BF57" s="718" t="n"/>
      <c r="BG57" s="961" t="n"/>
      <c r="BH57" s="717" t="n"/>
      <c r="BI57" s="963" t="n"/>
      <c r="BJ57" s="721" t="n"/>
      <c r="BK57" s="961" t="n"/>
      <c r="BL57" s="721" t="n"/>
      <c r="BM57" s="962" t="n"/>
    </row>
    <row r="58">
      <c r="A58" s="722" t="n"/>
      <c r="B58" s="721" t="n"/>
      <c r="C58" s="961" t="n"/>
      <c r="D58" s="721" t="n"/>
      <c r="E58" s="961" t="n"/>
      <c r="F58" s="721" t="n"/>
      <c r="G58" s="961" t="n"/>
      <c r="H58" s="721" t="n"/>
      <c r="I58" s="962" t="n"/>
      <c r="J58" s="718" t="n"/>
      <c r="K58" s="961" t="n"/>
      <c r="L58" s="721" t="n"/>
      <c r="M58" s="961" t="n"/>
      <c r="N58" s="721" t="n"/>
      <c r="O58" s="961" t="n"/>
      <c r="P58" s="721" t="n"/>
      <c r="Q58" s="962" t="n"/>
      <c r="R58" s="718" t="n"/>
      <c r="S58" s="961" t="n"/>
      <c r="T58" s="721" t="n"/>
      <c r="U58" s="961" t="n"/>
      <c r="V58" s="721" t="n"/>
      <c r="W58" s="961" t="n"/>
      <c r="X58" s="721" t="n"/>
      <c r="Y58" s="962" t="n"/>
      <c r="Z58" s="718" t="n"/>
      <c r="AA58" s="961" t="n"/>
      <c r="AB58" s="721" t="n"/>
      <c r="AC58" s="961" t="n"/>
      <c r="AD58" s="721" t="n"/>
      <c r="AE58" s="961" t="n"/>
      <c r="AF58" s="721" t="n"/>
      <c r="AG58" s="962" t="n"/>
      <c r="AH58" s="718" t="n"/>
      <c r="AI58" s="961" t="n"/>
      <c r="AJ58" s="721" t="n"/>
      <c r="AK58" s="961" t="n"/>
      <c r="AL58" s="721" t="n"/>
      <c r="AM58" s="961" t="n"/>
      <c r="AN58" s="721" t="n"/>
      <c r="AO58" s="962" t="n"/>
      <c r="AP58" s="718" t="n"/>
      <c r="AQ58" s="961" t="n"/>
      <c r="AR58" s="721" t="n"/>
      <c r="AS58" s="961" t="n"/>
      <c r="AT58" s="721" t="n"/>
      <c r="AU58" s="961" t="n"/>
      <c r="AV58" s="721" t="n"/>
      <c r="AW58" s="962" t="n"/>
      <c r="AX58" s="718" t="n"/>
      <c r="AY58" s="961" t="n"/>
      <c r="AZ58" s="721" t="n"/>
      <c r="BA58" s="961" t="n"/>
      <c r="BB58" s="721" t="n"/>
      <c r="BC58" s="961" t="n"/>
      <c r="BD58" s="721" t="n"/>
      <c r="BE58" s="962" t="n"/>
      <c r="BF58" s="718" t="n"/>
      <c r="BG58" s="961" t="n"/>
      <c r="BH58" s="717" t="n"/>
      <c r="BI58" s="963" t="n"/>
      <c r="BJ58" s="721" t="n"/>
      <c r="BK58" s="961" t="n"/>
      <c r="BL58" s="721" t="n"/>
      <c r="BM58" s="962" t="n"/>
    </row>
    <row r="59">
      <c r="A59" s="722" t="n"/>
      <c r="B59" s="721" t="n"/>
      <c r="C59" s="961" t="n"/>
      <c r="D59" s="721" t="n"/>
      <c r="E59" s="961" t="n"/>
      <c r="F59" s="721" t="n"/>
      <c r="G59" s="961" t="n"/>
      <c r="H59" s="721" t="n"/>
      <c r="I59" s="962" t="n"/>
      <c r="J59" s="718" t="n"/>
      <c r="K59" s="961" t="n"/>
      <c r="L59" s="721" t="n"/>
      <c r="M59" s="961" t="n"/>
      <c r="N59" s="721" t="n"/>
      <c r="O59" s="961" t="n"/>
      <c r="P59" s="721" t="n"/>
      <c r="Q59" s="962" t="n"/>
      <c r="R59" s="718" t="n"/>
      <c r="S59" s="961" t="n"/>
      <c r="T59" s="721" t="n"/>
      <c r="U59" s="961" t="n"/>
      <c r="V59" s="721" t="n"/>
      <c r="W59" s="961" t="n"/>
      <c r="X59" s="721" t="n"/>
      <c r="Y59" s="962" t="n"/>
      <c r="Z59" s="718" t="n"/>
      <c r="AA59" s="961" t="n"/>
      <c r="AB59" s="721" t="n"/>
      <c r="AC59" s="961" t="n"/>
      <c r="AD59" s="721" t="n"/>
      <c r="AE59" s="961" t="n"/>
      <c r="AF59" s="721" t="n"/>
      <c r="AG59" s="962" t="n"/>
      <c r="AH59" s="718" t="n"/>
      <c r="AI59" s="961" t="n"/>
      <c r="AJ59" s="721" t="n"/>
      <c r="AK59" s="961" t="n"/>
      <c r="AL59" s="721" t="n"/>
      <c r="AM59" s="961" t="n"/>
      <c r="AN59" s="721" t="n"/>
      <c r="AO59" s="962" t="n"/>
      <c r="AP59" s="718" t="n"/>
      <c r="AQ59" s="961" t="n"/>
      <c r="AR59" s="721" t="n"/>
      <c r="AS59" s="961" t="n"/>
      <c r="AT59" s="721" t="n"/>
      <c r="AU59" s="961" t="n"/>
      <c r="AV59" s="721" t="n"/>
      <c r="AW59" s="962" t="n"/>
      <c r="AX59" s="718" t="n"/>
      <c r="AY59" s="961" t="n"/>
      <c r="AZ59" s="721" t="n"/>
      <c r="BA59" s="961" t="n"/>
      <c r="BB59" s="721" t="n"/>
      <c r="BC59" s="961" t="n"/>
      <c r="BD59" s="721" t="n"/>
      <c r="BE59" s="962" t="n"/>
      <c r="BF59" s="718" t="n"/>
      <c r="BG59" s="961" t="n"/>
      <c r="BH59" s="717" t="n"/>
      <c r="BI59" s="963" t="n"/>
      <c r="BJ59" s="721" t="n"/>
      <c r="BK59" s="961" t="n"/>
      <c r="BL59" s="721" t="n"/>
      <c r="BM59" s="962" t="n"/>
    </row>
    <row r="60">
      <c r="A60" s="722" t="n"/>
      <c r="B60" s="721" t="n"/>
      <c r="C60" s="961" t="n"/>
      <c r="D60" s="721" t="n"/>
      <c r="E60" s="961" t="n"/>
      <c r="F60" s="721" t="n"/>
      <c r="G60" s="961" t="n"/>
      <c r="H60" s="721" t="n"/>
      <c r="I60" s="962" t="n"/>
      <c r="J60" s="718" t="n"/>
      <c r="K60" s="961" t="n"/>
      <c r="L60" s="721" t="n"/>
      <c r="M60" s="961" t="n"/>
      <c r="N60" s="721" t="n"/>
      <c r="O60" s="961" t="n"/>
      <c r="P60" s="721" t="n"/>
      <c r="Q60" s="962" t="n"/>
      <c r="R60" s="718" t="n"/>
      <c r="S60" s="961" t="n"/>
      <c r="T60" s="721" t="n"/>
      <c r="U60" s="961" t="n"/>
      <c r="V60" s="721" t="n"/>
      <c r="W60" s="961" t="n"/>
      <c r="X60" s="721" t="n"/>
      <c r="Y60" s="962" t="n"/>
      <c r="Z60" s="718" t="n"/>
      <c r="AA60" s="961" t="n"/>
      <c r="AB60" s="721" t="n"/>
      <c r="AC60" s="961" t="n"/>
      <c r="AD60" s="721" t="n"/>
      <c r="AE60" s="961" t="n"/>
      <c r="AF60" s="721" t="n"/>
      <c r="AG60" s="962" t="n"/>
      <c r="AH60" s="718" t="n"/>
      <c r="AI60" s="961" t="n"/>
      <c r="AJ60" s="721" t="n"/>
      <c r="AK60" s="961" t="n"/>
      <c r="AL60" s="721" t="n"/>
      <c r="AM60" s="961" t="n"/>
      <c r="AN60" s="721" t="n"/>
      <c r="AO60" s="962" t="n"/>
      <c r="AP60" s="718" t="n"/>
      <c r="AQ60" s="961" t="n"/>
      <c r="AR60" s="721" t="n"/>
      <c r="AS60" s="961" t="n"/>
      <c r="AT60" s="721" t="n"/>
      <c r="AU60" s="961" t="n"/>
      <c r="AV60" s="721" t="n"/>
      <c r="AW60" s="962" t="n"/>
      <c r="AX60" s="718" t="n"/>
      <c r="AY60" s="961" t="n"/>
      <c r="AZ60" s="721" t="n"/>
      <c r="BA60" s="961" t="n"/>
      <c r="BB60" s="721" t="n"/>
      <c r="BC60" s="961" t="n"/>
      <c r="BD60" s="721" t="n"/>
      <c r="BE60" s="962" t="n"/>
      <c r="BF60" s="718" t="n"/>
      <c r="BG60" s="961" t="n"/>
      <c r="BH60" s="717" t="n"/>
      <c r="BI60" s="963" t="n"/>
      <c r="BJ60" s="721" t="n"/>
      <c r="BK60" s="961" t="n"/>
      <c r="BL60" s="721" t="n"/>
      <c r="BM60" s="962" t="n"/>
    </row>
    <row r="61">
      <c r="A61" s="722" t="n"/>
      <c r="B61" s="721" t="n"/>
      <c r="C61" s="961" t="n"/>
      <c r="D61" s="721" t="n"/>
      <c r="E61" s="961" t="n"/>
      <c r="F61" s="721" t="n"/>
      <c r="G61" s="961" t="n"/>
      <c r="H61" s="721" t="n"/>
      <c r="I61" s="962" t="n"/>
      <c r="J61" s="718" t="n"/>
      <c r="K61" s="961" t="n"/>
      <c r="L61" s="721" t="n"/>
      <c r="M61" s="961" t="n"/>
      <c r="N61" s="721" t="n"/>
      <c r="O61" s="961" t="n"/>
      <c r="P61" s="721" t="n"/>
      <c r="Q61" s="962" t="n"/>
      <c r="R61" s="718" t="n"/>
      <c r="S61" s="961" t="n"/>
      <c r="T61" s="721" t="n"/>
      <c r="U61" s="961" t="n"/>
      <c r="V61" s="721" t="n"/>
      <c r="W61" s="961" t="n"/>
      <c r="X61" s="721" t="n"/>
      <c r="Y61" s="962" t="n"/>
      <c r="Z61" s="718" t="n"/>
      <c r="AA61" s="961" t="n"/>
      <c r="AB61" s="721" t="n"/>
      <c r="AC61" s="961" t="n"/>
      <c r="AD61" s="721" t="n"/>
      <c r="AE61" s="961" t="n"/>
      <c r="AF61" s="721" t="n"/>
      <c r="AG61" s="962" t="n"/>
      <c r="AH61" s="718" t="n"/>
      <c r="AI61" s="961" t="n"/>
      <c r="AJ61" s="721" t="n"/>
      <c r="AK61" s="961" t="n"/>
      <c r="AL61" s="721" t="n"/>
      <c r="AM61" s="961" t="n"/>
      <c r="AN61" s="721" t="n"/>
      <c r="AO61" s="962" t="n"/>
      <c r="AP61" s="718" t="n"/>
      <c r="AQ61" s="961" t="n"/>
      <c r="AR61" s="721" t="n"/>
      <c r="AS61" s="961" t="n"/>
      <c r="AT61" s="721" t="n"/>
      <c r="AU61" s="961" t="n"/>
      <c r="AV61" s="721" t="n"/>
      <c r="AW61" s="962" t="n"/>
      <c r="AX61" s="718" t="n"/>
      <c r="AY61" s="961" t="n"/>
      <c r="AZ61" s="721" t="n"/>
      <c r="BA61" s="961" t="n"/>
      <c r="BB61" s="721" t="n"/>
      <c r="BC61" s="961" t="n"/>
      <c r="BD61" s="721" t="n"/>
      <c r="BE61" s="962" t="n"/>
      <c r="BF61" s="718" t="n"/>
      <c r="BG61" s="961" t="n"/>
      <c r="BH61" s="717" t="n"/>
      <c r="BI61" s="963" t="n"/>
      <c r="BJ61" s="721" t="n"/>
      <c r="BK61" s="961" t="n"/>
      <c r="BL61" s="721" t="n"/>
      <c r="BM61" s="962" t="n"/>
    </row>
    <row r="62">
      <c r="A62" s="722" t="n"/>
      <c r="B62" s="721" t="n"/>
      <c r="C62" s="961" t="n"/>
      <c r="D62" s="721" t="n"/>
      <c r="E62" s="961" t="n"/>
      <c r="F62" s="721" t="n"/>
      <c r="G62" s="961" t="n"/>
      <c r="H62" s="721" t="n"/>
      <c r="I62" s="962" t="n"/>
      <c r="J62" s="718" t="n"/>
      <c r="K62" s="961" t="n"/>
      <c r="L62" s="721" t="n"/>
      <c r="M62" s="961" t="n"/>
      <c r="N62" s="721" t="n"/>
      <c r="O62" s="961" t="n"/>
      <c r="P62" s="721" t="n"/>
      <c r="Q62" s="962" t="n"/>
      <c r="R62" s="718" t="n"/>
      <c r="S62" s="961" t="n"/>
      <c r="T62" s="721" t="n"/>
      <c r="U62" s="961" t="n"/>
      <c r="V62" s="721" t="n"/>
      <c r="W62" s="961" t="n"/>
      <c r="X62" s="721" t="n"/>
      <c r="Y62" s="962" t="n"/>
      <c r="Z62" s="718" t="n"/>
      <c r="AA62" s="961" t="n"/>
      <c r="AB62" s="721" t="n"/>
      <c r="AC62" s="961" t="n"/>
      <c r="AD62" s="721" t="n"/>
      <c r="AE62" s="961" t="n"/>
      <c r="AF62" s="721" t="n"/>
      <c r="AG62" s="962" t="n"/>
      <c r="AH62" s="718" t="n"/>
      <c r="AI62" s="961" t="n"/>
      <c r="AJ62" s="721" t="n"/>
      <c r="AK62" s="961" t="n"/>
      <c r="AL62" s="721" t="n"/>
      <c r="AM62" s="961" t="n"/>
      <c r="AN62" s="721" t="n"/>
      <c r="AO62" s="962" t="n"/>
      <c r="AP62" s="718" t="n"/>
      <c r="AQ62" s="961" t="n"/>
      <c r="AR62" s="721" t="n"/>
      <c r="AS62" s="961" t="n"/>
      <c r="AT62" s="721" t="n"/>
      <c r="AU62" s="961" t="n"/>
      <c r="AV62" s="721" t="n"/>
      <c r="AW62" s="962" t="n"/>
      <c r="AX62" s="718" t="n"/>
      <c r="AY62" s="961" t="n"/>
      <c r="AZ62" s="721" t="n"/>
      <c r="BA62" s="961" t="n"/>
      <c r="BB62" s="721" t="n"/>
      <c r="BC62" s="961" t="n"/>
      <c r="BD62" s="721" t="n"/>
      <c r="BE62" s="962" t="n"/>
      <c r="BF62" s="718" t="n"/>
      <c r="BG62" s="961" t="n"/>
      <c r="BH62" s="717" t="n"/>
      <c r="BI62" s="963" t="n"/>
      <c r="BJ62" s="721" t="n"/>
      <c r="BK62" s="961" t="n"/>
      <c r="BL62" s="721" t="n"/>
      <c r="BM62" s="962" t="n"/>
    </row>
    <row r="63">
      <c r="A63" s="722" t="n"/>
      <c r="B63" s="721" t="n"/>
      <c r="C63" s="961" t="n"/>
      <c r="D63" s="721" t="n"/>
      <c r="E63" s="961" t="n"/>
      <c r="F63" s="721" t="n"/>
      <c r="G63" s="961" t="n"/>
      <c r="H63" s="721" t="n"/>
      <c r="I63" s="962" t="n"/>
      <c r="J63" s="718" t="n"/>
      <c r="K63" s="961" t="n"/>
      <c r="L63" s="721" t="n"/>
      <c r="M63" s="961" t="n"/>
      <c r="N63" s="721" t="n"/>
      <c r="O63" s="961" t="n"/>
      <c r="P63" s="721" t="n"/>
      <c r="Q63" s="962" t="n"/>
      <c r="R63" s="718" t="n"/>
      <c r="S63" s="961" t="n"/>
      <c r="T63" s="721" t="n"/>
      <c r="U63" s="961" t="n"/>
      <c r="V63" s="721" t="n"/>
      <c r="W63" s="961" t="n"/>
      <c r="X63" s="721" t="n"/>
      <c r="Y63" s="962" t="n"/>
      <c r="Z63" s="718" t="n"/>
      <c r="AA63" s="961" t="n"/>
      <c r="AB63" s="721" t="n"/>
      <c r="AC63" s="961" t="n"/>
      <c r="AD63" s="721" t="n"/>
      <c r="AE63" s="961" t="n"/>
      <c r="AF63" s="721" t="n"/>
      <c r="AG63" s="962" t="n"/>
      <c r="AH63" s="718" t="n"/>
      <c r="AI63" s="961" t="n"/>
      <c r="AJ63" s="721" t="n"/>
      <c r="AK63" s="961" t="n"/>
      <c r="AL63" s="721" t="n"/>
      <c r="AM63" s="961" t="n"/>
      <c r="AN63" s="721" t="n"/>
      <c r="AO63" s="962" t="n"/>
      <c r="AP63" s="718" t="n"/>
      <c r="AQ63" s="961" t="n"/>
      <c r="AR63" s="721" t="n"/>
      <c r="AS63" s="961" t="n"/>
      <c r="AT63" s="721" t="n"/>
      <c r="AU63" s="961" t="n"/>
      <c r="AV63" s="721" t="n"/>
      <c r="AW63" s="962" t="n"/>
      <c r="AX63" s="718" t="n"/>
      <c r="AY63" s="961" t="n"/>
      <c r="AZ63" s="721" t="n"/>
      <c r="BA63" s="961" t="n"/>
      <c r="BB63" s="721" t="n"/>
      <c r="BC63" s="961" t="n"/>
      <c r="BD63" s="721" t="n"/>
      <c r="BE63" s="962" t="n"/>
      <c r="BF63" s="718" t="n"/>
      <c r="BG63" s="961" t="n"/>
      <c r="BH63" s="717" t="n"/>
      <c r="BI63" s="963" t="n"/>
      <c r="BJ63" s="721" t="n"/>
      <c r="BK63" s="961" t="n"/>
      <c r="BL63" s="721" t="n"/>
      <c r="BM63" s="962" t="n"/>
    </row>
    <row r="64">
      <c r="A64" s="722" t="n"/>
      <c r="B64" s="721" t="n"/>
      <c r="C64" s="961" t="n"/>
      <c r="D64" s="721" t="n"/>
      <c r="E64" s="961" t="n"/>
      <c r="F64" s="721" t="n"/>
      <c r="G64" s="961" t="n"/>
      <c r="H64" s="721" t="n"/>
      <c r="I64" s="962" t="n"/>
      <c r="J64" s="718" t="n"/>
      <c r="K64" s="961" t="n"/>
      <c r="L64" s="721" t="n"/>
      <c r="M64" s="961" t="n"/>
      <c r="N64" s="721" t="n"/>
      <c r="O64" s="961" t="n"/>
      <c r="P64" s="721" t="n"/>
      <c r="Q64" s="962" t="n"/>
      <c r="R64" s="718" t="n"/>
      <c r="S64" s="961" t="n"/>
      <c r="T64" s="721" t="n"/>
      <c r="U64" s="961" t="n"/>
      <c r="V64" s="721" t="n"/>
      <c r="W64" s="961" t="n"/>
      <c r="X64" s="721" t="n"/>
      <c r="Y64" s="962" t="n"/>
      <c r="Z64" s="718" t="n"/>
      <c r="AA64" s="961" t="n"/>
      <c r="AB64" s="721" t="n"/>
      <c r="AC64" s="961" t="n"/>
      <c r="AD64" s="721" t="n"/>
      <c r="AE64" s="961" t="n"/>
      <c r="AF64" s="721" t="n"/>
      <c r="AG64" s="962" t="n"/>
      <c r="AH64" s="718" t="n"/>
      <c r="AI64" s="961" t="n"/>
      <c r="AJ64" s="721" t="n"/>
      <c r="AK64" s="961" t="n"/>
      <c r="AL64" s="721" t="n"/>
      <c r="AM64" s="961" t="n"/>
      <c r="AN64" s="721" t="n"/>
      <c r="AO64" s="962" t="n"/>
      <c r="AP64" s="718" t="n"/>
      <c r="AQ64" s="961" t="n"/>
      <c r="AR64" s="721" t="n"/>
      <c r="AS64" s="961" t="n"/>
      <c r="AT64" s="721" t="n"/>
      <c r="AU64" s="961" t="n"/>
      <c r="AV64" s="721" t="n"/>
      <c r="AW64" s="962" t="n"/>
      <c r="AX64" s="718" t="n"/>
      <c r="AY64" s="961" t="n"/>
      <c r="AZ64" s="721" t="n"/>
      <c r="BA64" s="961" t="n"/>
      <c r="BB64" s="721" t="n"/>
      <c r="BC64" s="961" t="n"/>
      <c r="BD64" s="721" t="n"/>
      <c r="BE64" s="962" t="n"/>
      <c r="BF64" s="718" t="n"/>
      <c r="BG64" s="961" t="n"/>
      <c r="BH64" s="717" t="n"/>
      <c r="BI64" s="963" t="n"/>
      <c r="BJ64" s="721" t="n"/>
      <c r="BK64" s="961" t="n"/>
      <c r="BL64" s="721" t="n"/>
      <c r="BM64" s="962" t="n"/>
    </row>
    <row r="65">
      <c r="A65" s="722" t="n"/>
      <c r="B65" s="721" t="n"/>
      <c r="C65" s="961" t="n"/>
      <c r="D65" s="721" t="n"/>
      <c r="E65" s="961" t="n"/>
      <c r="F65" s="721" t="n"/>
      <c r="G65" s="961" t="n"/>
      <c r="H65" s="721" t="n"/>
      <c r="I65" s="962" t="n"/>
      <c r="J65" s="718" t="n"/>
      <c r="K65" s="961" t="n"/>
      <c r="L65" s="721" t="n"/>
      <c r="M65" s="961" t="n"/>
      <c r="N65" s="721" t="n"/>
      <c r="O65" s="961" t="n"/>
      <c r="P65" s="721" t="n"/>
      <c r="Q65" s="962" t="n"/>
      <c r="R65" s="718" t="n"/>
      <c r="S65" s="961" t="n"/>
      <c r="T65" s="721" t="n"/>
      <c r="U65" s="961" t="n"/>
      <c r="V65" s="721" t="n"/>
      <c r="W65" s="961" t="n"/>
      <c r="X65" s="721" t="n"/>
      <c r="Y65" s="962" t="n"/>
      <c r="Z65" s="718" t="n"/>
      <c r="AA65" s="961" t="n"/>
      <c r="AB65" s="721" t="n"/>
      <c r="AC65" s="961" t="n"/>
      <c r="AD65" s="721" t="n"/>
      <c r="AE65" s="961" t="n"/>
      <c r="AF65" s="721" t="n"/>
      <c r="AG65" s="962" t="n"/>
      <c r="AH65" s="718" t="n"/>
      <c r="AI65" s="961" t="n"/>
      <c r="AJ65" s="721" t="n"/>
      <c r="AK65" s="961" t="n"/>
      <c r="AL65" s="721" t="n"/>
      <c r="AM65" s="961" t="n"/>
      <c r="AN65" s="721" t="n"/>
      <c r="AO65" s="962" t="n"/>
      <c r="AP65" s="718" t="n"/>
      <c r="AQ65" s="961" t="n"/>
      <c r="AR65" s="721" t="n"/>
      <c r="AS65" s="961" t="n"/>
      <c r="AT65" s="721" t="n"/>
      <c r="AU65" s="961" t="n"/>
      <c r="AV65" s="721" t="n"/>
      <c r="AW65" s="962" t="n"/>
      <c r="AX65" s="718" t="n"/>
      <c r="AY65" s="961" t="n"/>
      <c r="AZ65" s="721" t="n"/>
      <c r="BA65" s="961" t="n"/>
      <c r="BB65" s="721" t="n"/>
      <c r="BC65" s="961" t="n"/>
      <c r="BD65" s="721" t="n"/>
      <c r="BE65" s="962" t="n"/>
      <c r="BF65" s="718" t="n"/>
      <c r="BG65" s="961" t="n"/>
      <c r="BH65" s="717" t="n"/>
      <c r="BI65" s="963" t="n"/>
      <c r="BJ65" s="721" t="n"/>
      <c r="BK65" s="961" t="n"/>
      <c r="BL65" s="721" t="n"/>
      <c r="BM65" s="962" t="n"/>
    </row>
    <row r="66">
      <c r="A66" s="722" t="n"/>
      <c r="B66" s="721" t="n"/>
      <c r="C66" s="961" t="n"/>
      <c r="D66" s="721" t="n"/>
      <c r="E66" s="961" t="n"/>
      <c r="F66" s="721" t="n"/>
      <c r="G66" s="961" t="n"/>
      <c r="H66" s="721" t="n"/>
      <c r="I66" s="962" t="n"/>
      <c r="J66" s="718" t="n"/>
      <c r="K66" s="961" t="n"/>
      <c r="L66" s="721" t="n"/>
      <c r="M66" s="961" t="n"/>
      <c r="N66" s="721" t="n"/>
      <c r="O66" s="961" t="n"/>
      <c r="P66" s="721" t="n"/>
      <c r="Q66" s="962" t="n"/>
      <c r="R66" s="718" t="n"/>
      <c r="S66" s="961" t="n"/>
      <c r="T66" s="721" t="n"/>
      <c r="U66" s="961" t="n"/>
      <c r="V66" s="721" t="n"/>
      <c r="W66" s="961" t="n"/>
      <c r="X66" s="721" t="n"/>
      <c r="Y66" s="962" t="n"/>
      <c r="Z66" s="718" t="n"/>
      <c r="AA66" s="961" t="n"/>
      <c r="AB66" s="721" t="n"/>
      <c r="AC66" s="961" t="n"/>
      <c r="AD66" s="721" t="n"/>
      <c r="AE66" s="961" t="n"/>
      <c r="AF66" s="721" t="n"/>
      <c r="AG66" s="962" t="n"/>
      <c r="AH66" s="718" t="n"/>
      <c r="AI66" s="961" t="n"/>
      <c r="AJ66" s="721" t="n"/>
      <c r="AK66" s="961" t="n"/>
      <c r="AL66" s="721" t="n"/>
      <c r="AM66" s="961" t="n"/>
      <c r="AN66" s="721" t="n"/>
      <c r="AO66" s="962" t="n"/>
      <c r="AP66" s="718" t="n"/>
      <c r="AQ66" s="961" t="n"/>
      <c r="AR66" s="721" t="n"/>
      <c r="AS66" s="961" t="n"/>
      <c r="AT66" s="721" t="n"/>
      <c r="AU66" s="961" t="n"/>
      <c r="AV66" s="721" t="n"/>
      <c r="AW66" s="962" t="n"/>
      <c r="AX66" s="718" t="n"/>
      <c r="AY66" s="961" t="n"/>
      <c r="AZ66" s="721" t="n"/>
      <c r="BA66" s="961" t="n"/>
      <c r="BB66" s="721" t="n"/>
      <c r="BC66" s="961" t="n"/>
      <c r="BD66" s="721" t="n"/>
      <c r="BE66" s="962" t="n"/>
      <c r="BF66" s="718" t="n"/>
      <c r="BG66" s="961" t="n"/>
      <c r="BH66" s="717" t="n"/>
      <c r="BI66" s="963" t="n"/>
      <c r="BJ66" s="721" t="n"/>
      <c r="BK66" s="961" t="n"/>
      <c r="BL66" s="721" t="n"/>
      <c r="BM66" s="962" t="n"/>
    </row>
    <row r="67">
      <c r="A67" s="722" t="n"/>
      <c r="B67" s="721" t="n"/>
      <c r="C67" s="961" t="n"/>
      <c r="D67" s="721" t="n"/>
      <c r="E67" s="961" t="n"/>
      <c r="F67" s="721" t="n"/>
      <c r="G67" s="961" t="n"/>
      <c r="H67" s="721" t="n"/>
      <c r="I67" s="962" t="n"/>
      <c r="J67" s="718" t="n"/>
      <c r="K67" s="961" t="n"/>
      <c r="L67" s="721" t="n"/>
      <c r="M67" s="961" t="n"/>
      <c r="N67" s="721" t="n"/>
      <c r="O67" s="961" t="n"/>
      <c r="P67" s="721" t="n"/>
      <c r="Q67" s="962" t="n"/>
      <c r="R67" s="718" t="n"/>
      <c r="S67" s="961" t="n"/>
      <c r="T67" s="721" t="n"/>
      <c r="U67" s="961" t="n"/>
      <c r="V67" s="721" t="n"/>
      <c r="W67" s="961" t="n"/>
      <c r="X67" s="721" t="n"/>
      <c r="Y67" s="962" t="n"/>
      <c r="Z67" s="718" t="n"/>
      <c r="AA67" s="961" t="n"/>
      <c r="AB67" s="721" t="n"/>
      <c r="AC67" s="961" t="n"/>
      <c r="AD67" s="721" t="n"/>
      <c r="AE67" s="961" t="n"/>
      <c r="AF67" s="721" t="n"/>
      <c r="AG67" s="962" t="n"/>
      <c r="AH67" s="718" t="n"/>
      <c r="AI67" s="961" t="n"/>
      <c r="AJ67" s="721" t="n"/>
      <c r="AK67" s="961" t="n"/>
      <c r="AL67" s="721" t="n"/>
      <c r="AM67" s="961" t="n"/>
      <c r="AN67" s="721" t="n"/>
      <c r="AO67" s="962" t="n"/>
      <c r="AP67" s="718" t="n"/>
      <c r="AQ67" s="961" t="n"/>
      <c r="AR67" s="721" t="n"/>
      <c r="AS67" s="961" t="n"/>
      <c r="AT67" s="721" t="n"/>
      <c r="AU67" s="961" t="n"/>
      <c r="AV67" s="721" t="n"/>
      <c r="AW67" s="962" t="n"/>
      <c r="AX67" s="718" t="n"/>
      <c r="AY67" s="961" t="n"/>
      <c r="AZ67" s="721" t="n"/>
      <c r="BA67" s="961" t="n"/>
      <c r="BB67" s="721" t="n"/>
      <c r="BC67" s="961" t="n"/>
      <c r="BD67" s="721" t="n"/>
      <c r="BE67" s="962" t="n"/>
      <c r="BF67" s="718" t="n"/>
      <c r="BG67" s="961" t="n"/>
      <c r="BH67" s="717" t="n"/>
      <c r="BI67" s="963" t="n"/>
      <c r="BJ67" s="721" t="n"/>
      <c r="BK67" s="961" t="n"/>
      <c r="BL67" s="721" t="n"/>
      <c r="BM67" s="962" t="n"/>
    </row>
    <row r="68">
      <c r="A68" s="722" t="n"/>
      <c r="B68" s="721" t="n"/>
      <c r="C68" s="961" t="n"/>
      <c r="D68" s="721" t="n"/>
      <c r="E68" s="961" t="n"/>
      <c r="F68" s="721" t="n"/>
      <c r="G68" s="961" t="n"/>
      <c r="H68" s="721" t="n"/>
      <c r="I68" s="962" t="n"/>
      <c r="J68" s="718" t="n"/>
      <c r="K68" s="961" t="n"/>
      <c r="L68" s="721" t="n"/>
      <c r="M68" s="961" t="n"/>
      <c r="N68" s="721" t="n"/>
      <c r="O68" s="961" t="n"/>
      <c r="P68" s="721" t="n"/>
      <c r="Q68" s="962" t="n"/>
      <c r="R68" s="718" t="n"/>
      <c r="S68" s="961" t="n"/>
      <c r="T68" s="721" t="n"/>
      <c r="U68" s="961" t="n"/>
      <c r="V68" s="721" t="n"/>
      <c r="W68" s="961" t="n"/>
      <c r="X68" s="721" t="n"/>
      <c r="Y68" s="962" t="n"/>
      <c r="Z68" s="718" t="n"/>
      <c r="AA68" s="961" t="n"/>
      <c r="AB68" s="721" t="n"/>
      <c r="AC68" s="961" t="n"/>
      <c r="AD68" s="721" t="n"/>
      <c r="AE68" s="961" t="n"/>
      <c r="AF68" s="721" t="n"/>
      <c r="AG68" s="962" t="n"/>
      <c r="AH68" s="718" t="n"/>
      <c r="AI68" s="961" t="n"/>
      <c r="AJ68" s="721" t="n"/>
      <c r="AK68" s="961" t="n"/>
      <c r="AL68" s="721" t="n"/>
      <c r="AM68" s="961" t="n"/>
      <c r="AN68" s="721" t="n"/>
      <c r="AO68" s="962" t="n"/>
      <c r="AP68" s="718" t="n"/>
      <c r="AQ68" s="961" t="n"/>
      <c r="AR68" s="721" t="n"/>
      <c r="AS68" s="961" t="n"/>
      <c r="AT68" s="721" t="n"/>
      <c r="AU68" s="961" t="n"/>
      <c r="AV68" s="721" t="n"/>
      <c r="AW68" s="962" t="n"/>
      <c r="AX68" s="718" t="n"/>
      <c r="AY68" s="961" t="n"/>
      <c r="AZ68" s="721" t="n"/>
      <c r="BA68" s="961" t="n"/>
      <c r="BB68" s="721" t="n"/>
      <c r="BC68" s="961" t="n"/>
      <c r="BD68" s="721" t="n"/>
      <c r="BE68" s="962" t="n"/>
      <c r="BF68" s="718" t="n"/>
      <c r="BG68" s="961" t="n"/>
      <c r="BH68" s="717" t="n"/>
      <c r="BI68" s="963" t="n"/>
      <c r="BJ68" s="721" t="n"/>
      <c r="BK68" s="961" t="n"/>
      <c r="BL68" s="721" t="n"/>
      <c r="BM68" s="962" t="n"/>
    </row>
    <row r="69">
      <c r="A69" s="722" t="n"/>
      <c r="B69" s="721" t="n"/>
      <c r="C69" s="961" t="n"/>
      <c r="D69" s="721" t="n"/>
      <c r="E69" s="961" t="n"/>
      <c r="F69" s="721" t="n"/>
      <c r="G69" s="961" t="n"/>
      <c r="H69" s="721" t="n"/>
      <c r="I69" s="962" t="n"/>
      <c r="J69" s="718" t="n"/>
      <c r="K69" s="961" t="n"/>
      <c r="L69" s="721" t="n"/>
      <c r="M69" s="961" t="n"/>
      <c r="N69" s="721" t="n"/>
      <c r="O69" s="961" t="n"/>
      <c r="P69" s="721" t="n"/>
      <c r="Q69" s="962" t="n"/>
      <c r="R69" s="718" t="n"/>
      <c r="S69" s="961" t="n"/>
      <c r="T69" s="721" t="n"/>
      <c r="U69" s="961" t="n"/>
      <c r="V69" s="721" t="n"/>
      <c r="W69" s="961" t="n"/>
      <c r="X69" s="721" t="n"/>
      <c r="Y69" s="962" t="n"/>
      <c r="Z69" s="718" t="n"/>
      <c r="AA69" s="961" t="n"/>
      <c r="AB69" s="721" t="n"/>
      <c r="AC69" s="961" t="n"/>
      <c r="AD69" s="721" t="n"/>
      <c r="AE69" s="961" t="n"/>
      <c r="AF69" s="721" t="n"/>
      <c r="AG69" s="962" t="n"/>
      <c r="AH69" s="718" t="n"/>
      <c r="AI69" s="961" t="n"/>
      <c r="AJ69" s="721" t="n"/>
      <c r="AK69" s="961" t="n"/>
      <c r="AL69" s="721" t="n"/>
      <c r="AM69" s="961" t="n"/>
      <c r="AN69" s="721" t="n"/>
      <c r="AO69" s="962" t="n"/>
      <c r="AP69" s="718" t="n"/>
      <c r="AQ69" s="961" t="n"/>
      <c r="AR69" s="721" t="n"/>
      <c r="AS69" s="961" t="n"/>
      <c r="AT69" s="721" t="n"/>
      <c r="AU69" s="961" t="n"/>
      <c r="AV69" s="721" t="n"/>
      <c r="AW69" s="962" t="n"/>
      <c r="AX69" s="718" t="n"/>
      <c r="AY69" s="961" t="n"/>
      <c r="AZ69" s="721" t="n"/>
      <c r="BA69" s="961" t="n"/>
      <c r="BB69" s="721" t="n"/>
      <c r="BC69" s="961" t="n"/>
      <c r="BD69" s="721" t="n"/>
      <c r="BE69" s="962" t="n"/>
      <c r="BF69" s="718" t="n"/>
      <c r="BG69" s="961" t="n"/>
      <c r="BH69" s="717" t="n"/>
      <c r="BI69" s="963" t="n"/>
      <c r="BJ69" s="721" t="n"/>
      <c r="BK69" s="961" t="n"/>
      <c r="BL69" s="721" t="n"/>
      <c r="BM69" s="962" t="n"/>
    </row>
    <row r="70">
      <c r="A70" s="722" t="n"/>
      <c r="B70" s="721" t="n"/>
      <c r="C70" s="961" t="n"/>
      <c r="D70" s="721" t="n"/>
      <c r="E70" s="961" t="n"/>
      <c r="F70" s="721" t="n"/>
      <c r="G70" s="961" t="n"/>
      <c r="H70" s="721" t="n"/>
      <c r="I70" s="962" t="n"/>
      <c r="J70" s="718" t="n"/>
      <c r="K70" s="961" t="n"/>
      <c r="L70" s="721" t="n"/>
      <c r="M70" s="961" t="n"/>
      <c r="N70" s="721" t="n"/>
      <c r="O70" s="961" t="n"/>
      <c r="P70" s="721" t="n"/>
      <c r="Q70" s="962" t="n"/>
      <c r="R70" s="718" t="n"/>
      <c r="S70" s="961" t="n"/>
      <c r="T70" s="721" t="n"/>
      <c r="U70" s="961" t="n"/>
      <c r="V70" s="721" t="n"/>
      <c r="W70" s="961" t="n"/>
      <c r="X70" s="721" t="n"/>
      <c r="Y70" s="962" t="n"/>
      <c r="Z70" s="718" t="n"/>
      <c r="AA70" s="961" t="n"/>
      <c r="AB70" s="721" t="n"/>
      <c r="AC70" s="961" t="n"/>
      <c r="AD70" s="721" t="n"/>
      <c r="AE70" s="961" t="n"/>
      <c r="AF70" s="721" t="n"/>
      <c r="AG70" s="962" t="n"/>
      <c r="AH70" s="718" t="n"/>
      <c r="AI70" s="961" t="n"/>
      <c r="AJ70" s="721" t="n"/>
      <c r="AK70" s="961" t="n"/>
      <c r="AL70" s="721" t="n"/>
      <c r="AM70" s="961" t="n"/>
      <c r="AN70" s="721" t="n"/>
      <c r="AO70" s="962" t="n"/>
      <c r="AP70" s="718" t="n"/>
      <c r="AQ70" s="961" t="n"/>
      <c r="AR70" s="721" t="n"/>
      <c r="AS70" s="961" t="n"/>
      <c r="AT70" s="721" t="n"/>
      <c r="AU70" s="961" t="n"/>
      <c r="AV70" s="721" t="n"/>
      <c r="AW70" s="962" t="n"/>
      <c r="AX70" s="718" t="n"/>
      <c r="AY70" s="961" t="n"/>
      <c r="AZ70" s="721" t="n"/>
      <c r="BA70" s="961" t="n"/>
      <c r="BB70" s="721" t="n"/>
      <c r="BC70" s="961" t="n"/>
      <c r="BD70" s="721" t="n"/>
      <c r="BE70" s="962" t="n"/>
      <c r="BF70" s="718" t="n"/>
      <c r="BG70" s="961" t="n"/>
      <c r="BH70" s="717" t="n"/>
      <c r="BI70" s="963" t="n"/>
      <c r="BJ70" s="721" t="n"/>
      <c r="BK70" s="961" t="n"/>
      <c r="BL70" s="721" t="n"/>
      <c r="BM70" s="962" t="n"/>
    </row>
    <row r="71">
      <c r="A71" s="722" t="n"/>
      <c r="B71" s="721" t="n"/>
      <c r="C71" s="961" t="n"/>
      <c r="D71" s="721" t="n"/>
      <c r="E71" s="961" t="n"/>
      <c r="F71" s="721" t="n"/>
      <c r="G71" s="961" t="n"/>
      <c r="H71" s="721" t="n"/>
      <c r="I71" s="962" t="n"/>
      <c r="J71" s="718" t="n"/>
      <c r="K71" s="961" t="n"/>
      <c r="L71" s="721" t="n"/>
      <c r="M71" s="961" t="n"/>
      <c r="N71" s="721" t="n"/>
      <c r="O71" s="961" t="n"/>
      <c r="P71" s="721" t="n"/>
      <c r="Q71" s="962" t="n"/>
      <c r="R71" s="718" t="n"/>
      <c r="S71" s="961" t="n"/>
      <c r="T71" s="721" t="n"/>
      <c r="U71" s="961" t="n"/>
      <c r="V71" s="721" t="n"/>
      <c r="W71" s="961" t="n"/>
      <c r="X71" s="721" t="n"/>
      <c r="Y71" s="962" t="n"/>
      <c r="Z71" s="718" t="n"/>
      <c r="AA71" s="961" t="n"/>
      <c r="AB71" s="721" t="n"/>
      <c r="AC71" s="961" t="n"/>
      <c r="AD71" s="721" t="n"/>
      <c r="AE71" s="961" t="n"/>
      <c r="AF71" s="721" t="n"/>
      <c r="AG71" s="962" t="n"/>
      <c r="AH71" s="718" t="n"/>
      <c r="AI71" s="961" t="n"/>
      <c r="AJ71" s="721" t="n"/>
      <c r="AK71" s="961" t="n"/>
      <c r="AL71" s="721" t="n"/>
      <c r="AM71" s="961" t="n"/>
      <c r="AN71" s="721" t="n"/>
      <c r="AO71" s="962" t="n"/>
      <c r="AP71" s="718" t="n"/>
      <c r="AQ71" s="961" t="n"/>
      <c r="AR71" s="721" t="n"/>
      <c r="AS71" s="961" t="n"/>
      <c r="AT71" s="721" t="n"/>
      <c r="AU71" s="961" t="n"/>
      <c r="AV71" s="721" t="n"/>
      <c r="AW71" s="962" t="n"/>
      <c r="AX71" s="718" t="n"/>
      <c r="AY71" s="961" t="n"/>
      <c r="AZ71" s="721" t="n"/>
      <c r="BA71" s="961" t="n"/>
      <c r="BB71" s="721" t="n"/>
      <c r="BC71" s="961" t="n"/>
      <c r="BD71" s="721" t="n"/>
      <c r="BE71" s="962" t="n"/>
      <c r="BF71" s="718" t="n"/>
      <c r="BG71" s="961" t="n"/>
      <c r="BH71" s="717" t="n"/>
      <c r="BI71" s="963" t="n"/>
      <c r="BJ71" s="721" t="n"/>
      <c r="BK71" s="961" t="n"/>
      <c r="BL71" s="721" t="n"/>
      <c r="BM71" s="962" t="n"/>
    </row>
    <row r="72">
      <c r="A72" s="722" t="n"/>
      <c r="B72" s="721" t="n"/>
      <c r="C72" s="961" t="n"/>
      <c r="D72" s="721" t="n"/>
      <c r="E72" s="961" t="n"/>
      <c r="F72" s="721" t="n"/>
      <c r="G72" s="961" t="n"/>
      <c r="H72" s="721" t="n"/>
      <c r="I72" s="962" t="n"/>
      <c r="J72" s="718" t="n"/>
      <c r="K72" s="961" t="n"/>
      <c r="L72" s="721" t="n"/>
      <c r="M72" s="961" t="n"/>
      <c r="N72" s="721" t="n"/>
      <c r="O72" s="961" t="n"/>
      <c r="P72" s="721" t="n"/>
      <c r="Q72" s="962" t="n"/>
      <c r="R72" s="718" t="n"/>
      <c r="S72" s="961" t="n"/>
      <c r="T72" s="721" t="n"/>
      <c r="U72" s="961" t="n"/>
      <c r="V72" s="721" t="n"/>
      <c r="W72" s="961" t="n"/>
      <c r="X72" s="721" t="n"/>
      <c r="Y72" s="962" t="n"/>
      <c r="Z72" s="718" t="n"/>
      <c r="AA72" s="961" t="n"/>
      <c r="AB72" s="721" t="n"/>
      <c r="AC72" s="961" t="n"/>
      <c r="AD72" s="721" t="n"/>
      <c r="AE72" s="961" t="n"/>
      <c r="AF72" s="721" t="n"/>
      <c r="AG72" s="962" t="n"/>
      <c r="AH72" s="718" t="n"/>
      <c r="AI72" s="961" t="n"/>
      <c r="AJ72" s="721" t="n"/>
      <c r="AK72" s="961" t="n"/>
      <c r="AL72" s="721" t="n"/>
      <c r="AM72" s="961" t="n"/>
      <c r="AN72" s="721" t="n"/>
      <c r="AO72" s="962" t="n"/>
      <c r="AP72" s="718" t="n"/>
      <c r="AQ72" s="961" t="n"/>
      <c r="AR72" s="721" t="n"/>
      <c r="AS72" s="961" t="n"/>
      <c r="AT72" s="721" t="n"/>
      <c r="AU72" s="961" t="n"/>
      <c r="AV72" s="721" t="n"/>
      <c r="AW72" s="962" t="n"/>
      <c r="AX72" s="718" t="n"/>
      <c r="AY72" s="961" t="n"/>
      <c r="AZ72" s="721" t="n"/>
      <c r="BA72" s="961" t="n"/>
      <c r="BB72" s="721" t="n"/>
      <c r="BC72" s="961" t="n"/>
      <c r="BD72" s="721" t="n"/>
      <c r="BE72" s="962" t="n"/>
      <c r="BF72" s="718" t="n"/>
      <c r="BG72" s="961" t="n"/>
      <c r="BH72" s="717" t="n"/>
      <c r="BI72" s="963" t="n"/>
      <c r="BJ72" s="721" t="n"/>
      <c r="BK72" s="961" t="n"/>
      <c r="BL72" s="721" t="n"/>
      <c r="BM72" s="962" t="n"/>
    </row>
    <row r="73">
      <c r="A73" s="722" t="n"/>
      <c r="B73" s="721" t="n"/>
      <c r="C73" s="961" t="n"/>
      <c r="D73" s="721" t="n"/>
      <c r="E73" s="961" t="n"/>
      <c r="F73" s="721" t="n"/>
      <c r="G73" s="961" t="n"/>
      <c r="H73" s="721" t="n"/>
      <c r="I73" s="962" t="n"/>
      <c r="J73" s="718" t="n"/>
      <c r="K73" s="961" t="n"/>
      <c r="L73" s="721" t="n"/>
      <c r="M73" s="961" t="n"/>
      <c r="N73" s="721" t="n"/>
      <c r="O73" s="961" t="n"/>
      <c r="P73" s="721" t="n"/>
      <c r="Q73" s="962" t="n"/>
      <c r="R73" s="718" t="n"/>
      <c r="S73" s="961" t="n"/>
      <c r="T73" s="721" t="n"/>
      <c r="U73" s="961" t="n"/>
      <c r="V73" s="721" t="n"/>
      <c r="W73" s="961" t="n"/>
      <c r="X73" s="721" t="n"/>
      <c r="Y73" s="962" t="n"/>
      <c r="Z73" s="718" t="n"/>
      <c r="AA73" s="961" t="n"/>
      <c r="AB73" s="721" t="n"/>
      <c r="AC73" s="961" t="n"/>
      <c r="AD73" s="721" t="n"/>
      <c r="AE73" s="961" t="n"/>
      <c r="AF73" s="721" t="n"/>
      <c r="AG73" s="962" t="n"/>
      <c r="AH73" s="718" t="n"/>
      <c r="AI73" s="961" t="n"/>
      <c r="AJ73" s="721" t="n"/>
      <c r="AK73" s="961" t="n"/>
      <c r="AL73" s="721" t="n"/>
      <c r="AM73" s="961" t="n"/>
      <c r="AN73" s="721" t="n"/>
      <c r="AO73" s="962" t="n"/>
      <c r="AP73" s="718" t="n"/>
      <c r="AQ73" s="961" t="n"/>
      <c r="AR73" s="721" t="n"/>
      <c r="AS73" s="961" t="n"/>
      <c r="AT73" s="721" t="n"/>
      <c r="AU73" s="961" t="n"/>
      <c r="AV73" s="721" t="n"/>
      <c r="AW73" s="962" t="n"/>
      <c r="AX73" s="718" t="n"/>
      <c r="AY73" s="961" t="n"/>
      <c r="AZ73" s="721" t="n"/>
      <c r="BA73" s="961" t="n"/>
      <c r="BB73" s="721" t="n"/>
      <c r="BC73" s="961" t="n"/>
      <c r="BD73" s="721" t="n"/>
      <c r="BE73" s="962" t="n"/>
      <c r="BF73" s="718" t="n"/>
      <c r="BG73" s="961" t="n"/>
      <c r="BH73" s="717" t="n"/>
      <c r="BI73" s="963" t="n"/>
      <c r="BJ73" s="721" t="n"/>
      <c r="BK73" s="961" t="n"/>
      <c r="BL73" s="721" t="n"/>
      <c r="BM73" s="962" t="n"/>
    </row>
    <row r="74">
      <c r="A74" s="722" t="n"/>
      <c r="B74" s="721" t="n"/>
      <c r="C74" s="961" t="n"/>
      <c r="D74" s="721" t="n"/>
      <c r="E74" s="961" t="n"/>
      <c r="F74" s="721" t="n"/>
      <c r="G74" s="961" t="n"/>
      <c r="H74" s="721" t="n"/>
      <c r="I74" s="962" t="n"/>
      <c r="J74" s="718" t="n"/>
      <c r="K74" s="961" t="n"/>
      <c r="L74" s="721" t="n"/>
      <c r="M74" s="961" t="n"/>
      <c r="N74" s="721" t="n"/>
      <c r="O74" s="961" t="n"/>
      <c r="P74" s="721" t="n"/>
      <c r="Q74" s="962" t="n"/>
      <c r="R74" s="718" t="n"/>
      <c r="S74" s="961" t="n"/>
      <c r="T74" s="721" t="n"/>
      <c r="U74" s="961" t="n"/>
      <c r="V74" s="721" t="n"/>
      <c r="W74" s="961" t="n"/>
      <c r="X74" s="721" t="n"/>
      <c r="Y74" s="962" t="n"/>
      <c r="Z74" s="718" t="n"/>
      <c r="AA74" s="961" t="n"/>
      <c r="AB74" s="721" t="n"/>
      <c r="AC74" s="961" t="n"/>
      <c r="AD74" s="721" t="n"/>
      <c r="AE74" s="961" t="n"/>
      <c r="AF74" s="721" t="n"/>
      <c r="AG74" s="962" t="n"/>
      <c r="AH74" s="718" t="n"/>
      <c r="AI74" s="961" t="n"/>
      <c r="AJ74" s="721" t="n"/>
      <c r="AK74" s="961" t="n"/>
      <c r="AL74" s="721" t="n"/>
      <c r="AM74" s="961" t="n"/>
      <c r="AN74" s="721" t="n"/>
      <c r="AO74" s="962" t="n"/>
      <c r="AP74" s="718" t="n"/>
      <c r="AQ74" s="961" t="n"/>
      <c r="AR74" s="721" t="n"/>
      <c r="AS74" s="961" t="n"/>
      <c r="AT74" s="721" t="n"/>
      <c r="AU74" s="961" t="n"/>
      <c r="AV74" s="721" t="n"/>
      <c r="AW74" s="962" t="n"/>
      <c r="AX74" s="718" t="n"/>
      <c r="AY74" s="961" t="n"/>
      <c r="AZ74" s="721" t="n"/>
      <c r="BA74" s="961" t="n"/>
      <c r="BB74" s="721" t="n"/>
      <c r="BC74" s="961" t="n"/>
      <c r="BD74" s="721" t="n"/>
      <c r="BE74" s="962" t="n"/>
      <c r="BF74" s="718" t="n"/>
      <c r="BG74" s="961" t="n"/>
      <c r="BH74" s="717" t="n"/>
      <c r="BI74" s="963" t="n"/>
      <c r="BJ74" s="721" t="n"/>
      <c r="BK74" s="961" t="n"/>
      <c r="BL74" s="721" t="n"/>
      <c r="BM74" s="962" t="n"/>
    </row>
    <row r="75">
      <c r="A75" s="722" t="n"/>
      <c r="B75" s="721" t="n"/>
      <c r="C75" s="961" t="n"/>
      <c r="D75" s="721" t="n"/>
      <c r="E75" s="961" t="n"/>
      <c r="F75" s="721" t="n"/>
      <c r="G75" s="961" t="n"/>
      <c r="H75" s="721" t="n"/>
      <c r="I75" s="962" t="n"/>
      <c r="J75" s="718" t="n"/>
      <c r="K75" s="961" t="n"/>
      <c r="L75" s="721" t="n"/>
      <c r="M75" s="961" t="n"/>
      <c r="N75" s="721" t="n"/>
      <c r="O75" s="961" t="n"/>
      <c r="P75" s="721" t="n"/>
      <c r="Q75" s="962" t="n"/>
      <c r="R75" s="718" t="n"/>
      <c r="S75" s="961" t="n"/>
      <c r="T75" s="721" t="n"/>
      <c r="U75" s="961" t="n"/>
      <c r="V75" s="721" t="n"/>
      <c r="W75" s="961" t="n"/>
      <c r="X75" s="721" t="n"/>
      <c r="Y75" s="962" t="n"/>
      <c r="Z75" s="718" t="n"/>
      <c r="AA75" s="961" t="n"/>
      <c r="AB75" s="721" t="n"/>
      <c r="AC75" s="961" t="n"/>
      <c r="AD75" s="721" t="n"/>
      <c r="AE75" s="961" t="n"/>
      <c r="AF75" s="721" t="n"/>
      <c r="AG75" s="962" t="n"/>
      <c r="AH75" s="718" t="n"/>
      <c r="AI75" s="961" t="n"/>
      <c r="AJ75" s="721" t="n"/>
      <c r="AK75" s="961" t="n"/>
      <c r="AL75" s="721" t="n"/>
      <c r="AM75" s="961" t="n"/>
      <c r="AN75" s="721" t="n"/>
      <c r="AO75" s="962" t="n"/>
      <c r="AP75" s="718" t="n"/>
      <c r="AQ75" s="961" t="n"/>
      <c r="AR75" s="721" t="n"/>
      <c r="AS75" s="961" t="n"/>
      <c r="AT75" s="721" t="n"/>
      <c r="AU75" s="961" t="n"/>
      <c r="AV75" s="721" t="n"/>
      <c r="AW75" s="962" t="n"/>
      <c r="AX75" s="718" t="n"/>
      <c r="AY75" s="961" t="n"/>
      <c r="AZ75" s="721" t="n"/>
      <c r="BA75" s="961" t="n"/>
      <c r="BB75" s="721" t="n"/>
      <c r="BC75" s="961" t="n"/>
      <c r="BD75" s="721" t="n"/>
      <c r="BE75" s="962" t="n"/>
      <c r="BF75" s="718" t="n"/>
      <c r="BG75" s="961" t="n"/>
      <c r="BH75" s="717" t="n"/>
      <c r="BI75" s="963" t="n"/>
      <c r="BJ75" s="721" t="n"/>
      <c r="BK75" s="961" t="n"/>
      <c r="BL75" s="721" t="n"/>
      <c r="BM75" s="962" t="n"/>
    </row>
    <row r="76">
      <c r="A76" s="722" t="n"/>
      <c r="B76" s="721" t="n"/>
      <c r="C76" s="961" t="n"/>
      <c r="D76" s="721" t="n"/>
      <c r="E76" s="961" t="n"/>
      <c r="F76" s="721" t="n"/>
      <c r="G76" s="961" t="n"/>
      <c r="H76" s="721" t="n"/>
      <c r="I76" s="962" t="n"/>
      <c r="J76" s="718" t="n"/>
      <c r="K76" s="961" t="n"/>
      <c r="L76" s="721" t="n"/>
      <c r="M76" s="961" t="n"/>
      <c r="N76" s="721" t="n"/>
      <c r="O76" s="961" t="n"/>
      <c r="P76" s="721" t="n"/>
      <c r="Q76" s="962" t="n"/>
      <c r="R76" s="718" t="n"/>
      <c r="S76" s="961" t="n"/>
      <c r="T76" s="721" t="n"/>
      <c r="U76" s="961" t="n"/>
      <c r="V76" s="721" t="n"/>
      <c r="W76" s="961" t="n"/>
      <c r="X76" s="721" t="n"/>
      <c r="Y76" s="962" t="n"/>
      <c r="Z76" s="718" t="n"/>
      <c r="AA76" s="961" t="n"/>
      <c r="AB76" s="721" t="n"/>
      <c r="AC76" s="961" t="n"/>
      <c r="AD76" s="721" t="n"/>
      <c r="AE76" s="961" t="n"/>
      <c r="AF76" s="721" t="n"/>
      <c r="AG76" s="962" t="n"/>
      <c r="AH76" s="718" t="n"/>
      <c r="AI76" s="961" t="n"/>
      <c r="AJ76" s="721" t="n"/>
      <c r="AK76" s="961" t="n"/>
      <c r="AL76" s="721" t="n"/>
      <c r="AM76" s="961" t="n"/>
      <c r="AN76" s="721" t="n"/>
      <c r="AO76" s="962" t="n"/>
      <c r="AP76" s="718" t="n"/>
      <c r="AQ76" s="961" t="n"/>
      <c r="AR76" s="721" t="n"/>
      <c r="AS76" s="961" t="n"/>
      <c r="AT76" s="721" t="n"/>
      <c r="AU76" s="961" t="n"/>
      <c r="AV76" s="721" t="n"/>
      <c r="AW76" s="962" t="n"/>
      <c r="AX76" s="718" t="n"/>
      <c r="AY76" s="961" t="n"/>
      <c r="AZ76" s="721" t="n"/>
      <c r="BA76" s="961" t="n"/>
      <c r="BB76" s="721" t="n"/>
      <c r="BC76" s="961" t="n"/>
      <c r="BD76" s="721" t="n"/>
      <c r="BE76" s="962" t="n"/>
      <c r="BF76" s="718" t="n"/>
      <c r="BG76" s="961" t="n"/>
      <c r="BH76" s="717" t="n"/>
      <c r="BI76" s="963" t="n"/>
      <c r="BJ76" s="721" t="n"/>
      <c r="BK76" s="961" t="n"/>
      <c r="BL76" s="721" t="n"/>
      <c r="BM76" s="962" t="n"/>
    </row>
    <row r="77">
      <c r="A77" s="722" t="n"/>
      <c r="B77" s="721" t="n"/>
      <c r="C77" s="961" t="n"/>
      <c r="D77" s="721" t="n"/>
      <c r="E77" s="961" t="n"/>
      <c r="F77" s="721" t="n"/>
      <c r="G77" s="961" t="n"/>
      <c r="H77" s="721" t="n"/>
      <c r="I77" s="962" t="n"/>
      <c r="J77" s="718" t="n"/>
      <c r="K77" s="961" t="n"/>
      <c r="L77" s="721" t="n"/>
      <c r="M77" s="961" t="n"/>
      <c r="N77" s="721" t="n"/>
      <c r="O77" s="961" t="n"/>
      <c r="P77" s="721" t="n"/>
      <c r="Q77" s="962" t="n"/>
      <c r="R77" s="718" t="n"/>
      <c r="S77" s="961" t="n"/>
      <c r="T77" s="721" t="n"/>
      <c r="U77" s="961" t="n"/>
      <c r="V77" s="721" t="n"/>
      <c r="W77" s="961" t="n"/>
      <c r="X77" s="721" t="n"/>
      <c r="Y77" s="962" t="n"/>
      <c r="Z77" s="718" t="n"/>
      <c r="AA77" s="961" t="n"/>
      <c r="AB77" s="721" t="n"/>
      <c r="AC77" s="961" t="n"/>
      <c r="AD77" s="721" t="n"/>
      <c r="AE77" s="961" t="n"/>
      <c r="AF77" s="721" t="n"/>
      <c r="AG77" s="962" t="n"/>
      <c r="AH77" s="718" t="n"/>
      <c r="AI77" s="961" t="n"/>
      <c r="AJ77" s="721" t="n"/>
      <c r="AK77" s="961" t="n"/>
      <c r="AL77" s="721" t="n"/>
      <c r="AM77" s="961" t="n"/>
      <c r="AN77" s="721" t="n"/>
      <c r="AO77" s="962" t="n"/>
      <c r="AP77" s="718" t="n"/>
      <c r="AQ77" s="961" t="n"/>
      <c r="AR77" s="721" t="n"/>
      <c r="AS77" s="961" t="n"/>
      <c r="AT77" s="721" t="n"/>
      <c r="AU77" s="961" t="n"/>
      <c r="AV77" s="721" t="n"/>
      <c r="AW77" s="962" t="n"/>
      <c r="AX77" s="718" t="n"/>
      <c r="AY77" s="961" t="n"/>
      <c r="AZ77" s="721" t="n"/>
      <c r="BA77" s="961" t="n"/>
      <c r="BB77" s="721" t="n"/>
      <c r="BC77" s="961" t="n"/>
      <c r="BD77" s="721" t="n"/>
      <c r="BE77" s="962" t="n"/>
      <c r="BF77" s="718" t="n"/>
      <c r="BG77" s="961" t="n"/>
      <c r="BH77" s="717" t="n"/>
      <c r="BI77" s="963" t="n"/>
      <c r="BJ77" s="721" t="n"/>
      <c r="BK77" s="961" t="n"/>
      <c r="BL77" s="721" t="n"/>
      <c r="BM77" s="962" t="n"/>
    </row>
    <row r="78">
      <c r="A78" s="722" t="n"/>
      <c r="B78" s="721" t="n"/>
      <c r="C78" s="961" t="n"/>
      <c r="D78" s="721" t="n"/>
      <c r="E78" s="961" t="n"/>
      <c r="F78" s="721" t="n"/>
      <c r="G78" s="961" t="n"/>
      <c r="H78" s="721" t="n"/>
      <c r="I78" s="962" t="n"/>
      <c r="J78" s="718" t="n"/>
      <c r="K78" s="961" t="n"/>
      <c r="L78" s="721" t="n"/>
      <c r="M78" s="961" t="n"/>
      <c r="N78" s="721" t="n"/>
      <c r="O78" s="961" t="n"/>
      <c r="P78" s="721" t="n"/>
      <c r="Q78" s="962" t="n"/>
      <c r="R78" s="718" t="n"/>
      <c r="S78" s="961" t="n"/>
      <c r="T78" s="721" t="n"/>
      <c r="U78" s="961" t="n"/>
      <c r="V78" s="721" t="n"/>
      <c r="W78" s="961" t="n"/>
      <c r="X78" s="721" t="n"/>
      <c r="Y78" s="962" t="n"/>
      <c r="Z78" s="718" t="n"/>
      <c r="AA78" s="961" t="n"/>
      <c r="AB78" s="721" t="n"/>
      <c r="AC78" s="961" t="n"/>
      <c r="AD78" s="721" t="n"/>
      <c r="AE78" s="961" t="n"/>
      <c r="AF78" s="721" t="n"/>
      <c r="AG78" s="962" t="n"/>
      <c r="AH78" s="718" t="n"/>
      <c r="AI78" s="961" t="n"/>
      <c r="AJ78" s="721" t="n"/>
      <c r="AK78" s="961" t="n"/>
      <c r="AL78" s="721" t="n"/>
      <c r="AM78" s="961" t="n"/>
      <c r="AN78" s="721" t="n"/>
      <c r="AO78" s="962" t="n"/>
      <c r="AP78" s="718" t="n"/>
      <c r="AQ78" s="961" t="n"/>
      <c r="AR78" s="721" t="n"/>
      <c r="AS78" s="961" t="n"/>
      <c r="AT78" s="721" t="n"/>
      <c r="AU78" s="961" t="n"/>
      <c r="AV78" s="721" t="n"/>
      <c r="AW78" s="962" t="n"/>
      <c r="AX78" s="718" t="n"/>
      <c r="AY78" s="961" t="n"/>
      <c r="AZ78" s="721" t="n"/>
      <c r="BA78" s="961" t="n"/>
      <c r="BB78" s="721" t="n"/>
      <c r="BC78" s="961" t="n"/>
      <c r="BD78" s="721" t="n"/>
      <c r="BE78" s="962" t="n"/>
      <c r="BF78" s="718" t="n"/>
      <c r="BG78" s="961" t="n"/>
      <c r="BH78" s="717" t="n"/>
      <c r="BI78" s="963" t="n"/>
      <c r="BJ78" s="721" t="n"/>
      <c r="BK78" s="961" t="n"/>
      <c r="BL78" s="721" t="n"/>
      <c r="BM78" s="962" t="n"/>
    </row>
    <row r="79">
      <c r="A79" s="722" t="n"/>
      <c r="B79" s="721" t="n"/>
      <c r="C79" s="961" t="n"/>
      <c r="D79" s="721" t="n"/>
      <c r="E79" s="961" t="n"/>
      <c r="F79" s="721" t="n"/>
      <c r="G79" s="961" t="n"/>
      <c r="H79" s="721" t="n"/>
      <c r="I79" s="962" t="n"/>
      <c r="J79" s="718" t="n"/>
      <c r="K79" s="961" t="n"/>
      <c r="L79" s="721" t="n"/>
      <c r="M79" s="961" t="n"/>
      <c r="N79" s="721" t="n"/>
      <c r="O79" s="961" t="n"/>
      <c r="P79" s="721" t="n"/>
      <c r="Q79" s="962" t="n"/>
      <c r="R79" s="718" t="n"/>
      <c r="S79" s="961" t="n"/>
      <c r="T79" s="721" t="n"/>
      <c r="U79" s="961" t="n"/>
      <c r="V79" s="721" t="n"/>
      <c r="W79" s="961" t="n"/>
      <c r="X79" s="721" t="n"/>
      <c r="Y79" s="962" t="n"/>
      <c r="Z79" s="718" t="n"/>
      <c r="AA79" s="961" t="n"/>
      <c r="AB79" s="721" t="n"/>
      <c r="AC79" s="961" t="n"/>
      <c r="AD79" s="721" t="n"/>
      <c r="AE79" s="961" t="n"/>
      <c r="AF79" s="721" t="n"/>
      <c r="AG79" s="962" t="n"/>
      <c r="AH79" s="718" t="n"/>
      <c r="AI79" s="961" t="n"/>
      <c r="AJ79" s="721" t="n"/>
      <c r="AK79" s="961" t="n"/>
      <c r="AL79" s="721" t="n"/>
      <c r="AM79" s="961" t="n"/>
      <c r="AN79" s="721" t="n"/>
      <c r="AO79" s="962" t="n"/>
      <c r="AP79" s="718" t="n"/>
      <c r="AQ79" s="961" t="n"/>
      <c r="AR79" s="721" t="n"/>
      <c r="AS79" s="961" t="n"/>
      <c r="AT79" s="721" t="n"/>
      <c r="AU79" s="961" t="n"/>
      <c r="AV79" s="721" t="n"/>
      <c r="AW79" s="962" t="n"/>
      <c r="AX79" s="718" t="n"/>
      <c r="AY79" s="961" t="n"/>
      <c r="AZ79" s="721" t="n"/>
      <c r="BA79" s="961" t="n"/>
      <c r="BB79" s="721" t="n"/>
      <c r="BC79" s="961" t="n"/>
      <c r="BD79" s="721" t="n"/>
      <c r="BE79" s="962" t="n"/>
      <c r="BF79" s="718" t="n"/>
      <c r="BG79" s="961" t="n"/>
      <c r="BH79" s="717" t="n"/>
      <c r="BI79" s="963" t="n"/>
      <c r="BJ79" s="721" t="n"/>
      <c r="BK79" s="961" t="n"/>
      <c r="BL79" s="721" t="n"/>
      <c r="BM79" s="962" t="n"/>
    </row>
    <row r="80">
      <c r="A80" s="722" t="n"/>
      <c r="B80" s="721" t="n"/>
      <c r="C80" s="961" t="n"/>
      <c r="D80" s="721" t="n"/>
      <c r="E80" s="961" t="n"/>
      <c r="F80" s="721" t="n"/>
      <c r="G80" s="961" t="n"/>
      <c r="H80" s="721" t="n"/>
      <c r="I80" s="962" t="n"/>
      <c r="J80" s="718" t="n"/>
      <c r="K80" s="961" t="n"/>
      <c r="L80" s="721" t="n"/>
      <c r="M80" s="961" t="n"/>
      <c r="N80" s="721" t="n"/>
      <c r="O80" s="961" t="n"/>
      <c r="P80" s="721" t="n"/>
      <c r="Q80" s="962" t="n"/>
      <c r="R80" s="718" t="n"/>
      <c r="S80" s="961" t="n"/>
      <c r="T80" s="721" t="n"/>
      <c r="U80" s="961" t="n"/>
      <c r="V80" s="721" t="n"/>
      <c r="W80" s="961" t="n"/>
      <c r="X80" s="721" t="n"/>
      <c r="Y80" s="962" t="n"/>
      <c r="Z80" s="718" t="n"/>
      <c r="AA80" s="961" t="n"/>
      <c r="AB80" s="721" t="n"/>
      <c r="AC80" s="961" t="n"/>
      <c r="AD80" s="721" t="n"/>
      <c r="AE80" s="961" t="n"/>
      <c r="AF80" s="721" t="n"/>
      <c r="AG80" s="962" t="n"/>
      <c r="AH80" s="718" t="n"/>
      <c r="AI80" s="961" t="n"/>
      <c r="AJ80" s="721" t="n"/>
      <c r="AK80" s="961" t="n"/>
      <c r="AL80" s="721" t="n"/>
      <c r="AM80" s="961" t="n"/>
      <c r="AN80" s="721" t="n"/>
      <c r="AO80" s="962" t="n"/>
      <c r="AP80" s="718" t="n"/>
      <c r="AQ80" s="961" t="n"/>
      <c r="AR80" s="721" t="n"/>
      <c r="AS80" s="961" t="n"/>
      <c r="AT80" s="721" t="n"/>
      <c r="AU80" s="961" t="n"/>
      <c r="AV80" s="721" t="n"/>
      <c r="AW80" s="962" t="n"/>
      <c r="AX80" s="718" t="n"/>
      <c r="AY80" s="961" t="n"/>
      <c r="AZ80" s="721" t="n"/>
      <c r="BA80" s="961" t="n"/>
      <c r="BB80" s="721" t="n"/>
      <c r="BC80" s="961" t="n"/>
      <c r="BD80" s="721" t="n"/>
      <c r="BE80" s="962" t="n"/>
      <c r="BF80" s="718" t="n"/>
      <c r="BG80" s="961" t="n"/>
      <c r="BH80" s="717" t="n"/>
      <c r="BI80" s="963" t="n"/>
      <c r="BJ80" s="721" t="n"/>
      <c r="BK80" s="961" t="n"/>
      <c r="BL80" s="721" t="n"/>
      <c r="BM80" s="962" t="n"/>
    </row>
    <row r="81">
      <c r="A81" s="722" t="n"/>
      <c r="B81" s="721" t="n"/>
      <c r="C81" s="961" t="n"/>
      <c r="D81" s="721" t="n"/>
      <c r="E81" s="961" t="n"/>
      <c r="F81" s="721" t="n"/>
      <c r="G81" s="961" t="n"/>
      <c r="H81" s="721" t="n"/>
      <c r="I81" s="962" t="n"/>
      <c r="J81" s="718" t="n"/>
      <c r="K81" s="961" t="n"/>
      <c r="L81" s="721" t="n"/>
      <c r="M81" s="961" t="n"/>
      <c r="N81" s="721" t="n"/>
      <c r="O81" s="961" t="n"/>
      <c r="P81" s="721" t="n"/>
      <c r="Q81" s="962" t="n"/>
      <c r="R81" s="718" t="n"/>
      <c r="S81" s="961" t="n"/>
      <c r="T81" s="721" t="n"/>
      <c r="U81" s="961" t="n"/>
      <c r="V81" s="721" t="n"/>
      <c r="W81" s="961" t="n"/>
      <c r="X81" s="721" t="n"/>
      <c r="Y81" s="962" t="n"/>
      <c r="Z81" s="718" t="n"/>
      <c r="AA81" s="961" t="n"/>
      <c r="AB81" s="721" t="n"/>
      <c r="AC81" s="961" t="n"/>
      <c r="AD81" s="721" t="n"/>
      <c r="AE81" s="961" t="n"/>
      <c r="AF81" s="721" t="n"/>
      <c r="AG81" s="962" t="n"/>
      <c r="AH81" s="718" t="n"/>
      <c r="AI81" s="961" t="n"/>
      <c r="AJ81" s="721" t="n"/>
      <c r="AK81" s="961" t="n"/>
      <c r="AL81" s="721" t="n"/>
      <c r="AM81" s="961" t="n"/>
      <c r="AN81" s="721" t="n"/>
      <c r="AO81" s="962" t="n"/>
      <c r="AP81" s="718" t="n"/>
      <c r="AQ81" s="961" t="n"/>
      <c r="AR81" s="721" t="n"/>
      <c r="AS81" s="961" t="n"/>
      <c r="AT81" s="721" t="n"/>
      <c r="AU81" s="961" t="n"/>
      <c r="AV81" s="721" t="n"/>
      <c r="AW81" s="962" t="n"/>
      <c r="AX81" s="718" t="n"/>
      <c r="AY81" s="961" t="n"/>
      <c r="AZ81" s="721" t="n"/>
      <c r="BA81" s="961" t="n"/>
      <c r="BB81" s="721" t="n"/>
      <c r="BC81" s="961" t="n"/>
      <c r="BD81" s="721" t="n"/>
      <c r="BE81" s="962" t="n"/>
      <c r="BF81" s="718" t="n"/>
      <c r="BG81" s="961" t="n"/>
      <c r="BH81" s="717" t="n"/>
      <c r="BI81" s="963" t="n"/>
      <c r="BJ81" s="721" t="n"/>
      <c r="BK81" s="961" t="n"/>
      <c r="BL81" s="721" t="n"/>
      <c r="BM81" s="962" t="n"/>
    </row>
    <row r="82">
      <c r="A82" s="722" t="n"/>
      <c r="B82" s="721" t="n"/>
      <c r="C82" s="961" t="n"/>
      <c r="D82" s="721" t="n"/>
      <c r="E82" s="961" t="n"/>
      <c r="F82" s="721" t="n"/>
      <c r="G82" s="961" t="n"/>
      <c r="H82" s="721" t="n"/>
      <c r="I82" s="962" t="n"/>
      <c r="J82" s="718" t="n"/>
      <c r="K82" s="961" t="n"/>
      <c r="L82" s="721" t="n"/>
      <c r="M82" s="961" t="n"/>
      <c r="N82" s="721" t="n"/>
      <c r="O82" s="961" t="n"/>
      <c r="P82" s="721" t="n"/>
      <c r="Q82" s="962" t="n"/>
      <c r="R82" s="718" t="n"/>
      <c r="S82" s="961" t="n"/>
      <c r="T82" s="721" t="n"/>
      <c r="U82" s="961" t="n"/>
      <c r="V82" s="721" t="n"/>
      <c r="W82" s="961" t="n"/>
      <c r="X82" s="721" t="n"/>
      <c r="Y82" s="962" t="n"/>
      <c r="Z82" s="718" t="n"/>
      <c r="AA82" s="961" t="n"/>
      <c r="AB82" s="721" t="n"/>
      <c r="AC82" s="961" t="n"/>
      <c r="AD82" s="721" t="n"/>
      <c r="AE82" s="961" t="n"/>
      <c r="AF82" s="721" t="n"/>
      <c r="AG82" s="962" t="n"/>
      <c r="AH82" s="718" t="n"/>
      <c r="AI82" s="961" t="n"/>
      <c r="AJ82" s="721" t="n"/>
      <c r="AK82" s="961" t="n"/>
      <c r="AL82" s="721" t="n"/>
      <c r="AM82" s="961" t="n"/>
      <c r="AN82" s="721" t="n"/>
      <c r="AO82" s="962" t="n"/>
      <c r="AP82" s="718" t="n"/>
      <c r="AQ82" s="961" t="n"/>
      <c r="AR82" s="721" t="n"/>
      <c r="AS82" s="961" t="n"/>
      <c r="AT82" s="721" t="n"/>
      <c r="AU82" s="961" t="n"/>
      <c r="AV82" s="721" t="n"/>
      <c r="AW82" s="962" t="n"/>
      <c r="AX82" s="718" t="n"/>
      <c r="AY82" s="961" t="n"/>
      <c r="AZ82" s="721" t="n"/>
      <c r="BA82" s="961" t="n"/>
      <c r="BB82" s="721" t="n"/>
      <c r="BC82" s="961" t="n"/>
      <c r="BD82" s="721" t="n"/>
      <c r="BE82" s="962" t="n"/>
      <c r="BF82" s="718" t="n"/>
      <c r="BG82" s="961" t="n"/>
      <c r="BH82" s="717" t="n"/>
      <c r="BI82" s="963" t="n"/>
      <c r="BJ82" s="721" t="n"/>
      <c r="BK82" s="961" t="n"/>
      <c r="BL82" s="721" t="n"/>
      <c r="BM82" s="962" t="n"/>
    </row>
    <row r="83">
      <c r="A83" s="722" t="n"/>
      <c r="B83" s="721" t="n"/>
      <c r="C83" s="961" t="n"/>
      <c r="D83" s="721" t="n"/>
      <c r="E83" s="961" t="n"/>
      <c r="F83" s="721" t="n"/>
      <c r="G83" s="961" t="n"/>
      <c r="H83" s="721" t="n"/>
      <c r="I83" s="962" t="n"/>
      <c r="J83" s="718" t="n"/>
      <c r="K83" s="961" t="n"/>
      <c r="L83" s="721" t="n"/>
      <c r="M83" s="961" t="n"/>
      <c r="N83" s="721" t="n"/>
      <c r="O83" s="961" t="n"/>
      <c r="P83" s="721" t="n"/>
      <c r="Q83" s="962" t="n"/>
      <c r="R83" s="718" t="n"/>
      <c r="S83" s="961" t="n"/>
      <c r="T83" s="721" t="n"/>
      <c r="U83" s="961" t="n"/>
      <c r="V83" s="721" t="n"/>
      <c r="W83" s="961" t="n"/>
      <c r="X83" s="721" t="n"/>
      <c r="Y83" s="962" t="n"/>
      <c r="Z83" s="718" t="n"/>
      <c r="AA83" s="961" t="n"/>
      <c r="AB83" s="721" t="n"/>
      <c r="AC83" s="961" t="n"/>
      <c r="AD83" s="721" t="n"/>
      <c r="AE83" s="961" t="n"/>
      <c r="AF83" s="721" t="n"/>
      <c r="AG83" s="962" t="n"/>
      <c r="AH83" s="718" t="n"/>
      <c r="AI83" s="961" t="n"/>
      <c r="AJ83" s="721" t="n"/>
      <c r="AK83" s="961" t="n"/>
      <c r="AL83" s="721" t="n"/>
      <c r="AM83" s="961" t="n"/>
      <c r="AN83" s="721" t="n"/>
      <c r="AO83" s="962" t="n"/>
      <c r="AP83" s="718" t="n"/>
      <c r="AQ83" s="961" t="n"/>
      <c r="AR83" s="721" t="n"/>
      <c r="AS83" s="961" t="n"/>
      <c r="AT83" s="721" t="n"/>
      <c r="AU83" s="961" t="n"/>
      <c r="AV83" s="721" t="n"/>
      <c r="AW83" s="962" t="n"/>
      <c r="AX83" s="718" t="n"/>
      <c r="AY83" s="961" t="n"/>
      <c r="AZ83" s="721" t="n"/>
      <c r="BA83" s="961" t="n"/>
      <c r="BB83" s="721" t="n"/>
      <c r="BC83" s="961" t="n"/>
      <c r="BD83" s="721" t="n"/>
      <c r="BE83" s="962" t="n"/>
      <c r="BF83" s="718" t="n"/>
      <c r="BG83" s="961" t="n"/>
      <c r="BH83" s="717" t="n"/>
      <c r="BI83" s="963" t="n"/>
      <c r="BJ83" s="721" t="n"/>
      <c r="BK83" s="961" t="n"/>
      <c r="BL83" s="721" t="n"/>
      <c r="BM83" s="962" t="n"/>
    </row>
    <row r="84">
      <c r="A84" s="722" t="n"/>
      <c r="B84" s="721" t="n"/>
      <c r="C84" s="961" t="n"/>
      <c r="D84" s="721" t="n"/>
      <c r="E84" s="961" t="n"/>
      <c r="F84" s="721" t="n"/>
      <c r="G84" s="961" t="n"/>
      <c r="H84" s="721" t="n"/>
      <c r="I84" s="962" t="n"/>
      <c r="J84" s="718" t="n"/>
      <c r="K84" s="961" t="n"/>
      <c r="L84" s="721" t="n"/>
      <c r="M84" s="961" t="n"/>
      <c r="N84" s="721" t="n"/>
      <c r="O84" s="961" t="n"/>
      <c r="P84" s="721" t="n"/>
      <c r="Q84" s="962" t="n"/>
      <c r="R84" s="718" t="n"/>
      <c r="S84" s="961" t="n"/>
      <c r="T84" s="721" t="n"/>
      <c r="U84" s="961" t="n"/>
      <c r="V84" s="721" t="n"/>
      <c r="W84" s="961" t="n"/>
      <c r="X84" s="721" t="n"/>
      <c r="Y84" s="962" t="n"/>
      <c r="Z84" s="718" t="n"/>
      <c r="AA84" s="961" t="n"/>
      <c r="AB84" s="721" t="n"/>
      <c r="AC84" s="961" t="n"/>
      <c r="AD84" s="721" t="n"/>
      <c r="AE84" s="961" t="n"/>
      <c r="AF84" s="721" t="n"/>
      <c r="AG84" s="962" t="n"/>
      <c r="AH84" s="718" t="n"/>
      <c r="AI84" s="961" t="n"/>
      <c r="AJ84" s="721" t="n"/>
      <c r="AK84" s="961" t="n"/>
      <c r="AL84" s="721" t="n"/>
      <c r="AM84" s="961" t="n"/>
      <c r="AN84" s="721" t="n"/>
      <c r="AO84" s="962" t="n"/>
      <c r="AP84" s="718" t="n"/>
      <c r="AQ84" s="961" t="n"/>
      <c r="AR84" s="721" t="n"/>
      <c r="AS84" s="961" t="n"/>
      <c r="AT84" s="721" t="n"/>
      <c r="AU84" s="961" t="n"/>
      <c r="AV84" s="721" t="n"/>
      <c r="AW84" s="962" t="n"/>
      <c r="AX84" s="718" t="n"/>
      <c r="AY84" s="961" t="n"/>
      <c r="AZ84" s="721" t="n"/>
      <c r="BA84" s="961" t="n"/>
      <c r="BB84" s="721" t="n"/>
      <c r="BC84" s="961" t="n"/>
      <c r="BD84" s="721" t="n"/>
      <c r="BE84" s="962" t="n"/>
      <c r="BF84" s="718" t="n"/>
      <c r="BG84" s="961" t="n"/>
      <c r="BH84" s="717" t="n"/>
      <c r="BI84" s="963" t="n"/>
      <c r="BJ84" s="721" t="n"/>
      <c r="BK84" s="961" t="n"/>
      <c r="BL84" s="721" t="n"/>
      <c r="BM84" s="962" t="n"/>
    </row>
    <row r="85">
      <c r="A85" s="722" t="n"/>
      <c r="B85" s="721" t="n"/>
      <c r="C85" s="961" t="n"/>
      <c r="D85" s="721" t="n"/>
      <c r="E85" s="961" t="n"/>
      <c r="F85" s="721" t="n"/>
      <c r="G85" s="961" t="n"/>
      <c r="H85" s="721" t="n"/>
      <c r="I85" s="962" t="n"/>
      <c r="J85" s="718" t="n"/>
      <c r="K85" s="961" t="n"/>
      <c r="L85" s="721" t="n"/>
      <c r="M85" s="961" t="n"/>
      <c r="N85" s="721" t="n"/>
      <c r="O85" s="961" t="n"/>
      <c r="P85" s="721" t="n"/>
      <c r="Q85" s="962" t="n"/>
      <c r="R85" s="718" t="n"/>
      <c r="S85" s="961" t="n"/>
      <c r="T85" s="721" t="n"/>
      <c r="U85" s="961" t="n"/>
      <c r="V85" s="721" t="n"/>
      <c r="W85" s="961" t="n"/>
      <c r="X85" s="721" t="n"/>
      <c r="Y85" s="962" t="n"/>
      <c r="Z85" s="718" t="n"/>
      <c r="AA85" s="961" t="n"/>
      <c r="AB85" s="721" t="n"/>
      <c r="AC85" s="961" t="n"/>
      <c r="AD85" s="721" t="n"/>
      <c r="AE85" s="961" t="n"/>
      <c r="AF85" s="721" t="n"/>
      <c r="AG85" s="962" t="n"/>
      <c r="AH85" s="718" t="n"/>
      <c r="AI85" s="961" t="n"/>
      <c r="AJ85" s="721" t="n"/>
      <c r="AK85" s="961" t="n"/>
      <c r="AL85" s="721" t="n"/>
      <c r="AM85" s="961" t="n"/>
      <c r="AN85" s="721" t="n"/>
      <c r="AO85" s="962" t="n"/>
      <c r="AP85" s="718" t="n"/>
      <c r="AQ85" s="961" t="n"/>
      <c r="AR85" s="721" t="n"/>
      <c r="AS85" s="961" t="n"/>
      <c r="AT85" s="721" t="n"/>
      <c r="AU85" s="961" t="n"/>
      <c r="AV85" s="721" t="n"/>
      <c r="AW85" s="962" t="n"/>
      <c r="AX85" s="718" t="n"/>
      <c r="AY85" s="961" t="n"/>
      <c r="AZ85" s="721" t="n"/>
      <c r="BA85" s="961" t="n"/>
      <c r="BB85" s="721" t="n"/>
      <c r="BC85" s="961" t="n"/>
      <c r="BD85" s="721" t="n"/>
      <c r="BE85" s="962" t="n"/>
      <c r="BF85" s="718" t="n"/>
      <c r="BG85" s="961" t="n"/>
      <c r="BH85" s="717" t="n"/>
      <c r="BI85" s="963" t="n"/>
      <c r="BJ85" s="721" t="n"/>
      <c r="BK85" s="961" t="n"/>
      <c r="BL85" s="721" t="n"/>
      <c r="BM85" s="962" t="n"/>
    </row>
    <row r="86">
      <c r="A86" s="722" t="n"/>
      <c r="B86" s="721" t="n"/>
      <c r="C86" s="961" t="n"/>
      <c r="D86" s="721" t="n"/>
      <c r="E86" s="961" t="n"/>
      <c r="F86" s="721" t="n"/>
      <c r="G86" s="961" t="n"/>
      <c r="H86" s="721" t="n"/>
      <c r="I86" s="962" t="n"/>
      <c r="J86" s="718" t="n"/>
      <c r="K86" s="961" t="n"/>
      <c r="L86" s="721" t="n"/>
      <c r="M86" s="961" t="n"/>
      <c r="N86" s="721" t="n"/>
      <c r="O86" s="961" t="n"/>
      <c r="P86" s="721" t="n"/>
      <c r="Q86" s="962" t="n"/>
      <c r="R86" s="718" t="n"/>
      <c r="S86" s="961" t="n"/>
      <c r="T86" s="721" t="n"/>
      <c r="U86" s="961" t="n"/>
      <c r="V86" s="721" t="n"/>
      <c r="W86" s="961" t="n"/>
      <c r="X86" s="721" t="n"/>
      <c r="Y86" s="962" t="n"/>
      <c r="Z86" s="718" t="n"/>
      <c r="AA86" s="961" t="n"/>
      <c r="AB86" s="721" t="n"/>
      <c r="AC86" s="961" t="n"/>
      <c r="AD86" s="721" t="n"/>
      <c r="AE86" s="961" t="n"/>
      <c r="AF86" s="721" t="n"/>
      <c r="AG86" s="962" t="n"/>
      <c r="AH86" s="718" t="n"/>
      <c r="AI86" s="961" t="n"/>
      <c r="AJ86" s="721" t="n"/>
      <c r="AK86" s="961" t="n"/>
      <c r="AL86" s="721" t="n"/>
      <c r="AM86" s="961" t="n"/>
      <c r="AN86" s="721" t="n"/>
      <c r="AO86" s="962" t="n"/>
      <c r="AP86" s="718" t="n"/>
      <c r="AQ86" s="961" t="n"/>
      <c r="AR86" s="721" t="n"/>
      <c r="AS86" s="961" t="n"/>
      <c r="AT86" s="721" t="n"/>
      <c r="AU86" s="961" t="n"/>
      <c r="AV86" s="721" t="n"/>
      <c r="AW86" s="962" t="n"/>
      <c r="AX86" s="718" t="n"/>
      <c r="AY86" s="961" t="n"/>
      <c r="AZ86" s="721" t="n"/>
      <c r="BA86" s="961" t="n"/>
      <c r="BB86" s="721" t="n"/>
      <c r="BC86" s="961" t="n"/>
      <c r="BD86" s="721" t="n"/>
      <c r="BE86" s="962" t="n"/>
      <c r="BF86" s="718" t="n"/>
      <c r="BG86" s="961" t="n"/>
      <c r="BH86" s="717" t="n"/>
      <c r="BI86" s="963" t="n"/>
      <c r="BJ86" s="721" t="n"/>
      <c r="BK86" s="961" t="n"/>
      <c r="BL86" s="721" t="n"/>
      <c r="BM86" s="962" t="n"/>
    </row>
    <row r="87">
      <c r="A87" s="722" t="n"/>
      <c r="B87" s="721" t="n"/>
      <c r="C87" s="961" t="n"/>
      <c r="D87" s="721" t="n"/>
      <c r="E87" s="961" t="n"/>
      <c r="F87" s="721" t="n"/>
      <c r="G87" s="961" t="n"/>
      <c r="H87" s="721" t="n"/>
      <c r="I87" s="962" t="n"/>
      <c r="J87" s="718" t="n"/>
      <c r="K87" s="961" t="n"/>
      <c r="L87" s="721" t="n"/>
      <c r="M87" s="961" t="n"/>
      <c r="N87" s="721" t="n"/>
      <c r="O87" s="961" t="n"/>
      <c r="P87" s="721" t="n"/>
      <c r="Q87" s="962" t="n"/>
      <c r="R87" s="718" t="n"/>
      <c r="S87" s="961" t="n"/>
      <c r="T87" s="721" t="n"/>
      <c r="U87" s="961" t="n"/>
      <c r="V87" s="721" t="n"/>
      <c r="W87" s="961" t="n"/>
      <c r="X87" s="721" t="n"/>
      <c r="Y87" s="962" t="n"/>
      <c r="Z87" s="718" t="n"/>
      <c r="AA87" s="961" t="n"/>
      <c r="AB87" s="721" t="n"/>
      <c r="AC87" s="961" t="n"/>
      <c r="AD87" s="721" t="n"/>
      <c r="AE87" s="961" t="n"/>
      <c r="AF87" s="721" t="n"/>
      <c r="AG87" s="962" t="n"/>
      <c r="AH87" s="718" t="n"/>
      <c r="AI87" s="961" t="n"/>
      <c r="AJ87" s="721" t="n"/>
      <c r="AK87" s="961" t="n"/>
      <c r="AL87" s="721" t="n"/>
      <c r="AM87" s="961" t="n"/>
      <c r="AN87" s="721" t="n"/>
      <c r="AO87" s="962" t="n"/>
      <c r="AP87" s="718" t="n"/>
      <c r="AQ87" s="961" t="n"/>
      <c r="AR87" s="721" t="n"/>
      <c r="AS87" s="961" t="n"/>
      <c r="AT87" s="721" t="n"/>
      <c r="AU87" s="961" t="n"/>
      <c r="AV87" s="721" t="n"/>
      <c r="AW87" s="962" t="n"/>
      <c r="AX87" s="718" t="n"/>
      <c r="AY87" s="961" t="n"/>
      <c r="AZ87" s="721" t="n"/>
      <c r="BA87" s="961" t="n"/>
      <c r="BB87" s="721" t="n"/>
      <c r="BC87" s="961" t="n"/>
      <c r="BD87" s="721" t="n"/>
      <c r="BE87" s="962" t="n"/>
      <c r="BF87" s="718" t="n"/>
      <c r="BG87" s="961" t="n"/>
      <c r="BH87" s="717" t="n"/>
      <c r="BI87" s="963" t="n"/>
      <c r="BJ87" s="721" t="n"/>
      <c r="BK87" s="961" t="n"/>
      <c r="BL87" s="721" t="n"/>
      <c r="BM87" s="962" t="n"/>
    </row>
    <row r="88">
      <c r="A88" s="722" t="n"/>
      <c r="B88" s="721" t="n"/>
      <c r="C88" s="961" t="n"/>
      <c r="D88" s="721" t="n"/>
      <c r="E88" s="961" t="n"/>
      <c r="F88" s="721" t="n"/>
      <c r="G88" s="961" t="n"/>
      <c r="H88" s="721" t="n"/>
      <c r="I88" s="962" t="n"/>
      <c r="J88" s="718" t="n"/>
      <c r="K88" s="961" t="n"/>
      <c r="L88" s="721" t="n"/>
      <c r="M88" s="961" t="n"/>
      <c r="N88" s="721" t="n"/>
      <c r="O88" s="961" t="n"/>
      <c r="P88" s="721" t="n"/>
      <c r="Q88" s="962" t="n"/>
      <c r="R88" s="718" t="n"/>
      <c r="S88" s="961" t="n"/>
      <c r="T88" s="721" t="n"/>
      <c r="U88" s="961" t="n"/>
      <c r="V88" s="721" t="n"/>
      <c r="W88" s="961" t="n"/>
      <c r="X88" s="721" t="n"/>
      <c r="Y88" s="962" t="n"/>
      <c r="Z88" s="718" t="n"/>
      <c r="AA88" s="961" t="n"/>
      <c r="AB88" s="721" t="n"/>
      <c r="AC88" s="961" t="n"/>
      <c r="AD88" s="721" t="n"/>
      <c r="AE88" s="961" t="n"/>
      <c r="AF88" s="721" t="n"/>
      <c r="AG88" s="962" t="n"/>
      <c r="AH88" s="718" t="n"/>
      <c r="AI88" s="961" t="n"/>
      <c r="AJ88" s="721" t="n"/>
      <c r="AK88" s="961" t="n"/>
      <c r="AL88" s="721" t="n"/>
      <c r="AM88" s="961" t="n"/>
      <c r="AN88" s="721" t="n"/>
      <c r="AO88" s="962" t="n"/>
      <c r="AP88" s="718" t="n"/>
      <c r="AQ88" s="961" t="n"/>
      <c r="AR88" s="721" t="n"/>
      <c r="AS88" s="961" t="n"/>
      <c r="AT88" s="721" t="n"/>
      <c r="AU88" s="961" t="n"/>
      <c r="AV88" s="721" t="n"/>
      <c r="AW88" s="962" t="n"/>
      <c r="AX88" s="718" t="n"/>
      <c r="AY88" s="961" t="n"/>
      <c r="AZ88" s="721" t="n"/>
      <c r="BA88" s="961" t="n"/>
      <c r="BB88" s="721" t="n"/>
      <c r="BC88" s="961" t="n"/>
      <c r="BD88" s="721" t="n"/>
      <c r="BE88" s="962" t="n"/>
      <c r="BF88" s="718" t="n"/>
      <c r="BG88" s="961" t="n"/>
      <c r="BH88" s="717" t="n"/>
      <c r="BI88" s="963" t="n"/>
      <c r="BJ88" s="721" t="n"/>
      <c r="BK88" s="961" t="n"/>
      <c r="BL88" s="721" t="n"/>
      <c r="BM88" s="962" t="n"/>
    </row>
    <row r="89">
      <c r="A89" s="722" t="n"/>
      <c r="B89" s="721" t="n"/>
      <c r="C89" s="961" t="n"/>
      <c r="D89" s="721" t="n"/>
      <c r="E89" s="961" t="n"/>
      <c r="F89" s="721" t="n"/>
      <c r="G89" s="961" t="n"/>
      <c r="H89" s="721" t="n"/>
      <c r="I89" s="962" t="n"/>
      <c r="J89" s="718" t="n"/>
      <c r="K89" s="961" t="n"/>
      <c r="L89" s="721" t="n"/>
      <c r="M89" s="961" t="n"/>
      <c r="N89" s="721" t="n"/>
      <c r="O89" s="961" t="n"/>
      <c r="P89" s="721" t="n"/>
      <c r="Q89" s="962" t="n"/>
      <c r="R89" s="718" t="n"/>
      <c r="S89" s="961" t="n"/>
      <c r="T89" s="721" t="n"/>
      <c r="U89" s="961" t="n"/>
      <c r="V89" s="721" t="n"/>
      <c r="W89" s="961" t="n"/>
      <c r="X89" s="721" t="n"/>
      <c r="Y89" s="962" t="n"/>
      <c r="Z89" s="718" t="n"/>
      <c r="AA89" s="961" t="n"/>
      <c r="AB89" s="721" t="n"/>
      <c r="AC89" s="961" t="n"/>
      <c r="AD89" s="721" t="n"/>
      <c r="AE89" s="961" t="n"/>
      <c r="AF89" s="721" t="n"/>
      <c r="AG89" s="962" t="n"/>
      <c r="AH89" s="718" t="n"/>
      <c r="AI89" s="961" t="n"/>
      <c r="AJ89" s="721" t="n"/>
      <c r="AK89" s="961" t="n"/>
      <c r="AL89" s="721" t="n"/>
      <c r="AM89" s="961" t="n"/>
      <c r="AN89" s="721" t="n"/>
      <c r="AO89" s="962" t="n"/>
      <c r="AP89" s="718" t="n"/>
      <c r="AQ89" s="961" t="n"/>
      <c r="AR89" s="721" t="n"/>
      <c r="AS89" s="961" t="n"/>
      <c r="AT89" s="721" t="n"/>
      <c r="AU89" s="961" t="n"/>
      <c r="AV89" s="721" t="n"/>
      <c r="AW89" s="962" t="n"/>
      <c r="AX89" s="718" t="n"/>
      <c r="AY89" s="961" t="n"/>
      <c r="AZ89" s="721" t="n"/>
      <c r="BA89" s="961" t="n"/>
      <c r="BB89" s="721" t="n"/>
      <c r="BC89" s="961" t="n"/>
      <c r="BD89" s="721" t="n"/>
      <c r="BE89" s="962" t="n"/>
      <c r="BF89" s="718" t="n"/>
      <c r="BG89" s="961" t="n"/>
      <c r="BH89" s="717" t="n"/>
      <c r="BI89" s="963" t="n"/>
      <c r="BJ89" s="721" t="n"/>
      <c r="BK89" s="961" t="n"/>
      <c r="BL89" s="721" t="n"/>
      <c r="BM89" s="962" t="n"/>
    </row>
    <row r="90">
      <c r="A90" s="722" t="n"/>
      <c r="B90" s="721" t="n"/>
      <c r="C90" s="961" t="n"/>
      <c r="D90" s="721" t="n"/>
      <c r="E90" s="961" t="n"/>
      <c r="F90" s="721" t="n"/>
      <c r="G90" s="961" t="n"/>
      <c r="H90" s="721" t="n"/>
      <c r="I90" s="962" t="n"/>
      <c r="J90" s="718" t="n"/>
      <c r="K90" s="961" t="n"/>
      <c r="L90" s="721" t="n"/>
      <c r="M90" s="961" t="n"/>
      <c r="N90" s="721" t="n"/>
      <c r="O90" s="961" t="n"/>
      <c r="P90" s="721" t="n"/>
      <c r="Q90" s="962" t="n"/>
      <c r="R90" s="718" t="n"/>
      <c r="S90" s="961" t="n"/>
      <c r="T90" s="721" t="n"/>
      <c r="U90" s="961" t="n"/>
      <c r="V90" s="721" t="n"/>
      <c r="W90" s="961" t="n"/>
      <c r="X90" s="721" t="n"/>
      <c r="Y90" s="962" t="n"/>
      <c r="Z90" s="718" t="n"/>
      <c r="AA90" s="961" t="n"/>
      <c r="AB90" s="721" t="n"/>
      <c r="AC90" s="961" t="n"/>
      <c r="AD90" s="721" t="n"/>
      <c r="AE90" s="961" t="n"/>
      <c r="AF90" s="721" t="n"/>
      <c r="AG90" s="962" t="n"/>
      <c r="AH90" s="718" t="n"/>
      <c r="AI90" s="961" t="n"/>
      <c r="AJ90" s="721" t="n"/>
      <c r="AK90" s="961" t="n"/>
      <c r="AL90" s="721" t="n"/>
      <c r="AM90" s="961" t="n"/>
      <c r="AN90" s="721" t="n"/>
      <c r="AO90" s="962" t="n"/>
      <c r="AP90" s="718" t="n"/>
      <c r="AQ90" s="961" t="n"/>
      <c r="AR90" s="721" t="n"/>
      <c r="AS90" s="961" t="n"/>
      <c r="AT90" s="721" t="n"/>
      <c r="AU90" s="961" t="n"/>
      <c r="AV90" s="721" t="n"/>
      <c r="AW90" s="962" t="n"/>
      <c r="AX90" s="718" t="n"/>
      <c r="AY90" s="961" t="n"/>
      <c r="AZ90" s="721" t="n"/>
      <c r="BA90" s="961" t="n"/>
      <c r="BB90" s="721" t="n"/>
      <c r="BC90" s="961" t="n"/>
      <c r="BD90" s="721" t="n"/>
      <c r="BE90" s="962" t="n"/>
      <c r="BF90" s="718" t="n"/>
      <c r="BG90" s="961" t="n"/>
      <c r="BH90" s="717" t="n"/>
      <c r="BI90" s="963" t="n"/>
      <c r="BJ90" s="721" t="n"/>
      <c r="BK90" s="961" t="n"/>
      <c r="BL90" s="721" t="n"/>
      <c r="BM90" s="962" t="n"/>
    </row>
    <row r="91">
      <c r="A91" s="722" t="n"/>
      <c r="B91" s="721" t="n"/>
      <c r="C91" s="961" t="n"/>
      <c r="D91" s="721" t="n"/>
      <c r="E91" s="961" t="n"/>
      <c r="F91" s="721" t="n"/>
      <c r="G91" s="961" t="n"/>
      <c r="H91" s="721" t="n"/>
      <c r="I91" s="962" t="n"/>
      <c r="J91" s="718" t="n"/>
      <c r="K91" s="961" t="n"/>
      <c r="L91" s="721" t="n"/>
      <c r="M91" s="961" t="n"/>
      <c r="N91" s="721" t="n"/>
      <c r="O91" s="961" t="n"/>
      <c r="P91" s="721" t="n"/>
      <c r="Q91" s="962" t="n"/>
      <c r="R91" s="718" t="n"/>
      <c r="S91" s="961" t="n"/>
      <c r="T91" s="721" t="n"/>
      <c r="U91" s="961" t="n"/>
      <c r="V91" s="721" t="n"/>
      <c r="W91" s="961" t="n"/>
      <c r="X91" s="721" t="n"/>
      <c r="Y91" s="962" t="n"/>
      <c r="Z91" s="718" t="n"/>
      <c r="AA91" s="961" t="n"/>
      <c r="AB91" s="721" t="n"/>
      <c r="AC91" s="961" t="n"/>
      <c r="AD91" s="721" t="n"/>
      <c r="AE91" s="961" t="n"/>
      <c r="AF91" s="721" t="n"/>
      <c r="AG91" s="962" t="n"/>
      <c r="AH91" s="718" t="n"/>
      <c r="AI91" s="961" t="n"/>
      <c r="AJ91" s="721" t="n"/>
      <c r="AK91" s="961" t="n"/>
      <c r="AL91" s="721" t="n"/>
      <c r="AM91" s="961" t="n"/>
      <c r="AN91" s="721" t="n"/>
      <c r="AO91" s="962" t="n"/>
      <c r="AP91" s="718" t="n"/>
      <c r="AQ91" s="961" t="n"/>
      <c r="AR91" s="721" t="n"/>
      <c r="AS91" s="961" t="n"/>
      <c r="AT91" s="721" t="n"/>
      <c r="AU91" s="961" t="n"/>
      <c r="AV91" s="721" t="n"/>
      <c r="AW91" s="962" t="n"/>
      <c r="AX91" s="718" t="n"/>
      <c r="AY91" s="961" t="n"/>
      <c r="AZ91" s="721" t="n"/>
      <c r="BA91" s="961" t="n"/>
      <c r="BB91" s="721" t="n"/>
      <c r="BC91" s="961" t="n"/>
      <c r="BD91" s="721" t="n"/>
      <c r="BE91" s="962" t="n"/>
      <c r="BF91" s="718" t="n"/>
      <c r="BG91" s="961" t="n"/>
      <c r="BH91" s="717" t="n"/>
      <c r="BI91" s="963" t="n"/>
      <c r="BJ91" s="721" t="n"/>
      <c r="BK91" s="961" t="n"/>
      <c r="BL91" s="721" t="n"/>
      <c r="BM91" s="962" t="n"/>
    </row>
    <row r="92">
      <c r="A92" s="722" t="n"/>
      <c r="B92" s="721" t="n"/>
      <c r="C92" s="961" t="n"/>
      <c r="D92" s="721" t="n"/>
      <c r="E92" s="961" t="n"/>
      <c r="F92" s="721" t="n"/>
      <c r="G92" s="961" t="n"/>
      <c r="H92" s="721" t="n"/>
      <c r="I92" s="962" t="n"/>
      <c r="J92" s="718" t="n"/>
      <c r="K92" s="961" t="n"/>
      <c r="L92" s="721" t="n"/>
      <c r="M92" s="961" t="n"/>
      <c r="N92" s="721" t="n"/>
      <c r="O92" s="961" t="n"/>
      <c r="P92" s="721" t="n"/>
      <c r="Q92" s="962" t="n"/>
      <c r="R92" s="718" t="n"/>
      <c r="S92" s="961" t="n"/>
      <c r="T92" s="721" t="n"/>
      <c r="U92" s="961" t="n"/>
      <c r="V92" s="721" t="n"/>
      <c r="W92" s="961" t="n"/>
      <c r="X92" s="721" t="n"/>
      <c r="Y92" s="962" t="n"/>
      <c r="Z92" s="718" t="n"/>
      <c r="AA92" s="961" t="n"/>
      <c r="AB92" s="721" t="n"/>
      <c r="AC92" s="961" t="n"/>
      <c r="AD92" s="721" t="n"/>
      <c r="AE92" s="961" t="n"/>
      <c r="AF92" s="721" t="n"/>
      <c r="AG92" s="962" t="n"/>
      <c r="AH92" s="718" t="n"/>
      <c r="AI92" s="961" t="n"/>
      <c r="AJ92" s="721" t="n"/>
      <c r="AK92" s="961" t="n"/>
      <c r="AL92" s="721" t="n"/>
      <c r="AM92" s="961" t="n"/>
      <c r="AN92" s="721" t="n"/>
      <c r="AO92" s="962" t="n"/>
      <c r="AP92" s="718" t="n"/>
      <c r="AQ92" s="961" t="n"/>
      <c r="AR92" s="721" t="n"/>
      <c r="AS92" s="961" t="n"/>
      <c r="AT92" s="721" t="n"/>
      <c r="AU92" s="961" t="n"/>
      <c r="AV92" s="721" t="n"/>
      <c r="AW92" s="962" t="n"/>
      <c r="AX92" s="718" t="n"/>
      <c r="AY92" s="961" t="n"/>
      <c r="AZ92" s="721" t="n"/>
      <c r="BA92" s="961" t="n"/>
      <c r="BB92" s="721" t="n"/>
      <c r="BC92" s="961" t="n"/>
      <c r="BD92" s="721" t="n"/>
      <c r="BE92" s="962" t="n"/>
      <c r="BF92" s="718" t="n"/>
      <c r="BG92" s="961" t="n"/>
      <c r="BH92" s="717" t="n"/>
      <c r="BI92" s="963" t="n"/>
      <c r="BJ92" s="721" t="n"/>
      <c r="BK92" s="961" t="n"/>
      <c r="BL92" s="721" t="n"/>
      <c r="BM92" s="962" t="n"/>
    </row>
    <row r="93">
      <c r="A93" s="722" t="n"/>
      <c r="B93" s="721" t="n"/>
      <c r="C93" s="961" t="n"/>
      <c r="D93" s="721" t="n"/>
      <c r="E93" s="961" t="n"/>
      <c r="F93" s="721" t="n"/>
      <c r="G93" s="961" t="n"/>
      <c r="H93" s="721" t="n"/>
      <c r="I93" s="962" t="n"/>
      <c r="J93" s="718" t="n"/>
      <c r="K93" s="961" t="n"/>
      <c r="L93" s="721" t="n"/>
      <c r="M93" s="961" t="n"/>
      <c r="N93" s="721" t="n"/>
      <c r="O93" s="961" t="n"/>
      <c r="P93" s="721" t="n"/>
      <c r="Q93" s="962" t="n"/>
      <c r="R93" s="718" t="n"/>
      <c r="S93" s="961" t="n"/>
      <c r="T93" s="721" t="n"/>
      <c r="U93" s="961" t="n"/>
      <c r="V93" s="721" t="n"/>
      <c r="W93" s="961" t="n"/>
      <c r="X93" s="721" t="n"/>
      <c r="Y93" s="962" t="n"/>
      <c r="Z93" s="718" t="n"/>
      <c r="AA93" s="961" t="n"/>
      <c r="AB93" s="721" t="n"/>
      <c r="AC93" s="961" t="n"/>
      <c r="AD93" s="721" t="n"/>
      <c r="AE93" s="961" t="n"/>
      <c r="AF93" s="721" t="n"/>
      <c r="AG93" s="962" t="n"/>
      <c r="AH93" s="718" t="n"/>
      <c r="AI93" s="961" t="n"/>
      <c r="AJ93" s="721" t="n"/>
      <c r="AK93" s="961" t="n"/>
      <c r="AL93" s="721" t="n"/>
      <c r="AM93" s="961" t="n"/>
      <c r="AN93" s="721" t="n"/>
      <c r="AO93" s="962" t="n"/>
      <c r="AP93" s="718" t="n"/>
      <c r="AQ93" s="961" t="n"/>
      <c r="AR93" s="721" t="n"/>
      <c r="AS93" s="961" t="n"/>
      <c r="AT93" s="721" t="n"/>
      <c r="AU93" s="961" t="n"/>
      <c r="AV93" s="721" t="n"/>
      <c r="AW93" s="962" t="n"/>
      <c r="AX93" s="718" t="n"/>
      <c r="AY93" s="961" t="n"/>
      <c r="AZ93" s="721" t="n"/>
      <c r="BA93" s="961" t="n"/>
      <c r="BB93" s="721" t="n"/>
      <c r="BC93" s="961" t="n"/>
      <c r="BD93" s="721" t="n"/>
      <c r="BE93" s="962" t="n"/>
      <c r="BF93" s="718" t="n"/>
      <c r="BG93" s="961" t="n"/>
      <c r="BH93" s="717" t="n"/>
      <c r="BI93" s="963" t="n"/>
      <c r="BJ93" s="721" t="n"/>
      <c r="BK93" s="961" t="n"/>
      <c r="BL93" s="721" t="n"/>
      <c r="BM93" s="962" t="n"/>
    </row>
    <row r="94">
      <c r="A94" s="722" t="n"/>
      <c r="B94" s="721" t="n"/>
      <c r="C94" s="961" t="n"/>
      <c r="D94" s="721" t="n"/>
      <c r="E94" s="961" t="n"/>
      <c r="F94" s="721" t="n"/>
      <c r="G94" s="961" t="n"/>
      <c r="H94" s="721" t="n"/>
      <c r="I94" s="962" t="n"/>
      <c r="J94" s="718" t="n"/>
      <c r="K94" s="961" t="n"/>
      <c r="L94" s="721" t="n"/>
      <c r="M94" s="961" t="n"/>
      <c r="N94" s="721" t="n"/>
      <c r="O94" s="961" t="n"/>
      <c r="P94" s="721" t="n"/>
      <c r="Q94" s="962" t="n"/>
      <c r="R94" s="718" t="n"/>
      <c r="S94" s="961" t="n"/>
      <c r="T94" s="721" t="n"/>
      <c r="U94" s="961" t="n"/>
      <c r="V94" s="721" t="n"/>
      <c r="W94" s="961" t="n"/>
      <c r="X94" s="721" t="n"/>
      <c r="Y94" s="962" t="n"/>
      <c r="Z94" s="718" t="n"/>
      <c r="AA94" s="961" t="n"/>
      <c r="AB94" s="721" t="n"/>
      <c r="AC94" s="961" t="n"/>
      <c r="AD94" s="721" t="n"/>
      <c r="AE94" s="961" t="n"/>
      <c r="AF94" s="721" t="n"/>
      <c r="AG94" s="962" t="n"/>
      <c r="AH94" s="718" t="n"/>
      <c r="AI94" s="961" t="n"/>
      <c r="AJ94" s="721" t="n"/>
      <c r="AK94" s="961" t="n"/>
      <c r="AL94" s="721" t="n"/>
      <c r="AM94" s="961" t="n"/>
      <c r="AN94" s="721" t="n"/>
      <c r="AO94" s="962" t="n"/>
      <c r="AP94" s="718" t="n"/>
      <c r="AQ94" s="961" t="n"/>
      <c r="AR94" s="721" t="n"/>
      <c r="AS94" s="961" t="n"/>
      <c r="AT94" s="721" t="n"/>
      <c r="AU94" s="961" t="n"/>
      <c r="AV94" s="721" t="n"/>
      <c r="AW94" s="962" t="n"/>
      <c r="AX94" s="718" t="n"/>
      <c r="AY94" s="961" t="n"/>
      <c r="AZ94" s="721" t="n"/>
      <c r="BA94" s="961" t="n"/>
      <c r="BB94" s="721" t="n"/>
      <c r="BC94" s="961" t="n"/>
      <c r="BD94" s="721" t="n"/>
      <c r="BE94" s="962" t="n"/>
      <c r="BF94" s="718" t="n"/>
      <c r="BG94" s="961" t="n"/>
      <c r="BH94" s="717" t="n"/>
      <c r="BI94" s="963" t="n"/>
      <c r="BJ94" s="721" t="n"/>
      <c r="BK94" s="961" t="n"/>
      <c r="BL94" s="721" t="n"/>
      <c r="BM94" s="962" t="n"/>
    </row>
    <row r="95">
      <c r="A95" s="722" t="n"/>
      <c r="B95" s="721" t="n"/>
      <c r="C95" s="961" t="n"/>
      <c r="D95" s="721" t="n"/>
      <c r="E95" s="961" t="n"/>
      <c r="F95" s="721" t="n"/>
      <c r="G95" s="961" t="n"/>
      <c r="H95" s="721" t="n"/>
      <c r="I95" s="962" t="n"/>
      <c r="J95" s="718" t="n"/>
      <c r="K95" s="961" t="n"/>
      <c r="L95" s="721" t="n"/>
      <c r="M95" s="961" t="n"/>
      <c r="N95" s="721" t="n"/>
      <c r="O95" s="961" t="n"/>
      <c r="P95" s="721" t="n"/>
      <c r="Q95" s="962" t="n"/>
      <c r="R95" s="718" t="n"/>
      <c r="S95" s="961" t="n"/>
      <c r="T95" s="721" t="n"/>
      <c r="U95" s="961" t="n"/>
      <c r="V95" s="721" t="n"/>
      <c r="W95" s="961" t="n"/>
      <c r="X95" s="721" t="n"/>
      <c r="Y95" s="962" t="n"/>
      <c r="Z95" s="718" t="n"/>
      <c r="AA95" s="961" t="n"/>
      <c r="AB95" s="721" t="n"/>
      <c r="AC95" s="961" t="n"/>
      <c r="AD95" s="721" t="n"/>
      <c r="AE95" s="961" t="n"/>
      <c r="AF95" s="721" t="n"/>
      <c r="AG95" s="962" t="n"/>
      <c r="AH95" s="718" t="n"/>
      <c r="AI95" s="961" t="n"/>
      <c r="AJ95" s="721" t="n"/>
      <c r="AK95" s="961" t="n"/>
      <c r="AL95" s="721" t="n"/>
      <c r="AM95" s="961" t="n"/>
      <c r="AN95" s="721" t="n"/>
      <c r="AO95" s="962" t="n"/>
      <c r="AP95" s="718" t="n"/>
      <c r="AQ95" s="961" t="n"/>
      <c r="AR95" s="721" t="n"/>
      <c r="AS95" s="961" t="n"/>
      <c r="AT95" s="721" t="n"/>
      <c r="AU95" s="961" t="n"/>
      <c r="AV95" s="721" t="n"/>
      <c r="AW95" s="962" t="n"/>
      <c r="AX95" s="718" t="n"/>
      <c r="AY95" s="961" t="n"/>
      <c r="AZ95" s="721" t="n"/>
      <c r="BA95" s="961" t="n"/>
      <c r="BB95" s="721" t="n"/>
      <c r="BC95" s="961" t="n"/>
      <c r="BD95" s="721" t="n"/>
      <c r="BE95" s="962" t="n"/>
      <c r="BF95" s="718" t="n"/>
      <c r="BG95" s="961" t="n"/>
      <c r="BH95" s="717" t="n"/>
      <c r="BI95" s="963" t="n"/>
      <c r="BJ95" s="721" t="n"/>
      <c r="BK95" s="961" t="n"/>
      <c r="BL95" s="721" t="n"/>
      <c r="BM95" s="962" t="n"/>
    </row>
    <row r="96">
      <c r="A96" s="722" t="n"/>
      <c r="B96" s="721" t="n"/>
      <c r="C96" s="961" t="n"/>
      <c r="D96" s="721" t="n"/>
      <c r="E96" s="961" t="n"/>
      <c r="F96" s="721" t="n"/>
      <c r="G96" s="961" t="n"/>
      <c r="H96" s="721" t="n"/>
      <c r="I96" s="962" t="n"/>
      <c r="J96" s="718" t="n"/>
      <c r="K96" s="961" t="n"/>
      <c r="L96" s="721" t="n"/>
      <c r="M96" s="961" t="n"/>
      <c r="N96" s="721" t="n"/>
      <c r="O96" s="961" t="n"/>
      <c r="P96" s="721" t="n"/>
      <c r="Q96" s="962" t="n"/>
      <c r="R96" s="718" t="n"/>
      <c r="S96" s="961" t="n"/>
      <c r="T96" s="721" t="n"/>
      <c r="U96" s="961" t="n"/>
      <c r="V96" s="721" t="n"/>
      <c r="W96" s="961" t="n"/>
      <c r="X96" s="721" t="n"/>
      <c r="Y96" s="962" t="n"/>
      <c r="Z96" s="718" t="n"/>
      <c r="AA96" s="961" t="n"/>
      <c r="AB96" s="721" t="n"/>
      <c r="AC96" s="961" t="n"/>
      <c r="AD96" s="721" t="n"/>
      <c r="AE96" s="961" t="n"/>
      <c r="AF96" s="721" t="n"/>
      <c r="AG96" s="962" t="n"/>
      <c r="AH96" s="718" t="n"/>
      <c r="AI96" s="961" t="n"/>
      <c r="AJ96" s="721" t="n"/>
      <c r="AK96" s="961" t="n"/>
      <c r="AL96" s="721" t="n"/>
      <c r="AM96" s="961" t="n"/>
      <c r="AN96" s="721" t="n"/>
      <c r="AO96" s="962" t="n"/>
      <c r="AP96" s="718" t="n"/>
      <c r="AQ96" s="961" t="n"/>
      <c r="AR96" s="721" t="n"/>
      <c r="AS96" s="961" t="n"/>
      <c r="AT96" s="721" t="n"/>
      <c r="AU96" s="961" t="n"/>
      <c r="AV96" s="721" t="n"/>
      <c r="AW96" s="962" t="n"/>
      <c r="AX96" s="718" t="n"/>
      <c r="AY96" s="961" t="n"/>
      <c r="AZ96" s="721" t="n"/>
      <c r="BA96" s="961" t="n"/>
      <c r="BB96" s="721" t="n"/>
      <c r="BC96" s="961" t="n"/>
      <c r="BD96" s="721" t="n"/>
      <c r="BE96" s="962" t="n"/>
      <c r="BF96" s="718" t="n"/>
      <c r="BG96" s="961" t="n"/>
      <c r="BH96" s="717" t="n"/>
      <c r="BI96" s="963" t="n"/>
      <c r="BJ96" s="721" t="n"/>
      <c r="BK96" s="961" t="n"/>
      <c r="BL96" s="721" t="n"/>
      <c r="BM96" s="962" t="n"/>
    </row>
    <row r="97">
      <c r="A97" s="722" t="n"/>
      <c r="B97" s="721" t="n"/>
      <c r="C97" s="961" t="n"/>
      <c r="D97" s="721" t="n"/>
      <c r="E97" s="961" t="n"/>
      <c r="F97" s="721" t="n"/>
      <c r="G97" s="961" t="n"/>
      <c r="H97" s="721" t="n"/>
      <c r="I97" s="962" t="n"/>
      <c r="J97" s="718" t="n"/>
      <c r="K97" s="961" t="n"/>
      <c r="L97" s="721" t="n"/>
      <c r="M97" s="961" t="n"/>
      <c r="N97" s="721" t="n"/>
      <c r="O97" s="961" t="n"/>
      <c r="P97" s="721" t="n"/>
      <c r="Q97" s="962" t="n"/>
      <c r="R97" s="718" t="n"/>
      <c r="S97" s="961" t="n"/>
      <c r="T97" s="721" t="n"/>
      <c r="U97" s="961" t="n"/>
      <c r="V97" s="721" t="n"/>
      <c r="W97" s="961" t="n"/>
      <c r="X97" s="721" t="n"/>
      <c r="Y97" s="962" t="n"/>
      <c r="Z97" s="718" t="n"/>
      <c r="AA97" s="961" t="n"/>
      <c r="AB97" s="721" t="n"/>
      <c r="AC97" s="961" t="n"/>
      <c r="AD97" s="721" t="n"/>
      <c r="AE97" s="961" t="n"/>
      <c r="AF97" s="721" t="n"/>
      <c r="AG97" s="962" t="n"/>
      <c r="AH97" s="718" t="n"/>
      <c r="AI97" s="961" t="n"/>
      <c r="AJ97" s="721" t="n"/>
      <c r="AK97" s="961" t="n"/>
      <c r="AL97" s="721" t="n"/>
      <c r="AM97" s="961" t="n"/>
      <c r="AN97" s="721" t="n"/>
      <c r="AO97" s="962" t="n"/>
      <c r="AP97" s="718" t="n"/>
      <c r="AQ97" s="961" t="n"/>
      <c r="AR97" s="721" t="n"/>
      <c r="AS97" s="961" t="n"/>
      <c r="AT97" s="721" t="n"/>
      <c r="AU97" s="961" t="n"/>
      <c r="AV97" s="721" t="n"/>
      <c r="AW97" s="962" t="n"/>
      <c r="AX97" s="718" t="n"/>
      <c r="AY97" s="961" t="n"/>
      <c r="AZ97" s="721" t="n"/>
      <c r="BA97" s="961" t="n"/>
      <c r="BB97" s="721" t="n"/>
      <c r="BC97" s="961" t="n"/>
      <c r="BD97" s="721" t="n"/>
      <c r="BE97" s="962" t="n"/>
      <c r="BF97" s="718" t="n"/>
      <c r="BG97" s="961" t="n"/>
      <c r="BH97" s="717" t="n"/>
      <c r="BI97" s="963" t="n"/>
      <c r="BJ97" s="721" t="n"/>
      <c r="BK97" s="961" t="n"/>
      <c r="BL97" s="721" t="n"/>
      <c r="BM97" s="962" t="n"/>
    </row>
    <row r="98">
      <c r="A98" s="722" t="n"/>
      <c r="B98" s="721" t="n"/>
      <c r="C98" s="961" t="n"/>
      <c r="D98" s="721" t="n"/>
      <c r="E98" s="961" t="n"/>
      <c r="F98" s="721" t="n"/>
      <c r="G98" s="961" t="n"/>
      <c r="H98" s="721" t="n"/>
      <c r="I98" s="962" t="n"/>
      <c r="J98" s="718" t="n"/>
      <c r="K98" s="961" t="n"/>
      <c r="L98" s="721" t="n"/>
      <c r="M98" s="961" t="n"/>
      <c r="N98" s="721" t="n"/>
      <c r="O98" s="961" t="n"/>
      <c r="P98" s="721" t="n"/>
      <c r="Q98" s="962" t="n"/>
      <c r="R98" s="718" t="n"/>
      <c r="S98" s="961" t="n"/>
      <c r="T98" s="721" t="n"/>
      <c r="U98" s="961" t="n"/>
      <c r="V98" s="721" t="n"/>
      <c r="W98" s="961" t="n"/>
      <c r="X98" s="721" t="n"/>
      <c r="Y98" s="962" t="n"/>
      <c r="Z98" s="718" t="n"/>
      <c r="AA98" s="961" t="n"/>
      <c r="AB98" s="721" t="n"/>
      <c r="AC98" s="961" t="n"/>
      <c r="AD98" s="721" t="n"/>
      <c r="AE98" s="961" t="n"/>
      <c r="AF98" s="721" t="n"/>
      <c r="AG98" s="962" t="n"/>
      <c r="AH98" s="718" t="n"/>
      <c r="AI98" s="961" t="n"/>
      <c r="AJ98" s="721" t="n"/>
      <c r="AK98" s="961" t="n"/>
      <c r="AL98" s="721" t="n"/>
      <c r="AM98" s="961" t="n"/>
      <c r="AN98" s="721" t="n"/>
      <c r="AO98" s="962" t="n"/>
      <c r="AP98" s="718" t="n"/>
      <c r="AQ98" s="961" t="n"/>
      <c r="AR98" s="721" t="n"/>
      <c r="AS98" s="961" t="n"/>
      <c r="AT98" s="721" t="n"/>
      <c r="AU98" s="961" t="n"/>
      <c r="AV98" s="721" t="n"/>
      <c r="AW98" s="962" t="n"/>
      <c r="AX98" s="718" t="n"/>
      <c r="AY98" s="961" t="n"/>
      <c r="AZ98" s="721" t="n"/>
      <c r="BA98" s="961" t="n"/>
      <c r="BB98" s="721" t="n"/>
      <c r="BC98" s="961" t="n"/>
      <c r="BD98" s="721" t="n"/>
      <c r="BE98" s="962" t="n"/>
      <c r="BF98" s="718" t="n"/>
      <c r="BG98" s="961" t="n"/>
      <c r="BH98" s="717" t="n"/>
      <c r="BI98" s="963" t="n"/>
      <c r="BJ98" s="721" t="n"/>
      <c r="BK98" s="961" t="n"/>
      <c r="BL98" s="721" t="n"/>
      <c r="BM98" s="962" t="n"/>
    </row>
    <row r="99">
      <c r="A99" s="722" t="n"/>
      <c r="B99" s="721" t="n"/>
      <c r="C99" s="961" t="n"/>
      <c r="D99" s="721" t="n"/>
      <c r="E99" s="961" t="n"/>
      <c r="F99" s="721" t="n"/>
      <c r="G99" s="961" t="n"/>
      <c r="H99" s="721" t="n"/>
      <c r="I99" s="962" t="n"/>
      <c r="J99" s="718" t="n"/>
      <c r="K99" s="961" t="n"/>
      <c r="L99" s="721" t="n"/>
      <c r="M99" s="961" t="n"/>
      <c r="N99" s="721" t="n"/>
      <c r="O99" s="961" t="n"/>
      <c r="P99" s="721" t="n"/>
      <c r="Q99" s="962" t="n"/>
      <c r="R99" s="718" t="n"/>
      <c r="S99" s="961" t="n"/>
      <c r="T99" s="721" t="n"/>
      <c r="U99" s="961" t="n"/>
      <c r="V99" s="721" t="n"/>
      <c r="W99" s="961" t="n"/>
      <c r="X99" s="721" t="n"/>
      <c r="Y99" s="962" t="n"/>
      <c r="Z99" s="718" t="n"/>
      <c r="AA99" s="961" t="n"/>
      <c r="AB99" s="721" t="n"/>
      <c r="AC99" s="961" t="n"/>
      <c r="AD99" s="721" t="n"/>
      <c r="AE99" s="961" t="n"/>
      <c r="AF99" s="721" t="n"/>
      <c r="AG99" s="962" t="n"/>
      <c r="AH99" s="718" t="n"/>
      <c r="AI99" s="961" t="n"/>
      <c r="AJ99" s="721" t="n"/>
      <c r="AK99" s="961" t="n"/>
      <c r="AL99" s="721" t="n"/>
      <c r="AM99" s="961" t="n"/>
      <c r="AN99" s="721" t="n"/>
      <c r="AO99" s="962" t="n"/>
      <c r="AP99" s="718" t="n"/>
      <c r="AQ99" s="961" t="n"/>
      <c r="AR99" s="721" t="n"/>
      <c r="AS99" s="961" t="n"/>
      <c r="AT99" s="721" t="n"/>
      <c r="AU99" s="961" t="n"/>
      <c r="AV99" s="721" t="n"/>
      <c r="AW99" s="962" t="n"/>
      <c r="AX99" s="718" t="n"/>
      <c r="AY99" s="961" t="n"/>
      <c r="AZ99" s="721" t="n"/>
      <c r="BA99" s="961" t="n"/>
      <c r="BB99" s="721" t="n"/>
      <c r="BC99" s="961" t="n"/>
      <c r="BD99" s="721" t="n"/>
      <c r="BE99" s="962" t="n"/>
      <c r="BF99" s="718" t="n"/>
      <c r="BG99" s="961" t="n"/>
      <c r="BH99" s="717" t="n"/>
      <c r="BI99" s="963" t="n"/>
      <c r="BJ99" s="721" t="n"/>
      <c r="BK99" s="961" t="n"/>
      <c r="BL99" s="721" t="n"/>
      <c r="BM99" s="962" t="n"/>
    </row>
    <row r="100">
      <c r="A100" s="722" t="n"/>
      <c r="B100" s="721" t="n"/>
      <c r="C100" s="961" t="n"/>
      <c r="D100" s="721" t="n"/>
      <c r="E100" s="961" t="n"/>
      <c r="F100" s="721" t="n"/>
      <c r="G100" s="961" t="n"/>
      <c r="H100" s="721" t="n"/>
      <c r="I100" s="962" t="n"/>
      <c r="J100" s="718" t="n"/>
      <c r="K100" s="961" t="n"/>
      <c r="L100" s="721" t="n"/>
      <c r="M100" s="961" t="n"/>
      <c r="N100" s="721" t="n"/>
      <c r="O100" s="961" t="n"/>
      <c r="P100" s="721" t="n"/>
      <c r="Q100" s="962" t="n"/>
      <c r="R100" s="718" t="n"/>
      <c r="S100" s="961" t="n"/>
      <c r="T100" s="721" t="n"/>
      <c r="U100" s="961" t="n"/>
      <c r="V100" s="721" t="n"/>
      <c r="W100" s="961" t="n"/>
      <c r="X100" s="721" t="n"/>
      <c r="Y100" s="962" t="n"/>
      <c r="Z100" s="718" t="n"/>
      <c r="AA100" s="961" t="n"/>
      <c r="AB100" s="721" t="n"/>
      <c r="AC100" s="961" t="n"/>
      <c r="AD100" s="721" t="n"/>
      <c r="AE100" s="961" t="n"/>
      <c r="AF100" s="721" t="n"/>
      <c r="AG100" s="962" t="n"/>
      <c r="AH100" s="718" t="n"/>
      <c r="AI100" s="961" t="n"/>
      <c r="AJ100" s="721" t="n"/>
      <c r="AK100" s="961" t="n"/>
      <c r="AL100" s="721" t="n"/>
      <c r="AM100" s="961" t="n"/>
      <c r="AN100" s="721" t="n"/>
      <c r="AO100" s="962" t="n"/>
      <c r="AP100" s="718" t="n"/>
      <c r="AQ100" s="961" t="n"/>
      <c r="AR100" s="721" t="n"/>
      <c r="AS100" s="961" t="n"/>
      <c r="AT100" s="721" t="n"/>
      <c r="AU100" s="961" t="n"/>
      <c r="AV100" s="721" t="n"/>
      <c r="AW100" s="962" t="n"/>
      <c r="AX100" s="718" t="n"/>
      <c r="AY100" s="961" t="n"/>
      <c r="AZ100" s="721" t="n"/>
      <c r="BA100" s="961" t="n"/>
      <c r="BB100" s="721" t="n"/>
      <c r="BC100" s="961" t="n"/>
      <c r="BD100" s="721" t="n"/>
      <c r="BE100" s="962" t="n"/>
      <c r="BF100" s="718" t="n"/>
      <c r="BG100" s="961" t="n"/>
      <c r="BH100" s="717" t="n"/>
      <c r="BI100" s="963" t="n"/>
      <c r="BJ100" s="721" t="n"/>
      <c r="BK100" s="961" t="n"/>
      <c r="BL100" s="721" t="n"/>
      <c r="BM100" s="962" t="n"/>
    </row>
    <row r="101">
      <c r="A101" s="722" t="n"/>
      <c r="B101" s="721" t="n"/>
      <c r="C101" s="961" t="n"/>
      <c r="D101" s="721" t="n"/>
      <c r="E101" s="961" t="n"/>
      <c r="F101" s="721" t="n"/>
      <c r="G101" s="961" t="n"/>
      <c r="H101" s="721" t="n"/>
      <c r="I101" s="962" t="n"/>
      <c r="J101" s="718" t="n"/>
      <c r="K101" s="961" t="n"/>
      <c r="L101" s="721" t="n"/>
      <c r="M101" s="961" t="n"/>
      <c r="N101" s="721" t="n"/>
      <c r="O101" s="961" t="n"/>
      <c r="P101" s="721" t="n"/>
      <c r="Q101" s="962" t="n"/>
      <c r="R101" s="718" t="n"/>
      <c r="S101" s="961" t="n"/>
      <c r="T101" s="721" t="n"/>
      <c r="U101" s="961" t="n"/>
      <c r="V101" s="721" t="n"/>
      <c r="W101" s="961" t="n"/>
      <c r="X101" s="721" t="n"/>
      <c r="Y101" s="962" t="n"/>
      <c r="Z101" s="718" t="n"/>
      <c r="AA101" s="961" t="n"/>
      <c r="AB101" s="721" t="n"/>
      <c r="AC101" s="961" t="n"/>
      <c r="AD101" s="721" t="n"/>
      <c r="AE101" s="961" t="n"/>
      <c r="AF101" s="721" t="n"/>
      <c r="AG101" s="962" t="n"/>
      <c r="AH101" s="718" t="n"/>
      <c r="AI101" s="961" t="n"/>
      <c r="AJ101" s="721" t="n"/>
      <c r="AK101" s="961" t="n"/>
      <c r="AL101" s="721" t="n"/>
      <c r="AM101" s="961" t="n"/>
      <c r="AN101" s="721" t="n"/>
      <c r="AO101" s="962" t="n"/>
      <c r="AP101" s="718" t="n"/>
      <c r="AQ101" s="961" t="n"/>
      <c r="AR101" s="721" t="n"/>
      <c r="AS101" s="961" t="n"/>
      <c r="AT101" s="721" t="n"/>
      <c r="AU101" s="961" t="n"/>
      <c r="AV101" s="721" t="n"/>
      <c r="AW101" s="962" t="n"/>
      <c r="AX101" s="718" t="n"/>
      <c r="AY101" s="961" t="n"/>
      <c r="AZ101" s="721" t="n"/>
      <c r="BA101" s="961" t="n"/>
      <c r="BB101" s="721" t="n"/>
      <c r="BC101" s="961" t="n"/>
      <c r="BD101" s="721" t="n"/>
      <c r="BE101" s="962" t="n"/>
      <c r="BF101" s="718" t="n"/>
      <c r="BG101" s="961" t="n"/>
      <c r="BH101" s="717" t="n"/>
      <c r="BI101" s="963" t="n"/>
      <c r="BJ101" s="721" t="n"/>
      <c r="BK101" s="961" t="n"/>
      <c r="BL101" s="721" t="n"/>
      <c r="BM101" s="962" t="n"/>
    </row>
    <row r="102">
      <c r="A102" s="722" t="n"/>
      <c r="B102" s="721" t="n"/>
      <c r="C102" s="961" t="n"/>
      <c r="D102" s="721" t="n"/>
      <c r="E102" s="961" t="n"/>
      <c r="F102" s="721" t="n"/>
      <c r="G102" s="961" t="n"/>
      <c r="H102" s="721" t="n"/>
      <c r="I102" s="962" t="n"/>
      <c r="J102" s="718" t="n"/>
      <c r="K102" s="961" t="n"/>
      <c r="L102" s="721" t="n"/>
      <c r="M102" s="961" t="n"/>
      <c r="N102" s="721" t="n"/>
      <c r="O102" s="961" t="n"/>
      <c r="P102" s="721" t="n"/>
      <c r="Q102" s="962" t="n"/>
      <c r="R102" s="718" t="n"/>
      <c r="S102" s="961" t="n"/>
      <c r="T102" s="721" t="n"/>
      <c r="U102" s="961" t="n"/>
      <c r="V102" s="721" t="n"/>
      <c r="W102" s="961" t="n"/>
      <c r="X102" s="721" t="n"/>
      <c r="Y102" s="962" t="n"/>
      <c r="Z102" s="718" t="n"/>
      <c r="AA102" s="961" t="n"/>
      <c r="AB102" s="721" t="n"/>
      <c r="AC102" s="961" t="n"/>
      <c r="AD102" s="721" t="n"/>
      <c r="AE102" s="961" t="n"/>
      <c r="AF102" s="721" t="n"/>
      <c r="AG102" s="962" t="n"/>
      <c r="AH102" s="718" t="n"/>
      <c r="AI102" s="961" t="n"/>
      <c r="AJ102" s="721" t="n"/>
      <c r="AK102" s="961" t="n"/>
      <c r="AL102" s="721" t="n"/>
      <c r="AM102" s="961" t="n"/>
      <c r="AN102" s="721" t="n"/>
      <c r="AO102" s="962" t="n"/>
      <c r="AP102" s="718" t="n"/>
      <c r="AQ102" s="961" t="n"/>
      <c r="AR102" s="721" t="n"/>
      <c r="AS102" s="961" t="n"/>
      <c r="AT102" s="721" t="n"/>
      <c r="AU102" s="961" t="n"/>
      <c r="AV102" s="721" t="n"/>
      <c r="AW102" s="962" t="n"/>
      <c r="AX102" s="718" t="n"/>
      <c r="AY102" s="961" t="n"/>
      <c r="AZ102" s="721" t="n"/>
      <c r="BA102" s="961" t="n"/>
      <c r="BB102" s="721" t="n"/>
      <c r="BC102" s="961" t="n"/>
      <c r="BD102" s="721" t="n"/>
      <c r="BE102" s="962" t="n"/>
      <c r="BF102" s="718" t="n"/>
      <c r="BG102" s="961" t="n"/>
      <c r="BH102" s="717" t="n"/>
      <c r="BI102" s="963" t="n"/>
      <c r="BJ102" s="721" t="n"/>
      <c r="BK102" s="961" t="n"/>
      <c r="BL102" s="721" t="n"/>
      <c r="BM102" s="962" t="n"/>
    </row>
    <row r="103">
      <c r="A103" s="722" t="n"/>
      <c r="B103" s="721" t="n"/>
      <c r="C103" s="961" t="n"/>
      <c r="D103" s="721" t="n"/>
      <c r="E103" s="961" t="n"/>
      <c r="F103" s="721" t="n"/>
      <c r="G103" s="961" t="n"/>
      <c r="H103" s="721" t="n"/>
      <c r="I103" s="962" t="n"/>
      <c r="J103" s="718" t="n"/>
      <c r="K103" s="961" t="n"/>
      <c r="L103" s="721" t="n"/>
      <c r="M103" s="961" t="n"/>
      <c r="N103" s="721" t="n"/>
      <c r="O103" s="961" t="n"/>
      <c r="P103" s="721" t="n"/>
      <c r="Q103" s="962" t="n"/>
      <c r="R103" s="718" t="n"/>
      <c r="S103" s="961" t="n"/>
      <c r="T103" s="721" t="n"/>
      <c r="U103" s="961" t="n"/>
      <c r="V103" s="721" t="n"/>
      <c r="W103" s="961" t="n"/>
      <c r="X103" s="721" t="n"/>
      <c r="Y103" s="962" t="n"/>
      <c r="Z103" s="718" t="n"/>
      <c r="AA103" s="961" t="n"/>
      <c r="AB103" s="721" t="n"/>
      <c r="AC103" s="961" t="n"/>
      <c r="AD103" s="721" t="n"/>
      <c r="AE103" s="961" t="n"/>
      <c r="AF103" s="721" t="n"/>
      <c r="AG103" s="962" t="n"/>
      <c r="AH103" s="718" t="n"/>
      <c r="AI103" s="961" t="n"/>
      <c r="AJ103" s="721" t="n"/>
      <c r="AK103" s="961" t="n"/>
      <c r="AL103" s="721" t="n"/>
      <c r="AM103" s="961" t="n"/>
      <c r="AN103" s="721" t="n"/>
      <c r="AO103" s="962" t="n"/>
      <c r="AP103" s="718" t="n"/>
      <c r="AQ103" s="961" t="n"/>
      <c r="AR103" s="721" t="n"/>
      <c r="AS103" s="961" t="n"/>
      <c r="AT103" s="721" t="n"/>
      <c r="AU103" s="961" t="n"/>
      <c r="AV103" s="721" t="n"/>
      <c r="AW103" s="962" t="n"/>
      <c r="AX103" s="718" t="n"/>
      <c r="AY103" s="961" t="n"/>
      <c r="AZ103" s="721" t="n"/>
      <c r="BA103" s="961" t="n"/>
      <c r="BB103" s="721" t="n"/>
      <c r="BC103" s="961" t="n"/>
      <c r="BD103" s="721" t="n"/>
      <c r="BE103" s="962" t="n"/>
      <c r="BF103" s="718" t="n"/>
      <c r="BG103" s="961" t="n"/>
      <c r="BH103" s="717" t="n"/>
      <c r="BI103" s="963" t="n"/>
      <c r="BJ103" s="721" t="n"/>
      <c r="BK103" s="961" t="n"/>
      <c r="BL103" s="721" t="n"/>
      <c r="BM103" s="962" t="n"/>
    </row>
    <row r="104">
      <c r="A104" s="722" t="n"/>
      <c r="B104" s="721" t="n"/>
      <c r="C104" s="961" t="n"/>
      <c r="D104" s="721" t="n"/>
      <c r="E104" s="961" t="n"/>
      <c r="F104" s="721" t="n"/>
      <c r="G104" s="961" t="n"/>
      <c r="H104" s="721" t="n"/>
      <c r="I104" s="962" t="n"/>
      <c r="J104" s="718" t="n"/>
      <c r="K104" s="961" t="n"/>
      <c r="L104" s="721" t="n"/>
      <c r="M104" s="961" t="n"/>
      <c r="N104" s="721" t="n"/>
      <c r="O104" s="961" t="n"/>
      <c r="P104" s="721" t="n"/>
      <c r="Q104" s="962" t="n"/>
      <c r="R104" s="718" t="n"/>
      <c r="S104" s="961" t="n"/>
      <c r="T104" s="721" t="n"/>
      <c r="U104" s="961" t="n"/>
      <c r="V104" s="721" t="n"/>
      <c r="W104" s="961" t="n"/>
      <c r="X104" s="721" t="n"/>
      <c r="Y104" s="962" t="n"/>
      <c r="Z104" s="718" t="n"/>
      <c r="AA104" s="961" t="n"/>
      <c r="AB104" s="721" t="n"/>
      <c r="AC104" s="961" t="n"/>
      <c r="AD104" s="721" t="n"/>
      <c r="AE104" s="961" t="n"/>
      <c r="AF104" s="721" t="n"/>
      <c r="AG104" s="962" t="n"/>
      <c r="AH104" s="718" t="n"/>
      <c r="AI104" s="961" t="n"/>
      <c r="AJ104" s="721" t="n"/>
      <c r="AK104" s="961" t="n"/>
      <c r="AL104" s="721" t="n"/>
      <c r="AM104" s="961" t="n"/>
      <c r="AN104" s="721" t="n"/>
      <c r="AO104" s="962" t="n"/>
      <c r="AP104" s="718" t="n"/>
      <c r="AQ104" s="961" t="n"/>
      <c r="AR104" s="721" t="n"/>
      <c r="AS104" s="961" t="n"/>
      <c r="AT104" s="721" t="n"/>
      <c r="AU104" s="961" t="n"/>
      <c r="AV104" s="721" t="n"/>
      <c r="AW104" s="962" t="n"/>
      <c r="AX104" s="718" t="n"/>
      <c r="AY104" s="961" t="n"/>
      <c r="AZ104" s="721" t="n"/>
      <c r="BA104" s="961" t="n"/>
      <c r="BB104" s="721" t="n"/>
      <c r="BC104" s="961" t="n"/>
      <c r="BD104" s="721" t="n"/>
      <c r="BE104" s="962" t="n"/>
      <c r="BF104" s="718" t="n"/>
      <c r="BG104" s="961" t="n"/>
      <c r="BH104" s="717" t="n"/>
      <c r="BI104" s="963" t="n"/>
      <c r="BJ104" s="721" t="n"/>
      <c r="BK104" s="961" t="n"/>
      <c r="BL104" s="721" t="n"/>
      <c r="BM104" s="962" t="n"/>
    </row>
    <row r="105">
      <c r="A105" s="722" t="n"/>
      <c r="B105" s="721" t="n"/>
      <c r="C105" s="961" t="n"/>
      <c r="D105" s="721" t="n"/>
      <c r="E105" s="961" t="n"/>
      <c r="F105" s="721" t="n"/>
      <c r="G105" s="961" t="n"/>
      <c r="H105" s="721" t="n"/>
      <c r="I105" s="962" t="n"/>
      <c r="J105" s="718" t="n"/>
      <c r="K105" s="961" t="n"/>
      <c r="L105" s="721" t="n"/>
      <c r="M105" s="961" t="n"/>
      <c r="N105" s="721" t="n"/>
      <c r="O105" s="961" t="n"/>
      <c r="P105" s="721" t="n"/>
      <c r="Q105" s="962" t="n"/>
      <c r="R105" s="718" t="n"/>
      <c r="S105" s="961" t="n"/>
      <c r="T105" s="721" t="n"/>
      <c r="U105" s="961" t="n"/>
      <c r="V105" s="721" t="n"/>
      <c r="W105" s="961" t="n"/>
      <c r="X105" s="721" t="n"/>
      <c r="Y105" s="962" t="n"/>
      <c r="Z105" s="718" t="n"/>
      <c r="AA105" s="961" t="n"/>
      <c r="AB105" s="721" t="n"/>
      <c r="AC105" s="961" t="n"/>
      <c r="AD105" s="721" t="n"/>
      <c r="AE105" s="961" t="n"/>
      <c r="AF105" s="721" t="n"/>
      <c r="AG105" s="962" t="n"/>
      <c r="AH105" s="718" t="n"/>
      <c r="AI105" s="961" t="n"/>
      <c r="AJ105" s="721" t="n"/>
      <c r="AK105" s="961" t="n"/>
      <c r="AL105" s="721" t="n"/>
      <c r="AM105" s="961" t="n"/>
      <c r="AN105" s="721" t="n"/>
      <c r="AO105" s="962" t="n"/>
      <c r="AP105" s="718" t="n"/>
      <c r="AQ105" s="961" t="n"/>
      <c r="AR105" s="721" t="n"/>
      <c r="AS105" s="961" t="n"/>
      <c r="AT105" s="721" t="n"/>
      <c r="AU105" s="961" t="n"/>
      <c r="AV105" s="721" t="n"/>
      <c r="AW105" s="962" t="n"/>
      <c r="AX105" s="718" t="n"/>
      <c r="AY105" s="961" t="n"/>
      <c r="AZ105" s="721" t="n"/>
      <c r="BA105" s="961" t="n"/>
      <c r="BB105" s="721" t="n"/>
      <c r="BC105" s="961" t="n"/>
      <c r="BD105" s="721" t="n"/>
      <c r="BE105" s="962" t="n"/>
      <c r="BF105" s="718" t="n"/>
      <c r="BG105" s="961" t="n"/>
      <c r="BH105" s="717" t="n"/>
      <c r="BI105" s="963" t="n"/>
      <c r="BJ105" s="721" t="n"/>
      <c r="BK105" s="961" t="n"/>
      <c r="BL105" s="721" t="n"/>
      <c r="BM105" s="962" t="n"/>
    </row>
    <row r="106">
      <c r="A106" s="722" t="n"/>
      <c r="B106" s="721" t="n"/>
      <c r="C106" s="961" t="n"/>
      <c r="D106" s="721" t="n"/>
      <c r="E106" s="961" t="n"/>
      <c r="F106" s="721" t="n"/>
      <c r="G106" s="961" t="n"/>
      <c r="H106" s="721" t="n"/>
      <c r="I106" s="962" t="n"/>
      <c r="J106" s="718" t="n"/>
      <c r="K106" s="961" t="n"/>
      <c r="L106" s="721" t="n"/>
      <c r="M106" s="961" t="n"/>
      <c r="N106" s="721" t="n"/>
      <c r="O106" s="961" t="n"/>
      <c r="P106" s="721" t="n"/>
      <c r="Q106" s="962" t="n"/>
      <c r="R106" s="718" t="n"/>
      <c r="S106" s="961" t="n"/>
      <c r="T106" s="721" t="n"/>
      <c r="U106" s="961" t="n"/>
      <c r="V106" s="721" t="n"/>
      <c r="W106" s="961" t="n"/>
      <c r="X106" s="721" t="n"/>
      <c r="Y106" s="962" t="n"/>
      <c r="Z106" s="718" t="n"/>
      <c r="AA106" s="961" t="n"/>
      <c r="AB106" s="721" t="n"/>
      <c r="AC106" s="961" t="n"/>
      <c r="AD106" s="721" t="n"/>
      <c r="AE106" s="961" t="n"/>
      <c r="AF106" s="721" t="n"/>
      <c r="AG106" s="962" t="n"/>
      <c r="AH106" s="718" t="n"/>
      <c r="AI106" s="961" t="n"/>
      <c r="AJ106" s="721" t="n"/>
      <c r="AK106" s="961" t="n"/>
      <c r="AL106" s="721" t="n"/>
      <c r="AM106" s="961" t="n"/>
      <c r="AN106" s="721" t="n"/>
      <c r="AO106" s="962" t="n"/>
      <c r="AP106" s="718" t="n"/>
      <c r="AQ106" s="961" t="n"/>
      <c r="AR106" s="721" t="n"/>
      <c r="AS106" s="961" t="n"/>
      <c r="AT106" s="721" t="n"/>
      <c r="AU106" s="961" t="n"/>
      <c r="AV106" s="721" t="n"/>
      <c r="AW106" s="962" t="n"/>
      <c r="AX106" s="718" t="n"/>
      <c r="AY106" s="961" t="n"/>
      <c r="AZ106" s="721" t="n"/>
      <c r="BA106" s="961" t="n"/>
      <c r="BB106" s="721" t="n"/>
      <c r="BC106" s="961" t="n"/>
      <c r="BD106" s="721" t="n"/>
      <c r="BE106" s="962" t="n"/>
      <c r="BF106" s="718" t="n"/>
      <c r="BG106" s="961" t="n"/>
      <c r="BH106" s="717" t="n"/>
      <c r="BI106" s="963" t="n"/>
      <c r="BJ106" s="721" t="n"/>
      <c r="BK106" s="961" t="n"/>
      <c r="BL106" s="721" t="n"/>
      <c r="BM106" s="962" t="n"/>
    </row>
    <row r="107">
      <c r="A107" s="722" t="n"/>
      <c r="B107" s="721" t="n"/>
      <c r="C107" s="961" t="n"/>
      <c r="D107" s="721" t="n"/>
      <c r="E107" s="961" t="n"/>
      <c r="F107" s="721" t="n"/>
      <c r="G107" s="961" t="n"/>
      <c r="H107" s="721" t="n"/>
      <c r="I107" s="962" t="n"/>
      <c r="J107" s="718" t="n"/>
      <c r="K107" s="961" t="n"/>
      <c r="L107" s="721" t="n"/>
      <c r="M107" s="961" t="n"/>
      <c r="N107" s="721" t="n"/>
      <c r="O107" s="961" t="n"/>
      <c r="P107" s="721" t="n"/>
      <c r="Q107" s="962" t="n"/>
      <c r="R107" s="718" t="n"/>
      <c r="S107" s="961" t="n"/>
      <c r="T107" s="721" t="n"/>
      <c r="U107" s="961" t="n"/>
      <c r="V107" s="721" t="n"/>
      <c r="W107" s="961" t="n"/>
      <c r="X107" s="721" t="n"/>
      <c r="Y107" s="962" t="n"/>
      <c r="Z107" s="718" t="n"/>
      <c r="AA107" s="961" t="n"/>
      <c r="AB107" s="721" t="n"/>
      <c r="AC107" s="961" t="n"/>
      <c r="AD107" s="721" t="n"/>
      <c r="AE107" s="961" t="n"/>
      <c r="AF107" s="721" t="n"/>
      <c r="AG107" s="962" t="n"/>
      <c r="AH107" s="718" t="n"/>
      <c r="AI107" s="961" t="n"/>
      <c r="AJ107" s="721" t="n"/>
      <c r="AK107" s="961" t="n"/>
      <c r="AL107" s="721" t="n"/>
      <c r="AM107" s="961" t="n"/>
      <c r="AN107" s="721" t="n"/>
      <c r="AO107" s="962" t="n"/>
      <c r="AP107" s="718" t="n"/>
      <c r="AQ107" s="961" t="n"/>
      <c r="AR107" s="721" t="n"/>
      <c r="AS107" s="961" t="n"/>
      <c r="AT107" s="721" t="n"/>
      <c r="AU107" s="961" t="n"/>
      <c r="AV107" s="721" t="n"/>
      <c r="AW107" s="962" t="n"/>
      <c r="AX107" s="718" t="n"/>
      <c r="AY107" s="961" t="n"/>
      <c r="AZ107" s="721" t="n"/>
      <c r="BA107" s="961" t="n"/>
      <c r="BB107" s="721" t="n"/>
      <c r="BC107" s="961" t="n"/>
      <c r="BD107" s="721" t="n"/>
      <c r="BE107" s="962" t="n"/>
      <c r="BF107" s="718" t="n"/>
      <c r="BG107" s="961" t="n"/>
      <c r="BH107" s="717" t="n"/>
      <c r="BI107" s="963" t="n"/>
      <c r="BJ107" s="721" t="n"/>
      <c r="BK107" s="961" t="n"/>
      <c r="BL107" s="721" t="n"/>
      <c r="BM107" s="962" t="n"/>
    </row>
    <row r="108">
      <c r="A108" s="722" t="n"/>
      <c r="B108" s="721" t="n"/>
      <c r="C108" s="961" t="n"/>
      <c r="D108" s="721" t="n"/>
      <c r="E108" s="961" t="n"/>
      <c r="F108" s="721" t="n"/>
      <c r="G108" s="961" t="n"/>
      <c r="H108" s="721" t="n"/>
      <c r="I108" s="962" t="n"/>
      <c r="J108" s="718" t="n"/>
      <c r="K108" s="961" t="n"/>
      <c r="L108" s="721" t="n"/>
      <c r="M108" s="961" t="n"/>
      <c r="N108" s="721" t="n"/>
      <c r="O108" s="961" t="n"/>
      <c r="P108" s="721" t="n"/>
      <c r="Q108" s="962" t="n"/>
      <c r="R108" s="718" t="n"/>
      <c r="S108" s="961" t="n"/>
      <c r="T108" s="721" t="n"/>
      <c r="U108" s="961" t="n"/>
      <c r="V108" s="721" t="n"/>
      <c r="W108" s="961" t="n"/>
      <c r="X108" s="721" t="n"/>
      <c r="Y108" s="962" t="n"/>
      <c r="Z108" s="718" t="n"/>
      <c r="AA108" s="961" t="n"/>
      <c r="AB108" s="721" t="n"/>
      <c r="AC108" s="961" t="n"/>
      <c r="AD108" s="721" t="n"/>
      <c r="AE108" s="961" t="n"/>
      <c r="AF108" s="721" t="n"/>
      <c r="AG108" s="962" t="n"/>
      <c r="AH108" s="718" t="n"/>
      <c r="AI108" s="961" t="n"/>
      <c r="AJ108" s="721" t="n"/>
      <c r="AK108" s="961" t="n"/>
      <c r="AL108" s="721" t="n"/>
      <c r="AM108" s="961" t="n"/>
      <c r="AN108" s="721" t="n"/>
      <c r="AO108" s="962" t="n"/>
      <c r="AP108" s="718" t="n"/>
      <c r="AQ108" s="961" t="n"/>
      <c r="AR108" s="721" t="n"/>
      <c r="AS108" s="961" t="n"/>
      <c r="AT108" s="721" t="n"/>
      <c r="AU108" s="961" t="n"/>
      <c r="AV108" s="721" t="n"/>
      <c r="AW108" s="962" t="n"/>
      <c r="AX108" s="718" t="n"/>
      <c r="AY108" s="961" t="n"/>
      <c r="AZ108" s="721" t="n"/>
      <c r="BA108" s="961" t="n"/>
      <c r="BB108" s="721" t="n"/>
      <c r="BC108" s="961" t="n"/>
      <c r="BD108" s="721" t="n"/>
      <c r="BE108" s="962" t="n"/>
      <c r="BF108" s="718" t="n"/>
      <c r="BG108" s="961" t="n"/>
      <c r="BH108" s="717" t="n"/>
      <c r="BI108" s="963" t="n"/>
      <c r="BJ108" s="721" t="n"/>
      <c r="BK108" s="961" t="n"/>
      <c r="BL108" s="721" t="n"/>
      <c r="BM108" s="962" t="n"/>
    </row>
    <row r="109">
      <c r="A109" s="722" t="n"/>
      <c r="B109" s="721" t="n"/>
      <c r="C109" s="961" t="n"/>
      <c r="D109" s="721" t="n"/>
      <c r="E109" s="961" t="n"/>
      <c r="F109" s="721" t="n"/>
      <c r="G109" s="961" t="n"/>
      <c r="H109" s="721" t="n"/>
      <c r="I109" s="962" t="n"/>
      <c r="J109" s="718" t="n"/>
      <c r="K109" s="961" t="n"/>
      <c r="L109" s="721" t="n"/>
      <c r="M109" s="961" t="n"/>
      <c r="N109" s="721" t="n"/>
      <c r="O109" s="961" t="n"/>
      <c r="P109" s="721" t="n"/>
      <c r="Q109" s="962" t="n"/>
      <c r="R109" s="718" t="n"/>
      <c r="S109" s="961" t="n"/>
      <c r="T109" s="721" t="n"/>
      <c r="U109" s="961" t="n"/>
      <c r="V109" s="721" t="n"/>
      <c r="W109" s="961" t="n"/>
      <c r="X109" s="721" t="n"/>
      <c r="Y109" s="962" t="n"/>
      <c r="Z109" s="718" t="n"/>
      <c r="AA109" s="961" t="n"/>
      <c r="AB109" s="721" t="n"/>
      <c r="AC109" s="961" t="n"/>
      <c r="AD109" s="721" t="n"/>
      <c r="AE109" s="961" t="n"/>
      <c r="AF109" s="721" t="n"/>
      <c r="AG109" s="962" t="n"/>
      <c r="AH109" s="718" t="n"/>
      <c r="AI109" s="961" t="n"/>
      <c r="AJ109" s="721" t="n"/>
      <c r="AK109" s="961" t="n"/>
      <c r="AL109" s="721" t="n"/>
      <c r="AM109" s="961" t="n"/>
      <c r="AN109" s="721" t="n"/>
      <c r="AO109" s="962" t="n"/>
      <c r="AP109" s="718" t="n"/>
      <c r="AQ109" s="961" t="n"/>
      <c r="AR109" s="721" t="n"/>
      <c r="AS109" s="961" t="n"/>
      <c r="AT109" s="721" t="n"/>
      <c r="AU109" s="961" t="n"/>
      <c r="AV109" s="721" t="n"/>
      <c r="AW109" s="962" t="n"/>
      <c r="AX109" s="718" t="n"/>
      <c r="AY109" s="961" t="n"/>
      <c r="AZ109" s="721" t="n"/>
      <c r="BA109" s="961" t="n"/>
      <c r="BB109" s="721" t="n"/>
      <c r="BC109" s="961" t="n"/>
      <c r="BD109" s="721" t="n"/>
      <c r="BE109" s="962" t="n"/>
      <c r="BF109" s="718" t="n"/>
      <c r="BG109" s="961" t="n"/>
      <c r="BH109" s="717" t="n"/>
      <c r="BI109" s="963" t="n"/>
      <c r="BJ109" s="721" t="n"/>
      <c r="BK109" s="961" t="n"/>
      <c r="BL109" s="721" t="n"/>
      <c r="BM109" s="962" t="n"/>
    </row>
    <row r="110">
      <c r="A110" s="722" t="n"/>
      <c r="B110" s="721" t="n"/>
      <c r="C110" s="961" t="n"/>
      <c r="D110" s="721" t="n"/>
      <c r="E110" s="961" t="n"/>
      <c r="F110" s="721" t="n"/>
      <c r="G110" s="961" t="n"/>
      <c r="H110" s="721" t="n"/>
      <c r="I110" s="962" t="n"/>
      <c r="J110" s="718" t="n"/>
      <c r="K110" s="961" t="n"/>
      <c r="L110" s="721" t="n"/>
      <c r="M110" s="961" t="n"/>
      <c r="N110" s="721" t="n"/>
      <c r="O110" s="961" t="n"/>
      <c r="P110" s="721" t="n"/>
      <c r="Q110" s="962" t="n"/>
      <c r="R110" s="718" t="n"/>
      <c r="S110" s="961" t="n"/>
      <c r="T110" s="721" t="n"/>
      <c r="U110" s="961" t="n"/>
      <c r="V110" s="721" t="n"/>
      <c r="W110" s="961" t="n"/>
      <c r="X110" s="721" t="n"/>
      <c r="Y110" s="962" t="n"/>
      <c r="Z110" s="718" t="n"/>
      <c r="AA110" s="961" t="n"/>
      <c r="AB110" s="721" t="n"/>
      <c r="AC110" s="961" t="n"/>
      <c r="AD110" s="721" t="n"/>
      <c r="AE110" s="961" t="n"/>
      <c r="AF110" s="721" t="n"/>
      <c r="AG110" s="962" t="n"/>
      <c r="AH110" s="718" t="n"/>
      <c r="AI110" s="961" t="n"/>
      <c r="AJ110" s="721" t="n"/>
      <c r="AK110" s="961" t="n"/>
      <c r="AL110" s="721" t="n"/>
      <c r="AM110" s="961" t="n"/>
      <c r="AN110" s="721" t="n"/>
      <c r="AO110" s="962" t="n"/>
      <c r="AP110" s="718" t="n"/>
      <c r="AQ110" s="961" t="n"/>
      <c r="AR110" s="721" t="n"/>
      <c r="AS110" s="961" t="n"/>
      <c r="AT110" s="721" t="n"/>
      <c r="AU110" s="961" t="n"/>
      <c r="AV110" s="721" t="n"/>
      <c r="AW110" s="962" t="n"/>
      <c r="AX110" s="718" t="n"/>
      <c r="AY110" s="961" t="n"/>
      <c r="AZ110" s="721" t="n"/>
      <c r="BA110" s="961" t="n"/>
      <c r="BB110" s="721" t="n"/>
      <c r="BC110" s="961" t="n"/>
      <c r="BD110" s="721" t="n"/>
      <c r="BE110" s="962" t="n"/>
      <c r="BF110" s="718" t="n"/>
      <c r="BG110" s="961" t="n"/>
      <c r="BH110" s="717" t="n"/>
      <c r="BI110" s="963" t="n"/>
      <c r="BJ110" s="721" t="n"/>
      <c r="BK110" s="961" t="n"/>
      <c r="BL110" s="721" t="n"/>
      <c r="BM110" s="962" t="n"/>
    </row>
    <row r="111">
      <c r="A111" s="722" t="n"/>
      <c r="B111" s="721" t="n"/>
      <c r="C111" s="961" t="n"/>
      <c r="D111" s="721" t="n"/>
      <c r="E111" s="961" t="n"/>
      <c r="F111" s="721" t="n"/>
      <c r="G111" s="961" t="n"/>
      <c r="H111" s="721" t="n"/>
      <c r="I111" s="962" t="n"/>
      <c r="J111" s="718" t="n"/>
      <c r="K111" s="961" t="n"/>
      <c r="L111" s="721" t="n"/>
      <c r="M111" s="961" t="n"/>
      <c r="N111" s="721" t="n"/>
      <c r="O111" s="961" t="n"/>
      <c r="P111" s="721" t="n"/>
      <c r="Q111" s="962" t="n"/>
      <c r="R111" s="718" t="n"/>
      <c r="S111" s="961" t="n"/>
      <c r="T111" s="721" t="n"/>
      <c r="U111" s="961" t="n"/>
      <c r="V111" s="721" t="n"/>
      <c r="W111" s="961" t="n"/>
      <c r="X111" s="721" t="n"/>
      <c r="Y111" s="962" t="n"/>
      <c r="Z111" s="718" t="n"/>
      <c r="AA111" s="961" t="n"/>
      <c r="AB111" s="721" t="n"/>
      <c r="AC111" s="961" t="n"/>
      <c r="AD111" s="721" t="n"/>
      <c r="AE111" s="961" t="n"/>
      <c r="AF111" s="721" t="n"/>
      <c r="AG111" s="962" t="n"/>
      <c r="AH111" s="718" t="n"/>
      <c r="AI111" s="961" t="n"/>
      <c r="AJ111" s="721" t="n"/>
      <c r="AK111" s="961" t="n"/>
      <c r="AL111" s="721" t="n"/>
      <c r="AM111" s="961" t="n"/>
      <c r="AN111" s="721" t="n"/>
      <c r="AO111" s="962" t="n"/>
      <c r="AP111" s="718" t="n"/>
      <c r="AQ111" s="961" t="n"/>
      <c r="AR111" s="721" t="n"/>
      <c r="AS111" s="961" t="n"/>
      <c r="AT111" s="721" t="n"/>
      <c r="AU111" s="961" t="n"/>
      <c r="AV111" s="721" t="n"/>
      <c r="AW111" s="962" t="n"/>
      <c r="AX111" s="718" t="n"/>
      <c r="AY111" s="961" t="n"/>
      <c r="AZ111" s="721" t="n"/>
      <c r="BA111" s="961" t="n"/>
      <c r="BB111" s="721" t="n"/>
      <c r="BC111" s="961" t="n"/>
      <c r="BD111" s="721" t="n"/>
      <c r="BE111" s="962" t="n"/>
      <c r="BF111" s="718" t="n"/>
      <c r="BG111" s="961" t="n"/>
      <c r="BH111" s="717" t="n"/>
      <c r="BI111" s="963" t="n"/>
      <c r="BJ111" s="721" t="n"/>
      <c r="BK111" s="961" t="n"/>
      <c r="BL111" s="721" t="n"/>
      <c r="BM111" s="962" t="n"/>
    </row>
    <row r="112">
      <c r="A112" s="722" t="n"/>
      <c r="B112" s="721" t="n"/>
      <c r="C112" s="961" t="n"/>
      <c r="D112" s="721" t="n"/>
      <c r="E112" s="961" t="n"/>
      <c r="F112" s="721" t="n"/>
      <c r="G112" s="961" t="n"/>
      <c r="H112" s="721" t="n"/>
      <c r="I112" s="962" t="n"/>
      <c r="J112" s="718" t="n"/>
      <c r="K112" s="961" t="n"/>
      <c r="L112" s="721" t="n"/>
      <c r="M112" s="961" t="n"/>
      <c r="N112" s="721" t="n"/>
      <c r="O112" s="961" t="n"/>
      <c r="P112" s="721" t="n"/>
      <c r="Q112" s="962" t="n"/>
      <c r="R112" s="718" t="n"/>
      <c r="S112" s="961" t="n"/>
      <c r="T112" s="721" t="n"/>
      <c r="U112" s="961" t="n"/>
      <c r="V112" s="721" t="n"/>
      <c r="W112" s="961" t="n"/>
      <c r="X112" s="721" t="n"/>
      <c r="Y112" s="962" t="n"/>
      <c r="Z112" s="718" t="n"/>
      <c r="AA112" s="961" t="n"/>
      <c r="AB112" s="721" t="n"/>
      <c r="AC112" s="961" t="n"/>
      <c r="AD112" s="721" t="n"/>
      <c r="AE112" s="961" t="n"/>
      <c r="AF112" s="721" t="n"/>
      <c r="AG112" s="962" t="n"/>
      <c r="AH112" s="718" t="n"/>
      <c r="AI112" s="961" t="n"/>
      <c r="AJ112" s="721" t="n"/>
      <c r="AK112" s="961" t="n"/>
      <c r="AL112" s="721" t="n"/>
      <c r="AM112" s="961" t="n"/>
      <c r="AN112" s="721" t="n"/>
      <c r="AO112" s="962" t="n"/>
      <c r="AP112" s="718" t="n"/>
      <c r="AQ112" s="961" t="n"/>
      <c r="AR112" s="721" t="n"/>
      <c r="AS112" s="961" t="n"/>
      <c r="AT112" s="721" t="n"/>
      <c r="AU112" s="961" t="n"/>
      <c r="AV112" s="721" t="n"/>
      <c r="AW112" s="962" t="n"/>
      <c r="AX112" s="718" t="n"/>
      <c r="AY112" s="961" t="n"/>
      <c r="AZ112" s="721" t="n"/>
      <c r="BA112" s="961" t="n"/>
      <c r="BB112" s="721" t="n"/>
      <c r="BC112" s="961" t="n"/>
      <c r="BD112" s="721" t="n"/>
      <c r="BE112" s="962" t="n"/>
      <c r="BF112" s="718" t="n"/>
      <c r="BG112" s="961" t="n"/>
      <c r="BH112" s="717" t="n"/>
      <c r="BI112" s="963" t="n"/>
      <c r="BJ112" s="721" t="n"/>
      <c r="BK112" s="961" t="n"/>
      <c r="BL112" s="721" t="n"/>
      <c r="BM112" s="962" t="n"/>
    </row>
    <row r="113">
      <c r="A113" s="722" t="n"/>
      <c r="B113" s="721" t="n"/>
      <c r="C113" s="961" t="n"/>
      <c r="D113" s="721" t="n"/>
      <c r="E113" s="961" t="n"/>
      <c r="F113" s="721" t="n"/>
      <c r="G113" s="961" t="n"/>
      <c r="H113" s="721" t="n"/>
      <c r="I113" s="962" t="n"/>
      <c r="J113" s="718" t="n"/>
      <c r="K113" s="961" t="n"/>
      <c r="L113" s="721" t="n"/>
      <c r="M113" s="961" t="n"/>
      <c r="N113" s="721" t="n"/>
      <c r="O113" s="961" t="n"/>
      <c r="P113" s="721" t="n"/>
      <c r="Q113" s="962" t="n"/>
      <c r="R113" s="718" t="n"/>
      <c r="S113" s="961" t="n"/>
      <c r="T113" s="721" t="n"/>
      <c r="U113" s="961" t="n"/>
      <c r="V113" s="721" t="n"/>
      <c r="W113" s="961" t="n"/>
      <c r="X113" s="721" t="n"/>
      <c r="Y113" s="962" t="n"/>
      <c r="Z113" s="718" t="n"/>
      <c r="AA113" s="961" t="n"/>
      <c r="AB113" s="721" t="n"/>
      <c r="AC113" s="961" t="n"/>
      <c r="AD113" s="721" t="n"/>
      <c r="AE113" s="961" t="n"/>
      <c r="AF113" s="721" t="n"/>
      <c r="AG113" s="962" t="n"/>
      <c r="AH113" s="718" t="n"/>
      <c r="AI113" s="961" t="n"/>
      <c r="AJ113" s="721" t="n"/>
      <c r="AK113" s="961" t="n"/>
      <c r="AL113" s="721" t="n"/>
      <c r="AM113" s="961" t="n"/>
      <c r="AN113" s="721" t="n"/>
      <c r="AO113" s="962" t="n"/>
      <c r="AP113" s="718" t="n"/>
      <c r="AQ113" s="961" t="n"/>
      <c r="AR113" s="721" t="n"/>
      <c r="AS113" s="961" t="n"/>
      <c r="AT113" s="721" t="n"/>
      <c r="AU113" s="961" t="n"/>
      <c r="AV113" s="721" t="n"/>
      <c r="AW113" s="962" t="n"/>
      <c r="AX113" s="718" t="n"/>
      <c r="AY113" s="961" t="n"/>
      <c r="AZ113" s="721" t="n"/>
      <c r="BA113" s="961" t="n"/>
      <c r="BB113" s="721" t="n"/>
      <c r="BC113" s="961" t="n"/>
      <c r="BD113" s="721" t="n"/>
      <c r="BE113" s="962" t="n"/>
      <c r="BF113" s="718" t="n"/>
      <c r="BG113" s="961" t="n"/>
      <c r="BH113" s="717" t="n"/>
      <c r="BI113" s="963" t="n"/>
      <c r="BJ113" s="721" t="n"/>
      <c r="BK113" s="961" t="n"/>
      <c r="BL113" s="721" t="n"/>
      <c r="BM113" s="962" t="n"/>
    </row>
    <row r="114">
      <c r="A114" s="722" t="n"/>
      <c r="B114" s="721" t="n"/>
      <c r="C114" s="961" t="n"/>
      <c r="D114" s="721" t="n"/>
      <c r="E114" s="961" t="n"/>
      <c r="F114" s="721" t="n"/>
      <c r="G114" s="961" t="n"/>
      <c r="H114" s="721" t="n"/>
      <c r="I114" s="962" t="n"/>
      <c r="J114" s="718" t="n"/>
      <c r="K114" s="961" t="n"/>
      <c r="L114" s="721" t="n"/>
      <c r="M114" s="961" t="n"/>
      <c r="N114" s="721" t="n"/>
      <c r="O114" s="961" t="n"/>
      <c r="P114" s="721" t="n"/>
      <c r="Q114" s="962" t="n"/>
      <c r="R114" s="718" t="n"/>
      <c r="S114" s="961" t="n"/>
      <c r="T114" s="721" t="n"/>
      <c r="U114" s="961" t="n"/>
      <c r="V114" s="721" t="n"/>
      <c r="W114" s="961" t="n"/>
      <c r="X114" s="721" t="n"/>
      <c r="Y114" s="962" t="n"/>
      <c r="Z114" s="718" t="n"/>
      <c r="AA114" s="961" t="n"/>
      <c r="AB114" s="721" t="n"/>
      <c r="AC114" s="961" t="n"/>
      <c r="AD114" s="721" t="n"/>
      <c r="AE114" s="961" t="n"/>
      <c r="AF114" s="721" t="n"/>
      <c r="AG114" s="962" t="n"/>
      <c r="AH114" s="718" t="n"/>
      <c r="AI114" s="961" t="n"/>
      <c r="AJ114" s="721" t="n"/>
      <c r="AK114" s="961" t="n"/>
      <c r="AL114" s="721" t="n"/>
      <c r="AM114" s="961" t="n"/>
      <c r="AN114" s="721" t="n"/>
      <c r="AO114" s="962" t="n"/>
      <c r="AP114" s="718" t="n"/>
      <c r="AQ114" s="961" t="n"/>
      <c r="AR114" s="721" t="n"/>
      <c r="AS114" s="961" t="n"/>
      <c r="AT114" s="721" t="n"/>
      <c r="AU114" s="961" t="n"/>
      <c r="AV114" s="721" t="n"/>
      <c r="AW114" s="962" t="n"/>
      <c r="AX114" s="718" t="n"/>
      <c r="AY114" s="961" t="n"/>
      <c r="AZ114" s="721" t="n"/>
      <c r="BA114" s="961" t="n"/>
      <c r="BB114" s="721" t="n"/>
      <c r="BC114" s="961" t="n"/>
      <c r="BD114" s="721" t="n"/>
      <c r="BE114" s="962" t="n"/>
      <c r="BF114" s="718" t="n"/>
      <c r="BG114" s="961" t="n"/>
      <c r="BH114" s="717" t="n"/>
      <c r="BI114" s="963" t="n"/>
      <c r="BJ114" s="721" t="n"/>
      <c r="BK114" s="961" t="n"/>
      <c r="BL114" s="721" t="n"/>
      <c r="BM114" s="962" t="n"/>
    </row>
    <row r="115">
      <c r="A115" s="722" t="n"/>
      <c r="B115" s="721" t="n"/>
      <c r="C115" s="961" t="n"/>
      <c r="D115" s="721" t="n"/>
      <c r="E115" s="961" t="n"/>
      <c r="F115" s="721" t="n"/>
      <c r="G115" s="961" t="n"/>
      <c r="H115" s="721" t="n"/>
      <c r="I115" s="962" t="n"/>
      <c r="J115" s="718" t="n"/>
      <c r="K115" s="961" t="n"/>
      <c r="L115" s="721" t="n"/>
      <c r="M115" s="961" t="n"/>
      <c r="N115" s="721" t="n"/>
      <c r="O115" s="961" t="n"/>
      <c r="P115" s="721" t="n"/>
      <c r="Q115" s="962" t="n"/>
      <c r="R115" s="718" t="n"/>
      <c r="S115" s="961" t="n"/>
      <c r="T115" s="721" t="n"/>
      <c r="U115" s="961" t="n"/>
      <c r="V115" s="721" t="n"/>
      <c r="W115" s="961" t="n"/>
      <c r="X115" s="721" t="n"/>
      <c r="Y115" s="962" t="n"/>
      <c r="Z115" s="718" t="n"/>
      <c r="AA115" s="961" t="n"/>
      <c r="AB115" s="721" t="n"/>
      <c r="AC115" s="961" t="n"/>
      <c r="AD115" s="721" t="n"/>
      <c r="AE115" s="961" t="n"/>
      <c r="AF115" s="721" t="n"/>
      <c r="AG115" s="962" t="n"/>
      <c r="AH115" s="718" t="n"/>
      <c r="AI115" s="961" t="n"/>
      <c r="AJ115" s="721" t="n"/>
      <c r="AK115" s="961" t="n"/>
      <c r="AL115" s="721" t="n"/>
      <c r="AM115" s="961" t="n"/>
      <c r="AN115" s="721" t="n"/>
      <c r="AO115" s="962" t="n"/>
      <c r="AP115" s="718" t="n"/>
      <c r="AQ115" s="961" t="n"/>
      <c r="AR115" s="721" t="n"/>
      <c r="AS115" s="961" t="n"/>
      <c r="AT115" s="721" t="n"/>
      <c r="AU115" s="961" t="n"/>
      <c r="AV115" s="721" t="n"/>
      <c r="AW115" s="962" t="n"/>
      <c r="AX115" s="718" t="n"/>
      <c r="AY115" s="961" t="n"/>
      <c r="AZ115" s="721" t="n"/>
      <c r="BA115" s="961" t="n"/>
      <c r="BB115" s="721" t="n"/>
      <c r="BC115" s="961" t="n"/>
      <c r="BD115" s="721" t="n"/>
      <c r="BE115" s="962" t="n"/>
      <c r="BF115" s="718" t="n"/>
      <c r="BG115" s="961" t="n"/>
      <c r="BH115" s="717" t="n"/>
      <c r="BI115" s="963" t="n"/>
      <c r="BJ115" s="721" t="n"/>
      <c r="BK115" s="961" t="n"/>
      <c r="BL115" s="721" t="n"/>
      <c r="BM115" s="962" t="n"/>
    </row>
    <row r="116">
      <c r="A116" s="722" t="n"/>
      <c r="B116" s="721" t="n"/>
      <c r="C116" s="961" t="n"/>
      <c r="D116" s="721" t="n"/>
      <c r="E116" s="961" t="n"/>
      <c r="F116" s="721" t="n"/>
      <c r="G116" s="961" t="n"/>
      <c r="H116" s="721" t="n"/>
      <c r="I116" s="962" t="n"/>
      <c r="J116" s="718" t="n"/>
      <c r="K116" s="961" t="n"/>
      <c r="L116" s="721" t="n"/>
      <c r="M116" s="961" t="n"/>
      <c r="N116" s="721" t="n"/>
      <c r="O116" s="961" t="n"/>
      <c r="P116" s="721" t="n"/>
      <c r="Q116" s="962" t="n"/>
      <c r="R116" s="718" t="n"/>
      <c r="S116" s="961" t="n"/>
      <c r="T116" s="721" t="n"/>
      <c r="U116" s="961" t="n"/>
      <c r="V116" s="721" t="n"/>
      <c r="W116" s="961" t="n"/>
      <c r="X116" s="721" t="n"/>
      <c r="Y116" s="962" t="n"/>
      <c r="Z116" s="718" t="n"/>
      <c r="AA116" s="961" t="n"/>
      <c r="AB116" s="721" t="n"/>
      <c r="AC116" s="961" t="n"/>
      <c r="AD116" s="721" t="n"/>
      <c r="AE116" s="961" t="n"/>
      <c r="AF116" s="721" t="n"/>
      <c r="AG116" s="962" t="n"/>
      <c r="AH116" s="718" t="n"/>
      <c r="AI116" s="961" t="n"/>
      <c r="AJ116" s="721" t="n"/>
      <c r="AK116" s="961" t="n"/>
      <c r="AL116" s="721" t="n"/>
      <c r="AM116" s="961" t="n"/>
      <c r="AN116" s="721" t="n"/>
      <c r="AO116" s="962" t="n"/>
      <c r="AP116" s="718" t="n"/>
      <c r="AQ116" s="961" t="n"/>
      <c r="AR116" s="721" t="n"/>
      <c r="AS116" s="961" t="n"/>
      <c r="AT116" s="721" t="n"/>
      <c r="AU116" s="961" t="n"/>
      <c r="AV116" s="721" t="n"/>
      <c r="AW116" s="962" t="n"/>
      <c r="AX116" s="718" t="n"/>
      <c r="AY116" s="961" t="n"/>
      <c r="AZ116" s="721" t="n"/>
      <c r="BA116" s="961" t="n"/>
      <c r="BB116" s="721" t="n"/>
      <c r="BC116" s="961" t="n"/>
      <c r="BD116" s="721" t="n"/>
      <c r="BE116" s="962" t="n"/>
      <c r="BF116" s="718" t="n"/>
      <c r="BG116" s="961" t="n"/>
      <c r="BH116" s="717" t="n"/>
      <c r="BI116" s="963" t="n"/>
      <c r="BJ116" s="721" t="n"/>
      <c r="BK116" s="961" t="n"/>
      <c r="BL116" s="721" t="n"/>
      <c r="BM116" s="962" t="n"/>
    </row>
    <row r="117">
      <c r="A117" s="722" t="n"/>
      <c r="B117" s="721" t="n"/>
      <c r="C117" s="961" t="n"/>
      <c r="D117" s="721" t="n"/>
      <c r="E117" s="961" t="n"/>
      <c r="F117" s="721" t="n"/>
      <c r="G117" s="961" t="n"/>
      <c r="H117" s="721" t="n"/>
      <c r="I117" s="962" t="n"/>
      <c r="J117" s="718" t="n"/>
      <c r="K117" s="961" t="n"/>
      <c r="L117" s="721" t="n"/>
      <c r="M117" s="961" t="n"/>
      <c r="N117" s="721" t="n"/>
      <c r="O117" s="961" t="n"/>
      <c r="P117" s="721" t="n"/>
      <c r="Q117" s="962" t="n"/>
      <c r="R117" s="718" t="n"/>
      <c r="S117" s="961" t="n"/>
      <c r="T117" s="721" t="n"/>
      <c r="U117" s="961" t="n"/>
      <c r="V117" s="721" t="n"/>
      <c r="W117" s="961" t="n"/>
      <c r="X117" s="721" t="n"/>
      <c r="Y117" s="962" t="n"/>
      <c r="Z117" s="718" t="n"/>
      <c r="AA117" s="961" t="n"/>
      <c r="AB117" s="721" t="n"/>
      <c r="AC117" s="961" t="n"/>
      <c r="AD117" s="721" t="n"/>
      <c r="AE117" s="961" t="n"/>
      <c r="AF117" s="721" t="n"/>
      <c r="AG117" s="962" t="n"/>
      <c r="AH117" s="718" t="n"/>
      <c r="AI117" s="961" t="n"/>
      <c r="AJ117" s="721" t="n"/>
      <c r="AK117" s="961" t="n"/>
      <c r="AL117" s="721" t="n"/>
      <c r="AM117" s="961" t="n"/>
      <c r="AN117" s="721" t="n"/>
      <c r="AO117" s="962" t="n"/>
      <c r="AP117" s="718" t="n"/>
      <c r="AQ117" s="961" t="n"/>
      <c r="AR117" s="721" t="n"/>
      <c r="AS117" s="961" t="n"/>
      <c r="AT117" s="721" t="n"/>
      <c r="AU117" s="961" t="n"/>
      <c r="AV117" s="721" t="n"/>
      <c r="AW117" s="962" t="n"/>
      <c r="AX117" s="718" t="n"/>
      <c r="AY117" s="961" t="n"/>
      <c r="AZ117" s="721" t="n"/>
      <c r="BA117" s="961" t="n"/>
      <c r="BB117" s="721" t="n"/>
      <c r="BC117" s="961" t="n"/>
      <c r="BD117" s="721" t="n"/>
      <c r="BE117" s="962" t="n"/>
      <c r="BF117" s="718" t="n"/>
      <c r="BG117" s="961" t="n"/>
      <c r="BH117" s="717" t="n"/>
      <c r="BI117" s="963" t="n"/>
      <c r="BJ117" s="721" t="n"/>
      <c r="BK117" s="961" t="n"/>
      <c r="BL117" s="721" t="n"/>
      <c r="BM117" s="962" t="n"/>
    </row>
    <row r="118">
      <c r="A118" s="722" t="n"/>
      <c r="B118" s="721" t="n"/>
      <c r="C118" s="961" t="n"/>
      <c r="D118" s="721" t="n"/>
      <c r="E118" s="961" t="n"/>
      <c r="F118" s="721" t="n"/>
      <c r="G118" s="961" t="n"/>
      <c r="H118" s="721" t="n"/>
      <c r="I118" s="962" t="n"/>
      <c r="J118" s="718" t="n"/>
      <c r="K118" s="961" t="n"/>
      <c r="L118" s="721" t="n"/>
      <c r="M118" s="961" t="n"/>
      <c r="N118" s="721" t="n"/>
      <c r="O118" s="961" t="n"/>
      <c r="P118" s="721" t="n"/>
      <c r="Q118" s="962" t="n"/>
      <c r="R118" s="718" t="n"/>
      <c r="S118" s="961" t="n"/>
      <c r="T118" s="721" t="n"/>
      <c r="U118" s="961" t="n"/>
      <c r="V118" s="721" t="n"/>
      <c r="W118" s="961" t="n"/>
      <c r="X118" s="721" t="n"/>
      <c r="Y118" s="962" t="n"/>
      <c r="Z118" s="718" t="n"/>
      <c r="AA118" s="961" t="n"/>
      <c r="AB118" s="721" t="n"/>
      <c r="AC118" s="961" t="n"/>
      <c r="AD118" s="721" t="n"/>
      <c r="AE118" s="961" t="n"/>
      <c r="AF118" s="721" t="n"/>
      <c r="AG118" s="962" t="n"/>
      <c r="AH118" s="718" t="n"/>
      <c r="AI118" s="961" t="n"/>
      <c r="AJ118" s="721" t="n"/>
      <c r="AK118" s="961" t="n"/>
      <c r="AL118" s="721" t="n"/>
      <c r="AM118" s="961" t="n"/>
      <c r="AN118" s="721" t="n"/>
      <c r="AO118" s="962" t="n"/>
      <c r="AP118" s="718" t="n"/>
      <c r="AQ118" s="961" t="n"/>
      <c r="AR118" s="721" t="n"/>
      <c r="AS118" s="961" t="n"/>
      <c r="AT118" s="721" t="n"/>
      <c r="AU118" s="961" t="n"/>
      <c r="AV118" s="721" t="n"/>
      <c r="AW118" s="962" t="n"/>
      <c r="AX118" s="718" t="n"/>
      <c r="AY118" s="961" t="n"/>
      <c r="AZ118" s="721" t="n"/>
      <c r="BA118" s="961" t="n"/>
      <c r="BB118" s="721" t="n"/>
      <c r="BC118" s="961" t="n"/>
      <c r="BD118" s="721" t="n"/>
      <c r="BE118" s="962" t="n"/>
      <c r="BF118" s="718" t="n"/>
      <c r="BG118" s="961" t="n"/>
      <c r="BH118" s="717" t="n"/>
      <c r="BI118" s="963" t="n"/>
      <c r="BJ118" s="721" t="n"/>
      <c r="BK118" s="961" t="n"/>
      <c r="BL118" s="721" t="n"/>
      <c r="BM118" s="962" t="n"/>
    </row>
    <row r="119">
      <c r="A119" s="722" t="n"/>
      <c r="B119" s="721" t="n"/>
      <c r="C119" s="961" t="n"/>
      <c r="D119" s="721" t="n"/>
      <c r="E119" s="961" t="n"/>
      <c r="F119" s="721" t="n"/>
      <c r="G119" s="961" t="n"/>
      <c r="H119" s="721" t="n"/>
      <c r="I119" s="962" t="n"/>
      <c r="J119" s="718" t="n"/>
      <c r="K119" s="961" t="n"/>
      <c r="L119" s="721" t="n"/>
      <c r="M119" s="961" t="n"/>
      <c r="N119" s="721" t="n"/>
      <c r="O119" s="961" t="n"/>
      <c r="P119" s="721" t="n"/>
      <c r="Q119" s="962" t="n"/>
      <c r="R119" s="718" t="n"/>
      <c r="S119" s="961" t="n"/>
      <c r="T119" s="721" t="n"/>
      <c r="U119" s="961" t="n"/>
      <c r="V119" s="721" t="n"/>
      <c r="W119" s="961" t="n"/>
      <c r="X119" s="721" t="n"/>
      <c r="Y119" s="962" t="n"/>
      <c r="Z119" s="718" t="n"/>
      <c r="AA119" s="961" t="n"/>
      <c r="AB119" s="721" t="n"/>
      <c r="AC119" s="961" t="n"/>
      <c r="AD119" s="721" t="n"/>
      <c r="AE119" s="961" t="n"/>
      <c r="AF119" s="721" t="n"/>
      <c r="AG119" s="962" t="n"/>
      <c r="AH119" s="718" t="n"/>
      <c r="AI119" s="961" t="n"/>
      <c r="AJ119" s="721" t="n"/>
      <c r="AK119" s="961" t="n"/>
      <c r="AL119" s="721" t="n"/>
      <c r="AM119" s="961" t="n"/>
      <c r="AN119" s="721" t="n"/>
      <c r="AO119" s="962" t="n"/>
      <c r="AP119" s="718" t="n"/>
      <c r="AQ119" s="961" t="n"/>
      <c r="AR119" s="721" t="n"/>
      <c r="AS119" s="961" t="n"/>
      <c r="AT119" s="721" t="n"/>
      <c r="AU119" s="961" t="n"/>
      <c r="AV119" s="721" t="n"/>
      <c r="AW119" s="962" t="n"/>
      <c r="AX119" s="718" t="n"/>
      <c r="AY119" s="961" t="n"/>
      <c r="AZ119" s="721" t="n"/>
      <c r="BA119" s="961" t="n"/>
      <c r="BB119" s="721" t="n"/>
      <c r="BC119" s="961" t="n"/>
      <c r="BD119" s="721" t="n"/>
      <c r="BE119" s="962" t="n"/>
      <c r="BF119" s="718" t="n"/>
      <c r="BG119" s="961" t="n"/>
      <c r="BH119" s="717" t="n"/>
      <c r="BI119" s="963" t="n"/>
      <c r="BJ119" s="721" t="n"/>
      <c r="BK119" s="961" t="n"/>
      <c r="BL119" s="721" t="n"/>
      <c r="BM119" s="962" t="n"/>
    </row>
    <row r="120">
      <c r="A120" s="722" t="n"/>
      <c r="B120" s="721" t="n"/>
      <c r="C120" s="961" t="n"/>
      <c r="D120" s="721" t="n"/>
      <c r="E120" s="961" t="n"/>
      <c r="F120" s="721" t="n"/>
      <c r="G120" s="961" t="n"/>
      <c r="H120" s="721" t="n"/>
      <c r="I120" s="962" t="n"/>
      <c r="J120" s="718" t="n"/>
      <c r="K120" s="961" t="n"/>
      <c r="L120" s="721" t="n"/>
      <c r="M120" s="961" t="n"/>
      <c r="N120" s="721" t="n"/>
      <c r="O120" s="961" t="n"/>
      <c r="P120" s="721" t="n"/>
      <c r="Q120" s="962" t="n"/>
      <c r="R120" s="718" t="n"/>
      <c r="S120" s="961" t="n"/>
      <c r="T120" s="721" t="n"/>
      <c r="U120" s="961" t="n"/>
      <c r="V120" s="721" t="n"/>
      <c r="W120" s="961" t="n"/>
      <c r="X120" s="721" t="n"/>
      <c r="Y120" s="962" t="n"/>
      <c r="Z120" s="718" t="n"/>
      <c r="AA120" s="961" t="n"/>
      <c r="AB120" s="721" t="n"/>
      <c r="AC120" s="961" t="n"/>
      <c r="AD120" s="721" t="n"/>
      <c r="AE120" s="961" t="n"/>
      <c r="AF120" s="721" t="n"/>
      <c r="AG120" s="962" t="n"/>
      <c r="AH120" s="718" t="n"/>
      <c r="AI120" s="961" t="n"/>
      <c r="AJ120" s="721" t="n"/>
      <c r="AK120" s="961" t="n"/>
      <c r="AL120" s="721" t="n"/>
      <c r="AM120" s="961" t="n"/>
      <c r="AN120" s="721" t="n"/>
      <c r="AO120" s="962" t="n"/>
      <c r="AP120" s="718" t="n"/>
      <c r="AQ120" s="961" t="n"/>
      <c r="AR120" s="721" t="n"/>
      <c r="AS120" s="961" t="n"/>
      <c r="AT120" s="721" t="n"/>
      <c r="AU120" s="961" t="n"/>
      <c r="AV120" s="721" t="n"/>
      <c r="AW120" s="962" t="n"/>
      <c r="AX120" s="718" t="n"/>
      <c r="AY120" s="961" t="n"/>
      <c r="AZ120" s="721" t="n"/>
      <c r="BA120" s="961" t="n"/>
      <c r="BB120" s="721" t="n"/>
      <c r="BC120" s="961" t="n"/>
      <c r="BD120" s="721" t="n"/>
      <c r="BE120" s="962" t="n"/>
      <c r="BF120" s="718" t="n"/>
      <c r="BG120" s="961" t="n"/>
      <c r="BH120" s="717" t="n"/>
      <c r="BI120" s="963" t="n"/>
      <c r="BJ120" s="721" t="n"/>
      <c r="BK120" s="961" t="n"/>
      <c r="BL120" s="721" t="n"/>
      <c r="BM120" s="962" t="n"/>
    </row>
    <row r="121">
      <c r="A121" s="722" t="n"/>
      <c r="B121" s="721" t="n"/>
      <c r="C121" s="961" t="n"/>
      <c r="D121" s="721" t="n"/>
      <c r="E121" s="961" t="n"/>
      <c r="F121" s="721" t="n"/>
      <c r="G121" s="961" t="n"/>
      <c r="H121" s="721" t="n"/>
      <c r="I121" s="962" t="n"/>
      <c r="J121" s="718" t="n"/>
      <c r="K121" s="961" t="n"/>
      <c r="L121" s="721" t="n"/>
      <c r="M121" s="961" t="n"/>
      <c r="N121" s="721" t="n"/>
      <c r="O121" s="961" t="n"/>
      <c r="P121" s="721" t="n"/>
      <c r="Q121" s="962" t="n"/>
      <c r="R121" s="718" t="n"/>
      <c r="S121" s="961" t="n"/>
      <c r="T121" s="721" t="n"/>
      <c r="U121" s="961" t="n"/>
      <c r="V121" s="721" t="n"/>
      <c r="W121" s="961" t="n"/>
      <c r="X121" s="721" t="n"/>
      <c r="Y121" s="962" t="n"/>
      <c r="Z121" s="718" t="n"/>
      <c r="AA121" s="961" t="n"/>
      <c r="AB121" s="721" t="n"/>
      <c r="AC121" s="961" t="n"/>
      <c r="AD121" s="721" t="n"/>
      <c r="AE121" s="961" t="n"/>
      <c r="AF121" s="721" t="n"/>
      <c r="AG121" s="962" t="n"/>
      <c r="AH121" s="718" t="n"/>
      <c r="AI121" s="961" t="n"/>
      <c r="AJ121" s="721" t="n"/>
      <c r="AK121" s="961" t="n"/>
      <c r="AL121" s="721" t="n"/>
      <c r="AM121" s="961" t="n"/>
      <c r="AN121" s="721" t="n"/>
      <c r="AO121" s="962" t="n"/>
      <c r="AP121" s="718" t="n"/>
      <c r="AQ121" s="961" t="n"/>
      <c r="AR121" s="721" t="n"/>
      <c r="AS121" s="961" t="n"/>
      <c r="AT121" s="721" t="n"/>
      <c r="AU121" s="961" t="n"/>
      <c r="AV121" s="721" t="n"/>
      <c r="AW121" s="962" t="n"/>
      <c r="AX121" s="718" t="n"/>
      <c r="AY121" s="961" t="n"/>
      <c r="AZ121" s="721" t="n"/>
      <c r="BA121" s="961" t="n"/>
      <c r="BB121" s="721" t="n"/>
      <c r="BC121" s="961" t="n"/>
      <c r="BD121" s="721" t="n"/>
      <c r="BE121" s="962" t="n"/>
      <c r="BF121" s="718" t="n"/>
      <c r="BG121" s="961" t="n"/>
      <c r="BH121" s="717" t="n"/>
      <c r="BI121" s="963" t="n"/>
      <c r="BJ121" s="721" t="n"/>
      <c r="BK121" s="961" t="n"/>
      <c r="BL121" s="721" t="n"/>
      <c r="BM121" s="962" t="n"/>
    </row>
    <row r="122">
      <c r="A122" s="722" t="n"/>
      <c r="B122" s="721" t="n"/>
      <c r="C122" s="961" t="n"/>
      <c r="D122" s="721" t="n"/>
      <c r="E122" s="961" t="n"/>
      <c r="F122" s="721" t="n"/>
      <c r="G122" s="961" t="n"/>
      <c r="H122" s="721" t="n"/>
      <c r="I122" s="962" t="n"/>
      <c r="J122" s="718" t="n"/>
      <c r="K122" s="961" t="n"/>
      <c r="L122" s="721" t="n"/>
      <c r="M122" s="961" t="n"/>
      <c r="N122" s="721" t="n"/>
      <c r="O122" s="961" t="n"/>
      <c r="P122" s="721" t="n"/>
      <c r="Q122" s="962" t="n"/>
      <c r="R122" s="718" t="n"/>
      <c r="S122" s="961" t="n"/>
      <c r="T122" s="721" t="n"/>
      <c r="U122" s="961" t="n"/>
      <c r="V122" s="721" t="n"/>
      <c r="W122" s="961" t="n"/>
      <c r="X122" s="721" t="n"/>
      <c r="Y122" s="962" t="n"/>
      <c r="Z122" s="718" t="n"/>
      <c r="AA122" s="961" t="n"/>
      <c r="AB122" s="721" t="n"/>
      <c r="AC122" s="961" t="n"/>
      <c r="AD122" s="721" t="n"/>
      <c r="AE122" s="961" t="n"/>
      <c r="AF122" s="721" t="n"/>
      <c r="AG122" s="962" t="n"/>
      <c r="AH122" s="718" t="n"/>
      <c r="AI122" s="961" t="n"/>
      <c r="AJ122" s="721" t="n"/>
      <c r="AK122" s="961" t="n"/>
      <c r="AL122" s="721" t="n"/>
      <c r="AM122" s="961" t="n"/>
      <c r="AN122" s="721" t="n"/>
      <c r="AO122" s="962" t="n"/>
      <c r="AP122" s="718" t="n"/>
      <c r="AQ122" s="961" t="n"/>
      <c r="AR122" s="721" t="n"/>
      <c r="AS122" s="961" t="n"/>
      <c r="AT122" s="721" t="n"/>
      <c r="AU122" s="961" t="n"/>
      <c r="AV122" s="721" t="n"/>
      <c r="AW122" s="962" t="n"/>
      <c r="AX122" s="718" t="n"/>
      <c r="AY122" s="961" t="n"/>
      <c r="AZ122" s="721" t="n"/>
      <c r="BA122" s="961" t="n"/>
      <c r="BB122" s="721" t="n"/>
      <c r="BC122" s="961" t="n"/>
      <c r="BD122" s="721" t="n"/>
      <c r="BE122" s="962" t="n"/>
      <c r="BF122" s="718" t="n"/>
      <c r="BG122" s="961" t="n"/>
      <c r="BH122" s="717" t="n"/>
      <c r="BI122" s="963" t="n"/>
      <c r="BJ122" s="721" t="n"/>
      <c r="BK122" s="961" t="n"/>
      <c r="BL122" s="721" t="n"/>
      <c r="BM122" s="962" t="n"/>
    </row>
    <row r="123">
      <c r="A123" s="722" t="n"/>
      <c r="B123" s="721" t="n"/>
      <c r="C123" s="961" t="n"/>
      <c r="D123" s="721" t="n"/>
      <c r="E123" s="961" t="n"/>
      <c r="F123" s="721" t="n"/>
      <c r="G123" s="961" t="n"/>
      <c r="H123" s="721" t="n"/>
      <c r="I123" s="962" t="n"/>
      <c r="J123" s="718" t="n"/>
      <c r="K123" s="961" t="n"/>
      <c r="L123" s="721" t="n"/>
      <c r="M123" s="961" t="n"/>
      <c r="N123" s="721" t="n"/>
      <c r="O123" s="961" t="n"/>
      <c r="P123" s="721" t="n"/>
      <c r="Q123" s="962" t="n"/>
      <c r="R123" s="718" t="n"/>
      <c r="S123" s="961" t="n"/>
      <c r="T123" s="721" t="n"/>
      <c r="U123" s="961" t="n"/>
      <c r="V123" s="721" t="n"/>
      <c r="W123" s="961" t="n"/>
      <c r="X123" s="721" t="n"/>
      <c r="Y123" s="962" t="n"/>
      <c r="Z123" s="718" t="n"/>
      <c r="AA123" s="961" t="n"/>
      <c r="AB123" s="721" t="n"/>
      <c r="AC123" s="961" t="n"/>
      <c r="AD123" s="721" t="n"/>
      <c r="AE123" s="961" t="n"/>
      <c r="AF123" s="721" t="n"/>
      <c r="AG123" s="962" t="n"/>
      <c r="AH123" s="718" t="n"/>
      <c r="AI123" s="961" t="n"/>
      <c r="AJ123" s="721" t="n"/>
      <c r="AK123" s="961" t="n"/>
      <c r="AL123" s="721" t="n"/>
      <c r="AM123" s="961" t="n"/>
      <c r="AN123" s="721" t="n"/>
      <c r="AO123" s="962" t="n"/>
      <c r="AP123" s="718" t="n"/>
      <c r="AQ123" s="961" t="n"/>
      <c r="AR123" s="721" t="n"/>
      <c r="AS123" s="961" t="n"/>
      <c r="AT123" s="721" t="n"/>
      <c r="AU123" s="961" t="n"/>
      <c r="AV123" s="721" t="n"/>
      <c r="AW123" s="962" t="n"/>
      <c r="AX123" s="718" t="n"/>
      <c r="AY123" s="961" t="n"/>
      <c r="AZ123" s="721" t="n"/>
      <c r="BA123" s="961" t="n"/>
      <c r="BB123" s="721" t="n"/>
      <c r="BC123" s="961" t="n"/>
      <c r="BD123" s="721" t="n"/>
      <c r="BE123" s="962" t="n"/>
      <c r="BF123" s="718" t="n"/>
      <c r="BG123" s="961" t="n"/>
      <c r="BH123" s="717" t="n"/>
      <c r="BI123" s="963" t="n"/>
      <c r="BJ123" s="721" t="n"/>
      <c r="BK123" s="961" t="n"/>
      <c r="BL123" s="721" t="n"/>
      <c r="BM123" s="962" t="n"/>
    </row>
    <row r="124">
      <c r="A124" s="722" t="n"/>
      <c r="B124" s="721" t="n"/>
      <c r="C124" s="961" t="n"/>
      <c r="D124" s="721" t="n"/>
      <c r="E124" s="961" t="n"/>
      <c r="F124" s="721" t="n"/>
      <c r="G124" s="961" t="n"/>
      <c r="H124" s="721" t="n"/>
      <c r="I124" s="962" t="n"/>
      <c r="J124" s="718" t="n"/>
      <c r="K124" s="961" t="n"/>
      <c r="L124" s="721" t="n"/>
      <c r="M124" s="961" t="n"/>
      <c r="N124" s="721" t="n"/>
      <c r="O124" s="961" t="n"/>
      <c r="P124" s="721" t="n"/>
      <c r="Q124" s="962" t="n"/>
      <c r="R124" s="718" t="n"/>
      <c r="S124" s="961" t="n"/>
      <c r="T124" s="721" t="n"/>
      <c r="U124" s="961" t="n"/>
      <c r="V124" s="721" t="n"/>
      <c r="W124" s="961" t="n"/>
      <c r="X124" s="721" t="n"/>
      <c r="Y124" s="962" t="n"/>
      <c r="Z124" s="718" t="n"/>
      <c r="AA124" s="961" t="n"/>
      <c r="AB124" s="721" t="n"/>
      <c r="AC124" s="961" t="n"/>
      <c r="AD124" s="721" t="n"/>
      <c r="AE124" s="961" t="n"/>
      <c r="AF124" s="721" t="n"/>
      <c r="AG124" s="962" t="n"/>
      <c r="AH124" s="718" t="n"/>
      <c r="AI124" s="961" t="n"/>
      <c r="AJ124" s="721" t="n"/>
      <c r="AK124" s="961" t="n"/>
      <c r="AL124" s="721" t="n"/>
      <c r="AM124" s="961" t="n"/>
      <c r="AN124" s="721" t="n"/>
      <c r="AO124" s="962" t="n"/>
      <c r="AP124" s="718" t="n"/>
      <c r="AQ124" s="961" t="n"/>
      <c r="AR124" s="721" t="n"/>
      <c r="AS124" s="961" t="n"/>
      <c r="AT124" s="721" t="n"/>
      <c r="AU124" s="961" t="n"/>
      <c r="AV124" s="721" t="n"/>
      <c r="AW124" s="962" t="n"/>
      <c r="AX124" s="718" t="n"/>
      <c r="AY124" s="961" t="n"/>
      <c r="AZ124" s="721" t="n"/>
      <c r="BA124" s="961" t="n"/>
      <c r="BB124" s="721" t="n"/>
      <c r="BC124" s="961" t="n"/>
      <c r="BD124" s="721" t="n"/>
      <c r="BE124" s="962" t="n"/>
      <c r="BF124" s="718" t="n"/>
      <c r="BG124" s="961" t="n"/>
      <c r="BH124" s="717" t="n"/>
      <c r="BI124" s="963" t="n"/>
      <c r="BJ124" s="721" t="n"/>
      <c r="BK124" s="961" t="n"/>
      <c r="BL124" s="721" t="n"/>
      <c r="BM124" s="962" t="n"/>
    </row>
    <row r="125">
      <c r="A125" s="722" t="n"/>
      <c r="B125" s="721" t="n"/>
      <c r="C125" s="961" t="n"/>
      <c r="D125" s="721" t="n"/>
      <c r="E125" s="961" t="n"/>
      <c r="F125" s="721" t="n"/>
      <c r="G125" s="961" t="n"/>
      <c r="H125" s="721" t="n"/>
      <c r="I125" s="962" t="n"/>
      <c r="J125" s="718" t="n"/>
      <c r="K125" s="961" t="n"/>
      <c r="L125" s="721" t="n"/>
      <c r="M125" s="961" t="n"/>
      <c r="N125" s="721" t="n"/>
      <c r="O125" s="961" t="n"/>
      <c r="P125" s="721" t="n"/>
      <c r="Q125" s="962" t="n"/>
      <c r="R125" s="718" t="n"/>
      <c r="S125" s="961" t="n"/>
      <c r="T125" s="721" t="n"/>
      <c r="U125" s="961" t="n"/>
      <c r="V125" s="721" t="n"/>
      <c r="W125" s="961" t="n"/>
      <c r="X125" s="721" t="n"/>
      <c r="Y125" s="962" t="n"/>
      <c r="Z125" s="718" t="n"/>
      <c r="AA125" s="961" t="n"/>
      <c r="AB125" s="721" t="n"/>
      <c r="AC125" s="961" t="n"/>
      <c r="AD125" s="721" t="n"/>
      <c r="AE125" s="961" t="n"/>
      <c r="AF125" s="721" t="n"/>
      <c r="AG125" s="962" t="n"/>
      <c r="AH125" s="718" t="n"/>
      <c r="AI125" s="961" t="n"/>
      <c r="AJ125" s="721" t="n"/>
      <c r="AK125" s="961" t="n"/>
      <c r="AL125" s="721" t="n"/>
      <c r="AM125" s="961" t="n"/>
      <c r="AN125" s="721" t="n"/>
      <c r="AO125" s="962" t="n"/>
      <c r="AP125" s="718" t="n"/>
      <c r="AQ125" s="961" t="n"/>
      <c r="AR125" s="721" t="n"/>
      <c r="AS125" s="961" t="n"/>
      <c r="AT125" s="721" t="n"/>
      <c r="AU125" s="961" t="n"/>
      <c r="AV125" s="721" t="n"/>
      <c r="AW125" s="962" t="n"/>
      <c r="AX125" s="718" t="n"/>
      <c r="AY125" s="961" t="n"/>
      <c r="AZ125" s="721" t="n"/>
      <c r="BA125" s="961" t="n"/>
      <c r="BB125" s="721" t="n"/>
      <c r="BC125" s="961" t="n"/>
      <c r="BD125" s="721" t="n"/>
      <c r="BE125" s="962" t="n"/>
      <c r="BF125" s="718" t="n"/>
      <c r="BG125" s="961" t="n"/>
      <c r="BH125" s="717" t="n"/>
      <c r="BI125" s="963" t="n"/>
      <c r="BJ125" s="721" t="n"/>
      <c r="BK125" s="961" t="n"/>
      <c r="BL125" s="721" t="n"/>
      <c r="BM125" s="962" t="n"/>
    </row>
    <row r="126">
      <c r="A126" s="722" t="n"/>
      <c r="B126" s="721" t="n"/>
      <c r="C126" s="961" t="n"/>
      <c r="D126" s="721" t="n"/>
      <c r="E126" s="961" t="n"/>
      <c r="F126" s="721" t="n"/>
      <c r="G126" s="961" t="n"/>
      <c r="H126" s="721" t="n"/>
      <c r="I126" s="962" t="n"/>
      <c r="J126" s="718" t="n"/>
      <c r="K126" s="961" t="n"/>
      <c r="L126" s="721" t="n"/>
      <c r="M126" s="961" t="n"/>
      <c r="N126" s="721" t="n"/>
      <c r="O126" s="961" t="n"/>
      <c r="P126" s="721" t="n"/>
      <c r="Q126" s="962" t="n"/>
      <c r="R126" s="718" t="n"/>
      <c r="S126" s="961" t="n"/>
      <c r="T126" s="721" t="n"/>
      <c r="U126" s="961" t="n"/>
      <c r="V126" s="721" t="n"/>
      <c r="W126" s="961" t="n"/>
      <c r="X126" s="721" t="n"/>
      <c r="Y126" s="962" t="n"/>
      <c r="Z126" s="718" t="n"/>
      <c r="AA126" s="961" t="n"/>
      <c r="AB126" s="721" t="n"/>
      <c r="AC126" s="961" t="n"/>
      <c r="AD126" s="721" t="n"/>
      <c r="AE126" s="961" t="n"/>
      <c r="AF126" s="721" t="n"/>
      <c r="AG126" s="962" t="n"/>
      <c r="AH126" s="718" t="n"/>
      <c r="AI126" s="961" t="n"/>
      <c r="AJ126" s="721" t="n"/>
      <c r="AK126" s="961" t="n"/>
      <c r="AL126" s="721" t="n"/>
      <c r="AM126" s="961" t="n"/>
      <c r="AN126" s="721" t="n"/>
      <c r="AO126" s="962" t="n"/>
      <c r="AP126" s="718" t="n"/>
      <c r="AQ126" s="961" t="n"/>
      <c r="AR126" s="721" t="n"/>
      <c r="AS126" s="961" t="n"/>
      <c r="AT126" s="721" t="n"/>
      <c r="AU126" s="961" t="n"/>
      <c r="AV126" s="721" t="n"/>
      <c r="AW126" s="962" t="n"/>
      <c r="AX126" s="718" t="n"/>
      <c r="AY126" s="961" t="n"/>
      <c r="AZ126" s="721" t="n"/>
      <c r="BA126" s="961" t="n"/>
      <c r="BB126" s="721" t="n"/>
      <c r="BC126" s="961" t="n"/>
      <c r="BD126" s="721" t="n"/>
      <c r="BE126" s="962" t="n"/>
      <c r="BF126" s="718" t="n"/>
      <c r="BG126" s="961" t="n"/>
      <c r="BH126" s="717" t="n"/>
      <c r="BI126" s="963" t="n"/>
      <c r="BJ126" s="721" t="n"/>
      <c r="BK126" s="961" t="n"/>
      <c r="BL126" s="721" t="n"/>
      <c r="BM126" s="962" t="n"/>
    </row>
    <row r="127">
      <c r="A127" s="722" t="n"/>
      <c r="B127" s="721" t="n"/>
      <c r="C127" s="961" t="n"/>
      <c r="D127" s="721" t="n"/>
      <c r="E127" s="961" t="n"/>
      <c r="F127" s="721" t="n"/>
      <c r="G127" s="961" t="n"/>
      <c r="H127" s="721" t="n"/>
      <c r="I127" s="962" t="n"/>
      <c r="J127" s="718" t="n"/>
      <c r="K127" s="961" t="n"/>
      <c r="L127" s="721" t="n"/>
      <c r="M127" s="961" t="n"/>
      <c r="N127" s="721" t="n"/>
      <c r="O127" s="961" t="n"/>
      <c r="P127" s="721" t="n"/>
      <c r="Q127" s="962" t="n"/>
      <c r="R127" s="718" t="n"/>
      <c r="S127" s="961" t="n"/>
      <c r="T127" s="721" t="n"/>
      <c r="U127" s="961" t="n"/>
      <c r="V127" s="721" t="n"/>
      <c r="W127" s="961" t="n"/>
      <c r="X127" s="721" t="n"/>
      <c r="Y127" s="962" t="n"/>
      <c r="Z127" s="718" t="n"/>
      <c r="AA127" s="961" t="n"/>
      <c r="AB127" s="721" t="n"/>
      <c r="AC127" s="961" t="n"/>
      <c r="AD127" s="721" t="n"/>
      <c r="AE127" s="961" t="n"/>
      <c r="AF127" s="721" t="n"/>
      <c r="AG127" s="962" t="n"/>
      <c r="AH127" s="718" t="n"/>
      <c r="AI127" s="961" t="n"/>
      <c r="AJ127" s="721" t="n"/>
      <c r="AK127" s="961" t="n"/>
      <c r="AL127" s="721" t="n"/>
      <c r="AM127" s="961" t="n"/>
      <c r="AN127" s="721" t="n"/>
      <c r="AO127" s="962" t="n"/>
      <c r="AP127" s="718" t="n"/>
      <c r="AQ127" s="961" t="n"/>
      <c r="AR127" s="721" t="n"/>
      <c r="AS127" s="961" t="n"/>
      <c r="AT127" s="721" t="n"/>
      <c r="AU127" s="961" t="n"/>
      <c r="AV127" s="721" t="n"/>
      <c r="AW127" s="962" t="n"/>
      <c r="AX127" s="718" t="n"/>
      <c r="AY127" s="961" t="n"/>
      <c r="AZ127" s="721" t="n"/>
      <c r="BA127" s="961" t="n"/>
      <c r="BB127" s="721" t="n"/>
      <c r="BC127" s="961" t="n"/>
      <c r="BD127" s="721" t="n"/>
      <c r="BE127" s="962" t="n"/>
      <c r="BF127" s="718" t="n"/>
      <c r="BG127" s="961" t="n"/>
      <c r="BH127" s="717" t="n"/>
      <c r="BI127" s="963" t="n"/>
      <c r="BJ127" s="721" t="n"/>
      <c r="BK127" s="961" t="n"/>
      <c r="BL127" s="721" t="n"/>
      <c r="BM127" s="962" t="n"/>
    </row>
    <row r="128">
      <c r="A128" s="722" t="n"/>
      <c r="B128" s="721" t="n"/>
      <c r="C128" s="961" t="n"/>
      <c r="D128" s="721" t="n"/>
      <c r="E128" s="961" t="n"/>
      <c r="F128" s="721" t="n"/>
      <c r="G128" s="961" t="n"/>
      <c r="H128" s="721" t="n"/>
      <c r="I128" s="962" t="n"/>
      <c r="J128" s="718" t="n"/>
      <c r="K128" s="961" t="n"/>
      <c r="L128" s="721" t="n"/>
      <c r="M128" s="961" t="n"/>
      <c r="N128" s="721" t="n"/>
      <c r="O128" s="961" t="n"/>
      <c r="P128" s="721" t="n"/>
      <c r="Q128" s="962" t="n"/>
      <c r="R128" s="718" t="n"/>
      <c r="S128" s="961" t="n"/>
      <c r="T128" s="721" t="n"/>
      <c r="U128" s="961" t="n"/>
      <c r="V128" s="721" t="n"/>
      <c r="W128" s="961" t="n"/>
      <c r="X128" s="721" t="n"/>
      <c r="Y128" s="962" t="n"/>
      <c r="Z128" s="718" t="n"/>
      <c r="AA128" s="961" t="n"/>
      <c r="AB128" s="721" t="n"/>
      <c r="AC128" s="961" t="n"/>
      <c r="AD128" s="721" t="n"/>
      <c r="AE128" s="961" t="n"/>
      <c r="AF128" s="721" t="n"/>
      <c r="AG128" s="962" t="n"/>
      <c r="AH128" s="718" t="n"/>
      <c r="AI128" s="961" t="n"/>
      <c r="AJ128" s="721" t="n"/>
      <c r="AK128" s="961" t="n"/>
      <c r="AL128" s="721" t="n"/>
      <c r="AM128" s="961" t="n"/>
      <c r="AN128" s="721" t="n"/>
      <c r="AO128" s="962" t="n"/>
      <c r="AP128" s="718" t="n"/>
      <c r="AQ128" s="961" t="n"/>
      <c r="AR128" s="721" t="n"/>
      <c r="AS128" s="961" t="n"/>
      <c r="AT128" s="721" t="n"/>
      <c r="AU128" s="961" t="n"/>
      <c r="AV128" s="721" t="n"/>
      <c r="AW128" s="962" t="n"/>
      <c r="AX128" s="718" t="n"/>
      <c r="AY128" s="961" t="n"/>
      <c r="AZ128" s="721" t="n"/>
      <c r="BA128" s="961" t="n"/>
      <c r="BB128" s="721" t="n"/>
      <c r="BC128" s="961" t="n"/>
      <c r="BD128" s="721" t="n"/>
      <c r="BE128" s="962" t="n"/>
      <c r="BF128" s="718" t="n"/>
      <c r="BG128" s="961" t="n"/>
      <c r="BH128" s="717" t="n"/>
      <c r="BI128" s="963" t="n"/>
      <c r="BJ128" s="721" t="n"/>
      <c r="BK128" s="961" t="n"/>
      <c r="BL128" s="721" t="n"/>
      <c r="BM128" s="962" t="n"/>
    </row>
    <row r="129">
      <c r="A129" s="722" t="n"/>
      <c r="B129" s="721" t="n"/>
      <c r="C129" s="961" t="n"/>
      <c r="D129" s="721" t="n"/>
      <c r="E129" s="961" t="n"/>
      <c r="F129" s="721" t="n"/>
      <c r="G129" s="961" t="n"/>
      <c r="H129" s="721" t="n"/>
      <c r="I129" s="962" t="n"/>
      <c r="J129" s="718" t="n"/>
      <c r="K129" s="961" t="n"/>
      <c r="L129" s="721" t="n"/>
      <c r="M129" s="961" t="n"/>
      <c r="N129" s="721" t="n"/>
      <c r="O129" s="961" t="n"/>
      <c r="P129" s="721" t="n"/>
      <c r="Q129" s="962" t="n"/>
      <c r="R129" s="718" t="n"/>
      <c r="S129" s="961" t="n"/>
      <c r="T129" s="721" t="n"/>
      <c r="U129" s="961" t="n"/>
      <c r="V129" s="721" t="n"/>
      <c r="W129" s="961" t="n"/>
      <c r="X129" s="721" t="n"/>
      <c r="Y129" s="962" t="n"/>
      <c r="Z129" s="718" t="n"/>
      <c r="AA129" s="961" t="n"/>
      <c r="AB129" s="721" t="n"/>
      <c r="AC129" s="961" t="n"/>
      <c r="AD129" s="721" t="n"/>
      <c r="AE129" s="961" t="n"/>
      <c r="AF129" s="721" t="n"/>
      <c r="AG129" s="962" t="n"/>
      <c r="AH129" s="718" t="n"/>
      <c r="AI129" s="961" t="n"/>
      <c r="AJ129" s="721" t="n"/>
      <c r="AK129" s="961" t="n"/>
      <c r="AL129" s="721" t="n"/>
      <c r="AM129" s="961" t="n"/>
      <c r="AN129" s="721" t="n"/>
      <c r="AO129" s="962" t="n"/>
      <c r="AP129" s="718" t="n"/>
      <c r="AQ129" s="961" t="n"/>
      <c r="AR129" s="721" t="n"/>
      <c r="AS129" s="961" t="n"/>
      <c r="AT129" s="721" t="n"/>
      <c r="AU129" s="961" t="n"/>
      <c r="AV129" s="721" t="n"/>
      <c r="AW129" s="962" t="n"/>
      <c r="AX129" s="718" t="n"/>
      <c r="AY129" s="961" t="n"/>
      <c r="AZ129" s="721" t="n"/>
      <c r="BA129" s="961" t="n"/>
      <c r="BB129" s="721" t="n"/>
      <c r="BC129" s="961" t="n"/>
      <c r="BD129" s="721" t="n"/>
      <c r="BE129" s="962" t="n"/>
      <c r="BF129" s="718" t="n"/>
      <c r="BG129" s="961" t="n"/>
      <c r="BH129" s="717" t="n"/>
      <c r="BI129" s="963" t="n"/>
      <c r="BJ129" s="721" t="n"/>
      <c r="BK129" s="961" t="n"/>
      <c r="BL129" s="721" t="n"/>
      <c r="BM129" s="962" t="n"/>
    </row>
    <row r="130">
      <c r="A130" s="722" t="n"/>
      <c r="B130" s="721" t="n"/>
      <c r="C130" s="961" t="n"/>
      <c r="D130" s="721" t="n"/>
      <c r="E130" s="961" t="n"/>
      <c r="F130" s="721" t="n"/>
      <c r="G130" s="961" t="n"/>
      <c r="H130" s="721" t="n"/>
      <c r="I130" s="962" t="n"/>
      <c r="J130" s="718" t="n"/>
      <c r="K130" s="961" t="n"/>
      <c r="L130" s="721" t="n"/>
      <c r="M130" s="961" t="n"/>
      <c r="N130" s="721" t="n"/>
      <c r="O130" s="961" t="n"/>
      <c r="P130" s="721" t="n"/>
      <c r="Q130" s="962" t="n"/>
      <c r="R130" s="718" t="n"/>
      <c r="S130" s="961" t="n"/>
      <c r="T130" s="721" t="n"/>
      <c r="U130" s="961" t="n"/>
      <c r="V130" s="721" t="n"/>
      <c r="W130" s="961" t="n"/>
      <c r="X130" s="721" t="n"/>
      <c r="Y130" s="962" t="n"/>
      <c r="Z130" s="718" t="n"/>
      <c r="AA130" s="961" t="n"/>
      <c r="AB130" s="721" t="n"/>
      <c r="AC130" s="961" t="n"/>
      <c r="AD130" s="721" t="n"/>
      <c r="AE130" s="961" t="n"/>
      <c r="AF130" s="721" t="n"/>
      <c r="AG130" s="962" t="n"/>
      <c r="AH130" s="718" t="n"/>
      <c r="AI130" s="961" t="n"/>
      <c r="AJ130" s="721" t="n"/>
      <c r="AK130" s="961" t="n"/>
      <c r="AL130" s="721" t="n"/>
      <c r="AM130" s="961" t="n"/>
      <c r="AN130" s="721" t="n"/>
      <c r="AO130" s="962" t="n"/>
      <c r="AP130" s="718" t="n"/>
      <c r="AQ130" s="961" t="n"/>
      <c r="AR130" s="721" t="n"/>
      <c r="AS130" s="961" t="n"/>
      <c r="AT130" s="721" t="n"/>
      <c r="AU130" s="961" t="n"/>
      <c r="AV130" s="721" t="n"/>
      <c r="AW130" s="962" t="n"/>
      <c r="AX130" s="718" t="n"/>
      <c r="AY130" s="961" t="n"/>
      <c r="AZ130" s="721" t="n"/>
      <c r="BA130" s="961" t="n"/>
      <c r="BB130" s="721" t="n"/>
      <c r="BC130" s="961" t="n"/>
      <c r="BD130" s="721" t="n"/>
      <c r="BE130" s="962" t="n"/>
      <c r="BF130" s="718" t="n"/>
      <c r="BG130" s="961" t="n"/>
      <c r="BH130" s="717" t="n"/>
      <c r="BI130" s="963" t="n"/>
      <c r="BJ130" s="721" t="n"/>
      <c r="BK130" s="961" t="n"/>
      <c r="BL130" s="721" t="n"/>
      <c r="BM130" s="962" t="n"/>
    </row>
    <row r="131">
      <c r="A131" s="722" t="n"/>
      <c r="B131" s="721" t="n"/>
      <c r="C131" s="961" t="n"/>
      <c r="D131" s="721" t="n"/>
      <c r="E131" s="961" t="n"/>
      <c r="F131" s="721" t="n"/>
      <c r="G131" s="961" t="n"/>
      <c r="H131" s="721" t="n"/>
      <c r="I131" s="962" t="n"/>
      <c r="J131" s="718" t="n"/>
      <c r="K131" s="961" t="n"/>
      <c r="L131" s="721" t="n"/>
      <c r="M131" s="961" t="n"/>
      <c r="N131" s="721" t="n"/>
      <c r="O131" s="961" t="n"/>
      <c r="P131" s="721" t="n"/>
      <c r="Q131" s="962" t="n"/>
      <c r="R131" s="718" t="n"/>
      <c r="S131" s="961" t="n"/>
      <c r="T131" s="721" t="n"/>
      <c r="U131" s="961" t="n"/>
      <c r="V131" s="721" t="n"/>
      <c r="W131" s="961" t="n"/>
      <c r="X131" s="721" t="n"/>
      <c r="Y131" s="962" t="n"/>
      <c r="Z131" s="718" t="n"/>
      <c r="AA131" s="961" t="n"/>
      <c r="AB131" s="721" t="n"/>
      <c r="AC131" s="961" t="n"/>
      <c r="AD131" s="721" t="n"/>
      <c r="AE131" s="961" t="n"/>
      <c r="AF131" s="721" t="n"/>
      <c r="AG131" s="962" t="n"/>
      <c r="AH131" s="718" t="n"/>
      <c r="AI131" s="961" t="n"/>
      <c r="AJ131" s="721" t="n"/>
      <c r="AK131" s="961" t="n"/>
      <c r="AL131" s="721" t="n"/>
      <c r="AM131" s="961" t="n"/>
      <c r="AN131" s="721" t="n"/>
      <c r="AO131" s="962" t="n"/>
      <c r="AP131" s="718" t="n"/>
      <c r="AQ131" s="961" t="n"/>
      <c r="AR131" s="721" t="n"/>
      <c r="AS131" s="961" t="n"/>
      <c r="AT131" s="721" t="n"/>
      <c r="AU131" s="961" t="n"/>
      <c r="AV131" s="721" t="n"/>
      <c r="AW131" s="962" t="n"/>
      <c r="AX131" s="718" t="n"/>
      <c r="AY131" s="961" t="n"/>
      <c r="AZ131" s="721" t="n"/>
      <c r="BA131" s="961" t="n"/>
      <c r="BB131" s="721" t="n"/>
      <c r="BC131" s="961" t="n"/>
      <c r="BD131" s="721" t="n"/>
      <c r="BE131" s="962" t="n"/>
      <c r="BF131" s="718" t="n"/>
      <c r="BG131" s="961" t="n"/>
      <c r="BH131" s="717" t="n"/>
      <c r="BI131" s="963" t="n"/>
      <c r="BJ131" s="721" t="n"/>
      <c r="BK131" s="961" t="n"/>
      <c r="BL131" s="721" t="n"/>
      <c r="BM131" s="962" t="n"/>
    </row>
    <row r="132">
      <c r="A132" s="722" t="n"/>
      <c r="B132" s="721" t="n"/>
      <c r="C132" s="961" t="n"/>
      <c r="D132" s="721" t="n"/>
      <c r="E132" s="961" t="n"/>
      <c r="F132" s="721" t="n"/>
      <c r="G132" s="961" t="n"/>
      <c r="H132" s="721" t="n"/>
      <c r="I132" s="962" t="n"/>
      <c r="J132" s="718" t="n"/>
      <c r="K132" s="961" t="n"/>
      <c r="L132" s="721" t="n"/>
      <c r="M132" s="961" t="n"/>
      <c r="N132" s="721" t="n"/>
      <c r="O132" s="961" t="n"/>
      <c r="P132" s="721" t="n"/>
      <c r="Q132" s="962" t="n"/>
      <c r="R132" s="718" t="n"/>
      <c r="S132" s="961" t="n"/>
      <c r="T132" s="721" t="n"/>
      <c r="U132" s="961" t="n"/>
      <c r="V132" s="721" t="n"/>
      <c r="W132" s="961" t="n"/>
      <c r="X132" s="721" t="n"/>
      <c r="Y132" s="962" t="n"/>
      <c r="Z132" s="718" t="n"/>
      <c r="AA132" s="961" t="n"/>
      <c r="AB132" s="721" t="n"/>
      <c r="AC132" s="961" t="n"/>
      <c r="AD132" s="721" t="n"/>
      <c r="AE132" s="961" t="n"/>
      <c r="AF132" s="721" t="n"/>
      <c r="AG132" s="962" t="n"/>
      <c r="AH132" s="718" t="n"/>
      <c r="AI132" s="961" t="n"/>
      <c r="AJ132" s="721" t="n"/>
      <c r="AK132" s="961" t="n"/>
      <c r="AL132" s="721" t="n"/>
      <c r="AM132" s="961" t="n"/>
      <c r="AN132" s="721" t="n"/>
      <c r="AO132" s="962" t="n"/>
      <c r="AP132" s="718" t="n"/>
      <c r="AQ132" s="961" t="n"/>
      <c r="AR132" s="721" t="n"/>
      <c r="AS132" s="961" t="n"/>
      <c r="AT132" s="721" t="n"/>
      <c r="AU132" s="961" t="n"/>
      <c r="AV132" s="721" t="n"/>
      <c r="AW132" s="962" t="n"/>
      <c r="AX132" s="718" t="n"/>
      <c r="AY132" s="961" t="n"/>
      <c r="AZ132" s="721" t="n"/>
      <c r="BA132" s="961" t="n"/>
      <c r="BB132" s="721" t="n"/>
      <c r="BC132" s="961" t="n"/>
      <c r="BD132" s="721" t="n"/>
      <c r="BE132" s="962" t="n"/>
      <c r="BF132" s="718" t="n"/>
      <c r="BG132" s="961" t="n"/>
      <c r="BH132" s="717" t="n"/>
      <c r="BI132" s="963" t="n"/>
      <c r="BJ132" s="721" t="n"/>
      <c r="BK132" s="961" t="n"/>
      <c r="BL132" s="721" t="n"/>
      <c r="BM132" s="962" t="n"/>
    </row>
    <row r="133">
      <c r="A133" s="722" t="n"/>
      <c r="B133" s="721" t="n"/>
      <c r="C133" s="961" t="n"/>
      <c r="D133" s="721" t="n"/>
      <c r="E133" s="961" t="n"/>
      <c r="F133" s="721" t="n"/>
      <c r="G133" s="961" t="n"/>
      <c r="H133" s="721" t="n"/>
      <c r="I133" s="962" t="n"/>
      <c r="J133" s="718" t="n"/>
      <c r="K133" s="961" t="n"/>
      <c r="L133" s="721" t="n"/>
      <c r="M133" s="961" t="n"/>
      <c r="N133" s="721" t="n"/>
      <c r="O133" s="961" t="n"/>
      <c r="P133" s="721" t="n"/>
      <c r="Q133" s="962" t="n"/>
      <c r="R133" s="718" t="n"/>
      <c r="S133" s="961" t="n"/>
      <c r="T133" s="721" t="n"/>
      <c r="U133" s="961" t="n"/>
      <c r="V133" s="721" t="n"/>
      <c r="W133" s="961" t="n"/>
      <c r="X133" s="721" t="n"/>
      <c r="Y133" s="962" t="n"/>
      <c r="Z133" s="718" t="n"/>
      <c r="AA133" s="961" t="n"/>
      <c r="AB133" s="721" t="n"/>
      <c r="AC133" s="961" t="n"/>
      <c r="AD133" s="721" t="n"/>
      <c r="AE133" s="961" t="n"/>
      <c r="AF133" s="721" t="n"/>
      <c r="AG133" s="962" t="n"/>
      <c r="AH133" s="718" t="n"/>
      <c r="AI133" s="961" t="n"/>
      <c r="AJ133" s="721" t="n"/>
      <c r="AK133" s="961" t="n"/>
      <c r="AL133" s="721" t="n"/>
      <c r="AM133" s="961" t="n"/>
      <c r="AN133" s="721" t="n"/>
      <c r="AO133" s="962" t="n"/>
      <c r="AP133" s="718" t="n"/>
      <c r="AQ133" s="961" t="n"/>
      <c r="AR133" s="721" t="n"/>
      <c r="AS133" s="961" t="n"/>
      <c r="AT133" s="721" t="n"/>
      <c r="AU133" s="961" t="n"/>
      <c r="AV133" s="721" t="n"/>
      <c r="AW133" s="962" t="n"/>
      <c r="AX133" s="718" t="n"/>
      <c r="AY133" s="961" t="n"/>
      <c r="AZ133" s="721" t="n"/>
      <c r="BA133" s="961" t="n"/>
      <c r="BB133" s="721" t="n"/>
      <c r="BC133" s="961" t="n"/>
      <c r="BD133" s="721" t="n"/>
      <c r="BE133" s="962" t="n"/>
      <c r="BF133" s="718" t="n"/>
      <c r="BG133" s="961" t="n"/>
      <c r="BH133" s="717" t="n"/>
      <c r="BI133" s="963" t="n"/>
      <c r="BJ133" s="721" t="n"/>
      <c r="BK133" s="961" t="n"/>
      <c r="BL133" s="721" t="n"/>
      <c r="BM133" s="962" t="n"/>
    </row>
    <row r="134">
      <c r="A134" s="722" t="n"/>
      <c r="B134" s="721" t="n"/>
      <c r="C134" s="961" t="n"/>
      <c r="D134" s="721" t="n"/>
      <c r="E134" s="961" t="n"/>
      <c r="F134" s="721" t="n"/>
      <c r="G134" s="961" t="n"/>
      <c r="H134" s="721" t="n"/>
      <c r="I134" s="962" t="n"/>
      <c r="J134" s="718" t="n"/>
      <c r="K134" s="961" t="n"/>
      <c r="L134" s="721" t="n"/>
      <c r="M134" s="961" t="n"/>
      <c r="N134" s="721" t="n"/>
      <c r="O134" s="961" t="n"/>
      <c r="P134" s="721" t="n"/>
      <c r="Q134" s="962" t="n"/>
      <c r="R134" s="718" t="n"/>
      <c r="S134" s="961" t="n"/>
      <c r="T134" s="721" t="n"/>
      <c r="U134" s="961" t="n"/>
      <c r="V134" s="721" t="n"/>
      <c r="W134" s="961" t="n"/>
      <c r="X134" s="721" t="n"/>
      <c r="Y134" s="962" t="n"/>
      <c r="Z134" s="718" t="n"/>
      <c r="AA134" s="961" t="n"/>
      <c r="AB134" s="721" t="n"/>
      <c r="AC134" s="961" t="n"/>
      <c r="AD134" s="721" t="n"/>
      <c r="AE134" s="961" t="n"/>
      <c r="AF134" s="721" t="n"/>
      <c r="AG134" s="962" t="n"/>
      <c r="AH134" s="718" t="n"/>
      <c r="AI134" s="961" t="n"/>
      <c r="AJ134" s="721" t="n"/>
      <c r="AK134" s="961" t="n"/>
      <c r="AL134" s="721" t="n"/>
      <c r="AM134" s="961" t="n"/>
      <c r="AN134" s="721" t="n"/>
      <c r="AO134" s="962" t="n"/>
      <c r="AP134" s="718" t="n"/>
      <c r="AQ134" s="961" t="n"/>
      <c r="AR134" s="721" t="n"/>
      <c r="AS134" s="961" t="n"/>
      <c r="AT134" s="721" t="n"/>
      <c r="AU134" s="961" t="n"/>
      <c r="AV134" s="721" t="n"/>
      <c r="AW134" s="962" t="n"/>
      <c r="AX134" s="718" t="n"/>
      <c r="AY134" s="961" t="n"/>
      <c r="AZ134" s="721" t="n"/>
      <c r="BA134" s="961" t="n"/>
      <c r="BB134" s="721" t="n"/>
      <c r="BC134" s="961" t="n"/>
      <c r="BD134" s="721" t="n"/>
      <c r="BE134" s="962" t="n"/>
      <c r="BF134" s="718" t="n"/>
      <c r="BG134" s="961" t="n"/>
      <c r="BH134" s="717" t="n"/>
      <c r="BI134" s="963" t="n"/>
      <c r="BJ134" s="721" t="n"/>
      <c r="BK134" s="961" t="n"/>
      <c r="BL134" s="721" t="n"/>
      <c r="BM134" s="962" t="n"/>
    </row>
    <row r="135">
      <c r="A135" s="722" t="n"/>
      <c r="B135" s="721" t="n"/>
      <c r="C135" s="961" t="n"/>
      <c r="D135" s="721" t="n"/>
      <c r="E135" s="961" t="n"/>
      <c r="F135" s="721" t="n"/>
      <c r="G135" s="961" t="n"/>
      <c r="H135" s="721" t="n"/>
      <c r="I135" s="962" t="n"/>
      <c r="J135" s="718" t="n"/>
      <c r="K135" s="961" t="n"/>
      <c r="L135" s="721" t="n"/>
      <c r="M135" s="961" t="n"/>
      <c r="N135" s="721" t="n"/>
      <c r="O135" s="961" t="n"/>
      <c r="P135" s="721" t="n"/>
      <c r="Q135" s="962" t="n"/>
      <c r="R135" s="718" t="n"/>
      <c r="S135" s="961" t="n"/>
      <c r="T135" s="721" t="n"/>
      <c r="U135" s="961" t="n"/>
      <c r="V135" s="721" t="n"/>
      <c r="W135" s="961" t="n"/>
      <c r="X135" s="721" t="n"/>
      <c r="Y135" s="962" t="n"/>
      <c r="Z135" s="718" t="n"/>
      <c r="AA135" s="961" t="n"/>
      <c r="AB135" s="721" t="n"/>
      <c r="AC135" s="961" t="n"/>
      <c r="AD135" s="721" t="n"/>
      <c r="AE135" s="961" t="n"/>
      <c r="AF135" s="721" t="n"/>
      <c r="AG135" s="962" t="n"/>
      <c r="AH135" s="718" t="n"/>
      <c r="AI135" s="961" t="n"/>
      <c r="AJ135" s="721" t="n"/>
      <c r="AK135" s="961" t="n"/>
      <c r="AL135" s="721" t="n"/>
      <c r="AM135" s="961" t="n"/>
      <c r="AN135" s="721" t="n"/>
      <c r="AO135" s="962" t="n"/>
      <c r="AP135" s="718" t="n"/>
      <c r="AQ135" s="961" t="n"/>
      <c r="AR135" s="721" t="n"/>
      <c r="AS135" s="961" t="n"/>
      <c r="AT135" s="721" t="n"/>
      <c r="AU135" s="961" t="n"/>
      <c r="AV135" s="721" t="n"/>
      <c r="AW135" s="962" t="n"/>
      <c r="AX135" s="718" t="n"/>
      <c r="AY135" s="961" t="n"/>
      <c r="AZ135" s="721" t="n"/>
      <c r="BA135" s="961" t="n"/>
      <c r="BB135" s="721" t="n"/>
      <c r="BC135" s="961" t="n"/>
      <c r="BD135" s="721" t="n"/>
      <c r="BE135" s="962" t="n"/>
      <c r="BF135" s="718" t="n"/>
      <c r="BG135" s="961" t="n"/>
      <c r="BH135" s="717" t="n"/>
      <c r="BI135" s="963" t="n"/>
      <c r="BJ135" s="721" t="n"/>
      <c r="BK135" s="961" t="n"/>
      <c r="BL135" s="721" t="n"/>
      <c r="BM135" s="962" t="n"/>
    </row>
    <row r="136">
      <c r="A136" s="722" t="n"/>
      <c r="B136" s="721" t="n"/>
      <c r="C136" s="961" t="n"/>
      <c r="D136" s="721" t="n"/>
      <c r="E136" s="961" t="n"/>
      <c r="F136" s="721" t="n"/>
      <c r="G136" s="961" t="n"/>
      <c r="H136" s="721" t="n"/>
      <c r="I136" s="962" t="n"/>
      <c r="J136" s="718" t="n"/>
      <c r="K136" s="961" t="n"/>
      <c r="L136" s="721" t="n"/>
      <c r="M136" s="961" t="n"/>
      <c r="N136" s="721" t="n"/>
      <c r="O136" s="961" t="n"/>
      <c r="P136" s="721" t="n"/>
      <c r="Q136" s="962" t="n"/>
      <c r="R136" s="718" t="n"/>
      <c r="S136" s="961" t="n"/>
      <c r="T136" s="721" t="n"/>
      <c r="U136" s="961" t="n"/>
      <c r="V136" s="721" t="n"/>
      <c r="W136" s="961" t="n"/>
      <c r="X136" s="721" t="n"/>
      <c r="Y136" s="962" t="n"/>
      <c r="Z136" s="718" t="n"/>
      <c r="AA136" s="961" t="n"/>
      <c r="AB136" s="721" t="n"/>
      <c r="AC136" s="961" t="n"/>
      <c r="AD136" s="721" t="n"/>
      <c r="AE136" s="961" t="n"/>
      <c r="AF136" s="721" t="n"/>
      <c r="AG136" s="962" t="n"/>
      <c r="AH136" s="718" t="n"/>
      <c r="AI136" s="961" t="n"/>
      <c r="AJ136" s="721" t="n"/>
      <c r="AK136" s="961" t="n"/>
      <c r="AL136" s="721" t="n"/>
      <c r="AM136" s="961" t="n"/>
      <c r="AN136" s="721" t="n"/>
      <c r="AO136" s="962" t="n"/>
      <c r="AP136" s="718" t="n"/>
      <c r="AQ136" s="961" t="n"/>
      <c r="AR136" s="721" t="n"/>
      <c r="AS136" s="961" t="n"/>
      <c r="AT136" s="721" t="n"/>
      <c r="AU136" s="961" t="n"/>
      <c r="AV136" s="721" t="n"/>
      <c r="AW136" s="962" t="n"/>
      <c r="AX136" s="718" t="n"/>
      <c r="AY136" s="961" t="n"/>
      <c r="AZ136" s="721" t="n"/>
      <c r="BA136" s="961" t="n"/>
      <c r="BB136" s="721" t="n"/>
      <c r="BC136" s="961" t="n"/>
      <c r="BD136" s="721" t="n"/>
      <c r="BE136" s="962" t="n"/>
      <c r="BF136" s="718" t="n"/>
      <c r="BG136" s="961" t="n"/>
      <c r="BH136" s="717" t="n"/>
      <c r="BI136" s="963" t="n"/>
      <c r="BJ136" s="721" t="n"/>
      <c r="BK136" s="961" t="n"/>
      <c r="BL136" s="721" t="n"/>
      <c r="BM136" s="962" t="n"/>
    </row>
    <row r="137">
      <c r="A137" s="722" t="n"/>
      <c r="B137" s="721" t="n"/>
      <c r="C137" s="961" t="n"/>
      <c r="D137" s="721" t="n"/>
      <c r="E137" s="961" t="n"/>
      <c r="F137" s="721" t="n"/>
      <c r="G137" s="961" t="n"/>
      <c r="H137" s="721" t="n"/>
      <c r="I137" s="962" t="n"/>
      <c r="J137" s="718" t="n"/>
      <c r="K137" s="961" t="n"/>
      <c r="L137" s="721" t="n"/>
      <c r="M137" s="961" t="n"/>
      <c r="N137" s="721" t="n"/>
      <c r="O137" s="961" t="n"/>
      <c r="P137" s="721" t="n"/>
      <c r="Q137" s="962" t="n"/>
      <c r="R137" s="718" t="n"/>
      <c r="S137" s="961" t="n"/>
      <c r="T137" s="721" t="n"/>
      <c r="U137" s="961" t="n"/>
      <c r="V137" s="721" t="n"/>
      <c r="W137" s="961" t="n"/>
      <c r="X137" s="721" t="n"/>
      <c r="Y137" s="962" t="n"/>
      <c r="Z137" s="718" t="n"/>
      <c r="AA137" s="961" t="n"/>
      <c r="AB137" s="721" t="n"/>
      <c r="AC137" s="961" t="n"/>
      <c r="AD137" s="721" t="n"/>
      <c r="AE137" s="961" t="n"/>
      <c r="AF137" s="721" t="n"/>
      <c r="AG137" s="962" t="n"/>
      <c r="AH137" s="718" t="n"/>
      <c r="AI137" s="961" t="n"/>
      <c r="AJ137" s="721" t="n"/>
      <c r="AK137" s="961" t="n"/>
      <c r="AL137" s="721" t="n"/>
      <c r="AM137" s="961" t="n"/>
      <c r="AN137" s="721" t="n"/>
      <c r="AO137" s="962" t="n"/>
      <c r="AP137" s="718" t="n"/>
      <c r="AQ137" s="961" t="n"/>
      <c r="AR137" s="721" t="n"/>
      <c r="AS137" s="961" t="n"/>
      <c r="AT137" s="721" t="n"/>
      <c r="AU137" s="961" t="n"/>
      <c r="AV137" s="721" t="n"/>
      <c r="AW137" s="962" t="n"/>
      <c r="AX137" s="718" t="n"/>
      <c r="AY137" s="961" t="n"/>
      <c r="AZ137" s="721" t="n"/>
      <c r="BA137" s="961" t="n"/>
      <c r="BB137" s="721" t="n"/>
      <c r="BC137" s="961" t="n"/>
      <c r="BD137" s="721" t="n"/>
      <c r="BE137" s="962" t="n"/>
      <c r="BF137" s="718" t="n"/>
      <c r="BG137" s="961" t="n"/>
      <c r="BH137" s="717" t="n"/>
      <c r="BI137" s="963" t="n"/>
      <c r="BJ137" s="721" t="n"/>
      <c r="BK137" s="961" t="n"/>
      <c r="BL137" s="721" t="n"/>
      <c r="BM137" s="962" t="n"/>
    </row>
    <row r="138">
      <c r="A138" s="722" t="n"/>
      <c r="B138" s="721" t="n"/>
      <c r="C138" s="961" t="n"/>
      <c r="D138" s="721" t="n"/>
      <c r="E138" s="961" t="n"/>
      <c r="F138" s="721" t="n"/>
      <c r="G138" s="961" t="n"/>
      <c r="H138" s="721" t="n"/>
      <c r="I138" s="962" t="n"/>
      <c r="J138" s="718" t="n"/>
      <c r="K138" s="961" t="n"/>
      <c r="L138" s="721" t="n"/>
      <c r="M138" s="961" t="n"/>
      <c r="N138" s="721" t="n"/>
      <c r="O138" s="961" t="n"/>
      <c r="P138" s="721" t="n"/>
      <c r="Q138" s="962" t="n"/>
      <c r="R138" s="718" t="n"/>
      <c r="S138" s="961" t="n"/>
      <c r="T138" s="721" t="n"/>
      <c r="U138" s="961" t="n"/>
      <c r="V138" s="721" t="n"/>
      <c r="W138" s="961" t="n"/>
      <c r="X138" s="721" t="n"/>
      <c r="Y138" s="962" t="n"/>
      <c r="Z138" s="718" t="n"/>
      <c r="AA138" s="961" t="n"/>
      <c r="AB138" s="721" t="n"/>
      <c r="AC138" s="961" t="n"/>
      <c r="AD138" s="721" t="n"/>
      <c r="AE138" s="961" t="n"/>
      <c r="AF138" s="721" t="n"/>
      <c r="AG138" s="962" t="n"/>
      <c r="AH138" s="718" t="n"/>
      <c r="AI138" s="961" t="n"/>
      <c r="AJ138" s="721" t="n"/>
      <c r="AK138" s="961" t="n"/>
      <c r="AL138" s="721" t="n"/>
      <c r="AM138" s="961" t="n"/>
      <c r="AN138" s="721" t="n"/>
      <c r="AO138" s="962" t="n"/>
      <c r="AP138" s="718" t="n"/>
      <c r="AQ138" s="961" t="n"/>
      <c r="AR138" s="721" t="n"/>
      <c r="AS138" s="961" t="n"/>
      <c r="AT138" s="721" t="n"/>
      <c r="AU138" s="961" t="n"/>
      <c r="AV138" s="721" t="n"/>
      <c r="AW138" s="962" t="n"/>
      <c r="AX138" s="718" t="n"/>
      <c r="AY138" s="961" t="n"/>
      <c r="AZ138" s="721" t="n"/>
      <c r="BA138" s="961" t="n"/>
      <c r="BB138" s="721" t="n"/>
      <c r="BC138" s="961" t="n"/>
      <c r="BD138" s="721" t="n"/>
      <c r="BE138" s="962" t="n"/>
      <c r="BF138" s="718" t="n"/>
      <c r="BG138" s="961" t="n"/>
      <c r="BH138" s="717" t="n"/>
      <c r="BI138" s="963" t="n"/>
      <c r="BJ138" s="721" t="n"/>
      <c r="BK138" s="961" t="n"/>
      <c r="BL138" s="721" t="n"/>
      <c r="BM138" s="962" t="n"/>
    </row>
    <row r="139">
      <c r="A139" s="722" t="n"/>
      <c r="B139" s="721" t="n"/>
      <c r="C139" s="961" t="n"/>
      <c r="D139" s="721" t="n"/>
      <c r="E139" s="961" t="n"/>
      <c r="F139" s="721" t="n"/>
      <c r="G139" s="961" t="n"/>
      <c r="H139" s="721" t="n"/>
      <c r="I139" s="962" t="n"/>
      <c r="J139" s="718" t="n"/>
      <c r="K139" s="961" t="n"/>
      <c r="L139" s="721" t="n"/>
      <c r="M139" s="961" t="n"/>
      <c r="N139" s="721" t="n"/>
      <c r="O139" s="961" t="n"/>
      <c r="P139" s="721" t="n"/>
      <c r="Q139" s="962" t="n"/>
      <c r="R139" s="718" t="n"/>
      <c r="S139" s="961" t="n"/>
      <c r="T139" s="721" t="n"/>
      <c r="U139" s="961" t="n"/>
      <c r="V139" s="721" t="n"/>
      <c r="W139" s="961" t="n"/>
      <c r="X139" s="721" t="n"/>
      <c r="Y139" s="962" t="n"/>
      <c r="Z139" s="718" t="n"/>
      <c r="AA139" s="961" t="n"/>
      <c r="AB139" s="721" t="n"/>
      <c r="AC139" s="961" t="n"/>
      <c r="AD139" s="721" t="n"/>
      <c r="AE139" s="961" t="n"/>
      <c r="AF139" s="721" t="n"/>
      <c r="AG139" s="962" t="n"/>
      <c r="AH139" s="718" t="n"/>
      <c r="AI139" s="961" t="n"/>
      <c r="AJ139" s="721" t="n"/>
      <c r="AK139" s="961" t="n"/>
      <c r="AL139" s="721" t="n"/>
      <c r="AM139" s="961" t="n"/>
      <c r="AN139" s="721" t="n"/>
      <c r="AO139" s="962" t="n"/>
      <c r="AP139" s="718" t="n"/>
      <c r="AQ139" s="961" t="n"/>
      <c r="AR139" s="721" t="n"/>
      <c r="AS139" s="961" t="n"/>
      <c r="AT139" s="721" t="n"/>
      <c r="AU139" s="961" t="n"/>
      <c r="AV139" s="721" t="n"/>
      <c r="AW139" s="962" t="n"/>
      <c r="AX139" s="718" t="n"/>
      <c r="AY139" s="961" t="n"/>
      <c r="AZ139" s="721" t="n"/>
      <c r="BA139" s="961" t="n"/>
      <c r="BB139" s="721" t="n"/>
      <c r="BC139" s="961" t="n"/>
      <c r="BD139" s="721" t="n"/>
      <c r="BE139" s="962" t="n"/>
      <c r="BF139" s="718" t="n"/>
      <c r="BG139" s="961" t="n"/>
      <c r="BH139" s="717" t="n"/>
      <c r="BI139" s="963" t="n"/>
      <c r="BJ139" s="721" t="n"/>
      <c r="BK139" s="961" t="n"/>
      <c r="BL139" s="721" t="n"/>
      <c r="BM139" s="962" t="n"/>
    </row>
    <row r="140">
      <c r="A140" s="722" t="n"/>
      <c r="B140" s="721" t="n"/>
      <c r="C140" s="961" t="n"/>
      <c r="D140" s="721" t="n"/>
      <c r="E140" s="961" t="n"/>
      <c r="F140" s="721" t="n"/>
      <c r="G140" s="961" t="n"/>
      <c r="H140" s="721" t="n"/>
      <c r="I140" s="962" t="n"/>
      <c r="J140" s="718" t="n"/>
      <c r="K140" s="961" t="n"/>
      <c r="L140" s="721" t="n"/>
      <c r="M140" s="961" t="n"/>
      <c r="N140" s="721" t="n"/>
      <c r="O140" s="961" t="n"/>
      <c r="P140" s="721" t="n"/>
      <c r="Q140" s="962" t="n"/>
      <c r="R140" s="718" t="n"/>
      <c r="S140" s="961" t="n"/>
      <c r="T140" s="721" t="n"/>
      <c r="U140" s="961" t="n"/>
      <c r="V140" s="721" t="n"/>
      <c r="W140" s="961" t="n"/>
      <c r="X140" s="721" t="n"/>
      <c r="Y140" s="962" t="n"/>
      <c r="Z140" s="718" t="n"/>
      <c r="AA140" s="961" t="n"/>
      <c r="AB140" s="721" t="n"/>
      <c r="AC140" s="961" t="n"/>
      <c r="AD140" s="721" t="n"/>
      <c r="AE140" s="961" t="n"/>
      <c r="AF140" s="721" t="n"/>
      <c r="AG140" s="962" t="n"/>
      <c r="AH140" s="718" t="n"/>
      <c r="AI140" s="961" t="n"/>
      <c r="AJ140" s="721" t="n"/>
      <c r="AK140" s="961" t="n"/>
      <c r="AL140" s="721" t="n"/>
      <c r="AM140" s="961" t="n"/>
      <c r="AN140" s="721" t="n"/>
      <c r="AO140" s="962" t="n"/>
      <c r="AP140" s="718" t="n"/>
      <c r="AQ140" s="961" t="n"/>
      <c r="AR140" s="721" t="n"/>
      <c r="AS140" s="961" t="n"/>
      <c r="AT140" s="721" t="n"/>
      <c r="AU140" s="961" t="n"/>
      <c r="AV140" s="721" t="n"/>
      <c r="AW140" s="962" t="n"/>
      <c r="AX140" s="718" t="n"/>
      <c r="AY140" s="961" t="n"/>
      <c r="AZ140" s="721" t="n"/>
      <c r="BA140" s="961" t="n"/>
      <c r="BB140" s="721" t="n"/>
      <c r="BC140" s="961" t="n"/>
      <c r="BD140" s="721" t="n"/>
      <c r="BE140" s="962" t="n"/>
      <c r="BF140" s="718" t="n"/>
      <c r="BG140" s="961" t="n"/>
      <c r="BH140" s="717" t="n"/>
      <c r="BI140" s="963" t="n"/>
      <c r="BJ140" s="721" t="n"/>
      <c r="BK140" s="961" t="n"/>
      <c r="BL140" s="721" t="n"/>
      <c r="BM140" s="962" t="n"/>
    </row>
    <row r="141">
      <c r="A141" s="722" t="n"/>
      <c r="B141" s="721" t="n"/>
      <c r="C141" s="961" t="n"/>
      <c r="D141" s="721" t="n"/>
      <c r="E141" s="961" t="n"/>
      <c r="F141" s="721" t="n"/>
      <c r="G141" s="961" t="n"/>
      <c r="H141" s="721" t="n"/>
      <c r="I141" s="962" t="n"/>
      <c r="J141" s="718" t="n"/>
      <c r="K141" s="961" t="n"/>
      <c r="L141" s="721" t="n"/>
      <c r="M141" s="961" t="n"/>
      <c r="N141" s="721" t="n"/>
      <c r="O141" s="961" t="n"/>
      <c r="P141" s="721" t="n"/>
      <c r="Q141" s="962" t="n"/>
      <c r="R141" s="718" t="n"/>
      <c r="S141" s="961" t="n"/>
      <c r="T141" s="721" t="n"/>
      <c r="U141" s="961" t="n"/>
      <c r="V141" s="721" t="n"/>
      <c r="W141" s="961" t="n"/>
      <c r="X141" s="721" t="n"/>
      <c r="Y141" s="962" t="n"/>
      <c r="Z141" s="718" t="n"/>
      <c r="AA141" s="961" t="n"/>
      <c r="AB141" s="721" t="n"/>
      <c r="AC141" s="961" t="n"/>
      <c r="AD141" s="721" t="n"/>
      <c r="AE141" s="961" t="n"/>
      <c r="AF141" s="721" t="n"/>
      <c r="AG141" s="962" t="n"/>
      <c r="AH141" s="718" t="n"/>
      <c r="AI141" s="961" t="n"/>
      <c r="AJ141" s="721" t="n"/>
      <c r="AK141" s="961" t="n"/>
      <c r="AL141" s="721" t="n"/>
      <c r="AM141" s="961" t="n"/>
      <c r="AN141" s="721" t="n"/>
      <c r="AO141" s="962" t="n"/>
      <c r="AP141" s="718" t="n"/>
      <c r="AQ141" s="961" t="n"/>
      <c r="AR141" s="721" t="n"/>
      <c r="AS141" s="961" t="n"/>
      <c r="AT141" s="721" t="n"/>
      <c r="AU141" s="961" t="n"/>
      <c r="AV141" s="721" t="n"/>
      <c r="AW141" s="962" t="n"/>
      <c r="AX141" s="718" t="n"/>
      <c r="AY141" s="961" t="n"/>
      <c r="AZ141" s="721" t="n"/>
      <c r="BA141" s="961" t="n"/>
      <c r="BB141" s="721" t="n"/>
      <c r="BC141" s="961" t="n"/>
      <c r="BD141" s="721" t="n"/>
      <c r="BE141" s="962" t="n"/>
      <c r="BF141" s="718" t="n"/>
      <c r="BG141" s="961" t="n"/>
      <c r="BH141" s="717" t="n"/>
      <c r="BI141" s="963" t="n"/>
      <c r="BJ141" s="721" t="n"/>
      <c r="BK141" s="961" t="n"/>
      <c r="BL141" s="721" t="n"/>
      <c r="BM141" s="962" t="n"/>
    </row>
    <row r="142">
      <c r="A142" s="722" t="n"/>
      <c r="B142" s="721" t="n"/>
      <c r="C142" s="961" t="n"/>
      <c r="D142" s="721" t="n"/>
      <c r="E142" s="961" t="n"/>
      <c r="F142" s="721" t="n"/>
      <c r="G142" s="961" t="n"/>
      <c r="H142" s="721" t="n"/>
      <c r="I142" s="962" t="n"/>
      <c r="J142" s="718" t="n"/>
      <c r="K142" s="961" t="n"/>
      <c r="L142" s="721" t="n"/>
      <c r="M142" s="961" t="n"/>
      <c r="N142" s="721" t="n"/>
      <c r="O142" s="961" t="n"/>
      <c r="P142" s="721" t="n"/>
      <c r="Q142" s="962" t="n"/>
      <c r="R142" s="718" t="n"/>
      <c r="S142" s="961" t="n"/>
      <c r="T142" s="721" t="n"/>
      <c r="U142" s="961" t="n"/>
      <c r="V142" s="721" t="n"/>
      <c r="W142" s="961" t="n"/>
      <c r="X142" s="721" t="n"/>
      <c r="Y142" s="962" t="n"/>
      <c r="Z142" s="718" t="n"/>
      <c r="AA142" s="961" t="n"/>
      <c r="AB142" s="721" t="n"/>
      <c r="AC142" s="961" t="n"/>
      <c r="AD142" s="721" t="n"/>
      <c r="AE142" s="961" t="n"/>
      <c r="AF142" s="721" t="n"/>
      <c r="AG142" s="962" t="n"/>
      <c r="AH142" s="718" t="n"/>
      <c r="AI142" s="961" t="n"/>
      <c r="AJ142" s="721" t="n"/>
      <c r="AK142" s="961" t="n"/>
      <c r="AL142" s="721" t="n"/>
      <c r="AM142" s="961" t="n"/>
      <c r="AN142" s="721" t="n"/>
      <c r="AO142" s="962" t="n"/>
      <c r="AP142" s="718" t="n"/>
      <c r="AQ142" s="961" t="n"/>
      <c r="AR142" s="721" t="n"/>
      <c r="AS142" s="961" t="n"/>
      <c r="AT142" s="721" t="n"/>
      <c r="AU142" s="961" t="n"/>
      <c r="AV142" s="721" t="n"/>
      <c r="AW142" s="962" t="n"/>
      <c r="AX142" s="718" t="n"/>
      <c r="AY142" s="961" t="n"/>
      <c r="AZ142" s="721" t="n"/>
      <c r="BA142" s="961" t="n"/>
      <c r="BB142" s="721" t="n"/>
      <c r="BC142" s="961" t="n"/>
      <c r="BD142" s="721" t="n"/>
      <c r="BE142" s="962" t="n"/>
      <c r="BF142" s="718" t="n"/>
      <c r="BG142" s="961" t="n"/>
      <c r="BH142" s="717" t="n"/>
      <c r="BI142" s="963" t="n"/>
      <c r="BJ142" s="721" t="n"/>
      <c r="BK142" s="961" t="n"/>
      <c r="BL142" s="721" t="n"/>
      <c r="BM142" s="962" t="n"/>
    </row>
    <row r="143">
      <c r="A143" s="722" t="n"/>
      <c r="B143" s="721" t="n"/>
      <c r="C143" s="961" t="n"/>
      <c r="D143" s="721" t="n"/>
      <c r="E143" s="961" t="n"/>
      <c r="F143" s="721" t="n"/>
      <c r="G143" s="961" t="n"/>
      <c r="H143" s="721" t="n"/>
      <c r="I143" s="962" t="n"/>
      <c r="J143" s="718" t="n"/>
      <c r="K143" s="961" t="n"/>
      <c r="L143" s="721" t="n"/>
      <c r="M143" s="961" t="n"/>
      <c r="N143" s="721" t="n"/>
      <c r="O143" s="961" t="n"/>
      <c r="P143" s="721" t="n"/>
      <c r="Q143" s="962" t="n"/>
      <c r="R143" s="718" t="n"/>
      <c r="S143" s="961" t="n"/>
      <c r="T143" s="721" t="n"/>
      <c r="U143" s="961" t="n"/>
      <c r="V143" s="721" t="n"/>
      <c r="W143" s="961" t="n"/>
      <c r="X143" s="721" t="n"/>
      <c r="Y143" s="962" t="n"/>
      <c r="Z143" s="718" t="n"/>
      <c r="AA143" s="961" t="n"/>
      <c r="AB143" s="721" t="n"/>
      <c r="AC143" s="961" t="n"/>
      <c r="AD143" s="721" t="n"/>
      <c r="AE143" s="961" t="n"/>
      <c r="AF143" s="721" t="n"/>
      <c r="AG143" s="962" t="n"/>
      <c r="AH143" s="718" t="n"/>
      <c r="AI143" s="961" t="n"/>
      <c r="AJ143" s="721" t="n"/>
      <c r="AK143" s="961" t="n"/>
      <c r="AL143" s="721" t="n"/>
      <c r="AM143" s="961" t="n"/>
      <c r="AN143" s="721" t="n"/>
      <c r="AO143" s="962" t="n"/>
      <c r="AP143" s="718" t="n"/>
      <c r="AQ143" s="961" t="n"/>
      <c r="AR143" s="721" t="n"/>
      <c r="AS143" s="961" t="n"/>
      <c r="AT143" s="721" t="n"/>
      <c r="AU143" s="961" t="n"/>
      <c r="AV143" s="721" t="n"/>
      <c r="AW143" s="962" t="n"/>
      <c r="AX143" s="718" t="n"/>
      <c r="AY143" s="961" t="n"/>
      <c r="AZ143" s="721" t="n"/>
      <c r="BA143" s="961" t="n"/>
      <c r="BB143" s="721" t="n"/>
      <c r="BC143" s="961" t="n"/>
      <c r="BD143" s="721" t="n"/>
      <c r="BE143" s="962" t="n"/>
      <c r="BF143" s="718" t="n"/>
      <c r="BG143" s="961" t="n"/>
      <c r="BH143" s="717" t="n"/>
      <c r="BI143" s="963" t="n"/>
      <c r="BJ143" s="721" t="n"/>
      <c r="BK143" s="961" t="n"/>
      <c r="BL143" s="721" t="n"/>
      <c r="BM143" s="962" t="n"/>
    </row>
    <row r="144">
      <c r="A144" s="722" t="n"/>
      <c r="B144" s="721" t="n"/>
      <c r="C144" s="961" t="n"/>
      <c r="D144" s="721" t="n"/>
      <c r="E144" s="961" t="n"/>
      <c r="F144" s="721" t="n"/>
      <c r="G144" s="961" t="n"/>
      <c r="H144" s="721" t="n"/>
      <c r="I144" s="962" t="n"/>
      <c r="J144" s="718" t="n"/>
      <c r="K144" s="961" t="n"/>
      <c r="L144" s="721" t="n"/>
      <c r="M144" s="961" t="n"/>
      <c r="N144" s="721" t="n"/>
      <c r="O144" s="961" t="n"/>
      <c r="P144" s="721" t="n"/>
      <c r="Q144" s="962" t="n"/>
      <c r="R144" s="718" t="n"/>
      <c r="S144" s="961" t="n"/>
      <c r="T144" s="721" t="n"/>
      <c r="U144" s="961" t="n"/>
      <c r="V144" s="721" t="n"/>
      <c r="W144" s="961" t="n"/>
      <c r="X144" s="721" t="n"/>
      <c r="Y144" s="962" t="n"/>
      <c r="Z144" s="718" t="n"/>
      <c r="AA144" s="961" t="n"/>
      <c r="AB144" s="721" t="n"/>
      <c r="AC144" s="961" t="n"/>
      <c r="AD144" s="721" t="n"/>
      <c r="AE144" s="961" t="n"/>
      <c r="AF144" s="721" t="n"/>
      <c r="AG144" s="962" t="n"/>
      <c r="AH144" s="718" t="n"/>
      <c r="AI144" s="961" t="n"/>
      <c r="AJ144" s="721" t="n"/>
      <c r="AK144" s="961" t="n"/>
      <c r="AL144" s="721" t="n"/>
      <c r="AM144" s="961" t="n"/>
      <c r="AN144" s="721" t="n"/>
      <c r="AO144" s="962" t="n"/>
      <c r="AP144" s="718" t="n"/>
      <c r="AQ144" s="961" t="n"/>
      <c r="AR144" s="721" t="n"/>
      <c r="AS144" s="961" t="n"/>
      <c r="AT144" s="721" t="n"/>
      <c r="AU144" s="961" t="n"/>
      <c r="AV144" s="721" t="n"/>
      <c r="AW144" s="962" t="n"/>
      <c r="AX144" s="718" t="n"/>
      <c r="AY144" s="961" t="n"/>
      <c r="AZ144" s="721" t="n"/>
      <c r="BA144" s="961" t="n"/>
      <c r="BB144" s="721" t="n"/>
      <c r="BC144" s="961" t="n"/>
      <c r="BD144" s="721" t="n"/>
      <c r="BE144" s="962" t="n"/>
      <c r="BF144" s="718" t="n"/>
      <c r="BG144" s="961" t="n"/>
      <c r="BH144" s="717" t="n"/>
      <c r="BI144" s="963" t="n"/>
      <c r="BJ144" s="721" t="n"/>
      <c r="BK144" s="961" t="n"/>
      <c r="BL144" s="721" t="n"/>
      <c r="BM144" s="962" t="n"/>
    </row>
    <row r="145">
      <c r="A145" s="722" t="n"/>
      <c r="B145" s="721" t="n"/>
      <c r="C145" s="961" t="n"/>
      <c r="D145" s="721" t="n"/>
      <c r="E145" s="961" t="n"/>
      <c r="F145" s="721" t="n"/>
      <c r="G145" s="961" t="n"/>
      <c r="H145" s="721" t="n"/>
      <c r="I145" s="962" t="n"/>
      <c r="J145" s="718" t="n"/>
      <c r="K145" s="961" t="n"/>
      <c r="L145" s="721" t="n"/>
      <c r="M145" s="961" t="n"/>
      <c r="N145" s="721" t="n"/>
      <c r="O145" s="961" t="n"/>
      <c r="P145" s="721" t="n"/>
      <c r="Q145" s="962" t="n"/>
      <c r="R145" s="718" t="n"/>
      <c r="S145" s="961" t="n"/>
      <c r="T145" s="721" t="n"/>
      <c r="U145" s="961" t="n"/>
      <c r="V145" s="721" t="n"/>
      <c r="W145" s="961" t="n"/>
      <c r="X145" s="721" t="n"/>
      <c r="Y145" s="962" t="n"/>
      <c r="Z145" s="718" t="n"/>
      <c r="AA145" s="961" t="n"/>
      <c r="AB145" s="721" t="n"/>
      <c r="AC145" s="961" t="n"/>
      <c r="AD145" s="721" t="n"/>
      <c r="AE145" s="961" t="n"/>
      <c r="AF145" s="721" t="n"/>
      <c r="AG145" s="962" t="n"/>
      <c r="AH145" s="718" t="n"/>
      <c r="AI145" s="961" t="n"/>
      <c r="AJ145" s="721" t="n"/>
      <c r="AK145" s="961" t="n"/>
      <c r="AL145" s="721" t="n"/>
      <c r="AM145" s="961" t="n"/>
      <c r="AN145" s="721" t="n"/>
      <c r="AO145" s="962" t="n"/>
      <c r="AP145" s="718" t="n"/>
      <c r="AQ145" s="961" t="n"/>
      <c r="AR145" s="721" t="n"/>
      <c r="AS145" s="961" t="n"/>
      <c r="AT145" s="721" t="n"/>
      <c r="AU145" s="961" t="n"/>
      <c r="AV145" s="721" t="n"/>
      <c r="AW145" s="962" t="n"/>
      <c r="AX145" s="718" t="n"/>
      <c r="AY145" s="961" t="n"/>
      <c r="AZ145" s="721" t="n"/>
      <c r="BA145" s="961" t="n"/>
      <c r="BB145" s="721" t="n"/>
      <c r="BC145" s="961" t="n"/>
      <c r="BD145" s="721" t="n"/>
      <c r="BE145" s="962" t="n"/>
      <c r="BF145" s="718" t="n"/>
      <c r="BG145" s="961" t="n"/>
      <c r="BH145" s="717" t="n"/>
      <c r="BI145" s="963" t="n"/>
      <c r="BJ145" s="721" t="n"/>
      <c r="BK145" s="961" t="n"/>
      <c r="BL145" s="721" t="n"/>
      <c r="BM145" s="962" t="n"/>
    </row>
    <row r="146">
      <c r="A146" s="722" t="n"/>
      <c r="B146" s="721" t="n"/>
      <c r="C146" s="961" t="n"/>
      <c r="D146" s="721" t="n"/>
      <c r="E146" s="961" t="n"/>
      <c r="F146" s="721" t="n"/>
      <c r="G146" s="961" t="n"/>
      <c r="H146" s="721" t="n"/>
      <c r="I146" s="962" t="n"/>
      <c r="J146" s="718" t="n"/>
      <c r="K146" s="961" t="n"/>
      <c r="L146" s="721" t="n"/>
      <c r="M146" s="961" t="n"/>
      <c r="N146" s="721" t="n"/>
      <c r="O146" s="961" t="n"/>
      <c r="P146" s="721" t="n"/>
      <c r="Q146" s="962" t="n"/>
      <c r="R146" s="718" t="n"/>
      <c r="S146" s="961" t="n"/>
      <c r="T146" s="721" t="n"/>
      <c r="U146" s="961" t="n"/>
      <c r="V146" s="721" t="n"/>
      <c r="W146" s="961" t="n"/>
      <c r="X146" s="721" t="n"/>
      <c r="Y146" s="962" t="n"/>
      <c r="Z146" s="718" t="n"/>
      <c r="AA146" s="961" t="n"/>
      <c r="AB146" s="721" t="n"/>
      <c r="AC146" s="961" t="n"/>
      <c r="AD146" s="721" t="n"/>
      <c r="AE146" s="961" t="n"/>
      <c r="AF146" s="721" t="n"/>
      <c r="AG146" s="962" t="n"/>
      <c r="AH146" s="718" t="n"/>
      <c r="AI146" s="961" t="n"/>
      <c r="AJ146" s="721" t="n"/>
      <c r="AK146" s="961" t="n"/>
      <c r="AL146" s="721" t="n"/>
      <c r="AM146" s="961" t="n"/>
      <c r="AN146" s="721" t="n"/>
      <c r="AO146" s="962" t="n"/>
      <c r="AP146" s="718" t="n"/>
      <c r="AQ146" s="961" t="n"/>
      <c r="AR146" s="721" t="n"/>
      <c r="AS146" s="961" t="n"/>
      <c r="AT146" s="721" t="n"/>
      <c r="AU146" s="961" t="n"/>
      <c r="AV146" s="721" t="n"/>
      <c r="AW146" s="962" t="n"/>
      <c r="AX146" s="718" t="n"/>
      <c r="AY146" s="961" t="n"/>
      <c r="AZ146" s="721" t="n"/>
      <c r="BA146" s="961" t="n"/>
      <c r="BB146" s="721" t="n"/>
      <c r="BC146" s="961" t="n"/>
      <c r="BD146" s="721" t="n"/>
      <c r="BE146" s="962" t="n"/>
      <c r="BF146" s="718" t="n"/>
      <c r="BG146" s="961" t="n"/>
      <c r="BH146" s="717" t="n"/>
      <c r="BI146" s="963" t="n"/>
      <c r="BJ146" s="721" t="n"/>
      <c r="BK146" s="961" t="n"/>
      <c r="BL146" s="721" t="n"/>
      <c r="BM146" s="962" t="n"/>
    </row>
    <row r="147">
      <c r="A147" s="722" t="n"/>
      <c r="B147" s="721" t="n"/>
      <c r="C147" s="961" t="n"/>
      <c r="D147" s="721" t="n"/>
      <c r="E147" s="961" t="n"/>
      <c r="F147" s="721" t="n"/>
      <c r="G147" s="961" t="n"/>
      <c r="H147" s="721" t="n"/>
      <c r="I147" s="962" t="n"/>
      <c r="J147" s="718" t="n"/>
      <c r="K147" s="961" t="n"/>
      <c r="L147" s="721" t="n"/>
      <c r="M147" s="961" t="n"/>
      <c r="N147" s="721" t="n"/>
      <c r="O147" s="961" t="n"/>
      <c r="P147" s="721" t="n"/>
      <c r="Q147" s="962" t="n"/>
      <c r="R147" s="718" t="n"/>
      <c r="S147" s="961" t="n"/>
      <c r="T147" s="721" t="n"/>
      <c r="U147" s="961" t="n"/>
      <c r="V147" s="721" t="n"/>
      <c r="W147" s="961" t="n"/>
      <c r="X147" s="721" t="n"/>
      <c r="Y147" s="962" t="n"/>
      <c r="Z147" s="718" t="n"/>
      <c r="AA147" s="961" t="n"/>
      <c r="AB147" s="721" t="n"/>
      <c r="AC147" s="961" t="n"/>
      <c r="AD147" s="721" t="n"/>
      <c r="AE147" s="961" t="n"/>
      <c r="AF147" s="721" t="n"/>
      <c r="AG147" s="962" t="n"/>
      <c r="AH147" s="718" t="n"/>
      <c r="AI147" s="961" t="n"/>
      <c r="AJ147" s="721" t="n"/>
      <c r="AK147" s="961" t="n"/>
      <c r="AL147" s="721" t="n"/>
      <c r="AM147" s="961" t="n"/>
      <c r="AN147" s="721" t="n"/>
      <c r="AO147" s="962" t="n"/>
      <c r="AP147" s="718" t="n"/>
      <c r="AQ147" s="961" t="n"/>
      <c r="AR147" s="721" t="n"/>
      <c r="AS147" s="961" t="n"/>
      <c r="AT147" s="721" t="n"/>
      <c r="AU147" s="961" t="n"/>
      <c r="AV147" s="721" t="n"/>
      <c r="AW147" s="962" t="n"/>
      <c r="AX147" s="718" t="n"/>
      <c r="AY147" s="961" t="n"/>
      <c r="AZ147" s="721" t="n"/>
      <c r="BA147" s="961" t="n"/>
      <c r="BB147" s="721" t="n"/>
      <c r="BC147" s="961" t="n"/>
      <c r="BD147" s="721" t="n"/>
      <c r="BE147" s="962" t="n"/>
      <c r="BF147" s="718" t="n"/>
      <c r="BG147" s="961" t="n"/>
      <c r="BH147" s="717" t="n"/>
      <c r="BI147" s="963" t="n"/>
      <c r="BJ147" s="721" t="n"/>
      <c r="BK147" s="961" t="n"/>
      <c r="BL147" s="721" t="n"/>
      <c r="BM147" s="962" t="n"/>
    </row>
    <row r="148">
      <c r="A148" s="722" t="n"/>
      <c r="B148" s="721" t="n"/>
      <c r="C148" s="961" t="n"/>
      <c r="D148" s="721" t="n"/>
      <c r="E148" s="961" t="n"/>
      <c r="F148" s="721" t="n"/>
      <c r="G148" s="961" t="n"/>
      <c r="H148" s="721" t="n"/>
      <c r="I148" s="962" t="n"/>
      <c r="J148" s="718" t="n"/>
      <c r="K148" s="961" t="n"/>
      <c r="L148" s="721" t="n"/>
      <c r="M148" s="961" t="n"/>
      <c r="N148" s="721" t="n"/>
      <c r="O148" s="961" t="n"/>
      <c r="P148" s="721" t="n"/>
      <c r="Q148" s="962" t="n"/>
      <c r="R148" s="718" t="n"/>
      <c r="S148" s="961" t="n"/>
      <c r="T148" s="721" t="n"/>
      <c r="U148" s="961" t="n"/>
      <c r="V148" s="721" t="n"/>
      <c r="W148" s="961" t="n"/>
      <c r="X148" s="721" t="n"/>
      <c r="Y148" s="962" t="n"/>
      <c r="Z148" s="718" t="n"/>
      <c r="AA148" s="961" t="n"/>
      <c r="AB148" s="721" t="n"/>
      <c r="AC148" s="961" t="n"/>
      <c r="AD148" s="721" t="n"/>
      <c r="AE148" s="961" t="n"/>
      <c r="AF148" s="721" t="n"/>
      <c r="AG148" s="962" t="n"/>
      <c r="AH148" s="718" t="n"/>
      <c r="AI148" s="961" t="n"/>
      <c r="AJ148" s="721" t="n"/>
      <c r="AK148" s="961" t="n"/>
      <c r="AL148" s="721" t="n"/>
      <c r="AM148" s="961" t="n"/>
      <c r="AN148" s="721" t="n"/>
      <c r="AO148" s="962" t="n"/>
      <c r="AP148" s="718" t="n"/>
      <c r="AQ148" s="961" t="n"/>
      <c r="AR148" s="721" t="n"/>
      <c r="AS148" s="961" t="n"/>
      <c r="AT148" s="721" t="n"/>
      <c r="AU148" s="961" t="n"/>
      <c r="AV148" s="721" t="n"/>
      <c r="AW148" s="962" t="n"/>
      <c r="AX148" s="718" t="n"/>
      <c r="AY148" s="961" t="n"/>
      <c r="AZ148" s="721" t="n"/>
      <c r="BA148" s="961" t="n"/>
      <c r="BB148" s="721" t="n"/>
      <c r="BC148" s="961" t="n"/>
      <c r="BD148" s="721" t="n"/>
      <c r="BE148" s="962" t="n"/>
      <c r="BF148" s="718" t="n"/>
      <c r="BG148" s="961" t="n"/>
      <c r="BH148" s="717" t="n"/>
      <c r="BI148" s="963" t="n"/>
      <c r="BJ148" s="721" t="n"/>
      <c r="BK148" s="961" t="n"/>
      <c r="BL148" s="721" t="n"/>
      <c r="BM148" s="962" t="n"/>
    </row>
    <row r="149">
      <c r="A149" s="722" t="n"/>
      <c r="B149" s="721" t="n"/>
      <c r="C149" s="961" t="n"/>
      <c r="D149" s="721" t="n"/>
      <c r="E149" s="961" t="n"/>
      <c r="F149" s="721" t="n"/>
      <c r="G149" s="961" t="n"/>
      <c r="H149" s="721" t="n"/>
      <c r="I149" s="962" t="n"/>
      <c r="J149" s="718" t="n"/>
      <c r="K149" s="961" t="n"/>
      <c r="L149" s="721" t="n"/>
      <c r="M149" s="961" t="n"/>
      <c r="N149" s="721" t="n"/>
      <c r="O149" s="961" t="n"/>
      <c r="P149" s="721" t="n"/>
      <c r="Q149" s="962" t="n"/>
      <c r="R149" s="718" t="n"/>
      <c r="S149" s="961" t="n"/>
      <c r="T149" s="721" t="n"/>
      <c r="U149" s="961" t="n"/>
      <c r="V149" s="721" t="n"/>
      <c r="W149" s="961" t="n"/>
      <c r="X149" s="721" t="n"/>
      <c r="Y149" s="962" t="n"/>
      <c r="Z149" s="718" t="n"/>
      <c r="AA149" s="961" t="n"/>
      <c r="AB149" s="721" t="n"/>
      <c r="AC149" s="961" t="n"/>
      <c r="AD149" s="721" t="n"/>
      <c r="AE149" s="961" t="n"/>
      <c r="AF149" s="721" t="n"/>
      <c r="AG149" s="962" t="n"/>
      <c r="AH149" s="718" t="n"/>
      <c r="AI149" s="961" t="n"/>
      <c r="AJ149" s="721" t="n"/>
      <c r="AK149" s="961" t="n"/>
      <c r="AL149" s="721" t="n"/>
      <c r="AM149" s="961" t="n"/>
      <c r="AN149" s="721" t="n"/>
      <c r="AO149" s="962" t="n"/>
      <c r="AP149" s="718" t="n"/>
      <c r="AQ149" s="961" t="n"/>
      <c r="AR149" s="721" t="n"/>
      <c r="AS149" s="961" t="n"/>
      <c r="AT149" s="721" t="n"/>
      <c r="AU149" s="961" t="n"/>
      <c r="AV149" s="721" t="n"/>
      <c r="AW149" s="962" t="n"/>
      <c r="AX149" s="718" t="n"/>
      <c r="AY149" s="961" t="n"/>
      <c r="AZ149" s="721" t="n"/>
      <c r="BA149" s="961" t="n"/>
      <c r="BB149" s="721" t="n"/>
      <c r="BC149" s="961" t="n"/>
      <c r="BD149" s="721" t="n"/>
      <c r="BE149" s="962" t="n"/>
      <c r="BF149" s="718" t="n"/>
      <c r="BG149" s="961" t="n"/>
      <c r="BH149" s="717" t="n"/>
      <c r="BI149" s="963" t="n"/>
      <c r="BJ149" s="721" t="n"/>
      <c r="BK149" s="961" t="n"/>
      <c r="BL149" s="721" t="n"/>
      <c r="BM149" s="962" t="n"/>
    </row>
    <row r="150">
      <c r="A150" s="722" t="n"/>
      <c r="B150" s="721" t="n"/>
      <c r="C150" s="961" t="n"/>
      <c r="D150" s="721" t="n"/>
      <c r="E150" s="961" t="n"/>
      <c r="F150" s="721" t="n"/>
      <c r="G150" s="961" t="n"/>
      <c r="H150" s="721" t="n"/>
      <c r="I150" s="962" t="n"/>
      <c r="J150" s="718" t="n"/>
      <c r="K150" s="961" t="n"/>
      <c r="L150" s="721" t="n"/>
      <c r="M150" s="961" t="n"/>
      <c r="N150" s="721" t="n"/>
      <c r="O150" s="961" t="n"/>
      <c r="P150" s="721" t="n"/>
      <c r="Q150" s="962" t="n"/>
      <c r="R150" s="718" t="n"/>
      <c r="S150" s="961" t="n"/>
      <c r="T150" s="721" t="n"/>
      <c r="U150" s="961" t="n"/>
      <c r="V150" s="721" t="n"/>
      <c r="W150" s="961" t="n"/>
      <c r="X150" s="721" t="n"/>
      <c r="Y150" s="962" t="n"/>
      <c r="Z150" s="718" t="n"/>
      <c r="AA150" s="961" t="n"/>
      <c r="AB150" s="721" t="n"/>
      <c r="AC150" s="961" t="n"/>
      <c r="AD150" s="721" t="n"/>
      <c r="AE150" s="961" t="n"/>
      <c r="AF150" s="721" t="n"/>
      <c r="AG150" s="962" t="n"/>
      <c r="AH150" s="718" t="n"/>
      <c r="AI150" s="961" t="n"/>
      <c r="AJ150" s="721" t="n"/>
      <c r="AK150" s="961" t="n"/>
      <c r="AL150" s="721" t="n"/>
      <c r="AM150" s="961" t="n"/>
      <c r="AN150" s="721" t="n"/>
      <c r="AO150" s="962" t="n"/>
      <c r="AP150" s="718" t="n"/>
      <c r="AQ150" s="961" t="n"/>
      <c r="AR150" s="721" t="n"/>
      <c r="AS150" s="961" t="n"/>
      <c r="AT150" s="721" t="n"/>
      <c r="AU150" s="961" t="n"/>
      <c r="AV150" s="721" t="n"/>
      <c r="AW150" s="962" t="n"/>
      <c r="AX150" s="718" t="n"/>
      <c r="AY150" s="961" t="n"/>
      <c r="AZ150" s="721" t="n"/>
      <c r="BA150" s="961" t="n"/>
      <c r="BB150" s="721" t="n"/>
      <c r="BC150" s="961" t="n"/>
      <c r="BD150" s="721" t="n"/>
      <c r="BE150" s="962" t="n"/>
      <c r="BF150" s="718" t="n"/>
      <c r="BG150" s="961" t="n"/>
      <c r="BH150" s="717" t="n"/>
      <c r="BI150" s="963" t="n"/>
      <c r="BJ150" s="721" t="n"/>
      <c r="BK150" s="961" t="n"/>
      <c r="BL150" s="721" t="n"/>
      <c r="BM150" s="962" t="n"/>
    </row>
    <row r="151">
      <c r="A151" s="722" t="n"/>
      <c r="B151" s="721" t="n"/>
      <c r="C151" s="961" t="n"/>
      <c r="D151" s="721" t="n"/>
      <c r="E151" s="961" t="n"/>
      <c r="F151" s="721" t="n"/>
      <c r="G151" s="961" t="n"/>
      <c r="H151" s="721" t="n"/>
      <c r="I151" s="962" t="n"/>
      <c r="J151" s="718" t="n"/>
      <c r="K151" s="961" t="n"/>
      <c r="L151" s="721" t="n"/>
      <c r="M151" s="961" t="n"/>
      <c r="N151" s="721" t="n"/>
      <c r="O151" s="961" t="n"/>
      <c r="P151" s="721" t="n"/>
      <c r="Q151" s="962" t="n"/>
      <c r="R151" s="718" t="n"/>
      <c r="S151" s="961" t="n"/>
      <c r="T151" s="721" t="n"/>
      <c r="U151" s="961" t="n"/>
      <c r="V151" s="721" t="n"/>
      <c r="W151" s="961" t="n"/>
      <c r="X151" s="721" t="n"/>
      <c r="Y151" s="962" t="n"/>
      <c r="Z151" s="718" t="n"/>
      <c r="AA151" s="961" t="n"/>
      <c r="AB151" s="721" t="n"/>
      <c r="AC151" s="961" t="n"/>
      <c r="AD151" s="721" t="n"/>
      <c r="AE151" s="961" t="n"/>
      <c r="AF151" s="721" t="n"/>
      <c r="AG151" s="962" t="n"/>
      <c r="AH151" s="718" t="n"/>
      <c r="AI151" s="961" t="n"/>
      <c r="AJ151" s="721" t="n"/>
      <c r="AK151" s="961" t="n"/>
      <c r="AL151" s="721" t="n"/>
      <c r="AM151" s="961" t="n"/>
      <c r="AN151" s="721" t="n"/>
      <c r="AO151" s="962" t="n"/>
      <c r="AP151" s="718" t="n"/>
      <c r="AQ151" s="961" t="n"/>
      <c r="AR151" s="721" t="n"/>
      <c r="AS151" s="961" t="n"/>
      <c r="AT151" s="721" t="n"/>
      <c r="AU151" s="961" t="n"/>
      <c r="AV151" s="721" t="n"/>
      <c r="AW151" s="962" t="n"/>
      <c r="AX151" s="718" t="n"/>
      <c r="AY151" s="961" t="n"/>
      <c r="AZ151" s="721" t="n"/>
      <c r="BA151" s="961" t="n"/>
      <c r="BB151" s="721" t="n"/>
      <c r="BC151" s="961" t="n"/>
      <c r="BD151" s="721" t="n"/>
      <c r="BE151" s="962" t="n"/>
      <c r="BF151" s="718" t="n"/>
      <c r="BG151" s="961" t="n"/>
      <c r="BH151" s="717" t="n"/>
      <c r="BI151" s="963" t="n"/>
      <c r="BJ151" s="721" t="n"/>
      <c r="BK151" s="961" t="n"/>
      <c r="BL151" s="721" t="n"/>
      <c r="BM151" s="962" t="n"/>
    </row>
    <row r="152">
      <c r="A152" s="722" t="n"/>
      <c r="B152" s="721" t="n"/>
      <c r="C152" s="961" t="n"/>
      <c r="D152" s="721" t="n"/>
      <c r="E152" s="961" t="n"/>
      <c r="F152" s="721" t="n"/>
      <c r="G152" s="961" t="n"/>
      <c r="H152" s="721" t="n"/>
      <c r="I152" s="962" t="n"/>
      <c r="J152" s="718" t="n"/>
      <c r="K152" s="961" t="n"/>
      <c r="L152" s="721" t="n"/>
      <c r="M152" s="961" t="n"/>
      <c r="N152" s="721" t="n"/>
      <c r="O152" s="961" t="n"/>
      <c r="P152" s="721" t="n"/>
      <c r="Q152" s="962" t="n"/>
      <c r="R152" s="718" t="n"/>
      <c r="S152" s="961" t="n"/>
      <c r="T152" s="721" t="n"/>
      <c r="U152" s="961" t="n"/>
      <c r="V152" s="721" t="n"/>
      <c r="W152" s="961" t="n"/>
      <c r="X152" s="721" t="n"/>
      <c r="Y152" s="962" t="n"/>
      <c r="Z152" s="718" t="n"/>
      <c r="AA152" s="961" t="n"/>
      <c r="AB152" s="721" t="n"/>
      <c r="AC152" s="961" t="n"/>
      <c r="AD152" s="721" t="n"/>
      <c r="AE152" s="961" t="n"/>
      <c r="AF152" s="721" t="n"/>
      <c r="AG152" s="962" t="n"/>
      <c r="AH152" s="718" t="n"/>
      <c r="AI152" s="961" t="n"/>
      <c r="AJ152" s="721" t="n"/>
      <c r="AK152" s="961" t="n"/>
      <c r="AL152" s="721" t="n"/>
      <c r="AM152" s="961" t="n"/>
      <c r="AN152" s="721" t="n"/>
      <c r="AO152" s="962" t="n"/>
      <c r="AP152" s="718" t="n"/>
      <c r="AQ152" s="961" t="n"/>
      <c r="AR152" s="721" t="n"/>
      <c r="AS152" s="961" t="n"/>
      <c r="AT152" s="721" t="n"/>
      <c r="AU152" s="961" t="n"/>
      <c r="AV152" s="721" t="n"/>
      <c r="AW152" s="962" t="n"/>
      <c r="AX152" s="718" t="n"/>
      <c r="AY152" s="961" t="n"/>
      <c r="AZ152" s="721" t="n"/>
      <c r="BA152" s="961" t="n"/>
      <c r="BB152" s="721" t="n"/>
      <c r="BC152" s="961" t="n"/>
      <c r="BD152" s="721" t="n"/>
      <c r="BE152" s="962" t="n"/>
      <c r="BF152" s="718" t="n"/>
      <c r="BG152" s="961" t="n"/>
      <c r="BH152" s="717" t="n"/>
      <c r="BI152" s="963" t="n"/>
      <c r="BJ152" s="721" t="n"/>
      <c r="BK152" s="961" t="n"/>
      <c r="BL152" s="721" t="n"/>
      <c r="BM152" s="962" t="n"/>
    </row>
    <row r="153">
      <c r="A153" s="722" t="n"/>
      <c r="B153" s="721" t="n"/>
      <c r="C153" s="961" t="n"/>
      <c r="D153" s="721" t="n"/>
      <c r="E153" s="961" t="n"/>
      <c r="F153" s="721" t="n"/>
      <c r="G153" s="961" t="n"/>
      <c r="H153" s="721" t="n"/>
      <c r="I153" s="962" t="n"/>
      <c r="J153" s="718" t="n"/>
      <c r="K153" s="961" t="n"/>
      <c r="L153" s="721" t="n"/>
      <c r="M153" s="961" t="n"/>
      <c r="N153" s="721" t="n"/>
      <c r="O153" s="961" t="n"/>
      <c r="P153" s="721" t="n"/>
      <c r="Q153" s="962" t="n"/>
      <c r="R153" s="718" t="n"/>
      <c r="S153" s="961" t="n"/>
      <c r="T153" s="721" t="n"/>
      <c r="U153" s="961" t="n"/>
      <c r="V153" s="721" t="n"/>
      <c r="W153" s="961" t="n"/>
      <c r="X153" s="721" t="n"/>
      <c r="Y153" s="962" t="n"/>
      <c r="Z153" s="718" t="n"/>
      <c r="AA153" s="961" t="n"/>
      <c r="AB153" s="721" t="n"/>
      <c r="AC153" s="961" t="n"/>
      <c r="AD153" s="721" t="n"/>
      <c r="AE153" s="961" t="n"/>
      <c r="AF153" s="721" t="n"/>
      <c r="AG153" s="962" t="n"/>
      <c r="AH153" s="718" t="n"/>
      <c r="AI153" s="961" t="n"/>
      <c r="AJ153" s="721" t="n"/>
      <c r="AK153" s="961" t="n"/>
      <c r="AL153" s="721" t="n"/>
      <c r="AM153" s="961" t="n"/>
      <c r="AN153" s="721" t="n"/>
      <c r="AO153" s="962" t="n"/>
      <c r="AP153" s="718" t="n"/>
      <c r="AQ153" s="961" t="n"/>
      <c r="AR153" s="721" t="n"/>
      <c r="AS153" s="961" t="n"/>
      <c r="AT153" s="721" t="n"/>
      <c r="AU153" s="961" t="n"/>
      <c r="AV153" s="721" t="n"/>
      <c r="AW153" s="962" t="n"/>
      <c r="AX153" s="718" t="n"/>
      <c r="AY153" s="961" t="n"/>
      <c r="AZ153" s="721" t="n"/>
      <c r="BA153" s="961" t="n"/>
      <c r="BB153" s="721" t="n"/>
      <c r="BC153" s="961" t="n"/>
      <c r="BD153" s="721" t="n"/>
      <c r="BE153" s="962" t="n"/>
      <c r="BF153" s="718" t="n"/>
      <c r="BG153" s="961" t="n"/>
      <c r="BH153" s="717" t="n"/>
      <c r="BI153" s="963" t="n"/>
      <c r="BJ153" s="721" t="n"/>
      <c r="BK153" s="961" t="n"/>
      <c r="BL153" s="721" t="n"/>
      <c r="BM153" s="962" t="n"/>
    </row>
    <row r="154">
      <c r="A154" s="722" t="n"/>
      <c r="B154" s="721" t="n"/>
      <c r="C154" s="961" t="n"/>
      <c r="D154" s="721" t="n"/>
      <c r="E154" s="961" t="n"/>
      <c r="F154" s="721" t="n"/>
      <c r="G154" s="961" t="n"/>
      <c r="H154" s="721" t="n"/>
      <c r="I154" s="962" t="n"/>
      <c r="J154" s="718" t="n"/>
      <c r="K154" s="961" t="n"/>
      <c r="L154" s="721" t="n"/>
      <c r="M154" s="961" t="n"/>
      <c r="N154" s="721" t="n"/>
      <c r="O154" s="961" t="n"/>
      <c r="P154" s="721" t="n"/>
      <c r="Q154" s="962" t="n"/>
      <c r="R154" s="718" t="n"/>
      <c r="S154" s="961" t="n"/>
      <c r="T154" s="721" t="n"/>
      <c r="U154" s="961" t="n"/>
      <c r="V154" s="721" t="n"/>
      <c r="W154" s="961" t="n"/>
      <c r="X154" s="721" t="n"/>
      <c r="Y154" s="962" t="n"/>
      <c r="Z154" s="718" t="n"/>
      <c r="AA154" s="961" t="n"/>
      <c r="AB154" s="721" t="n"/>
      <c r="AC154" s="961" t="n"/>
      <c r="AD154" s="721" t="n"/>
      <c r="AE154" s="961" t="n"/>
      <c r="AF154" s="721" t="n"/>
      <c r="AG154" s="962" t="n"/>
      <c r="AH154" s="718" t="n"/>
      <c r="AI154" s="961" t="n"/>
      <c r="AJ154" s="721" t="n"/>
      <c r="AK154" s="961" t="n"/>
      <c r="AL154" s="721" t="n"/>
      <c r="AM154" s="961" t="n"/>
      <c r="AN154" s="721" t="n"/>
      <c r="AO154" s="962" t="n"/>
      <c r="AP154" s="718" t="n"/>
      <c r="AQ154" s="961" t="n"/>
      <c r="AR154" s="721" t="n"/>
      <c r="AS154" s="961" t="n"/>
      <c r="AT154" s="721" t="n"/>
      <c r="AU154" s="961" t="n"/>
      <c r="AV154" s="721" t="n"/>
      <c r="AW154" s="962" t="n"/>
      <c r="AX154" s="718" t="n"/>
      <c r="AY154" s="961" t="n"/>
      <c r="AZ154" s="721" t="n"/>
      <c r="BA154" s="961" t="n"/>
      <c r="BB154" s="721" t="n"/>
      <c r="BC154" s="961" t="n"/>
      <c r="BD154" s="721" t="n"/>
      <c r="BE154" s="962" t="n"/>
      <c r="BF154" s="718" t="n"/>
      <c r="BG154" s="961" t="n"/>
      <c r="BH154" s="717" t="n"/>
      <c r="BI154" s="963" t="n"/>
      <c r="BJ154" s="721" t="n"/>
      <c r="BK154" s="961" t="n"/>
      <c r="BL154" s="721" t="n"/>
      <c r="BM154" s="962" t="n"/>
    </row>
    <row r="155">
      <c r="A155" s="722" t="n"/>
      <c r="B155" s="721" t="n"/>
      <c r="C155" s="961" t="n"/>
      <c r="D155" s="721" t="n"/>
      <c r="E155" s="961" t="n"/>
      <c r="F155" s="721" t="n"/>
      <c r="G155" s="961" t="n"/>
      <c r="H155" s="721" t="n"/>
      <c r="I155" s="962" t="n"/>
      <c r="J155" s="718" t="n"/>
      <c r="K155" s="961" t="n"/>
      <c r="L155" s="721" t="n"/>
      <c r="M155" s="961" t="n"/>
      <c r="N155" s="721" t="n"/>
      <c r="O155" s="961" t="n"/>
      <c r="P155" s="721" t="n"/>
      <c r="Q155" s="962" t="n"/>
      <c r="R155" s="718" t="n"/>
      <c r="S155" s="961" t="n"/>
      <c r="T155" s="721" t="n"/>
      <c r="U155" s="961" t="n"/>
      <c r="V155" s="721" t="n"/>
      <c r="W155" s="961" t="n"/>
      <c r="X155" s="721" t="n"/>
      <c r="Y155" s="962" t="n"/>
      <c r="Z155" s="718" t="n"/>
      <c r="AA155" s="961" t="n"/>
      <c r="AB155" s="721" t="n"/>
      <c r="AC155" s="961" t="n"/>
      <c r="AD155" s="721" t="n"/>
      <c r="AE155" s="961" t="n"/>
      <c r="AF155" s="721" t="n"/>
      <c r="AG155" s="962" t="n"/>
      <c r="AH155" s="718" t="n"/>
      <c r="AI155" s="961" t="n"/>
      <c r="AJ155" s="721" t="n"/>
      <c r="AK155" s="961" t="n"/>
      <c r="AL155" s="721" t="n"/>
      <c r="AM155" s="961" t="n"/>
      <c r="AN155" s="721" t="n"/>
      <c r="AO155" s="962" t="n"/>
      <c r="AP155" s="718" t="n"/>
      <c r="AQ155" s="961" t="n"/>
      <c r="AR155" s="721" t="n"/>
      <c r="AS155" s="961" t="n"/>
      <c r="AT155" s="721" t="n"/>
      <c r="AU155" s="961" t="n"/>
      <c r="AV155" s="721" t="n"/>
      <c r="AW155" s="962" t="n"/>
      <c r="AX155" s="718" t="n"/>
      <c r="AY155" s="961" t="n"/>
      <c r="AZ155" s="721" t="n"/>
      <c r="BA155" s="961" t="n"/>
      <c r="BB155" s="721" t="n"/>
      <c r="BC155" s="961" t="n"/>
      <c r="BD155" s="721" t="n"/>
      <c r="BE155" s="962" t="n"/>
      <c r="BF155" s="718" t="n"/>
      <c r="BG155" s="961" t="n"/>
      <c r="BH155" s="717" t="n"/>
      <c r="BI155" s="963" t="n"/>
      <c r="BJ155" s="721" t="n"/>
      <c r="BK155" s="961" t="n"/>
      <c r="BL155" s="721" t="n"/>
      <c r="BM155" s="962" t="n"/>
    </row>
    <row r="156">
      <c r="A156" s="722" t="n"/>
      <c r="B156" s="721" t="n"/>
      <c r="C156" s="961" t="n"/>
      <c r="D156" s="721" t="n"/>
      <c r="E156" s="961" t="n"/>
      <c r="F156" s="721" t="n"/>
      <c r="G156" s="961" t="n"/>
      <c r="H156" s="721" t="n"/>
      <c r="I156" s="962" t="n"/>
      <c r="J156" s="718" t="n"/>
      <c r="K156" s="961" t="n"/>
      <c r="L156" s="721" t="n"/>
      <c r="M156" s="961" t="n"/>
      <c r="N156" s="721" t="n"/>
      <c r="O156" s="961" t="n"/>
      <c r="P156" s="721" t="n"/>
      <c r="Q156" s="962" t="n"/>
      <c r="R156" s="718" t="n"/>
      <c r="S156" s="961" t="n"/>
      <c r="T156" s="721" t="n"/>
      <c r="U156" s="961" t="n"/>
      <c r="V156" s="721" t="n"/>
      <c r="W156" s="961" t="n"/>
      <c r="X156" s="721" t="n"/>
      <c r="Y156" s="962" t="n"/>
      <c r="Z156" s="718" t="n"/>
      <c r="AA156" s="961" t="n"/>
      <c r="AB156" s="721" t="n"/>
      <c r="AC156" s="961" t="n"/>
      <c r="AD156" s="721" t="n"/>
      <c r="AE156" s="961" t="n"/>
      <c r="AF156" s="721" t="n"/>
      <c r="AG156" s="962" t="n"/>
      <c r="AH156" s="718" t="n"/>
      <c r="AI156" s="961" t="n"/>
      <c r="AJ156" s="721" t="n"/>
      <c r="AK156" s="961" t="n"/>
      <c r="AL156" s="721" t="n"/>
      <c r="AM156" s="961" t="n"/>
      <c r="AN156" s="721" t="n"/>
      <c r="AO156" s="962" t="n"/>
      <c r="AP156" s="718" t="n"/>
      <c r="AQ156" s="961" t="n"/>
      <c r="AR156" s="721" t="n"/>
      <c r="AS156" s="961" t="n"/>
      <c r="AT156" s="721" t="n"/>
      <c r="AU156" s="961" t="n"/>
      <c r="AV156" s="721" t="n"/>
      <c r="AW156" s="962" t="n"/>
      <c r="AX156" s="718" t="n"/>
      <c r="AY156" s="961" t="n"/>
      <c r="AZ156" s="721" t="n"/>
      <c r="BA156" s="961" t="n"/>
      <c r="BB156" s="721" t="n"/>
      <c r="BC156" s="961" t="n"/>
      <c r="BD156" s="721" t="n"/>
      <c r="BE156" s="962" t="n"/>
      <c r="BF156" s="718" t="n"/>
      <c r="BG156" s="961" t="n"/>
      <c r="BH156" s="717" t="n"/>
      <c r="BI156" s="963" t="n"/>
      <c r="BJ156" s="721" t="n"/>
      <c r="BK156" s="961" t="n"/>
      <c r="BL156" s="721" t="n"/>
      <c r="BM156" s="962" t="n"/>
    </row>
    <row r="157">
      <c r="A157" s="722" t="n"/>
      <c r="B157" s="721" t="n"/>
      <c r="C157" s="961" t="n"/>
      <c r="D157" s="721" t="n"/>
      <c r="E157" s="961" t="n"/>
      <c r="F157" s="721" t="n"/>
      <c r="G157" s="961" t="n"/>
      <c r="H157" s="721" t="n"/>
      <c r="I157" s="962" t="n"/>
      <c r="J157" s="718" t="n"/>
      <c r="K157" s="961" t="n"/>
      <c r="L157" s="721" t="n"/>
      <c r="M157" s="961" t="n"/>
      <c r="N157" s="721" t="n"/>
      <c r="O157" s="961" t="n"/>
      <c r="P157" s="721" t="n"/>
      <c r="Q157" s="962" t="n"/>
      <c r="R157" s="718" t="n"/>
      <c r="S157" s="961" t="n"/>
      <c r="T157" s="721" t="n"/>
      <c r="U157" s="961" t="n"/>
      <c r="V157" s="721" t="n"/>
      <c r="W157" s="961" t="n"/>
      <c r="X157" s="721" t="n"/>
      <c r="Y157" s="962" t="n"/>
      <c r="Z157" s="718" t="n"/>
      <c r="AA157" s="961" t="n"/>
      <c r="AB157" s="721" t="n"/>
      <c r="AC157" s="961" t="n"/>
      <c r="AD157" s="721" t="n"/>
      <c r="AE157" s="961" t="n"/>
      <c r="AF157" s="721" t="n"/>
      <c r="AG157" s="962" t="n"/>
      <c r="AH157" s="718" t="n"/>
      <c r="AI157" s="961" t="n"/>
      <c r="AJ157" s="721" t="n"/>
      <c r="AK157" s="961" t="n"/>
      <c r="AL157" s="721" t="n"/>
      <c r="AM157" s="961" t="n"/>
      <c r="AN157" s="721" t="n"/>
      <c r="AO157" s="962" t="n"/>
      <c r="AP157" s="718" t="n"/>
      <c r="AQ157" s="961" t="n"/>
      <c r="AR157" s="721" t="n"/>
      <c r="AS157" s="961" t="n"/>
      <c r="AT157" s="721" t="n"/>
      <c r="AU157" s="961" t="n"/>
      <c r="AV157" s="721" t="n"/>
      <c r="AW157" s="962" t="n"/>
      <c r="AX157" s="718" t="n"/>
      <c r="AY157" s="961" t="n"/>
      <c r="AZ157" s="721" t="n"/>
      <c r="BA157" s="961" t="n"/>
      <c r="BB157" s="721" t="n"/>
      <c r="BC157" s="961" t="n"/>
      <c r="BD157" s="721" t="n"/>
      <c r="BE157" s="962" t="n"/>
      <c r="BF157" s="718" t="n"/>
      <c r="BG157" s="961" t="n"/>
      <c r="BH157" s="717" t="n"/>
      <c r="BI157" s="963" t="n"/>
      <c r="BJ157" s="721" t="n"/>
      <c r="BK157" s="961" t="n"/>
      <c r="BL157" s="721" t="n"/>
      <c r="BM157" s="962" t="n"/>
    </row>
    <row r="158">
      <c r="A158" s="722" t="n"/>
      <c r="B158" s="721" t="n"/>
      <c r="C158" s="961" t="n"/>
      <c r="D158" s="721" t="n"/>
      <c r="E158" s="961" t="n"/>
      <c r="F158" s="721" t="n"/>
      <c r="G158" s="961" t="n"/>
      <c r="H158" s="721" t="n"/>
      <c r="I158" s="962" t="n"/>
      <c r="J158" s="718" t="n"/>
      <c r="K158" s="961" t="n"/>
      <c r="L158" s="721" t="n"/>
      <c r="M158" s="961" t="n"/>
      <c r="N158" s="721" t="n"/>
      <c r="O158" s="961" t="n"/>
      <c r="P158" s="721" t="n"/>
      <c r="Q158" s="962" t="n"/>
      <c r="R158" s="718" t="n"/>
      <c r="S158" s="961" t="n"/>
      <c r="T158" s="721" t="n"/>
      <c r="U158" s="961" t="n"/>
      <c r="V158" s="721" t="n"/>
      <c r="W158" s="961" t="n"/>
      <c r="X158" s="721" t="n"/>
      <c r="Y158" s="962" t="n"/>
      <c r="Z158" s="718" t="n"/>
      <c r="AA158" s="961" t="n"/>
      <c r="AB158" s="721" t="n"/>
      <c r="AC158" s="961" t="n"/>
      <c r="AD158" s="721" t="n"/>
      <c r="AE158" s="961" t="n"/>
      <c r="AF158" s="721" t="n"/>
      <c r="AG158" s="962" t="n"/>
      <c r="AH158" s="718" t="n"/>
      <c r="AI158" s="961" t="n"/>
      <c r="AJ158" s="721" t="n"/>
      <c r="AK158" s="961" t="n"/>
      <c r="AL158" s="721" t="n"/>
      <c r="AM158" s="961" t="n"/>
      <c r="AN158" s="721" t="n"/>
      <c r="AO158" s="962" t="n"/>
      <c r="AP158" s="718" t="n"/>
      <c r="AQ158" s="961" t="n"/>
      <c r="AR158" s="721" t="n"/>
      <c r="AS158" s="961" t="n"/>
      <c r="AT158" s="721" t="n"/>
      <c r="AU158" s="961" t="n"/>
      <c r="AV158" s="721" t="n"/>
      <c r="AW158" s="962" t="n"/>
      <c r="AX158" s="718" t="n"/>
      <c r="AY158" s="961" t="n"/>
      <c r="AZ158" s="721" t="n"/>
      <c r="BA158" s="961" t="n"/>
      <c r="BB158" s="721" t="n"/>
      <c r="BC158" s="961" t="n"/>
      <c r="BD158" s="721" t="n"/>
      <c r="BE158" s="962" t="n"/>
      <c r="BF158" s="718" t="n"/>
      <c r="BG158" s="961" t="n"/>
      <c r="BH158" s="717" t="n"/>
      <c r="BI158" s="963" t="n"/>
      <c r="BJ158" s="721" t="n"/>
      <c r="BK158" s="961" t="n"/>
      <c r="BL158" s="721" t="n"/>
      <c r="BM158" s="962" t="n"/>
    </row>
    <row r="159">
      <c r="A159" s="722" t="n"/>
      <c r="B159" s="721" t="n"/>
      <c r="C159" s="961" t="n"/>
      <c r="D159" s="721" t="n"/>
      <c r="E159" s="961" t="n"/>
      <c r="F159" s="721" t="n"/>
      <c r="G159" s="961" t="n"/>
      <c r="H159" s="721" t="n"/>
      <c r="I159" s="962" t="n"/>
      <c r="J159" s="718" t="n"/>
      <c r="K159" s="961" t="n"/>
      <c r="L159" s="721" t="n"/>
      <c r="M159" s="961" t="n"/>
      <c r="N159" s="721" t="n"/>
      <c r="O159" s="961" t="n"/>
      <c r="P159" s="721" t="n"/>
      <c r="Q159" s="962" t="n"/>
      <c r="R159" s="718" t="n"/>
      <c r="S159" s="961" t="n"/>
      <c r="T159" s="721" t="n"/>
      <c r="U159" s="961" t="n"/>
      <c r="V159" s="721" t="n"/>
      <c r="W159" s="961" t="n"/>
      <c r="X159" s="721" t="n"/>
      <c r="Y159" s="962" t="n"/>
      <c r="Z159" s="718" t="n"/>
      <c r="AA159" s="961" t="n"/>
      <c r="AB159" s="721" t="n"/>
      <c r="AC159" s="961" t="n"/>
      <c r="AD159" s="721" t="n"/>
      <c r="AE159" s="961" t="n"/>
      <c r="AF159" s="721" t="n"/>
      <c r="AG159" s="962" t="n"/>
      <c r="AH159" s="718" t="n"/>
      <c r="AI159" s="961" t="n"/>
      <c r="AJ159" s="721" t="n"/>
      <c r="AK159" s="961" t="n"/>
      <c r="AL159" s="721" t="n"/>
      <c r="AM159" s="961" t="n"/>
      <c r="AN159" s="721" t="n"/>
      <c r="AO159" s="962" t="n"/>
      <c r="AP159" s="718" t="n"/>
      <c r="AQ159" s="961" t="n"/>
      <c r="AR159" s="721" t="n"/>
      <c r="AS159" s="961" t="n"/>
      <c r="AT159" s="721" t="n"/>
      <c r="AU159" s="961" t="n"/>
      <c r="AV159" s="721" t="n"/>
      <c r="AW159" s="962" t="n"/>
      <c r="AX159" s="718" t="n"/>
      <c r="AY159" s="961" t="n"/>
      <c r="AZ159" s="721" t="n"/>
      <c r="BA159" s="961" t="n"/>
      <c r="BB159" s="721" t="n"/>
      <c r="BC159" s="961" t="n"/>
      <c r="BD159" s="721" t="n"/>
      <c r="BE159" s="962" t="n"/>
      <c r="BF159" s="718" t="n"/>
      <c r="BG159" s="961" t="n"/>
      <c r="BH159" s="717" t="n"/>
      <c r="BI159" s="963" t="n"/>
      <c r="BJ159" s="721" t="n"/>
      <c r="BK159" s="961" t="n"/>
      <c r="BL159" s="721" t="n"/>
      <c r="BM159" s="962" t="n"/>
    </row>
    <row r="160">
      <c r="A160" s="722" t="n"/>
      <c r="B160" s="721" t="n"/>
      <c r="C160" s="961" t="n"/>
      <c r="D160" s="721" t="n"/>
      <c r="E160" s="961" t="n"/>
      <c r="F160" s="721" t="n"/>
      <c r="G160" s="961" t="n"/>
      <c r="H160" s="721" t="n"/>
      <c r="I160" s="962" t="n"/>
      <c r="J160" s="718" t="n"/>
      <c r="K160" s="961" t="n"/>
      <c r="L160" s="721" t="n"/>
      <c r="M160" s="961" t="n"/>
      <c r="N160" s="721" t="n"/>
      <c r="O160" s="961" t="n"/>
      <c r="P160" s="721" t="n"/>
      <c r="Q160" s="962" t="n"/>
      <c r="R160" s="718" t="n"/>
      <c r="S160" s="961" t="n"/>
      <c r="T160" s="721" t="n"/>
      <c r="U160" s="961" t="n"/>
      <c r="V160" s="721" t="n"/>
      <c r="W160" s="961" t="n"/>
      <c r="X160" s="721" t="n"/>
      <c r="Y160" s="962" t="n"/>
      <c r="Z160" s="718" t="n"/>
      <c r="AA160" s="961" t="n"/>
      <c r="AB160" s="721" t="n"/>
      <c r="AC160" s="961" t="n"/>
      <c r="AD160" s="721" t="n"/>
      <c r="AE160" s="961" t="n"/>
      <c r="AF160" s="721" t="n"/>
      <c r="AG160" s="962" t="n"/>
      <c r="AH160" s="718" t="n"/>
      <c r="AI160" s="961" t="n"/>
      <c r="AJ160" s="721" t="n"/>
      <c r="AK160" s="961" t="n"/>
      <c r="AL160" s="721" t="n"/>
      <c r="AM160" s="961" t="n"/>
      <c r="AN160" s="721" t="n"/>
      <c r="AO160" s="962" t="n"/>
      <c r="AP160" s="718" t="n"/>
      <c r="AQ160" s="961" t="n"/>
      <c r="AR160" s="721" t="n"/>
      <c r="AS160" s="961" t="n"/>
      <c r="AT160" s="721" t="n"/>
      <c r="AU160" s="961" t="n"/>
      <c r="AV160" s="721" t="n"/>
      <c r="AW160" s="962" t="n"/>
      <c r="AX160" s="718" t="n"/>
      <c r="AY160" s="961" t="n"/>
      <c r="AZ160" s="721" t="n"/>
      <c r="BA160" s="961" t="n"/>
      <c r="BB160" s="721" t="n"/>
      <c r="BC160" s="961" t="n"/>
      <c r="BD160" s="721" t="n"/>
      <c r="BE160" s="962" t="n"/>
      <c r="BF160" s="718" t="n"/>
      <c r="BG160" s="961" t="n"/>
      <c r="BH160" s="717" t="n"/>
      <c r="BI160" s="963" t="n"/>
      <c r="BJ160" s="721" t="n"/>
      <c r="BK160" s="961" t="n"/>
      <c r="BL160" s="721" t="n"/>
      <c r="BM160" s="962" t="n"/>
    </row>
    <row r="161">
      <c r="A161" s="722" t="n"/>
      <c r="B161" s="721" t="n"/>
      <c r="C161" s="961" t="n"/>
      <c r="D161" s="721" t="n"/>
      <c r="E161" s="961" t="n"/>
      <c r="F161" s="721" t="n"/>
      <c r="G161" s="961" t="n"/>
      <c r="H161" s="721" t="n"/>
      <c r="I161" s="962" t="n"/>
      <c r="J161" s="718" t="n"/>
      <c r="K161" s="961" t="n"/>
      <c r="L161" s="721" t="n"/>
      <c r="M161" s="961" t="n"/>
      <c r="N161" s="721" t="n"/>
      <c r="O161" s="961" t="n"/>
      <c r="P161" s="721" t="n"/>
      <c r="Q161" s="962" t="n"/>
      <c r="R161" s="718" t="n"/>
      <c r="S161" s="961" t="n"/>
      <c r="T161" s="721" t="n"/>
      <c r="U161" s="961" t="n"/>
      <c r="V161" s="721" t="n"/>
      <c r="W161" s="961" t="n"/>
      <c r="X161" s="721" t="n"/>
      <c r="Y161" s="962" t="n"/>
      <c r="Z161" s="718" t="n"/>
      <c r="AA161" s="961" t="n"/>
      <c r="AB161" s="721" t="n"/>
      <c r="AC161" s="961" t="n"/>
      <c r="AD161" s="721" t="n"/>
      <c r="AE161" s="961" t="n"/>
      <c r="AF161" s="721" t="n"/>
      <c r="AG161" s="962" t="n"/>
      <c r="AH161" s="718" t="n"/>
      <c r="AI161" s="961" t="n"/>
      <c r="AJ161" s="721" t="n"/>
      <c r="AK161" s="961" t="n"/>
      <c r="AL161" s="721" t="n"/>
      <c r="AM161" s="961" t="n"/>
      <c r="AN161" s="721" t="n"/>
      <c r="AO161" s="962" t="n"/>
      <c r="AP161" s="718" t="n"/>
      <c r="AQ161" s="961" t="n"/>
      <c r="AR161" s="721" t="n"/>
      <c r="AS161" s="961" t="n"/>
      <c r="AT161" s="721" t="n"/>
      <c r="AU161" s="961" t="n"/>
      <c r="AV161" s="721" t="n"/>
      <c r="AW161" s="962" t="n"/>
      <c r="AX161" s="718" t="n"/>
      <c r="AY161" s="961" t="n"/>
      <c r="AZ161" s="721" t="n"/>
      <c r="BA161" s="961" t="n"/>
      <c r="BB161" s="721" t="n"/>
      <c r="BC161" s="961" t="n"/>
      <c r="BD161" s="721" t="n"/>
      <c r="BE161" s="962" t="n"/>
      <c r="BF161" s="718" t="n"/>
      <c r="BG161" s="961" t="n"/>
      <c r="BH161" s="717" t="n"/>
      <c r="BI161" s="963" t="n"/>
      <c r="BJ161" s="721" t="n"/>
      <c r="BK161" s="961" t="n"/>
      <c r="BL161" s="721" t="n"/>
      <c r="BM161" s="962" t="n"/>
    </row>
    <row r="162">
      <c r="A162" s="722" t="n"/>
      <c r="B162" s="721" t="n"/>
      <c r="C162" s="961" t="n"/>
      <c r="D162" s="721" t="n"/>
      <c r="E162" s="961" t="n"/>
      <c r="F162" s="721" t="n"/>
      <c r="G162" s="961" t="n"/>
      <c r="H162" s="721" t="n"/>
      <c r="I162" s="962" t="n"/>
      <c r="J162" s="718" t="n"/>
      <c r="K162" s="961" t="n"/>
      <c r="L162" s="721" t="n"/>
      <c r="M162" s="961" t="n"/>
      <c r="N162" s="721" t="n"/>
      <c r="O162" s="961" t="n"/>
      <c r="P162" s="721" t="n"/>
      <c r="Q162" s="962" t="n"/>
      <c r="R162" s="718" t="n"/>
      <c r="S162" s="961" t="n"/>
      <c r="T162" s="721" t="n"/>
      <c r="U162" s="961" t="n"/>
      <c r="V162" s="721" t="n"/>
      <c r="W162" s="961" t="n"/>
      <c r="X162" s="721" t="n"/>
      <c r="Y162" s="962" t="n"/>
      <c r="Z162" s="718" t="n"/>
      <c r="AA162" s="961" t="n"/>
      <c r="AB162" s="721" t="n"/>
      <c r="AC162" s="961" t="n"/>
      <c r="AD162" s="721" t="n"/>
      <c r="AE162" s="961" t="n"/>
      <c r="AF162" s="721" t="n"/>
      <c r="AG162" s="962" t="n"/>
      <c r="AH162" s="718" t="n"/>
      <c r="AI162" s="961" t="n"/>
      <c r="AJ162" s="721" t="n"/>
      <c r="AK162" s="961" t="n"/>
      <c r="AL162" s="721" t="n"/>
      <c r="AM162" s="961" t="n"/>
      <c r="AN162" s="721" t="n"/>
      <c r="AO162" s="962" t="n"/>
      <c r="AP162" s="718" t="n"/>
      <c r="AQ162" s="961" t="n"/>
      <c r="AR162" s="721" t="n"/>
      <c r="AS162" s="961" t="n"/>
      <c r="AT162" s="721" t="n"/>
      <c r="AU162" s="961" t="n"/>
      <c r="AV162" s="721" t="n"/>
      <c r="AW162" s="962" t="n"/>
      <c r="AX162" s="718" t="n"/>
      <c r="AY162" s="961" t="n"/>
      <c r="AZ162" s="721" t="n"/>
      <c r="BA162" s="961" t="n"/>
      <c r="BB162" s="721" t="n"/>
      <c r="BC162" s="961" t="n"/>
      <c r="BD162" s="721" t="n"/>
      <c r="BE162" s="962" t="n"/>
      <c r="BF162" s="718" t="n"/>
      <c r="BG162" s="961" t="n"/>
      <c r="BH162" s="717" t="n"/>
      <c r="BI162" s="963" t="n"/>
      <c r="BJ162" s="721" t="n"/>
      <c r="BK162" s="961" t="n"/>
      <c r="BL162" s="721" t="n"/>
      <c r="BM162" s="962" t="n"/>
    </row>
    <row r="163">
      <c r="A163" s="722" t="n"/>
      <c r="B163" s="721" t="n"/>
      <c r="C163" s="961" t="n"/>
      <c r="D163" s="721" t="n"/>
      <c r="E163" s="961" t="n"/>
      <c r="F163" s="721" t="n"/>
      <c r="G163" s="961" t="n"/>
      <c r="H163" s="721" t="n"/>
      <c r="I163" s="962" t="n"/>
      <c r="J163" s="718" t="n"/>
      <c r="K163" s="961" t="n"/>
      <c r="L163" s="721" t="n"/>
      <c r="M163" s="961" t="n"/>
      <c r="N163" s="721" t="n"/>
      <c r="O163" s="961" t="n"/>
      <c r="P163" s="721" t="n"/>
      <c r="Q163" s="962" t="n"/>
      <c r="R163" s="718" t="n"/>
      <c r="S163" s="961" t="n"/>
      <c r="T163" s="721" t="n"/>
      <c r="U163" s="961" t="n"/>
      <c r="V163" s="721" t="n"/>
      <c r="W163" s="961" t="n"/>
      <c r="X163" s="721" t="n"/>
      <c r="Y163" s="962" t="n"/>
      <c r="Z163" s="718" t="n"/>
      <c r="AA163" s="961" t="n"/>
      <c r="AB163" s="721" t="n"/>
      <c r="AC163" s="961" t="n"/>
      <c r="AD163" s="721" t="n"/>
      <c r="AE163" s="961" t="n"/>
      <c r="AF163" s="721" t="n"/>
      <c r="AG163" s="962" t="n"/>
      <c r="AH163" s="718" t="n"/>
      <c r="AI163" s="961" t="n"/>
      <c r="AJ163" s="721" t="n"/>
      <c r="AK163" s="961" t="n"/>
      <c r="AL163" s="721" t="n"/>
      <c r="AM163" s="961" t="n"/>
      <c r="AN163" s="721" t="n"/>
      <c r="AO163" s="962" t="n"/>
      <c r="AP163" s="718" t="n"/>
      <c r="AQ163" s="961" t="n"/>
      <c r="AR163" s="721" t="n"/>
      <c r="AS163" s="961" t="n"/>
      <c r="AT163" s="721" t="n"/>
      <c r="AU163" s="961" t="n"/>
      <c r="AV163" s="721" t="n"/>
      <c r="AW163" s="962" t="n"/>
      <c r="AX163" s="718" t="n"/>
      <c r="AY163" s="961" t="n"/>
      <c r="AZ163" s="721" t="n"/>
      <c r="BA163" s="961" t="n"/>
      <c r="BB163" s="721" t="n"/>
      <c r="BC163" s="961" t="n"/>
      <c r="BD163" s="721" t="n"/>
      <c r="BE163" s="962" t="n"/>
      <c r="BF163" s="718" t="n"/>
      <c r="BG163" s="961" t="n"/>
      <c r="BH163" s="717" t="n"/>
      <c r="BI163" s="963" t="n"/>
      <c r="BJ163" s="721" t="n"/>
      <c r="BK163" s="961" t="n"/>
      <c r="BL163" s="721" t="n"/>
      <c r="BM163" s="962" t="n"/>
    </row>
    <row r="164">
      <c r="A164" s="722" t="n"/>
      <c r="B164" s="721" t="n"/>
      <c r="C164" s="961" t="n"/>
      <c r="D164" s="721" t="n"/>
      <c r="E164" s="961" t="n"/>
      <c r="F164" s="721" t="n"/>
      <c r="G164" s="961" t="n"/>
      <c r="H164" s="721" t="n"/>
      <c r="I164" s="962" t="n"/>
      <c r="J164" s="718" t="n"/>
      <c r="K164" s="961" t="n"/>
      <c r="L164" s="721" t="n"/>
      <c r="M164" s="961" t="n"/>
      <c r="N164" s="721" t="n"/>
      <c r="O164" s="961" t="n"/>
      <c r="P164" s="721" t="n"/>
      <c r="Q164" s="962" t="n"/>
      <c r="R164" s="718" t="n"/>
      <c r="S164" s="961" t="n"/>
      <c r="T164" s="721" t="n"/>
      <c r="U164" s="961" t="n"/>
      <c r="V164" s="721" t="n"/>
      <c r="W164" s="961" t="n"/>
      <c r="X164" s="721" t="n"/>
      <c r="Y164" s="962" t="n"/>
      <c r="Z164" s="718" t="n"/>
      <c r="AA164" s="961" t="n"/>
      <c r="AB164" s="721" t="n"/>
      <c r="AC164" s="961" t="n"/>
      <c r="AD164" s="721" t="n"/>
      <c r="AE164" s="961" t="n"/>
      <c r="AF164" s="721" t="n"/>
      <c r="AG164" s="962" t="n"/>
      <c r="AH164" s="718" t="n"/>
      <c r="AI164" s="961" t="n"/>
      <c r="AJ164" s="721" t="n"/>
      <c r="AK164" s="961" t="n"/>
      <c r="AL164" s="721" t="n"/>
      <c r="AM164" s="961" t="n"/>
      <c r="AN164" s="721" t="n"/>
      <c r="AO164" s="962" t="n"/>
      <c r="AP164" s="718" t="n"/>
      <c r="AQ164" s="961" t="n"/>
      <c r="AR164" s="721" t="n"/>
      <c r="AS164" s="961" t="n"/>
      <c r="AT164" s="721" t="n"/>
      <c r="AU164" s="961" t="n"/>
      <c r="AV164" s="721" t="n"/>
      <c r="AW164" s="962" t="n"/>
      <c r="AX164" s="718" t="n"/>
      <c r="AY164" s="961" t="n"/>
      <c r="AZ164" s="721" t="n"/>
      <c r="BA164" s="961" t="n"/>
      <c r="BB164" s="721" t="n"/>
      <c r="BC164" s="961" t="n"/>
      <c r="BD164" s="721" t="n"/>
      <c r="BE164" s="962" t="n"/>
      <c r="BF164" s="718" t="n"/>
      <c r="BG164" s="961" t="n"/>
      <c r="BH164" s="717" t="n"/>
      <c r="BI164" s="963" t="n"/>
      <c r="BJ164" s="721" t="n"/>
      <c r="BK164" s="961" t="n"/>
      <c r="BL164" s="721" t="n"/>
      <c r="BM164" s="962" t="n"/>
    </row>
    <row r="165">
      <c r="A165" s="722" t="n"/>
      <c r="B165" s="721" t="n"/>
      <c r="C165" s="961" t="n"/>
      <c r="D165" s="721" t="n"/>
      <c r="E165" s="961" t="n"/>
      <c r="F165" s="721" t="n"/>
      <c r="G165" s="961" t="n"/>
      <c r="H165" s="721" t="n"/>
      <c r="I165" s="962" t="n"/>
      <c r="J165" s="718" t="n"/>
      <c r="K165" s="961" t="n"/>
      <c r="L165" s="721" t="n"/>
      <c r="M165" s="961" t="n"/>
      <c r="N165" s="721" t="n"/>
      <c r="O165" s="961" t="n"/>
      <c r="P165" s="721" t="n"/>
      <c r="Q165" s="962" t="n"/>
      <c r="R165" s="718" t="n"/>
      <c r="S165" s="961" t="n"/>
      <c r="T165" s="721" t="n"/>
      <c r="U165" s="961" t="n"/>
      <c r="V165" s="721" t="n"/>
      <c r="W165" s="961" t="n"/>
      <c r="X165" s="721" t="n"/>
      <c r="Y165" s="962" t="n"/>
      <c r="Z165" s="718" t="n"/>
      <c r="AA165" s="961" t="n"/>
      <c r="AB165" s="721" t="n"/>
      <c r="AC165" s="961" t="n"/>
      <c r="AD165" s="721" t="n"/>
      <c r="AE165" s="961" t="n"/>
      <c r="AF165" s="721" t="n"/>
      <c r="AG165" s="962" t="n"/>
      <c r="AH165" s="718" t="n"/>
      <c r="AI165" s="961" t="n"/>
      <c r="AJ165" s="721" t="n"/>
      <c r="AK165" s="961" t="n"/>
      <c r="AL165" s="721" t="n"/>
      <c r="AM165" s="961" t="n"/>
      <c r="AN165" s="721" t="n"/>
      <c r="AO165" s="962" t="n"/>
      <c r="AP165" s="718" t="n"/>
      <c r="AQ165" s="961" t="n"/>
      <c r="AR165" s="721" t="n"/>
      <c r="AS165" s="961" t="n"/>
      <c r="AT165" s="721" t="n"/>
      <c r="AU165" s="961" t="n"/>
      <c r="AV165" s="721" t="n"/>
      <c r="AW165" s="962" t="n"/>
      <c r="AX165" s="718" t="n"/>
      <c r="AY165" s="961" t="n"/>
      <c r="AZ165" s="721" t="n"/>
      <c r="BA165" s="961" t="n"/>
      <c r="BB165" s="721" t="n"/>
      <c r="BC165" s="961" t="n"/>
      <c r="BD165" s="721" t="n"/>
      <c r="BE165" s="962" t="n"/>
      <c r="BF165" s="718" t="n"/>
      <c r="BG165" s="961" t="n"/>
      <c r="BH165" s="717" t="n"/>
      <c r="BI165" s="963" t="n"/>
      <c r="BJ165" s="721" t="n"/>
      <c r="BK165" s="961" t="n"/>
      <c r="BL165" s="721" t="n"/>
      <c r="BM165" s="962" t="n"/>
    </row>
    <row r="166">
      <c r="A166" s="722" t="n"/>
      <c r="B166" s="721" t="n"/>
      <c r="C166" s="961" t="n"/>
      <c r="D166" s="721" t="n"/>
      <c r="E166" s="961" t="n"/>
      <c r="F166" s="721" t="n"/>
      <c r="G166" s="961" t="n"/>
      <c r="H166" s="721" t="n"/>
      <c r="I166" s="962" t="n"/>
      <c r="J166" s="718" t="n"/>
      <c r="K166" s="961" t="n"/>
      <c r="L166" s="721" t="n"/>
      <c r="M166" s="961" t="n"/>
      <c r="N166" s="721" t="n"/>
      <c r="O166" s="961" t="n"/>
      <c r="P166" s="721" t="n"/>
      <c r="Q166" s="962" t="n"/>
      <c r="R166" s="718" t="n"/>
      <c r="S166" s="961" t="n"/>
      <c r="T166" s="721" t="n"/>
      <c r="U166" s="961" t="n"/>
      <c r="V166" s="721" t="n"/>
      <c r="W166" s="961" t="n"/>
      <c r="X166" s="721" t="n"/>
      <c r="Y166" s="962" t="n"/>
      <c r="Z166" s="718" t="n"/>
      <c r="AA166" s="961" t="n"/>
      <c r="AB166" s="721" t="n"/>
      <c r="AC166" s="961" t="n"/>
      <c r="AD166" s="721" t="n"/>
      <c r="AE166" s="961" t="n"/>
      <c r="AF166" s="721" t="n"/>
      <c r="AG166" s="962" t="n"/>
      <c r="AH166" s="718" t="n"/>
      <c r="AI166" s="961" t="n"/>
      <c r="AJ166" s="721" t="n"/>
      <c r="AK166" s="961" t="n"/>
      <c r="AL166" s="721" t="n"/>
      <c r="AM166" s="961" t="n"/>
      <c r="AN166" s="721" t="n"/>
      <c r="AO166" s="962" t="n"/>
      <c r="AP166" s="718" t="n"/>
      <c r="AQ166" s="961" t="n"/>
      <c r="AR166" s="721" t="n"/>
      <c r="AS166" s="961" t="n"/>
      <c r="AT166" s="721" t="n"/>
      <c r="AU166" s="961" t="n"/>
      <c r="AV166" s="721" t="n"/>
      <c r="AW166" s="962" t="n"/>
      <c r="AX166" s="718" t="n"/>
      <c r="AY166" s="961" t="n"/>
      <c r="AZ166" s="721" t="n"/>
      <c r="BA166" s="961" t="n"/>
      <c r="BB166" s="721" t="n"/>
      <c r="BC166" s="961" t="n"/>
      <c r="BD166" s="721" t="n"/>
      <c r="BE166" s="962" t="n"/>
      <c r="BF166" s="718" t="n"/>
      <c r="BG166" s="961" t="n"/>
      <c r="BH166" s="717" t="n"/>
      <c r="BI166" s="963" t="n"/>
      <c r="BJ166" s="721" t="n"/>
      <c r="BK166" s="961" t="n"/>
      <c r="BL166" s="721" t="n"/>
      <c r="BM166" s="962" t="n"/>
    </row>
    <row r="167">
      <c r="A167" s="722" t="n"/>
      <c r="B167" s="721" t="n"/>
      <c r="C167" s="961" t="n"/>
      <c r="D167" s="721" t="n"/>
      <c r="E167" s="961" t="n"/>
      <c r="F167" s="721" t="n"/>
      <c r="G167" s="961" t="n"/>
      <c r="H167" s="721" t="n"/>
      <c r="I167" s="962" t="n"/>
      <c r="J167" s="718" t="n"/>
      <c r="K167" s="961" t="n"/>
      <c r="L167" s="721" t="n"/>
      <c r="M167" s="961" t="n"/>
      <c r="N167" s="721" t="n"/>
      <c r="O167" s="961" t="n"/>
      <c r="P167" s="721" t="n"/>
      <c r="Q167" s="962" t="n"/>
      <c r="R167" s="718" t="n"/>
      <c r="S167" s="961" t="n"/>
      <c r="T167" s="721" t="n"/>
      <c r="U167" s="961" t="n"/>
      <c r="V167" s="721" t="n"/>
      <c r="W167" s="961" t="n"/>
      <c r="X167" s="721" t="n"/>
      <c r="Y167" s="962" t="n"/>
      <c r="Z167" s="718" t="n"/>
      <c r="AA167" s="961" t="n"/>
      <c r="AB167" s="721" t="n"/>
      <c r="AC167" s="961" t="n"/>
      <c r="AD167" s="721" t="n"/>
      <c r="AE167" s="961" t="n"/>
      <c r="AF167" s="721" t="n"/>
      <c r="AG167" s="962" t="n"/>
      <c r="AH167" s="718" t="n"/>
      <c r="AI167" s="961" t="n"/>
      <c r="AJ167" s="721" t="n"/>
      <c r="AK167" s="961" t="n"/>
      <c r="AL167" s="721" t="n"/>
      <c r="AM167" s="961" t="n"/>
      <c r="AN167" s="721" t="n"/>
      <c r="AO167" s="962" t="n"/>
      <c r="AP167" s="718" t="n"/>
      <c r="AQ167" s="961" t="n"/>
      <c r="AR167" s="721" t="n"/>
      <c r="AS167" s="961" t="n"/>
      <c r="AT167" s="721" t="n"/>
      <c r="AU167" s="961" t="n"/>
      <c r="AV167" s="721" t="n"/>
      <c r="AW167" s="962" t="n"/>
      <c r="AX167" s="718" t="n"/>
      <c r="AY167" s="961" t="n"/>
      <c r="AZ167" s="721" t="n"/>
      <c r="BA167" s="961" t="n"/>
      <c r="BB167" s="721" t="n"/>
      <c r="BC167" s="961" t="n"/>
      <c r="BD167" s="721" t="n"/>
      <c r="BE167" s="962" t="n"/>
      <c r="BF167" s="718" t="n"/>
      <c r="BG167" s="961" t="n"/>
      <c r="BH167" s="717" t="n"/>
      <c r="BI167" s="963" t="n"/>
      <c r="BJ167" s="721" t="n"/>
      <c r="BK167" s="961" t="n"/>
      <c r="BL167" s="721" t="n"/>
      <c r="BM167" s="962" t="n"/>
    </row>
    <row r="168">
      <c r="A168" s="722" t="n"/>
      <c r="B168" s="721" t="n"/>
      <c r="C168" s="961" t="n"/>
      <c r="D168" s="721" t="n"/>
      <c r="E168" s="961" t="n"/>
      <c r="F168" s="721" t="n"/>
      <c r="G168" s="961" t="n"/>
      <c r="H168" s="721" t="n"/>
      <c r="I168" s="962" t="n"/>
      <c r="J168" s="718" t="n"/>
      <c r="K168" s="961" t="n"/>
      <c r="L168" s="721" t="n"/>
      <c r="M168" s="961" t="n"/>
      <c r="N168" s="721" t="n"/>
      <c r="O168" s="961" t="n"/>
      <c r="P168" s="721" t="n"/>
      <c r="Q168" s="962" t="n"/>
      <c r="R168" s="718" t="n"/>
      <c r="S168" s="961" t="n"/>
      <c r="T168" s="721" t="n"/>
      <c r="U168" s="961" t="n"/>
      <c r="V168" s="721" t="n"/>
      <c r="W168" s="961" t="n"/>
      <c r="X168" s="721" t="n"/>
      <c r="Y168" s="962" t="n"/>
      <c r="Z168" s="718" t="n"/>
      <c r="AA168" s="961" t="n"/>
      <c r="AB168" s="721" t="n"/>
      <c r="AC168" s="961" t="n"/>
      <c r="AD168" s="721" t="n"/>
      <c r="AE168" s="961" t="n"/>
      <c r="AF168" s="721" t="n"/>
      <c r="AG168" s="962" t="n"/>
      <c r="AH168" s="718" t="n"/>
      <c r="AI168" s="961" t="n"/>
      <c r="AJ168" s="721" t="n"/>
      <c r="AK168" s="961" t="n"/>
      <c r="AL168" s="721" t="n"/>
      <c r="AM168" s="961" t="n"/>
      <c r="AN168" s="721" t="n"/>
      <c r="AO168" s="962" t="n"/>
      <c r="AP168" s="718" t="n"/>
      <c r="AQ168" s="961" t="n"/>
      <c r="AR168" s="721" t="n"/>
      <c r="AS168" s="961" t="n"/>
      <c r="AT168" s="721" t="n"/>
      <c r="AU168" s="961" t="n"/>
      <c r="AV168" s="721" t="n"/>
      <c r="AW168" s="962" t="n"/>
      <c r="AX168" s="718" t="n"/>
      <c r="AY168" s="961" t="n"/>
      <c r="AZ168" s="721" t="n"/>
      <c r="BA168" s="961" t="n"/>
      <c r="BB168" s="721" t="n"/>
      <c r="BC168" s="961" t="n"/>
      <c r="BD168" s="721" t="n"/>
      <c r="BE168" s="962" t="n"/>
      <c r="BF168" s="718" t="n"/>
      <c r="BG168" s="961" t="n"/>
      <c r="BH168" s="717" t="n"/>
      <c r="BI168" s="963" t="n"/>
      <c r="BJ168" s="721" t="n"/>
      <c r="BK168" s="961" t="n"/>
      <c r="BL168" s="721" t="n"/>
      <c r="BM168" s="962" t="n"/>
    </row>
    <row r="169">
      <c r="A169" s="722" t="n"/>
      <c r="B169" s="721" t="n"/>
      <c r="C169" s="961" t="n"/>
      <c r="D169" s="721" t="n"/>
      <c r="E169" s="961" t="n"/>
      <c r="F169" s="721" t="n"/>
      <c r="G169" s="961" t="n"/>
      <c r="H169" s="721" t="n"/>
      <c r="I169" s="962" t="n"/>
      <c r="J169" s="718" t="n"/>
      <c r="K169" s="961" t="n"/>
      <c r="L169" s="721" t="n"/>
      <c r="M169" s="961" t="n"/>
      <c r="N169" s="721" t="n"/>
      <c r="O169" s="961" t="n"/>
      <c r="P169" s="721" t="n"/>
      <c r="Q169" s="962" t="n"/>
      <c r="R169" s="718" t="n"/>
      <c r="S169" s="961" t="n"/>
      <c r="T169" s="721" t="n"/>
      <c r="U169" s="961" t="n"/>
      <c r="V169" s="721" t="n"/>
      <c r="W169" s="961" t="n"/>
      <c r="X169" s="721" t="n"/>
      <c r="Y169" s="962" t="n"/>
      <c r="Z169" s="718" t="n"/>
      <c r="AA169" s="961" t="n"/>
      <c r="AB169" s="721" t="n"/>
      <c r="AC169" s="961" t="n"/>
      <c r="AD169" s="721" t="n"/>
      <c r="AE169" s="961" t="n"/>
      <c r="AF169" s="721" t="n"/>
      <c r="AG169" s="962" t="n"/>
      <c r="AH169" s="718" t="n"/>
      <c r="AI169" s="961" t="n"/>
      <c r="AJ169" s="721" t="n"/>
      <c r="AK169" s="961" t="n"/>
      <c r="AL169" s="721" t="n"/>
      <c r="AM169" s="961" t="n"/>
      <c r="AN169" s="721" t="n"/>
      <c r="AO169" s="962" t="n"/>
      <c r="AP169" s="718" t="n"/>
      <c r="AQ169" s="961" t="n"/>
      <c r="AR169" s="721" t="n"/>
      <c r="AS169" s="961" t="n"/>
      <c r="AT169" s="721" t="n"/>
      <c r="AU169" s="961" t="n"/>
      <c r="AV169" s="721" t="n"/>
      <c r="AW169" s="962" t="n"/>
      <c r="AX169" s="718" t="n"/>
      <c r="AY169" s="961" t="n"/>
      <c r="AZ169" s="721" t="n"/>
      <c r="BA169" s="961" t="n"/>
      <c r="BB169" s="721" t="n"/>
      <c r="BC169" s="961" t="n"/>
      <c r="BD169" s="721" t="n"/>
      <c r="BE169" s="962" t="n"/>
      <c r="BF169" s="718" t="n"/>
      <c r="BG169" s="961" t="n"/>
      <c r="BH169" s="717" t="n"/>
      <c r="BI169" s="963" t="n"/>
      <c r="BJ169" s="721" t="n"/>
      <c r="BK169" s="961" t="n"/>
      <c r="BL169" s="721" t="n"/>
      <c r="BM169" s="962" t="n"/>
    </row>
    <row r="170">
      <c r="A170" s="722" t="n"/>
      <c r="B170" s="721" t="n"/>
      <c r="C170" s="961" t="n"/>
      <c r="D170" s="721" t="n"/>
      <c r="E170" s="961" t="n"/>
      <c r="F170" s="721" t="n"/>
      <c r="G170" s="961" t="n"/>
      <c r="H170" s="721" t="n"/>
      <c r="I170" s="962" t="n"/>
      <c r="J170" s="718" t="n"/>
      <c r="K170" s="961" t="n"/>
      <c r="L170" s="721" t="n"/>
      <c r="M170" s="961" t="n"/>
      <c r="N170" s="721" t="n"/>
      <c r="O170" s="961" t="n"/>
      <c r="P170" s="721" t="n"/>
      <c r="Q170" s="962" t="n"/>
      <c r="R170" s="718" t="n"/>
      <c r="S170" s="961" t="n"/>
      <c r="T170" s="721" t="n"/>
      <c r="U170" s="961" t="n"/>
      <c r="V170" s="721" t="n"/>
      <c r="W170" s="961" t="n"/>
      <c r="X170" s="721" t="n"/>
      <c r="Y170" s="962" t="n"/>
      <c r="Z170" s="718" t="n"/>
      <c r="AA170" s="961" t="n"/>
      <c r="AB170" s="721" t="n"/>
      <c r="AC170" s="961" t="n"/>
      <c r="AD170" s="721" t="n"/>
      <c r="AE170" s="961" t="n"/>
      <c r="AF170" s="721" t="n"/>
      <c r="AG170" s="962" t="n"/>
      <c r="AH170" s="718" t="n"/>
      <c r="AI170" s="961" t="n"/>
      <c r="AJ170" s="721" t="n"/>
      <c r="AK170" s="961" t="n"/>
      <c r="AL170" s="721" t="n"/>
      <c r="AM170" s="961" t="n"/>
      <c r="AN170" s="721" t="n"/>
      <c r="AO170" s="962" t="n"/>
      <c r="AP170" s="718" t="n"/>
      <c r="AQ170" s="961" t="n"/>
      <c r="AR170" s="721" t="n"/>
      <c r="AS170" s="961" t="n"/>
      <c r="AT170" s="721" t="n"/>
      <c r="AU170" s="961" t="n"/>
      <c r="AV170" s="721" t="n"/>
      <c r="AW170" s="962" t="n"/>
      <c r="AX170" s="718" t="n"/>
      <c r="AY170" s="961" t="n"/>
      <c r="AZ170" s="721" t="n"/>
      <c r="BA170" s="961" t="n"/>
      <c r="BB170" s="721" t="n"/>
      <c r="BC170" s="961" t="n"/>
      <c r="BD170" s="721" t="n"/>
      <c r="BE170" s="962" t="n"/>
      <c r="BF170" s="718" t="n"/>
      <c r="BG170" s="961" t="n"/>
      <c r="BH170" s="717" t="n"/>
      <c r="BI170" s="963" t="n"/>
      <c r="BJ170" s="721" t="n"/>
      <c r="BK170" s="961" t="n"/>
      <c r="BL170" s="721" t="n"/>
      <c r="BM170" s="962" t="n"/>
    </row>
    <row r="171">
      <c r="A171" s="722" t="n"/>
      <c r="B171" s="721" t="n"/>
      <c r="C171" s="961" t="n"/>
      <c r="D171" s="721" t="n"/>
      <c r="E171" s="961" t="n"/>
      <c r="F171" s="721" t="n"/>
      <c r="G171" s="961" t="n"/>
      <c r="H171" s="721" t="n"/>
      <c r="I171" s="962" t="n"/>
      <c r="J171" s="718" t="n"/>
      <c r="K171" s="961" t="n"/>
      <c r="L171" s="721" t="n"/>
      <c r="M171" s="961" t="n"/>
      <c r="N171" s="721" t="n"/>
      <c r="O171" s="961" t="n"/>
      <c r="P171" s="721" t="n"/>
      <c r="Q171" s="962" t="n"/>
      <c r="R171" s="718" t="n"/>
      <c r="S171" s="961" t="n"/>
      <c r="T171" s="721" t="n"/>
      <c r="U171" s="961" t="n"/>
      <c r="V171" s="721" t="n"/>
      <c r="W171" s="961" t="n"/>
      <c r="X171" s="721" t="n"/>
      <c r="Y171" s="962" t="n"/>
      <c r="Z171" s="718" t="n"/>
      <c r="AA171" s="961" t="n"/>
      <c r="AB171" s="721" t="n"/>
      <c r="AC171" s="961" t="n"/>
      <c r="AD171" s="721" t="n"/>
      <c r="AE171" s="961" t="n"/>
      <c r="AF171" s="721" t="n"/>
      <c r="AG171" s="962" t="n"/>
      <c r="AH171" s="718" t="n"/>
      <c r="AI171" s="961" t="n"/>
      <c r="AJ171" s="721" t="n"/>
      <c r="AK171" s="961" t="n"/>
      <c r="AL171" s="721" t="n"/>
      <c r="AM171" s="961" t="n"/>
      <c r="AN171" s="721" t="n"/>
      <c r="AO171" s="962" t="n"/>
      <c r="AP171" s="718" t="n"/>
      <c r="AQ171" s="961" t="n"/>
      <c r="AR171" s="721" t="n"/>
      <c r="AS171" s="961" t="n"/>
      <c r="AT171" s="721" t="n"/>
      <c r="AU171" s="961" t="n"/>
      <c r="AV171" s="721" t="n"/>
      <c r="AW171" s="962" t="n"/>
      <c r="AX171" s="718" t="n"/>
      <c r="AY171" s="961" t="n"/>
      <c r="AZ171" s="721" t="n"/>
      <c r="BA171" s="961" t="n"/>
      <c r="BB171" s="721" t="n"/>
      <c r="BC171" s="961" t="n"/>
      <c r="BD171" s="721" t="n"/>
      <c r="BE171" s="962" t="n"/>
      <c r="BF171" s="718" t="n"/>
      <c r="BG171" s="961" t="n"/>
      <c r="BH171" s="717" t="n"/>
      <c r="BI171" s="963" t="n"/>
      <c r="BJ171" s="721" t="n"/>
      <c r="BK171" s="961" t="n"/>
      <c r="BL171" s="721" t="n"/>
      <c r="BM171" s="962" t="n"/>
    </row>
    <row r="172">
      <c r="A172" s="722" t="n"/>
      <c r="B172" s="721" t="n"/>
      <c r="C172" s="961" t="n"/>
      <c r="D172" s="721" t="n"/>
      <c r="E172" s="961" t="n"/>
      <c r="F172" s="721" t="n"/>
      <c r="G172" s="961" t="n"/>
      <c r="H172" s="721" t="n"/>
      <c r="I172" s="962" t="n"/>
      <c r="J172" s="718" t="n"/>
      <c r="K172" s="961" t="n"/>
      <c r="L172" s="721" t="n"/>
      <c r="M172" s="961" t="n"/>
      <c r="N172" s="721" t="n"/>
      <c r="O172" s="961" t="n"/>
      <c r="P172" s="721" t="n"/>
      <c r="Q172" s="962" t="n"/>
      <c r="R172" s="718" t="n"/>
      <c r="S172" s="961" t="n"/>
      <c r="T172" s="721" t="n"/>
      <c r="U172" s="961" t="n"/>
      <c r="V172" s="721" t="n"/>
      <c r="W172" s="961" t="n"/>
      <c r="X172" s="721" t="n"/>
      <c r="Y172" s="962" t="n"/>
      <c r="Z172" s="718" t="n"/>
      <c r="AA172" s="961" t="n"/>
      <c r="AB172" s="721" t="n"/>
      <c r="AC172" s="961" t="n"/>
      <c r="AD172" s="721" t="n"/>
      <c r="AE172" s="961" t="n"/>
      <c r="AF172" s="721" t="n"/>
      <c r="AG172" s="962" t="n"/>
      <c r="AH172" s="718" t="n"/>
      <c r="AI172" s="961" t="n"/>
      <c r="AJ172" s="721" t="n"/>
      <c r="AK172" s="961" t="n"/>
      <c r="AL172" s="721" t="n"/>
      <c r="AM172" s="961" t="n"/>
      <c r="AN172" s="721" t="n"/>
      <c r="AO172" s="962" t="n"/>
      <c r="AP172" s="718" t="n"/>
      <c r="AQ172" s="961" t="n"/>
      <c r="AR172" s="721" t="n"/>
      <c r="AS172" s="961" t="n"/>
      <c r="AT172" s="721" t="n"/>
      <c r="AU172" s="961" t="n"/>
      <c r="AV172" s="721" t="n"/>
      <c r="AW172" s="962" t="n"/>
      <c r="AX172" s="718" t="n"/>
      <c r="AY172" s="961" t="n"/>
      <c r="AZ172" s="721" t="n"/>
      <c r="BA172" s="961" t="n"/>
      <c r="BB172" s="721" t="n"/>
      <c r="BC172" s="961" t="n"/>
      <c r="BD172" s="721" t="n"/>
      <c r="BE172" s="962" t="n"/>
      <c r="BF172" s="718" t="n"/>
      <c r="BG172" s="961" t="n"/>
      <c r="BH172" s="717" t="n"/>
      <c r="BI172" s="963" t="n"/>
      <c r="BJ172" s="721" t="n"/>
      <c r="BK172" s="961" t="n"/>
      <c r="BL172" s="721" t="n"/>
      <c r="BM172" s="962" t="n"/>
    </row>
    <row r="173">
      <c r="A173" s="722" t="n"/>
      <c r="B173" s="721" t="n"/>
      <c r="C173" s="961" t="n"/>
      <c r="D173" s="721" t="n"/>
      <c r="E173" s="961" t="n"/>
      <c r="F173" s="721" t="n"/>
      <c r="G173" s="961" t="n"/>
      <c r="H173" s="721" t="n"/>
      <c r="I173" s="962" t="n"/>
      <c r="J173" s="718" t="n"/>
      <c r="K173" s="961" t="n"/>
      <c r="L173" s="721" t="n"/>
      <c r="M173" s="961" t="n"/>
      <c r="N173" s="721" t="n"/>
      <c r="O173" s="961" t="n"/>
      <c r="P173" s="721" t="n"/>
      <c r="Q173" s="962" t="n"/>
      <c r="R173" s="718" t="n"/>
      <c r="S173" s="961" t="n"/>
      <c r="T173" s="721" t="n"/>
      <c r="U173" s="961" t="n"/>
      <c r="V173" s="721" t="n"/>
      <c r="W173" s="961" t="n"/>
      <c r="X173" s="721" t="n"/>
      <c r="Y173" s="962" t="n"/>
      <c r="Z173" s="718" t="n"/>
      <c r="AA173" s="961" t="n"/>
      <c r="AB173" s="721" t="n"/>
      <c r="AC173" s="961" t="n"/>
      <c r="AD173" s="721" t="n"/>
      <c r="AE173" s="961" t="n"/>
      <c r="AF173" s="721" t="n"/>
      <c r="AG173" s="962" t="n"/>
      <c r="AH173" s="718" t="n"/>
      <c r="AI173" s="961" t="n"/>
      <c r="AJ173" s="721" t="n"/>
      <c r="AK173" s="961" t="n"/>
      <c r="AL173" s="721" t="n"/>
      <c r="AM173" s="961" t="n"/>
      <c r="AN173" s="721" t="n"/>
      <c r="AO173" s="962" t="n"/>
      <c r="AP173" s="718" t="n"/>
      <c r="AQ173" s="961" t="n"/>
      <c r="AR173" s="721" t="n"/>
      <c r="AS173" s="961" t="n"/>
      <c r="AT173" s="721" t="n"/>
      <c r="AU173" s="961" t="n"/>
      <c r="AV173" s="721" t="n"/>
      <c r="AW173" s="962" t="n"/>
      <c r="AX173" s="718" t="n"/>
      <c r="AY173" s="961" t="n"/>
      <c r="AZ173" s="721" t="n"/>
      <c r="BA173" s="961" t="n"/>
      <c r="BB173" s="721" t="n"/>
      <c r="BC173" s="961" t="n"/>
      <c r="BD173" s="721" t="n"/>
      <c r="BE173" s="962" t="n"/>
      <c r="BF173" s="718" t="n"/>
      <c r="BG173" s="961" t="n"/>
      <c r="BH173" s="717" t="n"/>
      <c r="BI173" s="963" t="n"/>
      <c r="BJ173" s="721" t="n"/>
      <c r="BK173" s="961" t="n"/>
      <c r="BL173" s="721" t="n"/>
      <c r="BM173" s="962" t="n"/>
    </row>
    <row r="174">
      <c r="A174" s="722" t="n"/>
      <c r="B174" s="721" t="n"/>
      <c r="C174" s="961" t="n"/>
      <c r="D174" s="721" t="n"/>
      <c r="E174" s="961" t="n"/>
      <c r="F174" s="721" t="n"/>
      <c r="G174" s="961" t="n"/>
      <c r="H174" s="721" t="n"/>
      <c r="I174" s="962" t="n"/>
      <c r="J174" s="718" t="n"/>
      <c r="K174" s="961" t="n"/>
      <c r="L174" s="721" t="n"/>
      <c r="M174" s="961" t="n"/>
      <c r="N174" s="721" t="n"/>
      <c r="O174" s="961" t="n"/>
      <c r="P174" s="721" t="n"/>
      <c r="Q174" s="962" t="n"/>
      <c r="R174" s="718" t="n"/>
      <c r="S174" s="961" t="n"/>
      <c r="T174" s="721" t="n"/>
      <c r="U174" s="961" t="n"/>
      <c r="V174" s="721" t="n"/>
      <c r="W174" s="961" t="n"/>
      <c r="X174" s="721" t="n"/>
      <c r="Y174" s="962" t="n"/>
      <c r="Z174" s="718" t="n"/>
      <c r="AA174" s="961" t="n"/>
      <c r="AB174" s="721" t="n"/>
      <c r="AC174" s="961" t="n"/>
      <c r="AD174" s="721" t="n"/>
      <c r="AE174" s="961" t="n"/>
      <c r="AF174" s="721" t="n"/>
      <c r="AG174" s="962" t="n"/>
      <c r="AH174" s="718" t="n"/>
      <c r="AI174" s="961" t="n"/>
      <c r="AJ174" s="721" t="n"/>
      <c r="AK174" s="961" t="n"/>
      <c r="AL174" s="721" t="n"/>
      <c r="AM174" s="961" t="n"/>
      <c r="AN174" s="721" t="n"/>
      <c r="AO174" s="962" t="n"/>
      <c r="AP174" s="718" t="n"/>
      <c r="AQ174" s="961" t="n"/>
      <c r="AR174" s="721" t="n"/>
      <c r="AS174" s="961" t="n"/>
      <c r="AT174" s="721" t="n"/>
      <c r="AU174" s="961" t="n"/>
      <c r="AV174" s="721" t="n"/>
      <c r="AW174" s="962" t="n"/>
      <c r="AX174" s="718" t="n"/>
      <c r="AY174" s="961" t="n"/>
      <c r="AZ174" s="721" t="n"/>
      <c r="BA174" s="961" t="n"/>
      <c r="BB174" s="721" t="n"/>
      <c r="BC174" s="961" t="n"/>
      <c r="BD174" s="721" t="n"/>
      <c r="BE174" s="962" t="n"/>
      <c r="BF174" s="718" t="n"/>
      <c r="BG174" s="961" t="n"/>
      <c r="BH174" s="717" t="n"/>
      <c r="BI174" s="963" t="n"/>
      <c r="BJ174" s="721" t="n"/>
      <c r="BK174" s="961" t="n"/>
      <c r="BL174" s="721" t="n"/>
      <c r="BM174" s="962" t="n"/>
    </row>
    <row r="175">
      <c r="A175" s="722" t="n"/>
      <c r="B175" s="721" t="n"/>
      <c r="C175" s="961" t="n"/>
      <c r="D175" s="721" t="n"/>
      <c r="E175" s="961" t="n"/>
      <c r="F175" s="721" t="n"/>
      <c r="G175" s="961" t="n"/>
      <c r="H175" s="721" t="n"/>
      <c r="I175" s="962" t="n"/>
      <c r="J175" s="718" t="n"/>
      <c r="K175" s="961" t="n"/>
      <c r="L175" s="721" t="n"/>
      <c r="M175" s="961" t="n"/>
      <c r="N175" s="721" t="n"/>
      <c r="O175" s="961" t="n"/>
      <c r="P175" s="721" t="n"/>
      <c r="Q175" s="962" t="n"/>
      <c r="R175" s="718" t="n"/>
      <c r="S175" s="961" t="n"/>
      <c r="T175" s="721" t="n"/>
      <c r="U175" s="961" t="n"/>
      <c r="V175" s="721" t="n"/>
      <c r="W175" s="961" t="n"/>
      <c r="X175" s="721" t="n"/>
      <c r="Y175" s="962" t="n"/>
      <c r="Z175" s="718" t="n"/>
      <c r="AA175" s="961" t="n"/>
      <c r="AB175" s="721" t="n"/>
      <c r="AC175" s="961" t="n"/>
      <c r="AD175" s="721" t="n"/>
      <c r="AE175" s="961" t="n"/>
      <c r="AF175" s="721" t="n"/>
      <c r="AG175" s="962" t="n"/>
      <c r="AH175" s="718" t="n"/>
      <c r="AI175" s="961" t="n"/>
      <c r="AJ175" s="721" t="n"/>
      <c r="AK175" s="961" t="n"/>
      <c r="AL175" s="721" t="n"/>
      <c r="AM175" s="961" t="n"/>
      <c r="AN175" s="721" t="n"/>
      <c r="AO175" s="962" t="n"/>
      <c r="AP175" s="718" t="n"/>
      <c r="AQ175" s="961" t="n"/>
      <c r="AR175" s="721" t="n"/>
      <c r="AS175" s="961" t="n"/>
      <c r="AT175" s="721" t="n"/>
      <c r="AU175" s="961" t="n"/>
      <c r="AV175" s="721" t="n"/>
      <c r="AW175" s="962" t="n"/>
      <c r="AX175" s="718" t="n"/>
      <c r="AY175" s="961" t="n"/>
      <c r="AZ175" s="721" t="n"/>
      <c r="BA175" s="961" t="n"/>
      <c r="BB175" s="721" t="n"/>
      <c r="BC175" s="961" t="n"/>
      <c r="BD175" s="721" t="n"/>
      <c r="BE175" s="962" t="n"/>
      <c r="BF175" s="718" t="n"/>
      <c r="BG175" s="961" t="n"/>
      <c r="BH175" s="717" t="n"/>
      <c r="BI175" s="963" t="n"/>
      <c r="BJ175" s="721" t="n"/>
      <c r="BK175" s="961" t="n"/>
      <c r="BL175" s="721" t="n"/>
      <c r="BM175" s="962" t="n"/>
    </row>
    <row r="176">
      <c r="A176" s="722" t="n"/>
      <c r="B176" s="721" t="n"/>
      <c r="C176" s="961" t="n"/>
      <c r="D176" s="721" t="n"/>
      <c r="E176" s="961" t="n"/>
      <c r="F176" s="721" t="n"/>
      <c r="G176" s="961" t="n"/>
      <c r="H176" s="721" t="n"/>
      <c r="I176" s="962" t="n"/>
      <c r="J176" s="718" t="n"/>
      <c r="K176" s="961" t="n"/>
      <c r="L176" s="721" t="n"/>
      <c r="M176" s="961" t="n"/>
      <c r="N176" s="721" t="n"/>
      <c r="O176" s="961" t="n"/>
      <c r="P176" s="721" t="n"/>
      <c r="Q176" s="962" t="n"/>
      <c r="R176" s="718" t="n"/>
      <c r="S176" s="961" t="n"/>
      <c r="T176" s="721" t="n"/>
      <c r="U176" s="961" t="n"/>
      <c r="V176" s="721" t="n"/>
      <c r="W176" s="961" t="n"/>
      <c r="X176" s="721" t="n"/>
      <c r="Y176" s="962" t="n"/>
      <c r="Z176" s="718" t="n"/>
      <c r="AA176" s="961" t="n"/>
      <c r="AB176" s="721" t="n"/>
      <c r="AC176" s="961" t="n"/>
      <c r="AD176" s="721" t="n"/>
      <c r="AE176" s="961" t="n"/>
      <c r="AF176" s="721" t="n"/>
      <c r="AG176" s="962" t="n"/>
      <c r="AH176" s="718" t="n"/>
      <c r="AI176" s="961" t="n"/>
      <c r="AJ176" s="721" t="n"/>
      <c r="AK176" s="961" t="n"/>
      <c r="AL176" s="721" t="n"/>
      <c r="AM176" s="961" t="n"/>
      <c r="AN176" s="721" t="n"/>
      <c r="AO176" s="962" t="n"/>
      <c r="AP176" s="718" t="n"/>
      <c r="AQ176" s="961" t="n"/>
      <c r="AR176" s="721" t="n"/>
      <c r="AS176" s="961" t="n"/>
      <c r="AT176" s="721" t="n"/>
      <c r="AU176" s="961" t="n"/>
      <c r="AV176" s="721" t="n"/>
      <c r="AW176" s="962" t="n"/>
      <c r="AX176" s="718" t="n"/>
      <c r="AY176" s="961" t="n"/>
      <c r="AZ176" s="721" t="n"/>
      <c r="BA176" s="961" t="n"/>
      <c r="BB176" s="721" t="n"/>
      <c r="BC176" s="961" t="n"/>
      <c r="BD176" s="721" t="n"/>
      <c r="BE176" s="962" t="n"/>
      <c r="BF176" s="718" t="n"/>
      <c r="BG176" s="961" t="n"/>
      <c r="BH176" s="717" t="n"/>
      <c r="BI176" s="963" t="n"/>
      <c r="BJ176" s="721" t="n"/>
      <c r="BK176" s="961" t="n"/>
      <c r="BL176" s="721" t="n"/>
      <c r="BM176" s="962" t="n"/>
    </row>
    <row r="177">
      <c r="A177" s="722" t="n"/>
      <c r="B177" s="721" t="n"/>
      <c r="C177" s="961" t="n"/>
      <c r="D177" s="721" t="n"/>
      <c r="E177" s="961" t="n"/>
      <c r="F177" s="721" t="n"/>
      <c r="G177" s="961" t="n"/>
      <c r="H177" s="721" t="n"/>
      <c r="I177" s="962" t="n"/>
      <c r="J177" s="718" t="n"/>
      <c r="K177" s="961" t="n"/>
      <c r="L177" s="721" t="n"/>
      <c r="M177" s="961" t="n"/>
      <c r="N177" s="721" t="n"/>
      <c r="O177" s="961" t="n"/>
      <c r="P177" s="721" t="n"/>
      <c r="Q177" s="962" t="n"/>
      <c r="R177" s="718" t="n"/>
      <c r="S177" s="961" t="n"/>
      <c r="T177" s="721" t="n"/>
      <c r="U177" s="961" t="n"/>
      <c r="V177" s="721" t="n"/>
      <c r="W177" s="961" t="n"/>
      <c r="X177" s="721" t="n"/>
      <c r="Y177" s="962" t="n"/>
      <c r="Z177" s="718" t="n"/>
      <c r="AA177" s="961" t="n"/>
      <c r="AB177" s="721" t="n"/>
      <c r="AC177" s="961" t="n"/>
      <c r="AD177" s="721" t="n"/>
      <c r="AE177" s="961" t="n"/>
      <c r="AF177" s="721" t="n"/>
      <c r="AG177" s="962" t="n"/>
      <c r="AH177" s="718" t="n"/>
      <c r="AI177" s="961" t="n"/>
      <c r="AJ177" s="721" t="n"/>
      <c r="AK177" s="961" t="n"/>
      <c r="AL177" s="721" t="n"/>
      <c r="AM177" s="961" t="n"/>
      <c r="AN177" s="721" t="n"/>
      <c r="AO177" s="962" t="n"/>
      <c r="AP177" s="718" t="n"/>
      <c r="AQ177" s="961" t="n"/>
      <c r="AR177" s="721" t="n"/>
      <c r="AS177" s="961" t="n"/>
      <c r="AT177" s="721" t="n"/>
      <c r="AU177" s="961" t="n"/>
      <c r="AV177" s="721" t="n"/>
      <c r="AW177" s="962" t="n"/>
      <c r="AX177" s="718" t="n"/>
      <c r="AY177" s="961" t="n"/>
      <c r="AZ177" s="721" t="n"/>
      <c r="BA177" s="961" t="n"/>
      <c r="BB177" s="721" t="n"/>
      <c r="BC177" s="961" t="n"/>
      <c r="BD177" s="721" t="n"/>
      <c r="BE177" s="962" t="n"/>
      <c r="BF177" s="718" t="n"/>
      <c r="BG177" s="961" t="n"/>
      <c r="BH177" s="717" t="n"/>
      <c r="BI177" s="963" t="n"/>
      <c r="BJ177" s="721" t="n"/>
      <c r="BK177" s="961" t="n"/>
      <c r="BL177" s="721" t="n"/>
      <c r="BM177" s="962" t="n"/>
    </row>
    <row r="178">
      <c r="A178" s="722" t="n"/>
      <c r="B178" s="721" t="n"/>
      <c r="C178" s="961" t="n"/>
      <c r="D178" s="721" t="n"/>
      <c r="E178" s="961" t="n"/>
      <c r="F178" s="721" t="n"/>
      <c r="G178" s="961" t="n"/>
      <c r="H178" s="721" t="n"/>
      <c r="I178" s="962" t="n"/>
      <c r="J178" s="718" t="n"/>
      <c r="K178" s="961" t="n"/>
      <c r="L178" s="721" t="n"/>
      <c r="M178" s="961" t="n"/>
      <c r="N178" s="721" t="n"/>
      <c r="O178" s="961" t="n"/>
      <c r="P178" s="721" t="n"/>
      <c r="Q178" s="962" t="n"/>
      <c r="R178" s="718" t="n"/>
      <c r="S178" s="961" t="n"/>
      <c r="T178" s="721" t="n"/>
      <c r="U178" s="961" t="n"/>
      <c r="V178" s="721" t="n"/>
      <c r="W178" s="961" t="n"/>
      <c r="X178" s="721" t="n"/>
      <c r="Y178" s="962" t="n"/>
      <c r="Z178" s="718" t="n"/>
      <c r="AA178" s="961" t="n"/>
      <c r="AB178" s="721" t="n"/>
      <c r="AC178" s="961" t="n"/>
      <c r="AD178" s="721" t="n"/>
      <c r="AE178" s="961" t="n"/>
      <c r="AF178" s="721" t="n"/>
      <c r="AG178" s="962" t="n"/>
      <c r="AH178" s="718" t="n"/>
      <c r="AI178" s="961" t="n"/>
      <c r="AJ178" s="721" t="n"/>
      <c r="AK178" s="961" t="n"/>
      <c r="AL178" s="721" t="n"/>
      <c r="AM178" s="961" t="n"/>
      <c r="AN178" s="721" t="n"/>
      <c r="AO178" s="962" t="n"/>
      <c r="AP178" s="718" t="n"/>
      <c r="AQ178" s="961" t="n"/>
      <c r="AR178" s="721" t="n"/>
      <c r="AS178" s="961" t="n"/>
      <c r="AT178" s="721" t="n"/>
      <c r="AU178" s="961" t="n"/>
      <c r="AV178" s="721" t="n"/>
      <c r="AW178" s="962" t="n"/>
      <c r="AX178" s="718" t="n"/>
      <c r="AY178" s="961" t="n"/>
      <c r="AZ178" s="721" t="n"/>
      <c r="BA178" s="961" t="n"/>
      <c r="BB178" s="721" t="n"/>
      <c r="BC178" s="961" t="n"/>
      <c r="BD178" s="721" t="n"/>
      <c r="BE178" s="962" t="n"/>
      <c r="BF178" s="718" t="n"/>
      <c r="BG178" s="961" t="n"/>
      <c r="BH178" s="717" t="n"/>
      <c r="BI178" s="963" t="n"/>
      <c r="BJ178" s="721" t="n"/>
      <c r="BK178" s="961" t="n"/>
      <c r="BL178" s="721" t="n"/>
      <c r="BM178" s="962" t="n"/>
    </row>
    <row r="179">
      <c r="A179" s="722" t="n"/>
      <c r="B179" s="721" t="n"/>
      <c r="C179" s="961" t="n"/>
      <c r="D179" s="721" t="n"/>
      <c r="E179" s="961" t="n"/>
      <c r="F179" s="721" t="n"/>
      <c r="G179" s="961" t="n"/>
      <c r="H179" s="721" t="n"/>
      <c r="I179" s="962" t="n"/>
      <c r="J179" s="718" t="n"/>
      <c r="K179" s="961" t="n"/>
      <c r="L179" s="721" t="n"/>
      <c r="M179" s="961" t="n"/>
      <c r="N179" s="721" t="n"/>
      <c r="O179" s="961" t="n"/>
      <c r="P179" s="721" t="n"/>
      <c r="Q179" s="962" t="n"/>
      <c r="R179" s="718" t="n"/>
      <c r="S179" s="961" t="n"/>
      <c r="T179" s="721" t="n"/>
      <c r="U179" s="961" t="n"/>
      <c r="V179" s="721" t="n"/>
      <c r="W179" s="961" t="n"/>
      <c r="X179" s="721" t="n"/>
      <c r="Y179" s="962" t="n"/>
      <c r="Z179" s="718" t="n"/>
      <c r="AA179" s="961" t="n"/>
      <c r="AB179" s="721" t="n"/>
      <c r="AC179" s="961" t="n"/>
      <c r="AD179" s="721" t="n"/>
      <c r="AE179" s="961" t="n"/>
      <c r="AF179" s="721" t="n"/>
      <c r="AG179" s="962" t="n"/>
      <c r="AH179" s="718" t="n"/>
      <c r="AI179" s="961" t="n"/>
      <c r="AJ179" s="721" t="n"/>
      <c r="AK179" s="961" t="n"/>
      <c r="AL179" s="721" t="n"/>
      <c r="AM179" s="961" t="n"/>
      <c r="AN179" s="721" t="n"/>
      <c r="AO179" s="962" t="n"/>
      <c r="AP179" s="718" t="n"/>
      <c r="AQ179" s="961" t="n"/>
      <c r="AR179" s="721" t="n"/>
      <c r="AS179" s="961" t="n"/>
      <c r="AT179" s="721" t="n"/>
      <c r="AU179" s="961" t="n"/>
      <c r="AV179" s="721" t="n"/>
      <c r="AW179" s="962" t="n"/>
      <c r="AX179" s="718" t="n"/>
      <c r="AY179" s="961" t="n"/>
      <c r="AZ179" s="721" t="n"/>
      <c r="BA179" s="961" t="n"/>
      <c r="BB179" s="721" t="n"/>
      <c r="BC179" s="961" t="n"/>
      <c r="BD179" s="721" t="n"/>
      <c r="BE179" s="962" t="n"/>
      <c r="BF179" s="718" t="n"/>
      <c r="BG179" s="961" t="n"/>
      <c r="BH179" s="717" t="n"/>
      <c r="BI179" s="963" t="n"/>
      <c r="BJ179" s="721" t="n"/>
      <c r="BK179" s="961" t="n"/>
      <c r="BL179" s="721" t="n"/>
      <c r="BM179" s="962" t="n"/>
    </row>
    <row r="180">
      <c r="A180" s="722" t="n"/>
      <c r="B180" s="721" t="n"/>
      <c r="C180" s="961" t="n"/>
      <c r="D180" s="721" t="n"/>
      <c r="E180" s="961" t="n"/>
      <c r="F180" s="721" t="n"/>
      <c r="G180" s="961" t="n"/>
      <c r="H180" s="721" t="n"/>
      <c r="I180" s="962" t="n"/>
      <c r="J180" s="718" t="n"/>
      <c r="K180" s="961" t="n"/>
      <c r="L180" s="721" t="n"/>
      <c r="M180" s="961" t="n"/>
      <c r="N180" s="721" t="n"/>
      <c r="O180" s="961" t="n"/>
      <c r="P180" s="721" t="n"/>
      <c r="Q180" s="962" t="n"/>
      <c r="R180" s="718" t="n"/>
      <c r="S180" s="961" t="n"/>
      <c r="T180" s="721" t="n"/>
      <c r="U180" s="961" t="n"/>
      <c r="V180" s="721" t="n"/>
      <c r="W180" s="961" t="n"/>
      <c r="X180" s="721" t="n"/>
      <c r="Y180" s="962" t="n"/>
      <c r="Z180" s="718" t="n"/>
      <c r="AA180" s="961" t="n"/>
      <c r="AB180" s="721" t="n"/>
      <c r="AC180" s="961" t="n"/>
      <c r="AD180" s="721" t="n"/>
      <c r="AE180" s="961" t="n"/>
      <c r="AF180" s="721" t="n"/>
      <c r="AG180" s="962" t="n"/>
      <c r="AH180" s="718" t="n"/>
      <c r="AI180" s="961" t="n"/>
      <c r="AJ180" s="721" t="n"/>
      <c r="AK180" s="961" t="n"/>
      <c r="AL180" s="721" t="n"/>
      <c r="AM180" s="961" t="n"/>
      <c r="AN180" s="721" t="n"/>
      <c r="AO180" s="962" t="n"/>
      <c r="AP180" s="718" t="n"/>
      <c r="AQ180" s="961" t="n"/>
      <c r="AR180" s="721" t="n"/>
      <c r="AS180" s="961" t="n"/>
      <c r="AT180" s="721" t="n"/>
      <c r="AU180" s="961" t="n"/>
      <c r="AV180" s="721" t="n"/>
      <c r="AW180" s="962" t="n"/>
      <c r="AX180" s="718" t="n"/>
      <c r="AY180" s="961" t="n"/>
      <c r="AZ180" s="721" t="n"/>
      <c r="BA180" s="961" t="n"/>
      <c r="BB180" s="721" t="n"/>
      <c r="BC180" s="961" t="n"/>
      <c r="BD180" s="721" t="n"/>
      <c r="BE180" s="962" t="n"/>
      <c r="BF180" s="718" t="n"/>
      <c r="BG180" s="961" t="n"/>
      <c r="BH180" s="717" t="n"/>
      <c r="BI180" s="963" t="n"/>
      <c r="BJ180" s="721" t="n"/>
      <c r="BK180" s="961" t="n"/>
      <c r="BL180" s="721" t="n"/>
      <c r="BM180" s="962" t="n"/>
    </row>
    <row r="181">
      <c r="A181" s="722" t="n"/>
      <c r="B181" s="721" t="n"/>
      <c r="C181" s="961" t="n"/>
      <c r="D181" s="721" t="n"/>
      <c r="E181" s="961" t="n"/>
      <c r="F181" s="721" t="n"/>
      <c r="G181" s="961" t="n"/>
      <c r="H181" s="721" t="n"/>
      <c r="I181" s="962" t="n"/>
      <c r="J181" s="718" t="n"/>
      <c r="K181" s="961" t="n"/>
      <c r="L181" s="721" t="n"/>
      <c r="M181" s="961" t="n"/>
      <c r="N181" s="721" t="n"/>
      <c r="O181" s="961" t="n"/>
      <c r="P181" s="721" t="n"/>
      <c r="Q181" s="962" t="n"/>
      <c r="R181" s="718" t="n"/>
      <c r="S181" s="961" t="n"/>
      <c r="T181" s="721" t="n"/>
      <c r="U181" s="961" t="n"/>
      <c r="V181" s="721" t="n"/>
      <c r="W181" s="961" t="n"/>
      <c r="X181" s="721" t="n"/>
      <c r="Y181" s="962" t="n"/>
      <c r="Z181" s="718" t="n"/>
      <c r="AA181" s="961" t="n"/>
      <c r="AB181" s="721" t="n"/>
      <c r="AC181" s="961" t="n"/>
      <c r="AD181" s="721" t="n"/>
      <c r="AE181" s="961" t="n"/>
      <c r="AF181" s="721" t="n"/>
      <c r="AG181" s="962" t="n"/>
      <c r="AH181" s="718" t="n"/>
      <c r="AI181" s="961" t="n"/>
      <c r="AJ181" s="721" t="n"/>
      <c r="AK181" s="961" t="n"/>
      <c r="AL181" s="721" t="n"/>
      <c r="AM181" s="961" t="n"/>
      <c r="AN181" s="721" t="n"/>
      <c r="AO181" s="962" t="n"/>
      <c r="AP181" s="718" t="n"/>
      <c r="AQ181" s="961" t="n"/>
      <c r="AR181" s="721" t="n"/>
      <c r="AS181" s="961" t="n"/>
      <c r="AT181" s="721" t="n"/>
      <c r="AU181" s="961" t="n"/>
      <c r="AV181" s="721" t="n"/>
      <c r="AW181" s="962" t="n"/>
      <c r="AX181" s="718" t="n"/>
      <c r="AY181" s="961" t="n"/>
      <c r="AZ181" s="721" t="n"/>
      <c r="BA181" s="961" t="n"/>
      <c r="BB181" s="721" t="n"/>
      <c r="BC181" s="961" t="n"/>
      <c r="BD181" s="721" t="n"/>
      <c r="BE181" s="962" t="n"/>
      <c r="BF181" s="718" t="n"/>
      <c r="BG181" s="961" t="n"/>
      <c r="BH181" s="717" t="n"/>
      <c r="BI181" s="963" t="n"/>
      <c r="BJ181" s="721" t="n"/>
      <c r="BK181" s="961" t="n"/>
      <c r="BL181" s="721" t="n"/>
      <c r="BM181" s="962" t="n"/>
    </row>
    <row r="182">
      <c r="A182" s="722" t="n"/>
      <c r="B182" s="721" t="n"/>
      <c r="C182" s="961" t="n"/>
      <c r="D182" s="721" t="n"/>
      <c r="E182" s="961" t="n"/>
      <c r="F182" s="721" t="n"/>
      <c r="G182" s="961" t="n"/>
      <c r="H182" s="721" t="n"/>
      <c r="I182" s="962" t="n"/>
      <c r="J182" s="718" t="n"/>
      <c r="K182" s="961" t="n"/>
      <c r="L182" s="721" t="n"/>
      <c r="M182" s="961" t="n"/>
      <c r="N182" s="721" t="n"/>
      <c r="O182" s="961" t="n"/>
      <c r="P182" s="721" t="n"/>
      <c r="Q182" s="962" t="n"/>
      <c r="R182" s="718" t="n"/>
      <c r="S182" s="961" t="n"/>
      <c r="T182" s="721" t="n"/>
      <c r="U182" s="961" t="n"/>
      <c r="V182" s="721" t="n"/>
      <c r="W182" s="961" t="n"/>
      <c r="X182" s="721" t="n"/>
      <c r="Y182" s="962" t="n"/>
      <c r="Z182" s="718" t="n"/>
      <c r="AA182" s="961" t="n"/>
      <c r="AB182" s="721" t="n"/>
      <c r="AC182" s="961" t="n"/>
      <c r="AD182" s="721" t="n"/>
      <c r="AE182" s="961" t="n"/>
      <c r="AF182" s="721" t="n"/>
      <c r="AG182" s="962" t="n"/>
      <c r="AH182" s="718" t="n"/>
      <c r="AI182" s="961" t="n"/>
      <c r="AJ182" s="721" t="n"/>
      <c r="AK182" s="961" t="n"/>
      <c r="AL182" s="721" t="n"/>
      <c r="AM182" s="961" t="n"/>
      <c r="AN182" s="721" t="n"/>
      <c r="AO182" s="962" t="n"/>
      <c r="AP182" s="718" t="n"/>
      <c r="AQ182" s="961" t="n"/>
      <c r="AR182" s="721" t="n"/>
      <c r="AS182" s="961" t="n"/>
      <c r="AT182" s="721" t="n"/>
      <c r="AU182" s="961" t="n"/>
      <c r="AV182" s="721" t="n"/>
      <c r="AW182" s="962" t="n"/>
      <c r="AX182" s="718" t="n"/>
      <c r="AY182" s="961" t="n"/>
      <c r="AZ182" s="721" t="n"/>
      <c r="BA182" s="961" t="n"/>
      <c r="BB182" s="721" t="n"/>
      <c r="BC182" s="961" t="n"/>
      <c r="BD182" s="721" t="n"/>
      <c r="BE182" s="962" t="n"/>
      <c r="BF182" s="718" t="n"/>
      <c r="BG182" s="961" t="n"/>
      <c r="BH182" s="717" t="n"/>
      <c r="BI182" s="963" t="n"/>
      <c r="BJ182" s="721" t="n"/>
      <c r="BK182" s="961" t="n"/>
      <c r="BL182" s="721" t="n"/>
      <c r="BM182" s="962" t="n"/>
    </row>
    <row r="183">
      <c r="A183" s="722" t="n"/>
      <c r="B183" s="721" t="n"/>
      <c r="C183" s="961" t="n"/>
      <c r="D183" s="721" t="n"/>
      <c r="E183" s="961" t="n"/>
      <c r="F183" s="721" t="n"/>
      <c r="G183" s="961" t="n"/>
      <c r="H183" s="721" t="n"/>
      <c r="I183" s="962" t="n"/>
      <c r="J183" s="718" t="n"/>
      <c r="K183" s="961" t="n"/>
      <c r="L183" s="721" t="n"/>
      <c r="M183" s="961" t="n"/>
      <c r="N183" s="721" t="n"/>
      <c r="O183" s="961" t="n"/>
      <c r="P183" s="721" t="n"/>
      <c r="Q183" s="962" t="n"/>
      <c r="R183" s="718" t="n"/>
      <c r="S183" s="961" t="n"/>
      <c r="T183" s="721" t="n"/>
      <c r="U183" s="961" t="n"/>
      <c r="V183" s="721" t="n"/>
      <c r="W183" s="961" t="n"/>
      <c r="X183" s="721" t="n"/>
      <c r="Y183" s="962" t="n"/>
      <c r="Z183" s="718" t="n"/>
      <c r="AA183" s="961" t="n"/>
      <c r="AB183" s="721" t="n"/>
      <c r="AC183" s="961" t="n"/>
      <c r="AD183" s="721" t="n"/>
      <c r="AE183" s="961" t="n"/>
      <c r="AF183" s="721" t="n"/>
      <c r="AG183" s="962" t="n"/>
      <c r="AH183" s="718" t="n"/>
      <c r="AI183" s="961" t="n"/>
      <c r="AJ183" s="721" t="n"/>
      <c r="AK183" s="961" t="n"/>
      <c r="AL183" s="721" t="n"/>
      <c r="AM183" s="961" t="n"/>
      <c r="AN183" s="721" t="n"/>
      <c r="AO183" s="962" t="n"/>
      <c r="AP183" s="718" t="n"/>
      <c r="AQ183" s="961" t="n"/>
      <c r="AR183" s="721" t="n"/>
      <c r="AS183" s="961" t="n"/>
      <c r="AT183" s="721" t="n"/>
      <c r="AU183" s="961" t="n"/>
      <c r="AV183" s="721" t="n"/>
      <c r="AW183" s="962" t="n"/>
      <c r="AX183" s="718" t="n"/>
      <c r="AY183" s="961" t="n"/>
      <c r="AZ183" s="721" t="n"/>
      <c r="BA183" s="961" t="n"/>
      <c r="BB183" s="721" t="n"/>
      <c r="BC183" s="961" t="n"/>
      <c r="BD183" s="721" t="n"/>
      <c r="BE183" s="962" t="n"/>
      <c r="BF183" s="718" t="n"/>
      <c r="BG183" s="961" t="n"/>
      <c r="BH183" s="717" t="n"/>
      <c r="BI183" s="963" t="n"/>
      <c r="BJ183" s="721" t="n"/>
      <c r="BK183" s="961" t="n"/>
      <c r="BL183" s="721" t="n"/>
      <c r="BM183" s="962" t="n"/>
    </row>
    <row r="184">
      <c r="A184" s="722" t="n"/>
      <c r="B184" s="721" t="n"/>
      <c r="C184" s="961" t="n"/>
      <c r="D184" s="721" t="n"/>
      <c r="E184" s="961" t="n"/>
      <c r="F184" s="721" t="n"/>
      <c r="G184" s="961" t="n"/>
      <c r="H184" s="721" t="n"/>
      <c r="I184" s="962" t="n"/>
      <c r="J184" s="718" t="n"/>
      <c r="K184" s="961" t="n"/>
      <c r="L184" s="721" t="n"/>
      <c r="M184" s="961" t="n"/>
      <c r="N184" s="721" t="n"/>
      <c r="O184" s="961" t="n"/>
      <c r="P184" s="721" t="n"/>
      <c r="Q184" s="962" t="n"/>
      <c r="R184" s="718" t="n"/>
      <c r="S184" s="961" t="n"/>
      <c r="T184" s="721" t="n"/>
      <c r="U184" s="961" t="n"/>
      <c r="V184" s="721" t="n"/>
      <c r="W184" s="961" t="n"/>
      <c r="X184" s="721" t="n"/>
      <c r="Y184" s="962" t="n"/>
      <c r="Z184" s="718" t="n"/>
      <c r="AA184" s="961" t="n"/>
      <c r="AB184" s="721" t="n"/>
      <c r="AC184" s="961" t="n"/>
      <c r="AD184" s="721" t="n"/>
      <c r="AE184" s="961" t="n"/>
      <c r="AF184" s="721" t="n"/>
      <c r="AG184" s="962" t="n"/>
      <c r="AH184" s="718" t="n"/>
      <c r="AI184" s="961" t="n"/>
      <c r="AJ184" s="721" t="n"/>
      <c r="AK184" s="961" t="n"/>
      <c r="AL184" s="721" t="n"/>
      <c r="AM184" s="961" t="n"/>
      <c r="AN184" s="721" t="n"/>
      <c r="AO184" s="962" t="n"/>
      <c r="AP184" s="718" t="n"/>
      <c r="AQ184" s="961" t="n"/>
      <c r="AR184" s="721" t="n"/>
      <c r="AS184" s="961" t="n"/>
      <c r="AT184" s="721" t="n"/>
      <c r="AU184" s="961" t="n"/>
      <c r="AV184" s="721" t="n"/>
      <c r="AW184" s="962" t="n"/>
      <c r="AX184" s="718" t="n"/>
      <c r="AY184" s="961" t="n"/>
      <c r="AZ184" s="721" t="n"/>
      <c r="BA184" s="961" t="n"/>
      <c r="BB184" s="721" t="n"/>
      <c r="BC184" s="961" t="n"/>
      <c r="BD184" s="721" t="n"/>
      <c r="BE184" s="962" t="n"/>
      <c r="BF184" s="718" t="n"/>
      <c r="BG184" s="961" t="n"/>
      <c r="BH184" s="717" t="n"/>
      <c r="BI184" s="963" t="n"/>
      <c r="BJ184" s="721" t="n"/>
      <c r="BK184" s="961" t="n"/>
      <c r="BL184" s="721" t="n"/>
      <c r="BM184" s="962" t="n"/>
    </row>
    <row r="185">
      <c r="A185" s="722" t="n"/>
      <c r="B185" s="721" t="n"/>
      <c r="C185" s="961" t="n"/>
      <c r="D185" s="721" t="n"/>
      <c r="E185" s="961" t="n"/>
      <c r="F185" s="721" t="n"/>
      <c r="G185" s="961" t="n"/>
      <c r="H185" s="721" t="n"/>
      <c r="I185" s="962" t="n"/>
      <c r="J185" s="718" t="n"/>
      <c r="K185" s="961" t="n"/>
      <c r="L185" s="721" t="n"/>
      <c r="M185" s="961" t="n"/>
      <c r="N185" s="721" t="n"/>
      <c r="O185" s="961" t="n"/>
      <c r="P185" s="721" t="n"/>
      <c r="Q185" s="962" t="n"/>
      <c r="R185" s="718" t="n"/>
      <c r="S185" s="961" t="n"/>
      <c r="T185" s="721" t="n"/>
      <c r="U185" s="961" t="n"/>
      <c r="V185" s="721" t="n"/>
      <c r="W185" s="961" t="n"/>
      <c r="X185" s="721" t="n"/>
      <c r="Y185" s="962" t="n"/>
      <c r="Z185" s="718" t="n"/>
      <c r="AA185" s="961" t="n"/>
      <c r="AB185" s="721" t="n"/>
      <c r="AC185" s="961" t="n"/>
      <c r="AD185" s="721" t="n"/>
      <c r="AE185" s="961" t="n"/>
      <c r="AF185" s="721" t="n"/>
      <c r="AG185" s="962" t="n"/>
      <c r="AH185" s="718" t="n"/>
      <c r="AI185" s="961" t="n"/>
      <c r="AJ185" s="721" t="n"/>
      <c r="AK185" s="961" t="n"/>
      <c r="AL185" s="721" t="n"/>
      <c r="AM185" s="961" t="n"/>
      <c r="AN185" s="721" t="n"/>
      <c r="AO185" s="962" t="n"/>
      <c r="AP185" s="718" t="n"/>
      <c r="AQ185" s="961" t="n"/>
      <c r="AR185" s="721" t="n"/>
      <c r="AS185" s="961" t="n"/>
      <c r="AT185" s="721" t="n"/>
      <c r="AU185" s="961" t="n"/>
      <c r="AV185" s="721" t="n"/>
      <c r="AW185" s="962" t="n"/>
      <c r="AX185" s="718" t="n"/>
      <c r="AY185" s="961" t="n"/>
      <c r="AZ185" s="721" t="n"/>
      <c r="BA185" s="961" t="n"/>
      <c r="BB185" s="721" t="n"/>
      <c r="BC185" s="961" t="n"/>
      <c r="BD185" s="721" t="n"/>
      <c r="BE185" s="962" t="n"/>
      <c r="BF185" s="718" t="n"/>
      <c r="BG185" s="961" t="n"/>
      <c r="BH185" s="717" t="n"/>
      <c r="BI185" s="963" t="n"/>
      <c r="BJ185" s="721" t="n"/>
      <c r="BK185" s="961" t="n"/>
      <c r="BL185" s="721" t="n"/>
      <c r="BM185" s="962" t="n"/>
    </row>
    <row r="186">
      <c r="A186" s="722" t="n"/>
      <c r="B186" s="721" t="n"/>
      <c r="C186" s="961" t="n"/>
      <c r="D186" s="721" t="n"/>
      <c r="E186" s="961" t="n"/>
      <c r="F186" s="721" t="n"/>
      <c r="G186" s="961" t="n"/>
      <c r="H186" s="721" t="n"/>
      <c r="I186" s="962" t="n"/>
      <c r="J186" s="718" t="n"/>
      <c r="K186" s="961" t="n"/>
      <c r="L186" s="721" t="n"/>
      <c r="M186" s="961" t="n"/>
      <c r="N186" s="721" t="n"/>
      <c r="O186" s="961" t="n"/>
      <c r="P186" s="721" t="n"/>
      <c r="Q186" s="962" t="n"/>
      <c r="R186" s="718" t="n"/>
      <c r="S186" s="961" t="n"/>
      <c r="T186" s="721" t="n"/>
      <c r="U186" s="961" t="n"/>
      <c r="V186" s="721" t="n"/>
      <c r="W186" s="961" t="n"/>
      <c r="X186" s="721" t="n"/>
      <c r="Y186" s="962" t="n"/>
      <c r="Z186" s="718" t="n"/>
      <c r="AA186" s="961" t="n"/>
      <c r="AB186" s="721" t="n"/>
      <c r="AC186" s="961" t="n"/>
      <c r="AD186" s="721" t="n"/>
      <c r="AE186" s="961" t="n"/>
      <c r="AF186" s="721" t="n"/>
      <c r="AG186" s="962" t="n"/>
      <c r="AH186" s="718" t="n"/>
      <c r="AI186" s="961" t="n"/>
      <c r="AJ186" s="721" t="n"/>
      <c r="AK186" s="961" t="n"/>
      <c r="AL186" s="721" t="n"/>
      <c r="AM186" s="961" t="n"/>
      <c r="AN186" s="721" t="n"/>
      <c r="AO186" s="962" t="n"/>
      <c r="AP186" s="718" t="n"/>
      <c r="AQ186" s="961" t="n"/>
      <c r="AR186" s="721" t="n"/>
      <c r="AS186" s="961" t="n"/>
      <c r="AT186" s="721" t="n"/>
      <c r="AU186" s="961" t="n"/>
      <c r="AV186" s="721" t="n"/>
      <c r="AW186" s="962" t="n"/>
      <c r="AX186" s="718" t="n"/>
      <c r="AY186" s="961" t="n"/>
      <c r="AZ186" s="721" t="n"/>
      <c r="BA186" s="961" t="n"/>
      <c r="BB186" s="721" t="n"/>
      <c r="BC186" s="961" t="n"/>
      <c r="BD186" s="721" t="n"/>
      <c r="BE186" s="962" t="n"/>
      <c r="BF186" s="718" t="n"/>
      <c r="BG186" s="961" t="n"/>
      <c r="BH186" s="717" t="n"/>
      <c r="BI186" s="963" t="n"/>
      <c r="BJ186" s="721" t="n"/>
      <c r="BK186" s="961" t="n"/>
      <c r="BL186" s="721" t="n"/>
      <c r="BM186" s="962" t="n"/>
    </row>
    <row r="187">
      <c r="A187" s="722" t="n"/>
      <c r="B187" s="721" t="n"/>
      <c r="C187" s="961" t="n"/>
      <c r="D187" s="721" t="n"/>
      <c r="E187" s="961" t="n"/>
      <c r="F187" s="721" t="n"/>
      <c r="G187" s="961" t="n"/>
      <c r="H187" s="721" t="n"/>
      <c r="I187" s="962" t="n"/>
      <c r="J187" s="718" t="n"/>
      <c r="K187" s="961" t="n"/>
      <c r="L187" s="721" t="n"/>
      <c r="M187" s="961" t="n"/>
      <c r="N187" s="721" t="n"/>
      <c r="O187" s="961" t="n"/>
      <c r="P187" s="721" t="n"/>
      <c r="Q187" s="962" t="n"/>
      <c r="R187" s="718" t="n"/>
      <c r="S187" s="961" t="n"/>
      <c r="T187" s="721" t="n"/>
      <c r="U187" s="961" t="n"/>
      <c r="V187" s="721" t="n"/>
      <c r="W187" s="961" t="n"/>
      <c r="X187" s="721" t="n"/>
      <c r="Y187" s="962" t="n"/>
      <c r="Z187" s="718" t="n"/>
      <c r="AA187" s="961" t="n"/>
      <c r="AB187" s="721" t="n"/>
      <c r="AC187" s="961" t="n"/>
      <c r="AD187" s="721" t="n"/>
      <c r="AE187" s="961" t="n"/>
      <c r="AF187" s="721" t="n"/>
      <c r="AG187" s="962" t="n"/>
      <c r="AH187" s="718" t="n"/>
      <c r="AI187" s="961" t="n"/>
      <c r="AJ187" s="721" t="n"/>
      <c r="AK187" s="961" t="n"/>
      <c r="AL187" s="721" t="n"/>
      <c r="AM187" s="961" t="n"/>
      <c r="AN187" s="721" t="n"/>
      <c r="AO187" s="962" t="n"/>
      <c r="AP187" s="718" t="n"/>
      <c r="AQ187" s="961" t="n"/>
      <c r="AR187" s="721" t="n"/>
      <c r="AS187" s="961" t="n"/>
      <c r="AT187" s="721" t="n"/>
      <c r="AU187" s="961" t="n"/>
      <c r="AV187" s="721" t="n"/>
      <c r="AW187" s="962" t="n"/>
      <c r="AX187" s="718" t="n"/>
      <c r="AY187" s="961" t="n"/>
      <c r="AZ187" s="721" t="n"/>
      <c r="BA187" s="961" t="n"/>
      <c r="BB187" s="721" t="n"/>
      <c r="BC187" s="961" t="n"/>
      <c r="BD187" s="721" t="n"/>
      <c r="BE187" s="962" t="n"/>
      <c r="BF187" s="718" t="n"/>
      <c r="BG187" s="961" t="n"/>
      <c r="BH187" s="717" t="n"/>
      <c r="BI187" s="963" t="n"/>
      <c r="BJ187" s="721" t="n"/>
      <c r="BK187" s="961" t="n"/>
      <c r="BL187" s="721" t="n"/>
      <c r="BM187" s="962" t="n"/>
    </row>
    <row r="188">
      <c r="A188" s="722" t="n"/>
      <c r="B188" s="721" t="n"/>
      <c r="C188" s="961" t="n"/>
      <c r="D188" s="721" t="n"/>
      <c r="E188" s="961" t="n"/>
      <c r="F188" s="721" t="n"/>
      <c r="G188" s="961" t="n"/>
      <c r="H188" s="721" t="n"/>
      <c r="I188" s="962" t="n"/>
      <c r="J188" s="718" t="n"/>
      <c r="K188" s="961" t="n"/>
      <c r="L188" s="721" t="n"/>
      <c r="M188" s="961" t="n"/>
      <c r="N188" s="721" t="n"/>
      <c r="O188" s="961" t="n"/>
      <c r="P188" s="721" t="n"/>
      <c r="Q188" s="962" t="n"/>
      <c r="R188" s="718" t="n"/>
      <c r="S188" s="961" t="n"/>
      <c r="T188" s="721" t="n"/>
      <c r="U188" s="961" t="n"/>
      <c r="V188" s="721" t="n"/>
      <c r="W188" s="961" t="n"/>
      <c r="X188" s="721" t="n"/>
      <c r="Y188" s="962" t="n"/>
      <c r="Z188" s="718" t="n"/>
      <c r="AA188" s="961" t="n"/>
      <c r="AB188" s="721" t="n"/>
      <c r="AC188" s="961" t="n"/>
      <c r="AD188" s="721" t="n"/>
      <c r="AE188" s="961" t="n"/>
      <c r="AF188" s="721" t="n"/>
      <c r="AG188" s="962" t="n"/>
      <c r="AH188" s="718" t="n"/>
      <c r="AI188" s="961" t="n"/>
      <c r="AJ188" s="721" t="n"/>
      <c r="AK188" s="961" t="n"/>
      <c r="AL188" s="721" t="n"/>
      <c r="AM188" s="961" t="n"/>
      <c r="AN188" s="721" t="n"/>
      <c r="AO188" s="962" t="n"/>
      <c r="AP188" s="718" t="n"/>
      <c r="AQ188" s="961" t="n"/>
      <c r="AR188" s="721" t="n"/>
      <c r="AS188" s="961" t="n"/>
      <c r="AT188" s="721" t="n"/>
      <c r="AU188" s="961" t="n"/>
      <c r="AV188" s="721" t="n"/>
      <c r="AW188" s="962" t="n"/>
      <c r="AX188" s="718" t="n"/>
      <c r="AY188" s="961" t="n"/>
      <c r="AZ188" s="721" t="n"/>
      <c r="BA188" s="961" t="n"/>
      <c r="BB188" s="721" t="n"/>
      <c r="BC188" s="961" t="n"/>
      <c r="BD188" s="721" t="n"/>
      <c r="BE188" s="962" t="n"/>
      <c r="BF188" s="718" t="n"/>
      <c r="BG188" s="961" t="n"/>
      <c r="BH188" s="717" t="n"/>
      <c r="BI188" s="963" t="n"/>
      <c r="BJ188" s="721" t="n"/>
      <c r="BK188" s="961" t="n"/>
      <c r="BL188" s="721" t="n"/>
      <c r="BM188" s="962" t="n"/>
    </row>
    <row r="189">
      <c r="A189" s="722" t="n"/>
      <c r="B189" s="721" t="n"/>
      <c r="C189" s="961" t="n"/>
      <c r="D189" s="721" t="n"/>
      <c r="E189" s="961" t="n"/>
      <c r="F189" s="721" t="n"/>
      <c r="G189" s="961" t="n"/>
      <c r="H189" s="721" t="n"/>
      <c r="I189" s="962" t="n"/>
      <c r="J189" s="718" t="n"/>
      <c r="K189" s="961" t="n"/>
      <c r="L189" s="721" t="n"/>
      <c r="M189" s="961" t="n"/>
      <c r="N189" s="721" t="n"/>
      <c r="O189" s="961" t="n"/>
      <c r="P189" s="721" t="n"/>
      <c r="Q189" s="962" t="n"/>
      <c r="R189" s="718" t="n"/>
      <c r="S189" s="961" t="n"/>
      <c r="T189" s="721" t="n"/>
      <c r="U189" s="961" t="n"/>
      <c r="V189" s="721" t="n"/>
      <c r="W189" s="961" t="n"/>
      <c r="X189" s="721" t="n"/>
      <c r="Y189" s="962" t="n"/>
      <c r="Z189" s="718" t="n"/>
      <c r="AA189" s="961" t="n"/>
      <c r="AB189" s="721" t="n"/>
      <c r="AC189" s="961" t="n"/>
      <c r="AD189" s="721" t="n"/>
      <c r="AE189" s="961" t="n"/>
      <c r="AF189" s="721" t="n"/>
      <c r="AG189" s="962" t="n"/>
      <c r="AH189" s="718" t="n"/>
      <c r="AI189" s="961" t="n"/>
      <c r="AJ189" s="721" t="n"/>
      <c r="AK189" s="961" t="n"/>
      <c r="AL189" s="721" t="n"/>
      <c r="AM189" s="961" t="n"/>
      <c r="AN189" s="721" t="n"/>
      <c r="AO189" s="962" t="n"/>
      <c r="AP189" s="718" t="n"/>
      <c r="AQ189" s="961" t="n"/>
      <c r="AR189" s="721" t="n"/>
      <c r="AS189" s="961" t="n"/>
      <c r="AT189" s="721" t="n"/>
      <c r="AU189" s="961" t="n"/>
      <c r="AV189" s="721" t="n"/>
      <c r="AW189" s="962" t="n"/>
      <c r="AX189" s="718" t="n"/>
      <c r="AY189" s="961" t="n"/>
      <c r="AZ189" s="721" t="n"/>
      <c r="BA189" s="961" t="n"/>
      <c r="BB189" s="721" t="n"/>
      <c r="BC189" s="961" t="n"/>
      <c r="BD189" s="721" t="n"/>
      <c r="BE189" s="962" t="n"/>
      <c r="BF189" s="718" t="n"/>
      <c r="BG189" s="961" t="n"/>
      <c r="BH189" s="717" t="n"/>
      <c r="BI189" s="963" t="n"/>
      <c r="BJ189" s="721" t="n"/>
      <c r="BK189" s="961" t="n"/>
      <c r="BL189" s="721" t="n"/>
      <c r="BM189" s="962" t="n"/>
    </row>
    <row r="190">
      <c r="A190" s="722" t="n"/>
      <c r="B190" s="721" t="n"/>
      <c r="C190" s="961" t="n"/>
      <c r="D190" s="721" t="n"/>
      <c r="E190" s="961" t="n"/>
      <c r="F190" s="721" t="n"/>
      <c r="G190" s="961" t="n"/>
      <c r="H190" s="721" t="n"/>
      <c r="I190" s="962" t="n"/>
      <c r="J190" s="718" t="n"/>
      <c r="K190" s="961" t="n"/>
      <c r="L190" s="721" t="n"/>
      <c r="M190" s="961" t="n"/>
      <c r="N190" s="721" t="n"/>
      <c r="O190" s="961" t="n"/>
      <c r="P190" s="721" t="n"/>
      <c r="Q190" s="962" t="n"/>
      <c r="R190" s="718" t="n"/>
      <c r="S190" s="961" t="n"/>
      <c r="T190" s="721" t="n"/>
      <c r="U190" s="961" t="n"/>
      <c r="V190" s="721" t="n"/>
      <c r="W190" s="961" t="n"/>
      <c r="X190" s="721" t="n"/>
      <c r="Y190" s="962" t="n"/>
      <c r="Z190" s="718" t="n"/>
      <c r="AA190" s="961" t="n"/>
      <c r="AB190" s="721" t="n"/>
      <c r="AC190" s="961" t="n"/>
      <c r="AD190" s="721" t="n"/>
      <c r="AE190" s="961" t="n"/>
      <c r="AF190" s="721" t="n"/>
      <c r="AG190" s="962" t="n"/>
      <c r="AH190" s="718" t="n"/>
      <c r="AI190" s="961" t="n"/>
      <c r="AJ190" s="721" t="n"/>
      <c r="AK190" s="961" t="n"/>
      <c r="AL190" s="721" t="n"/>
      <c r="AM190" s="961" t="n"/>
      <c r="AN190" s="721" t="n"/>
      <c r="AO190" s="962" t="n"/>
      <c r="AP190" s="718" t="n"/>
      <c r="AQ190" s="961" t="n"/>
      <c r="AR190" s="721" t="n"/>
      <c r="AS190" s="961" t="n"/>
      <c r="AT190" s="721" t="n"/>
      <c r="AU190" s="961" t="n"/>
      <c r="AV190" s="721" t="n"/>
      <c r="AW190" s="962" t="n"/>
      <c r="AX190" s="718" t="n"/>
      <c r="AY190" s="961" t="n"/>
      <c r="AZ190" s="721" t="n"/>
      <c r="BA190" s="961" t="n"/>
      <c r="BB190" s="721" t="n"/>
      <c r="BC190" s="961" t="n"/>
      <c r="BD190" s="721" t="n"/>
      <c r="BE190" s="962" t="n"/>
      <c r="BF190" s="718" t="n"/>
      <c r="BG190" s="961" t="n"/>
      <c r="BH190" s="717" t="n"/>
      <c r="BI190" s="963" t="n"/>
      <c r="BJ190" s="721" t="n"/>
      <c r="BK190" s="961" t="n"/>
      <c r="BL190" s="721" t="n"/>
      <c r="BM190" s="962" t="n"/>
    </row>
    <row r="191">
      <c r="A191" s="722" t="n"/>
      <c r="B191" s="721" t="n"/>
      <c r="C191" s="961" t="n"/>
      <c r="D191" s="721" t="n"/>
      <c r="E191" s="961" t="n"/>
      <c r="F191" s="721" t="n"/>
      <c r="G191" s="961" t="n"/>
      <c r="H191" s="721" t="n"/>
      <c r="I191" s="962" t="n"/>
      <c r="J191" s="718" t="n"/>
      <c r="K191" s="961" t="n"/>
      <c r="L191" s="721" t="n"/>
      <c r="M191" s="961" t="n"/>
      <c r="N191" s="721" t="n"/>
      <c r="O191" s="961" t="n"/>
      <c r="P191" s="721" t="n"/>
      <c r="Q191" s="962" t="n"/>
      <c r="R191" s="718" t="n"/>
      <c r="S191" s="961" t="n"/>
      <c r="T191" s="721" t="n"/>
      <c r="U191" s="961" t="n"/>
      <c r="V191" s="721" t="n"/>
      <c r="W191" s="961" t="n"/>
      <c r="X191" s="721" t="n"/>
      <c r="Y191" s="962" t="n"/>
      <c r="Z191" s="718" t="n"/>
      <c r="AA191" s="961" t="n"/>
      <c r="AB191" s="721" t="n"/>
      <c r="AC191" s="961" t="n"/>
      <c r="AD191" s="721" t="n"/>
      <c r="AE191" s="961" t="n"/>
      <c r="AF191" s="721" t="n"/>
      <c r="AG191" s="962" t="n"/>
      <c r="AH191" s="718" t="n"/>
      <c r="AI191" s="961" t="n"/>
      <c r="AJ191" s="721" t="n"/>
      <c r="AK191" s="961" t="n"/>
      <c r="AL191" s="721" t="n"/>
      <c r="AM191" s="961" t="n"/>
      <c r="AN191" s="721" t="n"/>
      <c r="AO191" s="962" t="n"/>
      <c r="AP191" s="718" t="n"/>
      <c r="AQ191" s="961" t="n"/>
      <c r="AR191" s="721" t="n"/>
      <c r="AS191" s="961" t="n"/>
      <c r="AT191" s="721" t="n"/>
      <c r="AU191" s="961" t="n"/>
      <c r="AV191" s="721" t="n"/>
      <c r="AW191" s="962" t="n"/>
      <c r="AX191" s="718" t="n"/>
      <c r="AY191" s="961" t="n"/>
      <c r="AZ191" s="721" t="n"/>
      <c r="BA191" s="961" t="n"/>
      <c r="BB191" s="721" t="n"/>
      <c r="BC191" s="961" t="n"/>
      <c r="BD191" s="721" t="n"/>
      <c r="BE191" s="962" t="n"/>
      <c r="BF191" s="718" t="n"/>
      <c r="BG191" s="961" t="n"/>
      <c r="BH191" s="717" t="n"/>
      <c r="BI191" s="963" t="n"/>
      <c r="BJ191" s="721" t="n"/>
      <c r="BK191" s="961" t="n"/>
      <c r="BL191" s="721" t="n"/>
      <c r="BM191" s="962" t="n"/>
    </row>
    <row r="192">
      <c r="A192" s="722" t="n"/>
      <c r="B192" s="721" t="n"/>
      <c r="C192" s="961" t="n"/>
      <c r="D192" s="721" t="n"/>
      <c r="E192" s="961" t="n"/>
      <c r="F192" s="721" t="n"/>
      <c r="G192" s="961" t="n"/>
      <c r="H192" s="721" t="n"/>
      <c r="I192" s="962" t="n"/>
      <c r="J192" s="718" t="n"/>
      <c r="K192" s="961" t="n"/>
      <c r="L192" s="721" t="n"/>
      <c r="M192" s="961" t="n"/>
      <c r="N192" s="721" t="n"/>
      <c r="O192" s="961" t="n"/>
      <c r="P192" s="721" t="n"/>
      <c r="Q192" s="962" t="n"/>
      <c r="R192" s="718" t="n"/>
      <c r="S192" s="961" t="n"/>
      <c r="T192" s="721" t="n"/>
      <c r="U192" s="961" t="n"/>
      <c r="V192" s="721" t="n"/>
      <c r="W192" s="961" t="n"/>
      <c r="X192" s="721" t="n"/>
      <c r="Y192" s="962" t="n"/>
      <c r="Z192" s="718" t="n"/>
      <c r="AA192" s="961" t="n"/>
      <c r="AB192" s="721" t="n"/>
      <c r="AC192" s="961" t="n"/>
      <c r="AD192" s="721" t="n"/>
      <c r="AE192" s="961" t="n"/>
      <c r="AF192" s="721" t="n"/>
      <c r="AG192" s="962" t="n"/>
      <c r="AH192" s="718" t="n"/>
      <c r="AI192" s="961" t="n"/>
      <c r="AJ192" s="721" t="n"/>
      <c r="AK192" s="961" t="n"/>
      <c r="AL192" s="721" t="n"/>
      <c r="AM192" s="961" t="n"/>
      <c r="AN192" s="721" t="n"/>
      <c r="AO192" s="962" t="n"/>
      <c r="AP192" s="718" t="n"/>
      <c r="AQ192" s="961" t="n"/>
      <c r="AR192" s="721" t="n"/>
      <c r="AS192" s="961" t="n"/>
      <c r="AT192" s="721" t="n"/>
      <c r="AU192" s="961" t="n"/>
      <c r="AV192" s="721" t="n"/>
      <c r="AW192" s="962" t="n"/>
      <c r="AX192" s="718" t="n"/>
      <c r="AY192" s="961" t="n"/>
      <c r="AZ192" s="721" t="n"/>
      <c r="BA192" s="961" t="n"/>
      <c r="BB192" s="721" t="n"/>
      <c r="BC192" s="961" t="n"/>
      <c r="BD192" s="721" t="n"/>
      <c r="BE192" s="962" t="n"/>
      <c r="BF192" s="718" t="n"/>
      <c r="BG192" s="961" t="n"/>
      <c r="BH192" s="717" t="n"/>
      <c r="BI192" s="963" t="n"/>
      <c r="BJ192" s="721" t="n"/>
      <c r="BK192" s="961" t="n"/>
      <c r="BL192" s="721" t="n"/>
      <c r="BM192" s="962" t="n"/>
    </row>
    <row r="193">
      <c r="A193" s="722" t="n"/>
      <c r="B193" s="721" t="n"/>
      <c r="C193" s="961" t="n"/>
      <c r="D193" s="721" t="n"/>
      <c r="E193" s="961" t="n"/>
      <c r="F193" s="721" t="n"/>
      <c r="G193" s="961" t="n"/>
      <c r="H193" s="721" t="n"/>
      <c r="I193" s="962" t="n"/>
      <c r="J193" s="718" t="n"/>
      <c r="K193" s="961" t="n"/>
      <c r="L193" s="721" t="n"/>
      <c r="M193" s="961" t="n"/>
      <c r="N193" s="721" t="n"/>
      <c r="O193" s="961" t="n"/>
      <c r="P193" s="721" t="n"/>
      <c r="Q193" s="962" t="n"/>
      <c r="R193" s="718" t="n"/>
      <c r="S193" s="961" t="n"/>
      <c r="T193" s="721" t="n"/>
      <c r="U193" s="961" t="n"/>
      <c r="V193" s="721" t="n"/>
      <c r="W193" s="961" t="n"/>
      <c r="X193" s="721" t="n"/>
      <c r="Y193" s="962" t="n"/>
      <c r="Z193" s="718" t="n"/>
      <c r="AA193" s="961" t="n"/>
      <c r="AB193" s="721" t="n"/>
      <c r="AC193" s="961" t="n"/>
      <c r="AD193" s="721" t="n"/>
      <c r="AE193" s="961" t="n"/>
      <c r="AF193" s="721" t="n"/>
      <c r="AG193" s="962" t="n"/>
      <c r="AH193" s="718" t="n"/>
      <c r="AI193" s="961" t="n"/>
      <c r="AJ193" s="721" t="n"/>
      <c r="AK193" s="961" t="n"/>
      <c r="AL193" s="721" t="n"/>
      <c r="AM193" s="961" t="n"/>
      <c r="AN193" s="721" t="n"/>
      <c r="AO193" s="962" t="n"/>
      <c r="AP193" s="718" t="n"/>
      <c r="AQ193" s="961" t="n"/>
      <c r="AR193" s="721" t="n"/>
      <c r="AS193" s="961" t="n"/>
      <c r="AT193" s="721" t="n"/>
      <c r="AU193" s="961" t="n"/>
      <c r="AV193" s="721" t="n"/>
      <c r="AW193" s="962" t="n"/>
      <c r="AX193" s="718" t="n"/>
      <c r="AY193" s="961" t="n"/>
      <c r="AZ193" s="721" t="n"/>
      <c r="BA193" s="961" t="n"/>
      <c r="BB193" s="721" t="n"/>
      <c r="BC193" s="961" t="n"/>
      <c r="BD193" s="721" t="n"/>
      <c r="BE193" s="962" t="n"/>
      <c r="BF193" s="718" t="n"/>
      <c r="BG193" s="961" t="n"/>
      <c r="BH193" s="717" t="n"/>
      <c r="BI193" s="963" t="n"/>
      <c r="BJ193" s="721" t="n"/>
      <c r="BK193" s="961" t="n"/>
      <c r="BL193" s="721" t="n"/>
      <c r="BM193" s="962" t="n"/>
    </row>
    <row r="194">
      <c r="A194" s="722" t="n"/>
      <c r="B194" s="721" t="n"/>
      <c r="C194" s="961" t="n"/>
      <c r="D194" s="721" t="n"/>
      <c r="E194" s="961" t="n"/>
      <c r="F194" s="721" t="n"/>
      <c r="G194" s="961" t="n"/>
      <c r="H194" s="721" t="n"/>
      <c r="I194" s="962" t="n"/>
      <c r="J194" s="718" t="n"/>
      <c r="K194" s="961" t="n"/>
      <c r="L194" s="721" t="n"/>
      <c r="M194" s="961" t="n"/>
      <c r="N194" s="721" t="n"/>
      <c r="O194" s="961" t="n"/>
      <c r="P194" s="721" t="n"/>
      <c r="Q194" s="962" t="n"/>
      <c r="R194" s="718" t="n"/>
      <c r="S194" s="961" t="n"/>
      <c r="T194" s="721" t="n"/>
      <c r="U194" s="961" t="n"/>
      <c r="V194" s="721" t="n"/>
      <c r="W194" s="961" t="n"/>
      <c r="X194" s="721" t="n"/>
      <c r="Y194" s="962" t="n"/>
      <c r="Z194" s="718" t="n"/>
      <c r="AA194" s="961" t="n"/>
      <c r="AB194" s="721" t="n"/>
      <c r="AC194" s="961" t="n"/>
      <c r="AD194" s="721" t="n"/>
      <c r="AE194" s="961" t="n"/>
      <c r="AF194" s="721" t="n"/>
      <c r="AG194" s="962" t="n"/>
      <c r="AH194" s="718" t="n"/>
      <c r="AI194" s="961" t="n"/>
      <c r="AJ194" s="721" t="n"/>
      <c r="AK194" s="961" t="n"/>
      <c r="AL194" s="721" t="n"/>
      <c r="AM194" s="961" t="n"/>
      <c r="AN194" s="721" t="n"/>
      <c r="AO194" s="962" t="n"/>
      <c r="AP194" s="718" t="n"/>
      <c r="AQ194" s="961" t="n"/>
      <c r="AR194" s="721" t="n"/>
      <c r="AS194" s="961" t="n"/>
      <c r="AT194" s="721" t="n"/>
      <c r="AU194" s="961" t="n"/>
      <c r="AV194" s="721" t="n"/>
      <c r="AW194" s="962" t="n"/>
      <c r="AX194" s="718" t="n"/>
      <c r="AY194" s="961" t="n"/>
      <c r="AZ194" s="721" t="n"/>
      <c r="BA194" s="961" t="n"/>
      <c r="BB194" s="721" t="n"/>
      <c r="BC194" s="961" t="n"/>
      <c r="BD194" s="721" t="n"/>
      <c r="BE194" s="962" t="n"/>
      <c r="BF194" s="718" t="n"/>
      <c r="BG194" s="961" t="n"/>
      <c r="BH194" s="717" t="n"/>
      <c r="BI194" s="963" t="n"/>
      <c r="BJ194" s="721" t="n"/>
      <c r="BK194" s="961" t="n"/>
      <c r="BL194" s="721" t="n"/>
      <c r="BM194" s="962" t="n"/>
    </row>
    <row r="195">
      <c r="A195" s="722" t="n"/>
      <c r="B195" s="721" t="n"/>
      <c r="C195" s="961" t="n"/>
      <c r="D195" s="721" t="n"/>
      <c r="E195" s="961" t="n"/>
      <c r="F195" s="721" t="n"/>
      <c r="G195" s="961" t="n"/>
      <c r="H195" s="721" t="n"/>
      <c r="I195" s="962" t="n"/>
      <c r="J195" s="718" t="n"/>
      <c r="K195" s="961" t="n"/>
      <c r="L195" s="721" t="n"/>
      <c r="M195" s="961" t="n"/>
      <c r="N195" s="721" t="n"/>
      <c r="O195" s="961" t="n"/>
      <c r="P195" s="721" t="n"/>
      <c r="Q195" s="962" t="n"/>
      <c r="R195" s="718" t="n"/>
      <c r="S195" s="961" t="n"/>
      <c r="T195" s="721" t="n"/>
      <c r="U195" s="961" t="n"/>
      <c r="V195" s="721" t="n"/>
      <c r="W195" s="961" t="n"/>
      <c r="X195" s="721" t="n"/>
      <c r="Y195" s="962" t="n"/>
      <c r="Z195" s="718" t="n"/>
      <c r="AA195" s="961" t="n"/>
      <c r="AB195" s="721" t="n"/>
      <c r="AC195" s="961" t="n"/>
      <c r="AD195" s="721" t="n"/>
      <c r="AE195" s="961" t="n"/>
      <c r="AF195" s="721" t="n"/>
      <c r="AG195" s="962" t="n"/>
      <c r="AH195" s="718" t="n"/>
      <c r="AI195" s="961" t="n"/>
      <c r="AJ195" s="721" t="n"/>
      <c r="AK195" s="961" t="n"/>
      <c r="AL195" s="721" t="n"/>
      <c r="AM195" s="961" t="n"/>
      <c r="AN195" s="721" t="n"/>
      <c r="AO195" s="962" t="n"/>
      <c r="AP195" s="718" t="n"/>
      <c r="AQ195" s="961" t="n"/>
      <c r="AR195" s="721" t="n"/>
      <c r="AS195" s="961" t="n"/>
      <c r="AT195" s="721" t="n"/>
      <c r="AU195" s="961" t="n"/>
      <c r="AV195" s="721" t="n"/>
      <c r="AW195" s="962" t="n"/>
      <c r="AX195" s="718" t="n"/>
      <c r="AY195" s="961" t="n"/>
      <c r="AZ195" s="721" t="n"/>
      <c r="BA195" s="961" t="n"/>
      <c r="BB195" s="721" t="n"/>
      <c r="BC195" s="961" t="n"/>
      <c r="BD195" s="721" t="n"/>
      <c r="BE195" s="962" t="n"/>
      <c r="BF195" s="718" t="n"/>
      <c r="BG195" s="961" t="n"/>
      <c r="BH195" s="717" t="n"/>
      <c r="BI195" s="963" t="n"/>
      <c r="BJ195" s="721" t="n"/>
      <c r="BK195" s="961" t="n"/>
      <c r="BL195" s="721" t="n"/>
      <c r="BM195" s="962" t="n"/>
    </row>
    <row r="196">
      <c r="A196" s="722" t="n"/>
      <c r="B196" s="721" t="n"/>
      <c r="C196" s="961" t="n"/>
      <c r="D196" s="721" t="n"/>
      <c r="E196" s="961" t="n"/>
      <c r="F196" s="721" t="n"/>
      <c r="G196" s="961" t="n"/>
      <c r="H196" s="721" t="n"/>
      <c r="I196" s="962" t="n"/>
      <c r="J196" s="718" t="n"/>
      <c r="K196" s="961" t="n"/>
      <c r="L196" s="721" t="n"/>
      <c r="M196" s="961" t="n"/>
      <c r="N196" s="721" t="n"/>
      <c r="O196" s="961" t="n"/>
      <c r="P196" s="721" t="n"/>
      <c r="Q196" s="962" t="n"/>
      <c r="R196" s="718" t="n"/>
      <c r="S196" s="961" t="n"/>
      <c r="T196" s="721" t="n"/>
      <c r="U196" s="961" t="n"/>
      <c r="V196" s="721" t="n"/>
      <c r="W196" s="961" t="n"/>
      <c r="X196" s="721" t="n"/>
      <c r="Y196" s="962" t="n"/>
      <c r="Z196" s="718" t="n"/>
      <c r="AA196" s="961" t="n"/>
      <c r="AB196" s="721" t="n"/>
      <c r="AC196" s="961" t="n"/>
      <c r="AD196" s="721" t="n"/>
      <c r="AE196" s="961" t="n"/>
      <c r="AF196" s="721" t="n"/>
      <c r="AG196" s="962" t="n"/>
      <c r="AH196" s="718" t="n"/>
      <c r="AI196" s="961" t="n"/>
      <c r="AJ196" s="721" t="n"/>
      <c r="AK196" s="961" t="n"/>
      <c r="AL196" s="721" t="n"/>
      <c r="AM196" s="961" t="n"/>
      <c r="AN196" s="721" t="n"/>
      <c r="AO196" s="962" t="n"/>
      <c r="AP196" s="718" t="n"/>
      <c r="AQ196" s="961" t="n"/>
      <c r="AR196" s="721" t="n"/>
      <c r="AS196" s="961" t="n"/>
      <c r="AT196" s="721" t="n"/>
      <c r="AU196" s="961" t="n"/>
      <c r="AV196" s="721" t="n"/>
      <c r="AW196" s="962" t="n"/>
      <c r="AX196" s="718" t="n"/>
      <c r="AY196" s="961" t="n"/>
      <c r="AZ196" s="721" t="n"/>
      <c r="BA196" s="961" t="n"/>
      <c r="BB196" s="721" t="n"/>
      <c r="BC196" s="961" t="n"/>
      <c r="BD196" s="721" t="n"/>
      <c r="BE196" s="962" t="n"/>
      <c r="BF196" s="718" t="n"/>
      <c r="BG196" s="961" t="n"/>
      <c r="BH196" s="717" t="n"/>
      <c r="BI196" s="963" t="n"/>
      <c r="BJ196" s="721" t="n"/>
      <c r="BK196" s="961" t="n"/>
      <c r="BL196" s="721" t="n"/>
      <c r="BM196" s="962" t="n"/>
    </row>
    <row r="197">
      <c r="A197" s="722" t="n"/>
      <c r="B197" s="721" t="n"/>
      <c r="C197" s="961" t="n"/>
      <c r="D197" s="721" t="n"/>
      <c r="E197" s="961" t="n"/>
      <c r="F197" s="721" t="n"/>
      <c r="G197" s="961" t="n"/>
      <c r="H197" s="721" t="n"/>
      <c r="I197" s="962" t="n"/>
      <c r="J197" s="718" t="n"/>
      <c r="K197" s="961" t="n"/>
      <c r="L197" s="721" t="n"/>
      <c r="M197" s="961" t="n"/>
      <c r="N197" s="721" t="n"/>
      <c r="O197" s="961" t="n"/>
      <c r="P197" s="721" t="n"/>
      <c r="Q197" s="962" t="n"/>
      <c r="R197" s="718" t="n"/>
      <c r="S197" s="961" t="n"/>
      <c r="T197" s="721" t="n"/>
      <c r="U197" s="961" t="n"/>
      <c r="V197" s="721" t="n"/>
      <c r="W197" s="961" t="n"/>
      <c r="X197" s="721" t="n"/>
      <c r="Y197" s="962" t="n"/>
      <c r="Z197" s="718" t="n"/>
      <c r="AA197" s="961" t="n"/>
      <c r="AB197" s="721" t="n"/>
      <c r="AC197" s="961" t="n"/>
      <c r="AD197" s="721" t="n"/>
      <c r="AE197" s="961" t="n"/>
      <c r="AF197" s="721" t="n"/>
      <c r="AG197" s="962" t="n"/>
      <c r="AH197" s="718" t="n"/>
      <c r="AI197" s="961" t="n"/>
      <c r="AJ197" s="721" t="n"/>
      <c r="AK197" s="961" t="n"/>
      <c r="AL197" s="721" t="n"/>
      <c r="AM197" s="961" t="n"/>
      <c r="AN197" s="721" t="n"/>
      <c r="AO197" s="962" t="n"/>
      <c r="AP197" s="718" t="n"/>
      <c r="AQ197" s="961" t="n"/>
      <c r="AR197" s="721" t="n"/>
      <c r="AS197" s="961" t="n"/>
      <c r="AT197" s="721" t="n"/>
      <c r="AU197" s="961" t="n"/>
      <c r="AV197" s="721" t="n"/>
      <c r="AW197" s="962" t="n"/>
      <c r="AX197" s="718" t="n"/>
      <c r="AY197" s="961" t="n"/>
      <c r="AZ197" s="721" t="n"/>
      <c r="BA197" s="961" t="n"/>
      <c r="BB197" s="721" t="n"/>
      <c r="BC197" s="961" t="n"/>
      <c r="BD197" s="721" t="n"/>
      <c r="BE197" s="962" t="n"/>
      <c r="BF197" s="718" t="n"/>
      <c r="BG197" s="961" t="n"/>
      <c r="BH197" s="717" t="n"/>
      <c r="BI197" s="963" t="n"/>
      <c r="BJ197" s="721" t="n"/>
      <c r="BK197" s="961" t="n"/>
      <c r="BL197" s="721" t="n"/>
      <c r="BM197" s="962" t="n"/>
    </row>
    <row r="198">
      <c r="A198" s="722" t="n"/>
      <c r="B198" s="721" t="n"/>
      <c r="C198" s="961" t="n"/>
      <c r="D198" s="721" t="n"/>
      <c r="E198" s="961" t="n"/>
      <c r="F198" s="721" t="n"/>
      <c r="G198" s="961" t="n"/>
      <c r="H198" s="721" t="n"/>
      <c r="I198" s="962" t="n"/>
      <c r="J198" s="718" t="n"/>
      <c r="K198" s="961" t="n"/>
      <c r="L198" s="721" t="n"/>
      <c r="M198" s="961" t="n"/>
      <c r="N198" s="721" t="n"/>
      <c r="O198" s="961" t="n"/>
      <c r="P198" s="721" t="n"/>
      <c r="Q198" s="962" t="n"/>
      <c r="R198" s="718" t="n"/>
      <c r="S198" s="961" t="n"/>
      <c r="T198" s="721" t="n"/>
      <c r="U198" s="961" t="n"/>
      <c r="V198" s="721" t="n"/>
      <c r="W198" s="961" t="n"/>
      <c r="X198" s="721" t="n"/>
      <c r="Y198" s="962" t="n"/>
      <c r="Z198" s="718" t="n"/>
      <c r="AA198" s="961" t="n"/>
      <c r="AB198" s="721" t="n"/>
      <c r="AC198" s="961" t="n"/>
      <c r="AD198" s="721" t="n"/>
      <c r="AE198" s="961" t="n"/>
      <c r="AF198" s="721" t="n"/>
      <c r="AG198" s="962" t="n"/>
      <c r="AH198" s="718" t="n"/>
      <c r="AI198" s="961" t="n"/>
      <c r="AJ198" s="721" t="n"/>
      <c r="AK198" s="961" t="n"/>
      <c r="AL198" s="721" t="n"/>
      <c r="AM198" s="961" t="n"/>
      <c r="AN198" s="721" t="n"/>
      <c r="AO198" s="962" t="n"/>
      <c r="AP198" s="718" t="n"/>
      <c r="AQ198" s="961" t="n"/>
      <c r="AR198" s="721" t="n"/>
      <c r="AS198" s="961" t="n"/>
      <c r="AT198" s="721" t="n"/>
      <c r="AU198" s="961" t="n"/>
      <c r="AV198" s="721" t="n"/>
      <c r="AW198" s="962" t="n"/>
      <c r="AX198" s="718" t="n"/>
      <c r="AY198" s="961" t="n"/>
      <c r="AZ198" s="721" t="n"/>
      <c r="BA198" s="961" t="n"/>
      <c r="BB198" s="721" t="n"/>
      <c r="BC198" s="961" t="n"/>
      <c r="BD198" s="721" t="n"/>
      <c r="BE198" s="962" t="n"/>
      <c r="BF198" s="718" t="n"/>
      <c r="BG198" s="961" t="n"/>
      <c r="BH198" s="717" t="n"/>
      <c r="BI198" s="963" t="n"/>
      <c r="BJ198" s="721" t="n"/>
      <c r="BK198" s="961" t="n"/>
      <c r="BL198" s="721" t="n"/>
      <c r="BM198" s="962" t="n"/>
    </row>
    <row r="199">
      <c r="A199" s="722" t="n"/>
      <c r="B199" s="721" t="n"/>
      <c r="C199" s="961" t="n"/>
      <c r="D199" s="721" t="n"/>
      <c r="E199" s="961" t="n"/>
      <c r="F199" s="721" t="n"/>
      <c r="G199" s="961" t="n"/>
      <c r="H199" s="721" t="n"/>
      <c r="I199" s="962" t="n"/>
      <c r="J199" s="718" t="n"/>
      <c r="K199" s="961" t="n"/>
      <c r="L199" s="721" t="n"/>
      <c r="M199" s="961" t="n"/>
      <c r="N199" s="721" t="n"/>
      <c r="O199" s="961" t="n"/>
      <c r="P199" s="721" t="n"/>
      <c r="Q199" s="962" t="n"/>
      <c r="R199" s="718" t="n"/>
      <c r="S199" s="961" t="n"/>
      <c r="T199" s="721" t="n"/>
      <c r="U199" s="961" t="n"/>
      <c r="V199" s="721" t="n"/>
      <c r="W199" s="961" t="n"/>
      <c r="X199" s="721" t="n"/>
      <c r="Y199" s="962" t="n"/>
      <c r="Z199" s="718" t="n"/>
      <c r="AA199" s="961" t="n"/>
      <c r="AB199" s="721" t="n"/>
      <c r="AC199" s="961" t="n"/>
      <c r="AD199" s="721" t="n"/>
      <c r="AE199" s="961" t="n"/>
      <c r="AF199" s="721" t="n"/>
      <c r="AG199" s="962" t="n"/>
      <c r="AH199" s="718" t="n"/>
      <c r="AI199" s="961" t="n"/>
      <c r="AJ199" s="721" t="n"/>
      <c r="AK199" s="961" t="n"/>
      <c r="AL199" s="721" t="n"/>
      <c r="AM199" s="961" t="n"/>
      <c r="AN199" s="721" t="n"/>
      <c r="AO199" s="962" t="n"/>
      <c r="AP199" s="718" t="n"/>
      <c r="AQ199" s="961" t="n"/>
      <c r="AR199" s="721" t="n"/>
      <c r="AS199" s="961" t="n"/>
      <c r="AT199" s="721" t="n"/>
      <c r="AU199" s="961" t="n"/>
      <c r="AV199" s="721" t="n"/>
      <c r="AW199" s="962" t="n"/>
      <c r="AX199" s="718" t="n"/>
      <c r="AY199" s="961" t="n"/>
      <c r="AZ199" s="721" t="n"/>
      <c r="BA199" s="961" t="n"/>
      <c r="BB199" s="721" t="n"/>
      <c r="BC199" s="961" t="n"/>
      <c r="BD199" s="721" t="n"/>
      <c r="BE199" s="962" t="n"/>
      <c r="BF199" s="718" t="n"/>
      <c r="BG199" s="961" t="n"/>
      <c r="BH199" s="717" t="n"/>
      <c r="BI199" s="963" t="n"/>
      <c r="BJ199" s="721" t="n"/>
      <c r="BK199" s="961" t="n"/>
      <c r="BL199" s="721" t="n"/>
      <c r="BM199" s="962" t="n"/>
    </row>
    <row r="200">
      <c r="A200" s="722" t="n"/>
      <c r="B200" s="721" t="n"/>
      <c r="C200" s="961" t="n"/>
      <c r="D200" s="721" t="n"/>
      <c r="E200" s="961" t="n"/>
      <c r="F200" s="721" t="n"/>
      <c r="G200" s="961" t="n"/>
      <c r="H200" s="721" t="n"/>
      <c r="I200" s="962" t="n"/>
      <c r="J200" s="718" t="n"/>
      <c r="K200" s="961" t="n"/>
      <c r="L200" s="721" t="n"/>
      <c r="M200" s="961" t="n"/>
      <c r="N200" s="721" t="n"/>
      <c r="O200" s="961" t="n"/>
      <c r="P200" s="721" t="n"/>
      <c r="Q200" s="962" t="n"/>
      <c r="R200" s="718" t="n"/>
      <c r="S200" s="961" t="n"/>
      <c r="T200" s="721" t="n"/>
      <c r="U200" s="961" t="n"/>
      <c r="V200" s="721" t="n"/>
      <c r="W200" s="961" t="n"/>
      <c r="X200" s="721" t="n"/>
      <c r="Y200" s="962" t="n"/>
      <c r="Z200" s="718" t="n"/>
      <c r="AA200" s="961" t="n"/>
      <c r="AB200" s="721" t="n"/>
      <c r="AC200" s="961" t="n"/>
      <c r="AD200" s="721" t="n"/>
      <c r="AE200" s="961" t="n"/>
      <c r="AF200" s="721" t="n"/>
      <c r="AG200" s="962" t="n"/>
      <c r="AH200" s="718" t="n"/>
      <c r="AI200" s="961" t="n"/>
      <c r="AJ200" s="721" t="n"/>
      <c r="AK200" s="961" t="n"/>
      <c r="AL200" s="721" t="n"/>
      <c r="AM200" s="961" t="n"/>
      <c r="AN200" s="721" t="n"/>
      <c r="AO200" s="962" t="n"/>
      <c r="AP200" s="718" t="n"/>
      <c r="AQ200" s="961" t="n"/>
      <c r="AR200" s="721" t="n"/>
      <c r="AS200" s="961" t="n"/>
      <c r="AT200" s="721" t="n"/>
      <c r="AU200" s="961" t="n"/>
      <c r="AV200" s="721" t="n"/>
      <c r="AW200" s="962" t="n"/>
      <c r="AX200" s="718" t="n"/>
      <c r="AY200" s="961" t="n"/>
      <c r="AZ200" s="721" t="n"/>
      <c r="BA200" s="961" t="n"/>
      <c r="BB200" s="721" t="n"/>
      <c r="BC200" s="961" t="n"/>
      <c r="BD200" s="721" t="n"/>
      <c r="BE200" s="962" t="n"/>
      <c r="BF200" s="718" t="n"/>
      <c r="BG200" s="961" t="n"/>
      <c r="BH200" s="717" t="n"/>
      <c r="BI200" s="963" t="n"/>
      <c r="BJ200" s="721" t="n"/>
      <c r="BK200" s="961" t="n"/>
      <c r="BL200" s="721" t="n"/>
      <c r="BM200" s="962" t="n"/>
    </row>
    <row r="201">
      <c r="A201" s="722" t="n"/>
      <c r="B201" s="721" t="n"/>
      <c r="C201" s="961" t="n"/>
      <c r="D201" s="721" t="n"/>
      <c r="E201" s="961" t="n"/>
      <c r="F201" s="721" t="n"/>
      <c r="G201" s="961" t="n"/>
      <c r="H201" s="721" t="n"/>
      <c r="I201" s="962" t="n"/>
      <c r="J201" s="718" t="n"/>
      <c r="K201" s="961" t="n"/>
      <c r="L201" s="721" t="n"/>
      <c r="M201" s="961" t="n"/>
      <c r="N201" s="721" t="n"/>
      <c r="O201" s="961" t="n"/>
      <c r="P201" s="721" t="n"/>
      <c r="Q201" s="962" t="n"/>
      <c r="R201" s="718" t="n"/>
      <c r="S201" s="961" t="n"/>
      <c r="T201" s="721" t="n"/>
      <c r="U201" s="961" t="n"/>
      <c r="V201" s="721" t="n"/>
      <c r="W201" s="961" t="n"/>
      <c r="X201" s="721" t="n"/>
      <c r="Y201" s="962" t="n"/>
      <c r="Z201" s="718" t="n"/>
      <c r="AA201" s="961" t="n"/>
      <c r="AB201" s="721" t="n"/>
      <c r="AC201" s="961" t="n"/>
      <c r="AD201" s="721" t="n"/>
      <c r="AE201" s="961" t="n"/>
      <c r="AF201" s="721" t="n"/>
      <c r="AG201" s="962" t="n"/>
      <c r="AH201" s="718" t="n"/>
      <c r="AI201" s="961" t="n"/>
      <c r="AJ201" s="721" t="n"/>
      <c r="AK201" s="961" t="n"/>
      <c r="AL201" s="721" t="n"/>
      <c r="AM201" s="961" t="n"/>
      <c r="AN201" s="721" t="n"/>
      <c r="AO201" s="962" t="n"/>
      <c r="AP201" s="718" t="n"/>
      <c r="AQ201" s="961" t="n"/>
      <c r="AR201" s="721" t="n"/>
      <c r="AS201" s="961" t="n"/>
      <c r="AT201" s="721" t="n"/>
      <c r="AU201" s="961" t="n"/>
      <c r="AV201" s="721" t="n"/>
      <c r="AW201" s="962" t="n"/>
      <c r="AX201" s="718" t="n"/>
      <c r="AY201" s="961" t="n"/>
      <c r="AZ201" s="721" t="n"/>
      <c r="BA201" s="961" t="n"/>
      <c r="BB201" s="721" t="n"/>
      <c r="BC201" s="961" t="n"/>
      <c r="BD201" s="721" t="n"/>
      <c r="BE201" s="962" t="n"/>
      <c r="BF201" s="718" t="n"/>
      <c r="BG201" s="961" t="n"/>
      <c r="BH201" s="717" t="n"/>
      <c r="BI201" s="963" t="n"/>
      <c r="BJ201" s="721" t="n"/>
      <c r="BK201" s="961" t="n"/>
      <c r="BL201" s="721" t="n"/>
      <c r="BM201" s="962" t="n"/>
    </row>
    <row r="202">
      <c r="A202" s="722" t="n"/>
      <c r="B202" s="721" t="n"/>
      <c r="C202" s="961" t="n"/>
      <c r="D202" s="721" t="n"/>
      <c r="E202" s="961" t="n"/>
      <c r="F202" s="721" t="n"/>
      <c r="G202" s="961" t="n"/>
      <c r="H202" s="721" t="n"/>
      <c r="I202" s="962" t="n"/>
      <c r="J202" s="718" t="n"/>
      <c r="K202" s="961" t="n"/>
      <c r="L202" s="721" t="n"/>
      <c r="M202" s="961" t="n"/>
      <c r="N202" s="721" t="n"/>
      <c r="O202" s="961" t="n"/>
      <c r="P202" s="721" t="n"/>
      <c r="Q202" s="962" t="n"/>
      <c r="R202" s="718" t="n"/>
      <c r="S202" s="961" t="n"/>
      <c r="T202" s="721" t="n"/>
      <c r="U202" s="961" t="n"/>
      <c r="V202" s="721" t="n"/>
      <c r="W202" s="961" t="n"/>
      <c r="X202" s="721" t="n"/>
      <c r="Y202" s="962" t="n"/>
      <c r="Z202" s="718" t="n"/>
      <c r="AA202" s="961" t="n"/>
      <c r="AB202" s="721" t="n"/>
      <c r="AC202" s="961" t="n"/>
      <c r="AD202" s="721" t="n"/>
      <c r="AE202" s="961" t="n"/>
      <c r="AF202" s="721" t="n"/>
      <c r="AG202" s="962" t="n"/>
      <c r="AH202" s="718" t="n"/>
      <c r="AI202" s="961" t="n"/>
      <c r="AJ202" s="721" t="n"/>
      <c r="AK202" s="961" t="n"/>
      <c r="AL202" s="721" t="n"/>
      <c r="AM202" s="961" t="n"/>
      <c r="AN202" s="721" t="n"/>
      <c r="AO202" s="962" t="n"/>
      <c r="AP202" s="718" t="n"/>
      <c r="AQ202" s="961" t="n"/>
      <c r="AR202" s="721" t="n"/>
      <c r="AS202" s="961" t="n"/>
      <c r="AT202" s="721" t="n"/>
      <c r="AU202" s="961" t="n"/>
      <c r="AV202" s="721" t="n"/>
      <c r="AW202" s="962" t="n"/>
      <c r="AX202" s="718" t="n"/>
      <c r="AY202" s="961" t="n"/>
      <c r="AZ202" s="721" t="n"/>
      <c r="BA202" s="961" t="n"/>
      <c r="BB202" s="721" t="n"/>
      <c r="BC202" s="961" t="n"/>
      <c r="BD202" s="721" t="n"/>
      <c r="BE202" s="962" t="n"/>
      <c r="BF202" s="718" t="n"/>
      <c r="BG202" s="961" t="n"/>
      <c r="BH202" s="717" t="n"/>
      <c r="BI202" s="963" t="n"/>
      <c r="BJ202" s="721" t="n"/>
      <c r="BK202" s="961" t="n"/>
      <c r="BL202" s="721" t="n"/>
      <c r="BM202" s="962" t="n"/>
    </row>
    <row r="203">
      <c r="A203" s="722" t="n"/>
      <c r="B203" s="721" t="n"/>
      <c r="C203" s="961" t="n"/>
      <c r="D203" s="721" t="n"/>
      <c r="E203" s="961" t="n"/>
      <c r="F203" s="721" t="n"/>
      <c r="G203" s="961" t="n"/>
      <c r="H203" s="721" t="n"/>
      <c r="I203" s="962" t="n"/>
      <c r="J203" s="718" t="n"/>
      <c r="K203" s="961" t="n"/>
      <c r="L203" s="721" t="n"/>
      <c r="M203" s="961" t="n"/>
      <c r="N203" s="721" t="n"/>
      <c r="O203" s="961" t="n"/>
      <c r="P203" s="721" t="n"/>
      <c r="Q203" s="962" t="n"/>
      <c r="R203" s="718" t="n"/>
      <c r="S203" s="961" t="n"/>
      <c r="T203" s="721" t="n"/>
      <c r="U203" s="961" t="n"/>
      <c r="V203" s="721" t="n"/>
      <c r="W203" s="961" t="n"/>
      <c r="X203" s="721" t="n"/>
      <c r="Y203" s="962" t="n"/>
      <c r="Z203" s="718" t="n"/>
      <c r="AA203" s="961" t="n"/>
      <c r="AB203" s="721" t="n"/>
      <c r="AC203" s="961" t="n"/>
      <c r="AD203" s="721" t="n"/>
      <c r="AE203" s="961" t="n"/>
      <c r="AF203" s="721" t="n"/>
      <c r="AG203" s="962" t="n"/>
      <c r="AH203" s="718" t="n"/>
      <c r="AI203" s="961" t="n"/>
      <c r="AJ203" s="721" t="n"/>
      <c r="AK203" s="961" t="n"/>
      <c r="AL203" s="721" t="n"/>
      <c r="AM203" s="961" t="n"/>
      <c r="AN203" s="721" t="n"/>
      <c r="AO203" s="962" t="n"/>
      <c r="AP203" s="718" t="n"/>
      <c r="AQ203" s="961" t="n"/>
      <c r="AR203" s="721" t="n"/>
      <c r="AS203" s="961" t="n"/>
      <c r="AT203" s="721" t="n"/>
      <c r="AU203" s="961" t="n"/>
      <c r="AV203" s="721" t="n"/>
      <c r="AW203" s="962" t="n"/>
      <c r="AX203" s="718" t="n"/>
      <c r="AY203" s="961" t="n"/>
      <c r="AZ203" s="721" t="n"/>
      <c r="BA203" s="961" t="n"/>
      <c r="BB203" s="721" t="n"/>
      <c r="BC203" s="961" t="n"/>
      <c r="BD203" s="721" t="n"/>
      <c r="BE203" s="962" t="n"/>
      <c r="BF203" s="718" t="n"/>
      <c r="BG203" s="961" t="n"/>
      <c r="BH203" s="717" t="n"/>
      <c r="BI203" s="963" t="n"/>
      <c r="BJ203" s="721" t="n"/>
      <c r="BK203" s="961" t="n"/>
      <c r="BL203" s="721" t="n"/>
      <c r="BM203" s="962" t="n"/>
    </row>
    <row r="204">
      <c r="A204" s="722" t="n"/>
      <c r="B204" s="721" t="n"/>
      <c r="C204" s="961" t="n"/>
      <c r="D204" s="721" t="n"/>
      <c r="E204" s="961" t="n"/>
      <c r="F204" s="721" t="n"/>
      <c r="G204" s="961" t="n"/>
      <c r="H204" s="721" t="n"/>
      <c r="I204" s="962" t="n"/>
      <c r="J204" s="718" t="n"/>
      <c r="K204" s="961" t="n"/>
      <c r="L204" s="721" t="n"/>
      <c r="M204" s="961" t="n"/>
      <c r="N204" s="721" t="n"/>
      <c r="O204" s="961" t="n"/>
      <c r="P204" s="721" t="n"/>
      <c r="Q204" s="962" t="n"/>
      <c r="R204" s="718" t="n"/>
      <c r="S204" s="961" t="n"/>
      <c r="T204" s="721" t="n"/>
      <c r="U204" s="961" t="n"/>
      <c r="V204" s="721" t="n"/>
      <c r="W204" s="961" t="n"/>
      <c r="X204" s="721" t="n"/>
      <c r="Y204" s="962" t="n"/>
      <c r="Z204" s="718" t="n"/>
      <c r="AA204" s="961" t="n"/>
      <c r="AB204" s="721" t="n"/>
      <c r="AC204" s="961" t="n"/>
      <c r="AD204" s="721" t="n"/>
      <c r="AE204" s="961" t="n"/>
      <c r="AF204" s="721" t="n"/>
      <c r="AG204" s="962" t="n"/>
      <c r="AH204" s="718" t="n"/>
      <c r="AI204" s="961" t="n"/>
      <c r="AJ204" s="721" t="n"/>
      <c r="AK204" s="961" t="n"/>
      <c r="AL204" s="721" t="n"/>
      <c r="AM204" s="961" t="n"/>
      <c r="AN204" s="721" t="n"/>
      <c r="AO204" s="962" t="n"/>
      <c r="AP204" s="718" t="n"/>
      <c r="AQ204" s="961" t="n"/>
      <c r="AR204" s="721" t="n"/>
      <c r="AS204" s="961" t="n"/>
      <c r="AT204" s="721" t="n"/>
      <c r="AU204" s="961" t="n"/>
      <c r="AV204" s="721" t="n"/>
      <c r="AW204" s="962" t="n"/>
      <c r="AX204" s="718" t="n"/>
      <c r="AY204" s="961" t="n"/>
      <c r="AZ204" s="721" t="n"/>
      <c r="BA204" s="961" t="n"/>
      <c r="BB204" s="721" t="n"/>
      <c r="BC204" s="961" t="n"/>
      <c r="BD204" s="721" t="n"/>
      <c r="BE204" s="962" t="n"/>
      <c r="BF204" s="718" t="n"/>
      <c r="BG204" s="961" t="n"/>
      <c r="BH204" s="717" t="n"/>
      <c r="BI204" s="963" t="n"/>
      <c r="BJ204" s="721" t="n"/>
      <c r="BK204" s="961" t="n"/>
      <c r="BL204" s="721" t="n"/>
      <c r="BM204" s="962" t="n"/>
    </row>
    <row r="205">
      <c r="A205" s="722" t="n"/>
      <c r="B205" s="721" t="n"/>
      <c r="C205" s="961" t="n"/>
      <c r="D205" s="721" t="n"/>
      <c r="E205" s="961" t="n"/>
      <c r="F205" s="721" t="n"/>
      <c r="G205" s="961" t="n"/>
      <c r="H205" s="721" t="n"/>
      <c r="I205" s="962" t="n"/>
      <c r="J205" s="718" t="n"/>
      <c r="K205" s="961" t="n"/>
      <c r="L205" s="721" t="n"/>
      <c r="M205" s="961" t="n"/>
      <c r="N205" s="721" t="n"/>
      <c r="O205" s="961" t="n"/>
      <c r="P205" s="721" t="n"/>
      <c r="Q205" s="962" t="n"/>
      <c r="R205" s="718" t="n"/>
      <c r="S205" s="961" t="n"/>
      <c r="T205" s="721" t="n"/>
      <c r="U205" s="961" t="n"/>
      <c r="V205" s="721" t="n"/>
      <c r="W205" s="961" t="n"/>
      <c r="X205" s="721" t="n"/>
      <c r="Y205" s="962" t="n"/>
      <c r="Z205" s="718" t="n"/>
      <c r="AA205" s="961" t="n"/>
      <c r="AB205" s="721" t="n"/>
      <c r="AC205" s="961" t="n"/>
      <c r="AD205" s="721" t="n"/>
      <c r="AE205" s="961" t="n"/>
      <c r="AF205" s="721" t="n"/>
      <c r="AG205" s="962" t="n"/>
      <c r="AH205" s="718" t="n"/>
      <c r="AI205" s="961" t="n"/>
      <c r="AJ205" s="721" t="n"/>
      <c r="AK205" s="961" t="n"/>
      <c r="AL205" s="721" t="n"/>
      <c r="AM205" s="961" t="n"/>
      <c r="AN205" s="721" t="n"/>
      <c r="AO205" s="962" t="n"/>
      <c r="AP205" s="718" t="n"/>
      <c r="AQ205" s="961" t="n"/>
      <c r="AR205" s="721" t="n"/>
      <c r="AS205" s="961" t="n"/>
      <c r="AT205" s="721" t="n"/>
      <c r="AU205" s="961" t="n"/>
      <c r="AV205" s="721" t="n"/>
      <c r="AW205" s="962" t="n"/>
      <c r="AX205" s="718" t="n"/>
      <c r="AY205" s="961" t="n"/>
      <c r="AZ205" s="721" t="n"/>
      <c r="BA205" s="961" t="n"/>
      <c r="BB205" s="721" t="n"/>
      <c r="BC205" s="961" t="n"/>
      <c r="BD205" s="721" t="n"/>
      <c r="BE205" s="962" t="n"/>
      <c r="BF205" s="718" t="n"/>
      <c r="BG205" s="961" t="n"/>
      <c r="BH205" s="717" t="n"/>
      <c r="BI205" s="963" t="n"/>
      <c r="BJ205" s="721" t="n"/>
      <c r="BK205" s="961" t="n"/>
      <c r="BL205" s="721" t="n"/>
      <c r="BM205" s="962" t="n"/>
    </row>
    <row r="206">
      <c r="A206" s="722" t="n"/>
      <c r="B206" s="721" t="n"/>
      <c r="C206" s="961" t="n"/>
      <c r="D206" s="721" t="n"/>
      <c r="E206" s="961" t="n"/>
      <c r="F206" s="721" t="n"/>
      <c r="G206" s="961" t="n"/>
      <c r="H206" s="721" t="n"/>
      <c r="I206" s="962" t="n"/>
      <c r="J206" s="718" t="n"/>
      <c r="K206" s="961" t="n"/>
      <c r="L206" s="721" t="n"/>
      <c r="M206" s="961" t="n"/>
      <c r="N206" s="721" t="n"/>
      <c r="O206" s="961" t="n"/>
      <c r="P206" s="721" t="n"/>
      <c r="Q206" s="962" t="n"/>
      <c r="R206" s="718" t="n"/>
      <c r="S206" s="961" t="n"/>
      <c r="T206" s="721" t="n"/>
      <c r="U206" s="961" t="n"/>
      <c r="V206" s="721" t="n"/>
      <c r="W206" s="961" t="n"/>
      <c r="X206" s="721" t="n"/>
      <c r="Y206" s="962" t="n"/>
      <c r="Z206" s="718" t="n"/>
      <c r="AA206" s="961" t="n"/>
      <c r="AB206" s="721" t="n"/>
      <c r="AC206" s="961" t="n"/>
      <c r="AD206" s="721" t="n"/>
      <c r="AE206" s="961" t="n"/>
      <c r="AF206" s="721" t="n"/>
      <c r="AG206" s="962" t="n"/>
      <c r="AH206" s="718" t="n"/>
      <c r="AI206" s="961" t="n"/>
      <c r="AJ206" s="721" t="n"/>
      <c r="AK206" s="961" t="n"/>
      <c r="AL206" s="721" t="n"/>
      <c r="AM206" s="961" t="n"/>
      <c r="AN206" s="721" t="n"/>
      <c r="AO206" s="962" t="n"/>
      <c r="AP206" s="718" t="n"/>
      <c r="AQ206" s="961" t="n"/>
      <c r="AR206" s="721" t="n"/>
      <c r="AS206" s="961" t="n"/>
      <c r="AT206" s="721" t="n"/>
      <c r="AU206" s="961" t="n"/>
      <c r="AV206" s="721" t="n"/>
      <c r="AW206" s="962" t="n"/>
      <c r="AX206" s="718" t="n"/>
      <c r="AY206" s="961" t="n"/>
      <c r="AZ206" s="721" t="n"/>
      <c r="BA206" s="961" t="n"/>
      <c r="BB206" s="721" t="n"/>
      <c r="BC206" s="961" t="n"/>
      <c r="BD206" s="721" t="n"/>
      <c r="BE206" s="962" t="n"/>
      <c r="BF206" s="718" t="n"/>
      <c r="BG206" s="961" t="n"/>
      <c r="BH206" s="717" t="n"/>
      <c r="BI206" s="963" t="n"/>
      <c r="BJ206" s="721" t="n"/>
      <c r="BK206" s="961" t="n"/>
      <c r="BL206" s="721" t="n"/>
      <c r="BM206" s="962" t="n"/>
    </row>
    <row r="207">
      <c r="A207" s="722" t="n"/>
      <c r="B207" s="721" t="n"/>
      <c r="C207" s="961" t="n"/>
      <c r="D207" s="721" t="n"/>
      <c r="E207" s="961" t="n"/>
      <c r="F207" s="721" t="n"/>
      <c r="G207" s="961" t="n"/>
      <c r="H207" s="721" t="n"/>
      <c r="I207" s="962" t="n"/>
      <c r="J207" s="718" t="n"/>
      <c r="K207" s="961" t="n"/>
      <c r="L207" s="721" t="n"/>
      <c r="M207" s="961" t="n"/>
      <c r="N207" s="721" t="n"/>
      <c r="O207" s="961" t="n"/>
      <c r="P207" s="721" t="n"/>
      <c r="Q207" s="962" t="n"/>
      <c r="R207" s="718" t="n"/>
      <c r="S207" s="961" t="n"/>
      <c r="T207" s="721" t="n"/>
      <c r="U207" s="961" t="n"/>
      <c r="V207" s="721" t="n"/>
      <c r="W207" s="961" t="n"/>
      <c r="X207" s="721" t="n"/>
      <c r="Y207" s="962" t="n"/>
      <c r="Z207" s="718" t="n"/>
      <c r="AA207" s="961" t="n"/>
      <c r="AB207" s="721" t="n"/>
      <c r="AC207" s="961" t="n"/>
      <c r="AD207" s="721" t="n"/>
      <c r="AE207" s="961" t="n"/>
      <c r="AF207" s="721" t="n"/>
      <c r="AG207" s="962" t="n"/>
      <c r="AH207" s="718" t="n"/>
      <c r="AI207" s="961" t="n"/>
      <c r="AJ207" s="721" t="n"/>
      <c r="AK207" s="961" t="n"/>
      <c r="AL207" s="721" t="n"/>
      <c r="AM207" s="961" t="n"/>
      <c r="AN207" s="721" t="n"/>
      <c r="AO207" s="962" t="n"/>
      <c r="AP207" s="718" t="n"/>
      <c r="AQ207" s="961" t="n"/>
      <c r="AR207" s="721" t="n"/>
      <c r="AS207" s="961" t="n"/>
      <c r="AT207" s="721" t="n"/>
      <c r="AU207" s="961" t="n"/>
      <c r="AV207" s="721" t="n"/>
      <c r="AW207" s="962" t="n"/>
      <c r="AX207" s="718" t="n"/>
      <c r="AY207" s="961" t="n"/>
      <c r="AZ207" s="721" t="n"/>
      <c r="BA207" s="961" t="n"/>
      <c r="BB207" s="721" t="n"/>
      <c r="BC207" s="961" t="n"/>
      <c r="BD207" s="721" t="n"/>
      <c r="BE207" s="962" t="n"/>
      <c r="BF207" s="718" t="n"/>
      <c r="BG207" s="961" t="n"/>
      <c r="BH207" s="717" t="n"/>
      <c r="BI207" s="963" t="n"/>
      <c r="BJ207" s="721" t="n"/>
      <c r="BK207" s="961" t="n"/>
      <c r="BL207" s="721" t="n"/>
      <c r="BM207" s="962" t="n"/>
    </row>
    <row r="208">
      <c r="A208" s="715" t="n"/>
      <c r="B208" s="715" t="n"/>
      <c r="C208" s="715" t="n"/>
      <c r="D208" s="715" t="n"/>
      <c r="E208" s="715" t="n"/>
      <c r="F208" s="715" t="n"/>
      <c r="G208" s="715" t="n"/>
      <c r="H208" s="715" t="n"/>
      <c r="I208" s="715" t="n"/>
      <c r="J208" s="715" t="n"/>
      <c r="K208" s="715" t="n"/>
      <c r="L208" s="715" t="n"/>
      <c r="M208" s="715" t="n"/>
      <c r="N208" s="715" t="n"/>
      <c r="O208" s="715" t="n"/>
      <c r="P208" s="715" t="n"/>
      <c r="Q208" s="715" t="n"/>
      <c r="R208" s="715" t="n"/>
      <c r="S208" s="715" t="n"/>
      <c r="T208" s="715" t="n"/>
      <c r="U208" s="715" t="n"/>
      <c r="V208" s="715" t="n"/>
      <c r="W208" s="715" t="n"/>
      <c r="X208" s="715" t="n"/>
      <c r="Y208" s="715" t="n"/>
      <c r="Z208" s="715" t="n"/>
      <c r="AA208" s="715" t="n"/>
      <c r="AB208" s="715" t="n"/>
      <c r="AC208" s="715" t="n"/>
      <c r="AD208" s="715" t="n"/>
      <c r="AE208" s="715" t="n"/>
      <c r="AF208" s="715" t="n"/>
      <c r="AG208" s="715" t="n"/>
      <c r="AH208" s="715" t="n"/>
      <c r="AI208" s="715" t="n"/>
      <c r="AJ208" s="715" t="n"/>
      <c r="AK208" s="715" t="n"/>
      <c r="AL208" s="715" t="n"/>
      <c r="AM208" s="715" t="n"/>
      <c r="AN208" s="715" t="n"/>
      <c r="AO208" s="715" t="n"/>
      <c r="AP208" s="715" t="n"/>
      <c r="AQ208" s="715" t="n"/>
      <c r="AR208" s="715" t="n"/>
      <c r="AS208" s="715" t="n"/>
      <c r="AT208" s="715" t="n"/>
      <c r="AU208" s="715" t="n"/>
      <c r="AV208" s="715" t="n"/>
      <c r="AW208" s="715" t="n"/>
      <c r="AX208" s="715" t="n"/>
      <c r="AY208" s="715" t="n"/>
      <c r="AZ208" s="715" t="n"/>
      <c r="BA208" s="715" t="n"/>
      <c r="BB208" s="715" t="n"/>
      <c r="BC208" s="715" t="n"/>
      <c r="BD208" s="715" t="n"/>
      <c r="BE208" s="715" t="n"/>
      <c r="BF208" s="715" t="n"/>
      <c r="BG208" s="715" t="n"/>
      <c r="BH208" s="715" t="n"/>
      <c r="BI208" s="715" t="n"/>
      <c r="BJ208" s="715" t="n"/>
      <c r="BK208" s="715" t="n"/>
      <c r="BL208" s="715" t="n"/>
      <c r="BM208" s="715" t="n"/>
    </row>
    <row r="209">
      <c r="A209" s="715" t="n"/>
      <c r="B209" s="715" t="n"/>
      <c r="C209" s="715" t="n"/>
      <c r="D209" s="715" t="n"/>
      <c r="E209" s="715" t="n"/>
      <c r="F209" s="715" t="n"/>
      <c r="G209" s="715" t="n"/>
      <c r="H209" s="715" t="n"/>
      <c r="I209" s="715" t="n"/>
      <c r="J209" s="715" t="n"/>
      <c r="K209" s="715" t="n"/>
      <c r="L209" s="715" t="n"/>
      <c r="M209" s="715" t="n"/>
      <c r="N209" s="715" t="n"/>
      <c r="O209" s="715" t="n"/>
      <c r="P209" s="715" t="n"/>
      <c r="Q209" s="715" t="n"/>
      <c r="R209" s="715" t="n"/>
      <c r="S209" s="715" t="n"/>
      <c r="T209" s="715" t="n"/>
      <c r="U209" s="715" t="n"/>
      <c r="V209" s="715" t="n"/>
      <c r="W209" s="715" t="n"/>
      <c r="X209" s="715" t="n"/>
      <c r="Y209" s="715" t="n"/>
      <c r="Z209" s="715" t="n"/>
      <c r="AA209" s="715" t="n"/>
      <c r="AB209" s="715" t="n"/>
      <c r="AC209" s="715" t="n"/>
      <c r="AD209" s="715" t="n"/>
      <c r="AE209" s="715" t="n"/>
      <c r="AF209" s="715" t="n"/>
      <c r="AG209" s="715" t="n"/>
      <c r="AH209" s="715" t="n"/>
      <c r="AI209" s="715" t="n"/>
      <c r="AJ209" s="715" t="n"/>
      <c r="AK209" s="715" t="n"/>
      <c r="AL209" s="715" t="n"/>
      <c r="AM209" s="715" t="n"/>
      <c r="AN209" s="715" t="n"/>
      <c r="AO209" s="715" t="n"/>
      <c r="AP209" s="715" t="n"/>
      <c r="AQ209" s="715" t="n"/>
      <c r="AR209" s="715" t="n"/>
      <c r="AS209" s="715" t="n"/>
      <c r="AT209" s="715" t="n"/>
      <c r="AU209" s="715" t="n"/>
      <c r="AV209" s="715" t="n"/>
      <c r="AW209" s="715" t="n"/>
      <c r="AX209" s="715" t="n"/>
      <c r="AY209" s="715" t="n"/>
      <c r="AZ209" s="715" t="n"/>
      <c r="BA209" s="715" t="n"/>
      <c r="BB209" s="715" t="n"/>
      <c r="BC209" s="715" t="n"/>
      <c r="BD209" s="715" t="n"/>
      <c r="BE209" s="715" t="n"/>
      <c r="BF209" s="715" t="n"/>
      <c r="BG209" s="715" t="n"/>
      <c r="BH209" s="715" t="n"/>
      <c r="BI209" s="715" t="n"/>
      <c r="BJ209" s="715" t="n"/>
      <c r="BK209" s="715" t="n"/>
      <c r="BL209" s="715" t="n"/>
      <c r="BM209" s="715" t="n"/>
    </row>
    <row r="210">
      <c r="A210" s="715" t="n"/>
      <c r="B210" s="715" t="n"/>
      <c r="C210" s="715" t="n"/>
      <c r="D210" s="715" t="n"/>
      <c r="E210" s="715" t="n"/>
      <c r="F210" s="715" t="n"/>
      <c r="G210" s="715" t="n"/>
      <c r="H210" s="715" t="n"/>
      <c r="I210" s="715" t="n"/>
      <c r="J210" s="715" t="n"/>
      <c r="K210" s="715" t="n"/>
      <c r="L210" s="715" t="n"/>
      <c r="M210" s="715" t="n"/>
      <c r="N210" s="715" t="n"/>
      <c r="O210" s="715" t="n"/>
      <c r="P210" s="715" t="n"/>
      <c r="Q210" s="715" t="n"/>
      <c r="R210" s="715" t="n"/>
      <c r="S210" s="715" t="n"/>
      <c r="T210" s="715" t="n"/>
      <c r="U210" s="715" t="n"/>
      <c r="V210" s="715" t="n"/>
      <c r="W210" s="715" t="n"/>
      <c r="X210" s="715" t="n"/>
      <c r="Y210" s="715" t="n"/>
      <c r="Z210" s="715" t="n"/>
      <c r="AA210" s="715" t="n"/>
      <c r="AB210" s="715" t="n"/>
      <c r="AC210" s="715" t="n"/>
      <c r="AD210" s="715" t="n"/>
      <c r="AE210" s="715" t="n"/>
      <c r="AF210" s="715" t="n"/>
      <c r="AG210" s="715" t="n"/>
      <c r="AH210" s="715" t="n"/>
      <c r="AI210" s="715" t="n"/>
      <c r="AJ210" s="715" t="n"/>
      <c r="AK210" s="715" t="n"/>
      <c r="AL210" s="715" t="n"/>
      <c r="AM210" s="715" t="n"/>
      <c r="AN210" s="715" t="n"/>
      <c r="AO210" s="715" t="n"/>
      <c r="AP210" s="715" t="n"/>
      <c r="AQ210" s="715" t="n"/>
      <c r="AR210" s="715" t="n"/>
      <c r="AS210" s="715" t="n"/>
      <c r="AT210" s="715" t="n"/>
      <c r="AU210" s="715" t="n"/>
      <c r="AV210" s="715" t="n"/>
      <c r="AW210" s="715" t="n"/>
      <c r="AX210" s="715" t="n"/>
      <c r="AY210" s="715" t="n"/>
      <c r="AZ210" s="715" t="n"/>
      <c r="BA210" s="715" t="n"/>
      <c r="BB210" s="715" t="n"/>
      <c r="BC210" s="715" t="n"/>
      <c r="BD210" s="715" t="n"/>
      <c r="BE210" s="715" t="n"/>
      <c r="BF210" s="715" t="n"/>
      <c r="BG210" s="715" t="n"/>
      <c r="BH210" s="715" t="n"/>
      <c r="BI210" s="715" t="n"/>
      <c r="BJ210" s="715" t="n"/>
      <c r="BK210" s="715" t="n"/>
      <c r="BL210" s="715" t="n"/>
      <c r="BM210" s="715" t="n"/>
    </row>
    <row r="211">
      <c r="A211" s="715" t="n"/>
      <c r="B211" s="715" t="n"/>
      <c r="C211" s="715" t="n"/>
      <c r="D211" s="715" t="n"/>
      <c r="E211" s="715" t="n"/>
      <c r="F211" s="715" t="n"/>
      <c r="G211" s="715" t="n"/>
      <c r="H211" s="715" t="n"/>
      <c r="I211" s="715" t="n"/>
      <c r="J211" s="715" t="n"/>
      <c r="K211" s="715" t="n"/>
      <c r="L211" s="715" t="n"/>
      <c r="M211" s="715" t="n"/>
      <c r="N211" s="715" t="n"/>
      <c r="O211" s="715" t="n"/>
      <c r="P211" s="715" t="n"/>
      <c r="Q211" s="715" t="n"/>
      <c r="R211" s="715" t="n"/>
      <c r="S211" s="715" t="n"/>
      <c r="T211" s="715" t="n"/>
      <c r="U211" s="715" t="n"/>
      <c r="V211" s="715" t="n"/>
      <c r="W211" s="715" t="n"/>
      <c r="X211" s="715" t="n"/>
      <c r="Y211" s="715" t="n"/>
      <c r="Z211" s="715" t="n"/>
      <c r="AA211" s="715" t="n"/>
      <c r="AB211" s="715" t="n"/>
      <c r="AC211" s="715" t="n"/>
      <c r="AD211" s="715" t="n"/>
      <c r="AE211" s="715" t="n"/>
      <c r="AF211" s="715" t="n"/>
      <c r="AG211" s="715" t="n"/>
      <c r="AH211" s="715" t="n"/>
      <c r="AI211" s="715" t="n"/>
      <c r="AJ211" s="715" t="n"/>
      <c r="AK211" s="715" t="n"/>
      <c r="AL211" s="715" t="n"/>
      <c r="AM211" s="715" t="n"/>
      <c r="AN211" s="715" t="n"/>
      <c r="AO211" s="715" t="n"/>
      <c r="AP211" s="715" t="n"/>
      <c r="AQ211" s="715" t="n"/>
      <c r="AR211" s="715" t="n"/>
      <c r="AS211" s="715" t="n"/>
      <c r="AT211" s="715" t="n"/>
      <c r="AU211" s="715" t="n"/>
      <c r="AV211" s="715" t="n"/>
      <c r="AW211" s="715" t="n"/>
      <c r="AX211" s="715" t="n"/>
      <c r="AY211" s="715" t="n"/>
      <c r="AZ211" s="715" t="n"/>
      <c r="BA211" s="715" t="n"/>
      <c r="BB211" s="715" t="n"/>
      <c r="BC211" s="715" t="n"/>
      <c r="BD211" s="715" t="n"/>
      <c r="BE211" s="715" t="n"/>
      <c r="BF211" s="715" t="n"/>
      <c r="BG211" s="715" t="n"/>
      <c r="BH211" s="715" t="n"/>
      <c r="BI211" s="715" t="n"/>
      <c r="BJ211" s="715" t="n"/>
      <c r="BK211" s="715" t="n"/>
      <c r="BL211" s="715" t="n"/>
      <c r="BM211" s="715" t="n"/>
    </row>
    <row r="212">
      <c r="A212" s="715" t="n"/>
      <c r="B212" s="715" t="n"/>
      <c r="C212" s="715" t="n"/>
      <c r="D212" s="715" t="n"/>
      <c r="E212" s="715" t="n"/>
      <c r="F212" s="715" t="n"/>
      <c r="G212" s="715" t="n"/>
      <c r="H212" s="715" t="n"/>
      <c r="I212" s="715" t="n"/>
      <c r="J212" s="715" t="n"/>
      <c r="K212" s="715" t="n"/>
      <c r="L212" s="715" t="n"/>
      <c r="M212" s="715" t="n"/>
      <c r="N212" s="715" t="n"/>
      <c r="O212" s="715" t="n"/>
      <c r="P212" s="715" t="n"/>
      <c r="Q212" s="715" t="n"/>
      <c r="R212" s="715" t="n"/>
      <c r="S212" s="715" t="n"/>
      <c r="T212" s="715" t="n"/>
      <c r="U212" s="715" t="n"/>
      <c r="V212" s="715" t="n"/>
      <c r="W212" s="715" t="n"/>
      <c r="X212" s="715" t="n"/>
      <c r="Y212" s="715" t="n"/>
      <c r="Z212" s="715" t="n"/>
      <c r="AA212" s="715" t="n"/>
      <c r="AB212" s="715" t="n"/>
      <c r="AC212" s="715" t="n"/>
      <c r="AD212" s="715" t="n"/>
      <c r="AE212" s="715" t="n"/>
      <c r="AF212" s="715" t="n"/>
      <c r="AG212" s="715" t="n"/>
      <c r="AH212" s="715" t="n"/>
      <c r="AI212" s="715" t="n"/>
      <c r="AJ212" s="715" t="n"/>
      <c r="AK212" s="715" t="n"/>
      <c r="AL212" s="715" t="n"/>
      <c r="AM212" s="715" t="n"/>
      <c r="AN212" s="715" t="n"/>
      <c r="AO212" s="715" t="n"/>
      <c r="AP212" s="715" t="n"/>
      <c r="AQ212" s="715" t="n"/>
      <c r="AR212" s="715" t="n"/>
      <c r="AS212" s="715" t="n"/>
      <c r="AT212" s="715" t="n"/>
      <c r="AU212" s="715" t="n"/>
      <c r="AV212" s="715" t="n"/>
      <c r="AW212" s="715" t="n"/>
      <c r="AX212" s="715" t="n"/>
      <c r="AY212" s="715" t="n"/>
      <c r="AZ212" s="715" t="n"/>
      <c r="BA212" s="715" t="n"/>
      <c r="BB212" s="715" t="n"/>
      <c r="BC212" s="715" t="n"/>
      <c r="BD212" s="715" t="n"/>
      <c r="BE212" s="715" t="n"/>
      <c r="BF212" s="715" t="n"/>
      <c r="BG212" s="715" t="n"/>
      <c r="BH212" s="715" t="n"/>
      <c r="BI212" s="715" t="n"/>
      <c r="BJ212" s="715" t="n"/>
      <c r="BK212" s="715" t="n"/>
      <c r="BL212" s="715" t="n"/>
      <c r="BM212" s="715" t="n"/>
    </row>
    <row r="213">
      <c r="A213" s="715" t="n"/>
      <c r="B213" s="715" t="n"/>
      <c r="C213" s="715" t="n"/>
      <c r="D213" s="715" t="n"/>
      <c r="E213" s="715" t="n"/>
      <c r="F213" s="715" t="n"/>
      <c r="G213" s="715" t="n"/>
      <c r="H213" s="715" t="n"/>
      <c r="I213" s="715" t="n"/>
      <c r="J213" s="715" t="n"/>
      <c r="K213" s="715" t="n"/>
      <c r="L213" s="715" t="n"/>
      <c r="M213" s="715" t="n"/>
      <c r="N213" s="715" t="n"/>
      <c r="O213" s="715" t="n"/>
      <c r="P213" s="715" t="n"/>
      <c r="Q213" s="715" t="n"/>
      <c r="R213" s="715" t="n"/>
      <c r="S213" s="715" t="n"/>
      <c r="T213" s="715" t="n"/>
      <c r="U213" s="715" t="n"/>
      <c r="V213" s="715" t="n"/>
      <c r="W213" s="715" t="n"/>
      <c r="X213" s="715" t="n"/>
      <c r="Y213" s="715" t="n"/>
      <c r="Z213" s="715" t="n"/>
      <c r="AA213" s="715" t="n"/>
      <c r="AB213" s="715" t="n"/>
      <c r="AC213" s="715" t="n"/>
      <c r="AD213" s="715" t="n"/>
      <c r="AE213" s="715" t="n"/>
      <c r="AF213" s="715" t="n"/>
      <c r="AG213" s="715" t="n"/>
      <c r="AH213" s="715" t="n"/>
      <c r="AI213" s="715" t="n"/>
      <c r="AJ213" s="715" t="n"/>
      <c r="AK213" s="715" t="n"/>
      <c r="AL213" s="715" t="n"/>
      <c r="AM213" s="715" t="n"/>
      <c r="AN213" s="715" t="n"/>
      <c r="AO213" s="715" t="n"/>
      <c r="AP213" s="715" t="n"/>
      <c r="AQ213" s="715" t="n"/>
      <c r="AR213" s="715" t="n"/>
      <c r="AS213" s="715" t="n"/>
      <c r="AT213" s="715" t="n"/>
      <c r="AU213" s="715" t="n"/>
      <c r="AV213" s="715" t="n"/>
      <c r="AW213" s="715" t="n"/>
      <c r="AX213" s="715" t="n"/>
      <c r="AY213" s="715" t="n"/>
      <c r="AZ213" s="715" t="n"/>
      <c r="BA213" s="715" t="n"/>
      <c r="BB213" s="715" t="n"/>
      <c r="BC213" s="715" t="n"/>
      <c r="BD213" s="715" t="n"/>
      <c r="BE213" s="715" t="n"/>
      <c r="BF213" s="715" t="n"/>
      <c r="BG213" s="715" t="n"/>
      <c r="BH213" s="715" t="n"/>
      <c r="BI213" s="715" t="n"/>
      <c r="BJ213" s="715" t="n"/>
      <c r="BK213" s="715" t="n"/>
      <c r="BL213" s="715" t="n"/>
      <c r="BM213" s="715" t="n"/>
    </row>
    <row r="214">
      <c r="A214" s="715" t="n"/>
      <c r="B214" s="715" t="n"/>
      <c r="C214" s="715" t="n"/>
      <c r="D214" s="715" t="n"/>
      <c r="E214" s="715" t="n"/>
      <c r="F214" s="715" t="n"/>
      <c r="G214" s="715" t="n"/>
      <c r="H214" s="715" t="n"/>
      <c r="I214" s="715" t="n"/>
      <c r="J214" s="715" t="n"/>
      <c r="K214" s="715" t="n"/>
      <c r="L214" s="715" t="n"/>
      <c r="M214" s="715" t="n"/>
      <c r="N214" s="715" t="n"/>
      <c r="O214" s="715" t="n"/>
      <c r="P214" s="715" t="n"/>
      <c r="Q214" s="715" t="n"/>
      <c r="R214" s="715" t="n"/>
      <c r="S214" s="715" t="n"/>
      <c r="T214" s="715" t="n"/>
      <c r="U214" s="715" t="n"/>
      <c r="V214" s="715" t="n"/>
      <c r="W214" s="715" t="n"/>
      <c r="X214" s="715" t="n"/>
      <c r="Y214" s="715" t="n"/>
      <c r="Z214" s="715" t="n"/>
      <c r="AA214" s="715" t="n"/>
      <c r="AB214" s="715" t="n"/>
      <c r="AC214" s="715" t="n"/>
      <c r="AD214" s="715" t="n"/>
      <c r="AE214" s="715" t="n"/>
      <c r="AF214" s="715" t="n"/>
      <c r="AG214" s="715" t="n"/>
      <c r="AH214" s="715" t="n"/>
      <c r="AI214" s="715" t="n"/>
      <c r="AJ214" s="715" t="n"/>
      <c r="AK214" s="715" t="n"/>
      <c r="AL214" s="715" t="n"/>
      <c r="AM214" s="715" t="n"/>
      <c r="AN214" s="715" t="n"/>
      <c r="AO214" s="715" t="n"/>
      <c r="AP214" s="715" t="n"/>
      <c r="AQ214" s="715" t="n"/>
      <c r="AR214" s="715" t="n"/>
      <c r="AS214" s="715" t="n"/>
      <c r="AT214" s="715" t="n"/>
      <c r="AU214" s="715" t="n"/>
      <c r="AV214" s="715" t="n"/>
      <c r="AW214" s="715" t="n"/>
      <c r="AX214" s="715" t="n"/>
      <c r="AY214" s="715" t="n"/>
      <c r="AZ214" s="715" t="n"/>
      <c r="BA214" s="715" t="n"/>
      <c r="BB214" s="715" t="n"/>
      <c r="BC214" s="715" t="n"/>
      <c r="BD214" s="715" t="n"/>
      <c r="BE214" s="715" t="n"/>
      <c r="BF214" s="715" t="n"/>
      <c r="BG214" s="715" t="n"/>
      <c r="BH214" s="715" t="n"/>
      <c r="BI214" s="715" t="n"/>
      <c r="BJ214" s="715" t="n"/>
      <c r="BK214" s="715" t="n"/>
      <c r="BL214" s="715" t="n"/>
      <c r="BM214" s="715" t="n"/>
    </row>
    <row r="215">
      <c r="A215" s="715" t="n"/>
      <c r="B215" s="715" t="n"/>
      <c r="C215" s="715" t="n"/>
      <c r="D215" s="715" t="n"/>
      <c r="E215" s="715" t="n"/>
      <c r="F215" s="715" t="n"/>
      <c r="G215" s="715" t="n"/>
      <c r="H215" s="715" t="n"/>
      <c r="I215" s="715" t="n"/>
      <c r="J215" s="715" t="n"/>
      <c r="K215" s="715" t="n"/>
      <c r="L215" s="715" t="n"/>
      <c r="M215" s="715" t="n"/>
      <c r="N215" s="715" t="n"/>
      <c r="O215" s="715" t="n"/>
      <c r="P215" s="715" t="n"/>
      <c r="Q215" s="715" t="n"/>
      <c r="R215" s="715" t="n"/>
      <c r="S215" s="715" t="n"/>
      <c r="T215" s="715" t="n"/>
      <c r="U215" s="715" t="n"/>
      <c r="V215" s="715" t="n"/>
      <c r="W215" s="715" t="n"/>
      <c r="X215" s="715" t="n"/>
      <c r="Y215" s="715" t="n"/>
      <c r="Z215" s="715" t="n"/>
      <c r="AA215" s="715" t="n"/>
      <c r="AB215" s="715" t="n"/>
      <c r="AC215" s="715" t="n"/>
      <c r="AD215" s="715" t="n"/>
      <c r="AE215" s="715" t="n"/>
      <c r="AF215" s="715" t="n"/>
      <c r="AG215" s="715" t="n"/>
      <c r="AH215" s="715" t="n"/>
      <c r="AI215" s="715" t="n"/>
      <c r="AJ215" s="715" t="n"/>
      <c r="AK215" s="715" t="n"/>
      <c r="AL215" s="715" t="n"/>
      <c r="AM215" s="715" t="n"/>
      <c r="AN215" s="715" t="n"/>
      <c r="AO215" s="715" t="n"/>
      <c r="AP215" s="715" t="n"/>
      <c r="AQ215" s="715" t="n"/>
      <c r="AR215" s="715" t="n"/>
      <c r="AS215" s="715" t="n"/>
      <c r="AT215" s="715" t="n"/>
      <c r="AU215" s="715" t="n"/>
      <c r="AV215" s="715" t="n"/>
      <c r="AW215" s="715" t="n"/>
      <c r="AX215" s="715" t="n"/>
      <c r="AY215" s="715" t="n"/>
      <c r="AZ215" s="715" t="n"/>
      <c r="BA215" s="715" t="n"/>
      <c r="BB215" s="715" t="n"/>
      <c r="BC215" s="715" t="n"/>
      <c r="BD215" s="715" t="n"/>
      <c r="BE215" s="715" t="n"/>
      <c r="BF215" s="715" t="n"/>
      <c r="BG215" s="715" t="n"/>
      <c r="BH215" s="715" t="n"/>
      <c r="BI215" s="715" t="n"/>
      <c r="BJ215" s="715" t="n"/>
      <c r="BK215" s="715" t="n"/>
      <c r="BL215" s="715" t="n"/>
      <c r="BM215" s="715" t="n"/>
    </row>
    <row r="216">
      <c r="A216" s="715" t="n"/>
      <c r="B216" s="715" t="n"/>
      <c r="C216" s="715" t="n"/>
      <c r="D216" s="715" t="n"/>
      <c r="E216" s="715" t="n"/>
      <c r="F216" s="715" t="n"/>
      <c r="G216" s="715" t="n"/>
      <c r="H216" s="715" t="n"/>
      <c r="I216" s="715" t="n"/>
      <c r="J216" s="715" t="n"/>
      <c r="K216" s="715" t="n"/>
      <c r="L216" s="715" t="n"/>
      <c r="M216" s="715" t="n"/>
      <c r="N216" s="715" t="n"/>
      <c r="O216" s="715" t="n"/>
      <c r="P216" s="715" t="n"/>
      <c r="Q216" s="715" t="n"/>
      <c r="R216" s="715" t="n"/>
      <c r="S216" s="715" t="n"/>
      <c r="T216" s="715" t="n"/>
      <c r="U216" s="715" t="n"/>
      <c r="V216" s="715" t="n"/>
      <c r="W216" s="715" t="n"/>
      <c r="X216" s="715" t="n"/>
      <c r="Y216" s="715" t="n"/>
      <c r="Z216" s="715" t="n"/>
      <c r="AA216" s="715" t="n"/>
      <c r="AB216" s="715" t="n"/>
      <c r="AC216" s="715" t="n"/>
      <c r="AD216" s="715" t="n"/>
      <c r="AE216" s="715" t="n"/>
      <c r="AF216" s="715" t="n"/>
      <c r="AG216" s="715" t="n"/>
      <c r="AH216" s="715" t="n"/>
      <c r="AI216" s="715" t="n"/>
      <c r="AJ216" s="715" t="n"/>
      <c r="AK216" s="715" t="n"/>
      <c r="AL216" s="715" t="n"/>
      <c r="AM216" s="715" t="n"/>
      <c r="AN216" s="715" t="n"/>
      <c r="AO216" s="715" t="n"/>
      <c r="AP216" s="715" t="n"/>
      <c r="AQ216" s="715" t="n"/>
      <c r="AR216" s="715" t="n"/>
      <c r="AS216" s="715" t="n"/>
      <c r="AT216" s="715" t="n"/>
      <c r="AU216" s="715" t="n"/>
      <c r="AV216" s="715" t="n"/>
      <c r="AW216" s="715" t="n"/>
      <c r="AX216" s="715" t="n"/>
      <c r="AY216" s="715" t="n"/>
      <c r="AZ216" s="715" t="n"/>
      <c r="BA216" s="715" t="n"/>
      <c r="BB216" s="715" t="n"/>
      <c r="BC216" s="715" t="n"/>
      <c r="BD216" s="715" t="n"/>
      <c r="BE216" s="715" t="n"/>
      <c r="BF216" s="715" t="n"/>
      <c r="BG216" s="715" t="n"/>
      <c r="BH216" s="715" t="n"/>
      <c r="BI216" s="715" t="n"/>
      <c r="BJ216" s="715" t="n"/>
      <c r="BK216" s="715" t="n"/>
      <c r="BL216" s="715" t="n"/>
      <c r="BM216" s="715" t="n"/>
    </row>
    <row r="217">
      <c r="A217" s="715" t="n"/>
      <c r="B217" s="715" t="n"/>
      <c r="C217" s="715" t="n"/>
      <c r="D217" s="715" t="n"/>
      <c r="E217" s="715" t="n"/>
      <c r="F217" s="715" t="n"/>
      <c r="G217" s="715" t="n"/>
      <c r="H217" s="715" t="n"/>
      <c r="I217" s="715" t="n"/>
      <c r="J217" s="715" t="n"/>
      <c r="K217" s="715" t="n"/>
      <c r="L217" s="715" t="n"/>
      <c r="M217" s="715" t="n"/>
      <c r="N217" s="715" t="n"/>
      <c r="O217" s="715" t="n"/>
      <c r="P217" s="715" t="n"/>
      <c r="Q217" s="715" t="n"/>
      <c r="R217" s="715" t="n"/>
      <c r="S217" s="715" t="n"/>
      <c r="T217" s="715" t="n"/>
      <c r="U217" s="715" t="n"/>
      <c r="V217" s="715" t="n"/>
      <c r="W217" s="715" t="n"/>
      <c r="X217" s="715" t="n"/>
      <c r="Y217" s="715" t="n"/>
      <c r="Z217" s="715" t="n"/>
      <c r="AA217" s="715" t="n"/>
      <c r="AB217" s="715" t="n"/>
      <c r="AC217" s="715" t="n"/>
      <c r="AD217" s="715" t="n"/>
      <c r="AE217" s="715" t="n"/>
      <c r="AF217" s="715" t="n"/>
      <c r="AG217" s="715" t="n"/>
      <c r="AH217" s="715" t="n"/>
      <c r="AI217" s="715" t="n"/>
      <c r="AJ217" s="715" t="n"/>
      <c r="AK217" s="715" t="n"/>
      <c r="AL217" s="715" t="n"/>
      <c r="AM217" s="715" t="n"/>
      <c r="AN217" s="715" t="n"/>
      <c r="AO217" s="715" t="n"/>
      <c r="AP217" s="715" t="n"/>
      <c r="AQ217" s="715" t="n"/>
      <c r="AR217" s="715" t="n"/>
      <c r="AS217" s="715" t="n"/>
      <c r="AT217" s="715" t="n"/>
      <c r="AU217" s="715" t="n"/>
      <c r="AV217" s="715" t="n"/>
      <c r="AW217" s="715" t="n"/>
      <c r="AX217" s="715" t="n"/>
      <c r="AY217" s="715" t="n"/>
      <c r="AZ217" s="715" t="n"/>
      <c r="BA217" s="715" t="n"/>
      <c r="BB217" s="715" t="n"/>
      <c r="BC217" s="715" t="n"/>
      <c r="BD217" s="715" t="n"/>
      <c r="BE217" s="715" t="n"/>
      <c r="BF217" s="715" t="n"/>
      <c r="BG217" s="715" t="n"/>
      <c r="BH217" s="715" t="n"/>
      <c r="BI217" s="715" t="n"/>
      <c r="BJ217" s="715" t="n"/>
      <c r="BK217" s="715" t="n"/>
      <c r="BL217" s="715" t="n"/>
      <c r="BM217" s="715" t="n"/>
    </row>
    <row r="218">
      <c r="A218" s="715" t="n"/>
      <c r="B218" s="715" t="n"/>
      <c r="C218" s="715" t="n"/>
      <c r="D218" s="715" t="n"/>
      <c r="E218" s="715" t="n"/>
      <c r="F218" s="715" t="n"/>
      <c r="G218" s="715" t="n"/>
      <c r="H218" s="715" t="n"/>
      <c r="I218" s="715" t="n"/>
      <c r="J218" s="715" t="n"/>
      <c r="K218" s="715" t="n"/>
      <c r="L218" s="715" t="n"/>
      <c r="M218" s="715" t="n"/>
      <c r="N218" s="715" t="n"/>
      <c r="O218" s="715" t="n"/>
      <c r="P218" s="715" t="n"/>
      <c r="Q218" s="715" t="n"/>
      <c r="R218" s="715" t="n"/>
      <c r="S218" s="715" t="n"/>
      <c r="T218" s="715" t="n"/>
      <c r="U218" s="715" t="n"/>
      <c r="V218" s="715" t="n"/>
      <c r="W218" s="715" t="n"/>
      <c r="X218" s="715" t="n"/>
      <c r="Y218" s="715" t="n"/>
      <c r="Z218" s="715" t="n"/>
      <c r="AA218" s="715" t="n"/>
      <c r="AB218" s="715" t="n"/>
      <c r="AC218" s="715" t="n"/>
      <c r="AD218" s="715" t="n"/>
      <c r="AE218" s="715" t="n"/>
      <c r="AF218" s="715" t="n"/>
      <c r="AG218" s="715" t="n"/>
      <c r="AH218" s="715" t="n"/>
      <c r="AI218" s="715" t="n"/>
      <c r="AJ218" s="715" t="n"/>
      <c r="AK218" s="715" t="n"/>
      <c r="AL218" s="715" t="n"/>
      <c r="AM218" s="715" t="n"/>
      <c r="AN218" s="715" t="n"/>
      <c r="AO218" s="715" t="n"/>
      <c r="AP218" s="715" t="n"/>
      <c r="AQ218" s="715" t="n"/>
      <c r="AR218" s="715" t="n"/>
      <c r="AS218" s="715" t="n"/>
      <c r="AT218" s="715" t="n"/>
      <c r="AU218" s="715" t="n"/>
      <c r="AV218" s="715" t="n"/>
      <c r="AW218" s="715" t="n"/>
      <c r="AX218" s="715" t="n"/>
      <c r="AY218" s="715" t="n"/>
      <c r="AZ218" s="715" t="n"/>
      <c r="BA218" s="715" t="n"/>
      <c r="BB218" s="715" t="n"/>
      <c r="BC218" s="715" t="n"/>
      <c r="BD218" s="715" t="n"/>
      <c r="BE218" s="715" t="n"/>
      <c r="BF218" s="715" t="n"/>
      <c r="BG218" s="715" t="n"/>
      <c r="BH218" s="715" t="n"/>
      <c r="BI218" s="715" t="n"/>
      <c r="BJ218" s="715" t="n"/>
      <c r="BK218" s="715" t="n"/>
      <c r="BL218" s="715" t="n"/>
      <c r="BM218" s="715" t="n"/>
    </row>
    <row r="219">
      <c r="A219" s="715" t="n"/>
      <c r="B219" s="715" t="n"/>
      <c r="C219" s="715" t="n"/>
      <c r="D219" s="715" t="n"/>
      <c r="E219" s="715" t="n"/>
      <c r="F219" s="715" t="n"/>
      <c r="G219" s="715" t="n"/>
      <c r="H219" s="715" t="n"/>
      <c r="I219" s="715" t="n"/>
      <c r="J219" s="715" t="n"/>
      <c r="K219" s="715" t="n"/>
      <c r="L219" s="715" t="n"/>
      <c r="M219" s="715" t="n"/>
      <c r="N219" s="715" t="n"/>
      <c r="O219" s="715" t="n"/>
      <c r="P219" s="715" t="n"/>
      <c r="Q219" s="715" t="n"/>
      <c r="R219" s="715" t="n"/>
      <c r="S219" s="715" t="n"/>
      <c r="T219" s="715" t="n"/>
      <c r="U219" s="715" t="n"/>
      <c r="V219" s="715" t="n"/>
      <c r="W219" s="715" t="n"/>
      <c r="X219" s="715" t="n"/>
      <c r="Y219" s="715" t="n"/>
      <c r="Z219" s="715" t="n"/>
      <c r="AA219" s="715" t="n"/>
      <c r="AB219" s="715" t="n"/>
      <c r="AC219" s="715" t="n"/>
      <c r="AD219" s="715" t="n"/>
      <c r="AE219" s="715" t="n"/>
      <c r="AF219" s="715" t="n"/>
      <c r="AG219" s="715" t="n"/>
      <c r="AH219" s="715" t="n"/>
      <c r="AI219" s="715" t="n"/>
      <c r="AJ219" s="715" t="n"/>
      <c r="AK219" s="715" t="n"/>
      <c r="AL219" s="715" t="n"/>
      <c r="AM219" s="715" t="n"/>
      <c r="AN219" s="715" t="n"/>
      <c r="AO219" s="715" t="n"/>
      <c r="AP219" s="715" t="n"/>
      <c r="AQ219" s="715" t="n"/>
      <c r="AR219" s="715" t="n"/>
      <c r="AS219" s="715" t="n"/>
      <c r="AT219" s="715" t="n"/>
      <c r="AU219" s="715" t="n"/>
      <c r="AV219" s="715" t="n"/>
      <c r="AW219" s="715" t="n"/>
      <c r="AX219" s="715" t="n"/>
      <c r="AY219" s="715" t="n"/>
      <c r="AZ219" s="715" t="n"/>
      <c r="BA219" s="715" t="n"/>
      <c r="BB219" s="715" t="n"/>
      <c r="BC219" s="715" t="n"/>
      <c r="BD219" s="715" t="n"/>
      <c r="BE219" s="715" t="n"/>
      <c r="BF219" s="715" t="n"/>
      <c r="BG219" s="715" t="n"/>
      <c r="BH219" s="715" t="n"/>
      <c r="BI219" s="715" t="n"/>
      <c r="BJ219" s="715" t="n"/>
      <c r="BK219" s="715" t="n"/>
      <c r="BL219" s="715" t="n"/>
      <c r="BM219" s="715" t="n"/>
    </row>
    <row r="220">
      <c r="A220" s="715" t="n"/>
      <c r="B220" s="715" t="n"/>
      <c r="C220" s="715" t="n"/>
      <c r="D220" s="715" t="n"/>
      <c r="E220" s="715" t="n"/>
      <c r="F220" s="715" t="n"/>
      <c r="G220" s="715" t="n"/>
      <c r="H220" s="715" t="n"/>
      <c r="I220" s="715" t="n"/>
      <c r="J220" s="715" t="n"/>
      <c r="K220" s="715" t="n"/>
      <c r="L220" s="715" t="n"/>
      <c r="M220" s="715" t="n"/>
      <c r="N220" s="715" t="n"/>
      <c r="O220" s="715" t="n"/>
      <c r="P220" s="715" t="n"/>
      <c r="Q220" s="715" t="n"/>
      <c r="R220" s="715" t="n"/>
      <c r="S220" s="715" t="n"/>
      <c r="T220" s="715" t="n"/>
      <c r="U220" s="715" t="n"/>
      <c r="V220" s="715" t="n"/>
      <c r="W220" s="715" t="n"/>
      <c r="X220" s="715" t="n"/>
      <c r="Y220" s="715" t="n"/>
      <c r="Z220" s="715" t="n"/>
      <c r="AA220" s="715" t="n"/>
      <c r="AB220" s="715" t="n"/>
      <c r="AC220" s="715" t="n"/>
      <c r="AD220" s="715" t="n"/>
      <c r="AE220" s="715" t="n"/>
      <c r="AF220" s="715" t="n"/>
      <c r="AG220" s="715" t="n"/>
      <c r="AH220" s="715" t="n"/>
      <c r="AI220" s="715" t="n"/>
      <c r="AJ220" s="715" t="n"/>
      <c r="AK220" s="715" t="n"/>
      <c r="AL220" s="715" t="n"/>
      <c r="AM220" s="715" t="n"/>
      <c r="AN220" s="715" t="n"/>
      <c r="AO220" s="715" t="n"/>
      <c r="AP220" s="715" t="n"/>
      <c r="AQ220" s="715" t="n"/>
      <c r="AR220" s="715" t="n"/>
      <c r="AS220" s="715" t="n"/>
      <c r="AT220" s="715" t="n"/>
      <c r="AU220" s="715" t="n"/>
      <c r="AV220" s="715" t="n"/>
      <c r="AW220" s="715" t="n"/>
      <c r="AX220" s="715" t="n"/>
      <c r="AY220" s="715" t="n"/>
      <c r="AZ220" s="715" t="n"/>
      <c r="BA220" s="715" t="n"/>
      <c r="BB220" s="715" t="n"/>
      <c r="BC220" s="715" t="n"/>
      <c r="BD220" s="715" t="n"/>
      <c r="BE220" s="715" t="n"/>
      <c r="BF220" s="715" t="n"/>
      <c r="BG220" s="715" t="n"/>
      <c r="BH220" s="715" t="n"/>
      <c r="BI220" s="715" t="n"/>
      <c r="BJ220" s="715" t="n"/>
      <c r="BK220" s="715" t="n"/>
      <c r="BL220" s="715" t="n"/>
      <c r="BM220" s="715" t="n"/>
    </row>
    <row r="221">
      <c r="A221" s="715" t="n"/>
      <c r="B221" s="715" t="n"/>
      <c r="C221" s="715" t="n"/>
      <c r="D221" s="715" t="n"/>
      <c r="E221" s="715" t="n"/>
      <c r="F221" s="715" t="n"/>
      <c r="G221" s="715" t="n"/>
      <c r="H221" s="715" t="n"/>
      <c r="I221" s="715" t="n"/>
      <c r="J221" s="715" t="n"/>
      <c r="K221" s="715" t="n"/>
      <c r="L221" s="715" t="n"/>
      <c r="M221" s="715" t="n"/>
      <c r="N221" s="715" t="n"/>
      <c r="O221" s="715" t="n"/>
      <c r="P221" s="715" t="n"/>
      <c r="Q221" s="715" t="n"/>
      <c r="R221" s="715" t="n"/>
      <c r="S221" s="715" t="n"/>
      <c r="T221" s="715" t="n"/>
      <c r="U221" s="715" t="n"/>
      <c r="V221" s="715" t="n"/>
      <c r="W221" s="715" t="n"/>
      <c r="X221" s="715" t="n"/>
      <c r="Y221" s="715" t="n"/>
      <c r="Z221" s="715" t="n"/>
      <c r="AA221" s="715" t="n"/>
      <c r="AB221" s="715" t="n"/>
      <c r="AC221" s="715" t="n"/>
      <c r="AD221" s="715" t="n"/>
      <c r="AE221" s="715" t="n"/>
      <c r="AF221" s="715" t="n"/>
      <c r="AG221" s="715" t="n"/>
      <c r="AH221" s="715" t="n"/>
      <c r="AI221" s="715" t="n"/>
      <c r="AJ221" s="715" t="n"/>
      <c r="AK221" s="715" t="n"/>
      <c r="AL221" s="715" t="n"/>
      <c r="AM221" s="715" t="n"/>
      <c r="AN221" s="715" t="n"/>
      <c r="AO221" s="715" t="n"/>
      <c r="AP221" s="715" t="n"/>
      <c r="AQ221" s="715" t="n"/>
      <c r="AR221" s="715" t="n"/>
      <c r="AS221" s="715" t="n"/>
      <c r="AT221" s="715" t="n"/>
      <c r="AU221" s="715" t="n"/>
      <c r="AV221" s="715" t="n"/>
      <c r="AW221" s="715" t="n"/>
      <c r="AX221" s="715" t="n"/>
      <c r="AY221" s="715" t="n"/>
      <c r="AZ221" s="715" t="n"/>
      <c r="BA221" s="715" t="n"/>
      <c r="BB221" s="715" t="n"/>
      <c r="BC221" s="715" t="n"/>
      <c r="BD221" s="715" t="n"/>
      <c r="BE221" s="715" t="n"/>
      <c r="BF221" s="715" t="n"/>
      <c r="BG221" s="715" t="n"/>
      <c r="BH221" s="715" t="n"/>
      <c r="BI221" s="715" t="n"/>
      <c r="BJ221" s="715" t="n"/>
      <c r="BK221" s="715" t="n"/>
      <c r="BL221" s="715" t="n"/>
      <c r="BM221" s="715" t="n"/>
    </row>
    <row r="222">
      <c r="A222" s="715" t="n"/>
      <c r="B222" s="715" t="n"/>
      <c r="C222" s="715" t="n"/>
      <c r="D222" s="715" t="n"/>
      <c r="E222" s="715" t="n"/>
      <c r="F222" s="715" t="n"/>
      <c r="G222" s="715" t="n"/>
      <c r="H222" s="715" t="n"/>
      <c r="I222" s="715" t="n"/>
      <c r="J222" s="715" t="n"/>
      <c r="K222" s="715" t="n"/>
      <c r="L222" s="715" t="n"/>
      <c r="M222" s="715" t="n"/>
      <c r="N222" s="715" t="n"/>
      <c r="O222" s="715" t="n"/>
      <c r="P222" s="715" t="n"/>
      <c r="Q222" s="715" t="n"/>
      <c r="R222" s="715" t="n"/>
      <c r="S222" s="715" t="n"/>
      <c r="T222" s="715" t="n"/>
      <c r="U222" s="715" t="n"/>
      <c r="V222" s="715" t="n"/>
      <c r="W222" s="715" t="n"/>
      <c r="X222" s="715" t="n"/>
      <c r="Y222" s="715" t="n"/>
      <c r="Z222" s="715" t="n"/>
      <c r="AA222" s="715" t="n"/>
      <c r="AB222" s="715" t="n"/>
      <c r="AC222" s="715" t="n"/>
      <c r="AD222" s="715" t="n"/>
      <c r="AE222" s="715" t="n"/>
      <c r="AF222" s="715" t="n"/>
      <c r="AG222" s="715" t="n"/>
      <c r="AH222" s="715" t="n"/>
      <c r="AI222" s="715" t="n"/>
      <c r="AJ222" s="715" t="n"/>
      <c r="AK222" s="715" t="n"/>
      <c r="AL222" s="715" t="n"/>
      <c r="AM222" s="715" t="n"/>
      <c r="AN222" s="715" t="n"/>
      <c r="AO222" s="715" t="n"/>
      <c r="AP222" s="715" t="n"/>
      <c r="AQ222" s="715" t="n"/>
      <c r="AR222" s="715" t="n"/>
      <c r="AS222" s="715" t="n"/>
      <c r="AT222" s="715" t="n"/>
      <c r="AU222" s="715" t="n"/>
      <c r="AV222" s="715" t="n"/>
      <c r="AW222" s="715" t="n"/>
      <c r="AX222" s="715" t="n"/>
      <c r="AY222" s="715" t="n"/>
      <c r="AZ222" s="715" t="n"/>
      <c r="BA222" s="715" t="n"/>
      <c r="BB222" s="715" t="n"/>
      <c r="BC222" s="715" t="n"/>
      <c r="BD222" s="715" t="n"/>
      <c r="BE222" s="715" t="n"/>
      <c r="BF222" s="715" t="n"/>
      <c r="BG222" s="715" t="n"/>
      <c r="BH222" s="715" t="n"/>
      <c r="BI222" s="715" t="n"/>
      <c r="BJ222" s="715" t="n"/>
      <c r="BK222" s="715" t="n"/>
      <c r="BL222" s="715" t="n"/>
      <c r="BM222" s="715" t="n"/>
    </row>
    <row r="223">
      <c r="A223" s="715" t="n"/>
      <c r="B223" s="715" t="n"/>
      <c r="C223" s="715" t="n"/>
      <c r="D223" s="715" t="n"/>
      <c r="E223" s="715" t="n"/>
      <c r="F223" s="715" t="n"/>
      <c r="G223" s="715" t="n"/>
      <c r="H223" s="715" t="n"/>
      <c r="I223" s="715" t="n"/>
      <c r="J223" s="715" t="n"/>
      <c r="K223" s="715" t="n"/>
      <c r="L223" s="715" t="n"/>
      <c r="M223" s="715" t="n"/>
      <c r="N223" s="715" t="n"/>
      <c r="O223" s="715" t="n"/>
      <c r="P223" s="715" t="n"/>
      <c r="Q223" s="715" t="n"/>
      <c r="R223" s="715" t="n"/>
      <c r="S223" s="715" t="n"/>
      <c r="T223" s="715" t="n"/>
      <c r="U223" s="715" t="n"/>
      <c r="V223" s="715" t="n"/>
      <c r="W223" s="715" t="n"/>
      <c r="X223" s="715" t="n"/>
      <c r="Y223" s="715" t="n"/>
      <c r="Z223" s="715" t="n"/>
      <c r="AA223" s="715" t="n"/>
      <c r="AB223" s="715" t="n"/>
      <c r="AC223" s="715" t="n"/>
      <c r="AD223" s="715" t="n"/>
      <c r="AE223" s="715" t="n"/>
      <c r="AF223" s="715" t="n"/>
      <c r="AG223" s="715" t="n"/>
      <c r="AH223" s="715" t="n"/>
      <c r="AI223" s="715" t="n"/>
      <c r="AJ223" s="715" t="n"/>
      <c r="AK223" s="715" t="n"/>
      <c r="AL223" s="715" t="n"/>
      <c r="AM223" s="715" t="n"/>
      <c r="AN223" s="715" t="n"/>
      <c r="AO223" s="715" t="n"/>
      <c r="AP223" s="715" t="n"/>
      <c r="AQ223" s="715" t="n"/>
      <c r="AR223" s="715" t="n"/>
      <c r="AS223" s="715" t="n"/>
      <c r="AT223" s="715" t="n"/>
      <c r="AU223" s="715" t="n"/>
      <c r="AV223" s="715" t="n"/>
      <c r="AW223" s="715" t="n"/>
      <c r="AX223" s="715" t="n"/>
      <c r="AY223" s="715" t="n"/>
      <c r="AZ223" s="715" t="n"/>
      <c r="BA223" s="715" t="n"/>
      <c r="BB223" s="715" t="n"/>
      <c r="BC223" s="715" t="n"/>
      <c r="BD223" s="715" t="n"/>
      <c r="BE223" s="715" t="n"/>
      <c r="BF223" s="715" t="n"/>
      <c r="BG223" s="715" t="n"/>
      <c r="BH223" s="715" t="n"/>
      <c r="BI223" s="715" t="n"/>
      <c r="BJ223" s="715" t="n"/>
      <c r="BK223" s="715" t="n"/>
      <c r="BL223" s="715" t="n"/>
      <c r="BM223" s="715" t="n"/>
    </row>
    <row r="224">
      <c r="A224" s="715" t="n"/>
      <c r="B224" s="715" t="n"/>
      <c r="C224" s="715" t="n"/>
      <c r="D224" s="715" t="n"/>
      <c r="E224" s="715" t="n"/>
      <c r="F224" s="715" t="n"/>
      <c r="G224" s="715" t="n"/>
      <c r="H224" s="715" t="n"/>
      <c r="I224" s="715" t="n"/>
      <c r="J224" s="715" t="n"/>
      <c r="K224" s="715" t="n"/>
      <c r="L224" s="715" t="n"/>
      <c r="M224" s="715" t="n"/>
      <c r="N224" s="715" t="n"/>
      <c r="O224" s="715" t="n"/>
      <c r="P224" s="715" t="n"/>
      <c r="Q224" s="715" t="n"/>
      <c r="R224" s="715" t="n"/>
      <c r="S224" s="715" t="n"/>
      <c r="T224" s="715" t="n"/>
      <c r="U224" s="715" t="n"/>
      <c r="V224" s="715" t="n"/>
      <c r="W224" s="715" t="n"/>
      <c r="X224" s="715" t="n"/>
      <c r="Y224" s="715" t="n"/>
      <c r="Z224" s="715" t="n"/>
      <c r="AA224" s="715" t="n"/>
      <c r="AB224" s="715" t="n"/>
      <c r="AC224" s="715" t="n"/>
      <c r="AD224" s="715" t="n"/>
      <c r="AE224" s="715" t="n"/>
      <c r="AF224" s="715" t="n"/>
      <c r="AG224" s="715" t="n"/>
      <c r="AH224" s="715" t="n"/>
      <c r="AI224" s="715" t="n"/>
      <c r="AJ224" s="715" t="n"/>
      <c r="AK224" s="715" t="n"/>
      <c r="AL224" s="715" t="n"/>
      <c r="AM224" s="715" t="n"/>
      <c r="AN224" s="715" t="n"/>
      <c r="AO224" s="715" t="n"/>
      <c r="AP224" s="715" t="n"/>
      <c r="AQ224" s="715" t="n"/>
      <c r="AR224" s="715" t="n"/>
      <c r="AS224" s="715" t="n"/>
      <c r="AT224" s="715" t="n"/>
      <c r="AU224" s="715" t="n"/>
      <c r="AV224" s="715" t="n"/>
      <c r="AW224" s="715" t="n"/>
      <c r="AX224" s="715" t="n"/>
      <c r="AY224" s="715" t="n"/>
      <c r="AZ224" s="715" t="n"/>
      <c r="BA224" s="715" t="n"/>
      <c r="BB224" s="715" t="n"/>
      <c r="BC224" s="715" t="n"/>
      <c r="BD224" s="715" t="n"/>
      <c r="BE224" s="715" t="n"/>
      <c r="BF224" s="715" t="n"/>
      <c r="BG224" s="715" t="n"/>
      <c r="BH224" s="715" t="n"/>
      <c r="BI224" s="715" t="n"/>
      <c r="BJ224" s="715" t="n"/>
      <c r="BK224" s="715" t="n"/>
      <c r="BL224" s="715" t="n"/>
      <c r="BM224" s="715" t="n"/>
    </row>
    <row r="225">
      <c r="A225" s="715" t="n"/>
      <c r="B225" s="715" t="n"/>
      <c r="C225" s="715" t="n"/>
      <c r="D225" s="715" t="n"/>
      <c r="E225" s="715" t="n"/>
      <c r="F225" s="715" t="n"/>
      <c r="G225" s="715" t="n"/>
      <c r="H225" s="715" t="n"/>
      <c r="I225" s="715" t="n"/>
      <c r="J225" s="715" t="n"/>
      <c r="K225" s="715" t="n"/>
      <c r="L225" s="715" t="n"/>
      <c r="M225" s="715" t="n"/>
      <c r="N225" s="715" t="n"/>
      <c r="O225" s="715" t="n"/>
      <c r="P225" s="715" t="n"/>
      <c r="Q225" s="715" t="n"/>
      <c r="R225" s="715" t="n"/>
      <c r="S225" s="715" t="n"/>
      <c r="T225" s="715" t="n"/>
      <c r="U225" s="715" t="n"/>
      <c r="V225" s="715" t="n"/>
      <c r="W225" s="715" t="n"/>
      <c r="X225" s="715" t="n"/>
      <c r="Y225" s="715" t="n"/>
      <c r="Z225" s="715" t="n"/>
      <c r="AA225" s="715" t="n"/>
      <c r="AB225" s="715" t="n"/>
      <c r="AC225" s="715" t="n"/>
      <c r="AD225" s="715" t="n"/>
      <c r="AE225" s="715" t="n"/>
      <c r="AF225" s="715" t="n"/>
      <c r="AG225" s="715" t="n"/>
      <c r="AH225" s="715" t="n"/>
      <c r="AI225" s="715" t="n"/>
      <c r="AJ225" s="715" t="n"/>
      <c r="AK225" s="715" t="n"/>
      <c r="AL225" s="715" t="n"/>
      <c r="AM225" s="715" t="n"/>
      <c r="AN225" s="715" t="n"/>
      <c r="AO225" s="715" t="n"/>
      <c r="AP225" s="715" t="n"/>
      <c r="AQ225" s="715" t="n"/>
      <c r="AR225" s="715" t="n"/>
      <c r="AS225" s="715" t="n"/>
      <c r="AT225" s="715" t="n"/>
      <c r="AU225" s="715" t="n"/>
      <c r="AV225" s="715" t="n"/>
      <c r="AW225" s="715" t="n"/>
      <c r="AX225" s="715" t="n"/>
      <c r="AY225" s="715" t="n"/>
      <c r="AZ225" s="715" t="n"/>
      <c r="BA225" s="715" t="n"/>
      <c r="BB225" s="715" t="n"/>
      <c r="BC225" s="715" t="n"/>
      <c r="BD225" s="715" t="n"/>
      <c r="BE225" s="715" t="n"/>
      <c r="BF225" s="715" t="n"/>
      <c r="BG225" s="715" t="n"/>
      <c r="BH225" s="715" t="n"/>
      <c r="BI225" s="715" t="n"/>
      <c r="BJ225" s="715" t="n"/>
      <c r="BK225" s="715" t="n"/>
      <c r="BL225" s="715" t="n"/>
      <c r="BM225" s="715" t="n"/>
    </row>
    <row r="226">
      <c r="A226" s="715" t="n"/>
      <c r="B226" s="715" t="n"/>
      <c r="C226" s="715" t="n"/>
      <c r="D226" s="715" t="n"/>
      <c r="E226" s="715" t="n"/>
      <c r="F226" s="715" t="n"/>
      <c r="G226" s="715" t="n"/>
      <c r="H226" s="715" t="n"/>
      <c r="I226" s="715" t="n"/>
      <c r="J226" s="715" t="n"/>
      <c r="K226" s="715" t="n"/>
      <c r="L226" s="715" t="n"/>
      <c r="M226" s="715" t="n"/>
      <c r="N226" s="715" t="n"/>
      <c r="O226" s="715" t="n"/>
      <c r="P226" s="715" t="n"/>
      <c r="Q226" s="715" t="n"/>
      <c r="R226" s="715" t="n"/>
      <c r="S226" s="715" t="n"/>
      <c r="T226" s="715" t="n"/>
      <c r="U226" s="715" t="n"/>
      <c r="V226" s="715" t="n"/>
      <c r="W226" s="715" t="n"/>
      <c r="X226" s="715" t="n"/>
      <c r="Y226" s="715" t="n"/>
      <c r="Z226" s="715" t="n"/>
      <c r="AA226" s="715" t="n"/>
      <c r="AB226" s="715" t="n"/>
      <c r="AC226" s="715" t="n"/>
      <c r="AD226" s="715" t="n"/>
      <c r="AE226" s="715" t="n"/>
      <c r="AF226" s="715" t="n"/>
      <c r="AG226" s="715" t="n"/>
      <c r="AH226" s="715" t="n"/>
      <c r="AI226" s="715" t="n"/>
      <c r="AJ226" s="715" t="n"/>
      <c r="AK226" s="715" t="n"/>
      <c r="AL226" s="715" t="n"/>
      <c r="AM226" s="715" t="n"/>
      <c r="AN226" s="715" t="n"/>
      <c r="AO226" s="715" t="n"/>
      <c r="AP226" s="715" t="n"/>
      <c r="AQ226" s="715" t="n"/>
      <c r="AR226" s="715" t="n"/>
      <c r="AS226" s="715" t="n"/>
      <c r="AT226" s="715" t="n"/>
      <c r="AU226" s="715" t="n"/>
      <c r="AV226" s="715" t="n"/>
      <c r="AW226" s="715" t="n"/>
      <c r="AX226" s="715" t="n"/>
      <c r="AY226" s="715" t="n"/>
      <c r="AZ226" s="715" t="n"/>
      <c r="BA226" s="715" t="n"/>
      <c r="BB226" s="715" t="n"/>
      <c r="BC226" s="715" t="n"/>
      <c r="BD226" s="715" t="n"/>
      <c r="BE226" s="715" t="n"/>
      <c r="BF226" s="715" t="n"/>
      <c r="BG226" s="715" t="n"/>
      <c r="BH226" s="715" t="n"/>
      <c r="BI226" s="715" t="n"/>
      <c r="BJ226" s="715" t="n"/>
      <c r="BK226" s="715" t="n"/>
      <c r="BL226" s="715" t="n"/>
      <c r="BM226" s="715" t="n"/>
    </row>
    <row r="227">
      <c r="A227" s="715" t="n"/>
      <c r="B227" s="715" t="n"/>
      <c r="C227" s="715" t="n"/>
      <c r="D227" s="715" t="n"/>
      <c r="E227" s="715" t="n"/>
      <c r="F227" s="715" t="n"/>
      <c r="G227" s="715" t="n"/>
      <c r="H227" s="715" t="n"/>
      <c r="I227" s="715" t="n"/>
      <c r="J227" s="715" t="n"/>
      <c r="K227" s="715" t="n"/>
      <c r="L227" s="715" t="n"/>
      <c r="M227" s="715" t="n"/>
      <c r="N227" s="715" t="n"/>
      <c r="O227" s="715" t="n"/>
      <c r="P227" s="715" t="n"/>
      <c r="Q227" s="715" t="n"/>
      <c r="R227" s="715" t="n"/>
      <c r="S227" s="715" t="n"/>
      <c r="T227" s="715" t="n"/>
      <c r="U227" s="715" t="n"/>
      <c r="V227" s="715" t="n"/>
      <c r="W227" s="715" t="n"/>
      <c r="X227" s="715" t="n"/>
      <c r="Y227" s="715" t="n"/>
      <c r="Z227" s="715" t="n"/>
      <c r="AA227" s="715" t="n"/>
      <c r="AB227" s="715" t="n"/>
      <c r="AC227" s="715" t="n"/>
      <c r="AD227" s="715" t="n"/>
      <c r="AE227" s="715" t="n"/>
      <c r="AF227" s="715" t="n"/>
      <c r="AG227" s="715" t="n"/>
      <c r="AH227" s="715" t="n"/>
      <c r="AI227" s="715" t="n"/>
      <c r="AJ227" s="715" t="n"/>
      <c r="AK227" s="715" t="n"/>
      <c r="AL227" s="715" t="n"/>
      <c r="AM227" s="715" t="n"/>
      <c r="AN227" s="715" t="n"/>
      <c r="AO227" s="715" t="n"/>
      <c r="AP227" s="715" t="n"/>
      <c r="AQ227" s="715" t="n"/>
      <c r="AR227" s="715" t="n"/>
      <c r="AS227" s="715" t="n"/>
      <c r="AT227" s="715" t="n"/>
      <c r="AU227" s="715" t="n"/>
      <c r="AV227" s="715" t="n"/>
      <c r="AW227" s="715" t="n"/>
      <c r="AX227" s="715" t="n"/>
      <c r="AY227" s="715" t="n"/>
      <c r="AZ227" s="715" t="n"/>
      <c r="BA227" s="715" t="n"/>
      <c r="BB227" s="715" t="n"/>
      <c r="BC227" s="715" t="n"/>
      <c r="BD227" s="715" t="n"/>
      <c r="BE227" s="715" t="n"/>
      <c r="BF227" s="715" t="n"/>
      <c r="BG227" s="715" t="n"/>
      <c r="BH227" s="715" t="n"/>
      <c r="BI227" s="715" t="n"/>
      <c r="BJ227" s="715" t="n"/>
      <c r="BK227" s="715" t="n"/>
      <c r="BL227" s="715" t="n"/>
      <c r="BM227" s="715" t="n"/>
    </row>
    <row r="228">
      <c r="A228" s="715" t="n"/>
      <c r="B228" s="715" t="n"/>
      <c r="C228" s="715" t="n"/>
      <c r="D228" s="715" t="n"/>
      <c r="E228" s="715" t="n"/>
      <c r="F228" s="715" t="n"/>
      <c r="G228" s="715" t="n"/>
      <c r="H228" s="715" t="n"/>
      <c r="I228" s="715" t="n"/>
      <c r="J228" s="715" t="n"/>
      <c r="K228" s="715" t="n"/>
      <c r="L228" s="715" t="n"/>
      <c r="M228" s="715" t="n"/>
      <c r="N228" s="715" t="n"/>
      <c r="O228" s="715" t="n"/>
      <c r="P228" s="715" t="n"/>
      <c r="Q228" s="715" t="n"/>
      <c r="R228" s="715" t="n"/>
      <c r="S228" s="715" t="n"/>
      <c r="T228" s="715" t="n"/>
      <c r="U228" s="715" t="n"/>
      <c r="V228" s="715" t="n"/>
      <c r="W228" s="715" t="n"/>
      <c r="X228" s="715" t="n"/>
      <c r="Y228" s="715" t="n"/>
      <c r="Z228" s="715" t="n"/>
      <c r="AA228" s="715" t="n"/>
      <c r="AB228" s="715" t="n"/>
      <c r="AC228" s="715" t="n"/>
      <c r="AD228" s="715" t="n"/>
      <c r="AE228" s="715" t="n"/>
      <c r="AF228" s="715" t="n"/>
      <c r="AG228" s="715" t="n"/>
      <c r="AH228" s="715" t="n"/>
      <c r="AI228" s="715" t="n"/>
      <c r="AJ228" s="715" t="n"/>
      <c r="AK228" s="715" t="n"/>
      <c r="AL228" s="715" t="n"/>
      <c r="AM228" s="715" t="n"/>
      <c r="AN228" s="715" t="n"/>
      <c r="AO228" s="715" t="n"/>
      <c r="AP228" s="715" t="n"/>
      <c r="AQ228" s="715" t="n"/>
      <c r="AR228" s="715" t="n"/>
      <c r="AS228" s="715" t="n"/>
      <c r="AT228" s="715" t="n"/>
      <c r="AU228" s="715" t="n"/>
      <c r="AV228" s="715" t="n"/>
      <c r="AW228" s="715" t="n"/>
      <c r="AX228" s="715" t="n"/>
      <c r="AY228" s="715" t="n"/>
      <c r="AZ228" s="715" t="n"/>
      <c r="BA228" s="715" t="n"/>
      <c r="BB228" s="715" t="n"/>
      <c r="BC228" s="715" t="n"/>
      <c r="BD228" s="715" t="n"/>
      <c r="BE228" s="715" t="n"/>
      <c r="BF228" s="715" t="n"/>
      <c r="BG228" s="715" t="n"/>
      <c r="BH228" s="715" t="n"/>
      <c r="BI228" s="715" t="n"/>
      <c r="BJ228" s="715" t="n"/>
      <c r="BK228" s="715" t="n"/>
      <c r="BL228" s="715" t="n"/>
      <c r="BM228" s="715" t="n"/>
    </row>
    <row r="229">
      <c r="A229" s="715" t="n"/>
      <c r="B229" s="715" t="n"/>
      <c r="C229" s="715" t="n"/>
      <c r="D229" s="715" t="n"/>
      <c r="E229" s="715" t="n"/>
      <c r="F229" s="715" t="n"/>
      <c r="G229" s="715" t="n"/>
      <c r="H229" s="715" t="n"/>
      <c r="I229" s="715" t="n"/>
      <c r="J229" s="715" t="n"/>
      <c r="K229" s="715" t="n"/>
      <c r="L229" s="715" t="n"/>
      <c r="M229" s="715" t="n"/>
      <c r="N229" s="715" t="n"/>
      <c r="O229" s="715" t="n"/>
      <c r="P229" s="715" t="n"/>
      <c r="Q229" s="715" t="n"/>
      <c r="R229" s="715" t="n"/>
      <c r="S229" s="715" t="n"/>
      <c r="T229" s="715" t="n"/>
      <c r="U229" s="715" t="n"/>
      <c r="V229" s="715" t="n"/>
      <c r="W229" s="715" t="n"/>
      <c r="X229" s="715" t="n"/>
      <c r="Y229" s="715" t="n"/>
      <c r="Z229" s="715" t="n"/>
      <c r="AA229" s="715" t="n"/>
      <c r="AB229" s="715" t="n"/>
      <c r="AC229" s="715" t="n"/>
      <c r="AD229" s="715" t="n"/>
      <c r="AE229" s="715" t="n"/>
      <c r="AF229" s="715" t="n"/>
      <c r="AG229" s="715" t="n"/>
      <c r="AH229" s="715" t="n"/>
      <c r="AI229" s="715" t="n"/>
      <c r="AJ229" s="715" t="n"/>
      <c r="AK229" s="715" t="n"/>
      <c r="AL229" s="715" t="n"/>
      <c r="AM229" s="715" t="n"/>
      <c r="AN229" s="715" t="n"/>
      <c r="AO229" s="715" t="n"/>
      <c r="AP229" s="715" t="n"/>
      <c r="AQ229" s="715" t="n"/>
      <c r="AR229" s="715" t="n"/>
      <c r="AS229" s="715" t="n"/>
      <c r="AT229" s="715" t="n"/>
      <c r="AU229" s="715" t="n"/>
      <c r="AV229" s="715" t="n"/>
      <c r="AW229" s="715" t="n"/>
      <c r="AX229" s="715" t="n"/>
      <c r="AY229" s="715" t="n"/>
      <c r="AZ229" s="715" t="n"/>
      <c r="BA229" s="715" t="n"/>
      <c r="BB229" s="715" t="n"/>
      <c r="BC229" s="715" t="n"/>
      <c r="BD229" s="715" t="n"/>
      <c r="BE229" s="715" t="n"/>
      <c r="BF229" s="715" t="n"/>
      <c r="BG229" s="715" t="n"/>
      <c r="BH229" s="715" t="n"/>
      <c r="BI229" s="715" t="n"/>
      <c r="BJ229" s="715" t="n"/>
      <c r="BK229" s="715" t="n"/>
      <c r="BL229" s="715" t="n"/>
      <c r="BM229" s="715" t="n"/>
    </row>
    <row r="230">
      <c r="A230" s="715" t="n"/>
      <c r="B230" s="715" t="n"/>
      <c r="C230" s="715" t="n"/>
      <c r="D230" s="715" t="n"/>
      <c r="E230" s="715" t="n"/>
      <c r="F230" s="715" t="n"/>
      <c r="G230" s="715" t="n"/>
      <c r="H230" s="715" t="n"/>
      <c r="I230" s="715" t="n"/>
      <c r="J230" s="715" t="n"/>
      <c r="K230" s="715" t="n"/>
      <c r="L230" s="715" t="n"/>
      <c r="M230" s="715" t="n"/>
      <c r="N230" s="715" t="n"/>
      <c r="O230" s="715" t="n"/>
      <c r="P230" s="715" t="n"/>
      <c r="Q230" s="715" t="n"/>
      <c r="R230" s="715" t="n"/>
      <c r="S230" s="715" t="n"/>
      <c r="T230" s="715" t="n"/>
      <c r="U230" s="715" t="n"/>
      <c r="V230" s="715" t="n"/>
      <c r="W230" s="715" t="n"/>
      <c r="X230" s="715" t="n"/>
      <c r="Y230" s="715" t="n"/>
      <c r="Z230" s="715" t="n"/>
      <c r="AA230" s="715" t="n"/>
      <c r="AB230" s="715" t="n"/>
      <c r="AC230" s="715" t="n"/>
      <c r="AD230" s="715" t="n"/>
      <c r="AE230" s="715" t="n"/>
      <c r="AF230" s="715" t="n"/>
      <c r="AG230" s="715" t="n"/>
      <c r="AH230" s="715" t="n"/>
      <c r="AI230" s="715" t="n"/>
      <c r="AJ230" s="715" t="n"/>
      <c r="AK230" s="715" t="n"/>
      <c r="AL230" s="715" t="n"/>
      <c r="AM230" s="715" t="n"/>
      <c r="AN230" s="715" t="n"/>
      <c r="AO230" s="715" t="n"/>
      <c r="AP230" s="715" t="n"/>
      <c r="AQ230" s="715" t="n"/>
      <c r="AR230" s="715" t="n"/>
      <c r="AS230" s="715" t="n"/>
      <c r="AT230" s="715" t="n"/>
      <c r="AU230" s="715" t="n"/>
      <c r="AV230" s="715" t="n"/>
      <c r="AW230" s="715" t="n"/>
      <c r="AX230" s="715" t="n"/>
      <c r="AY230" s="715" t="n"/>
      <c r="AZ230" s="715" t="n"/>
      <c r="BA230" s="715" t="n"/>
      <c r="BB230" s="715" t="n"/>
      <c r="BC230" s="715" t="n"/>
      <c r="BD230" s="715" t="n"/>
      <c r="BE230" s="715" t="n"/>
      <c r="BF230" s="715" t="n"/>
      <c r="BG230" s="715" t="n"/>
      <c r="BH230" s="715" t="n"/>
      <c r="BI230" s="715" t="n"/>
      <c r="BJ230" s="715" t="n"/>
      <c r="BK230" s="715" t="n"/>
      <c r="BL230" s="715" t="n"/>
      <c r="BM230" s="715" t="n"/>
    </row>
    <row r="231">
      <c r="A231" s="715" t="n"/>
      <c r="B231" s="715" t="n"/>
      <c r="C231" s="715" t="n"/>
      <c r="D231" s="715" t="n"/>
      <c r="E231" s="715" t="n"/>
      <c r="F231" s="715" t="n"/>
      <c r="G231" s="715" t="n"/>
      <c r="H231" s="715" t="n"/>
      <c r="I231" s="715" t="n"/>
      <c r="J231" s="715" t="n"/>
      <c r="K231" s="715" t="n"/>
      <c r="L231" s="715" t="n"/>
      <c r="M231" s="715" t="n"/>
      <c r="N231" s="715" t="n"/>
      <c r="O231" s="715" t="n"/>
      <c r="P231" s="715" t="n"/>
      <c r="Q231" s="715" t="n"/>
      <c r="R231" s="715" t="n"/>
      <c r="S231" s="715" t="n"/>
      <c r="T231" s="715" t="n"/>
      <c r="U231" s="715" t="n"/>
      <c r="V231" s="715" t="n"/>
      <c r="W231" s="715" t="n"/>
      <c r="X231" s="715" t="n"/>
      <c r="Y231" s="715" t="n"/>
      <c r="Z231" s="715" t="n"/>
      <c r="AA231" s="715" t="n"/>
      <c r="AB231" s="715" t="n"/>
      <c r="AC231" s="715" t="n"/>
      <c r="AD231" s="715" t="n"/>
      <c r="AE231" s="715" t="n"/>
      <c r="AF231" s="715" t="n"/>
      <c r="AG231" s="715" t="n"/>
      <c r="AH231" s="715" t="n"/>
      <c r="AI231" s="715" t="n"/>
      <c r="AJ231" s="715" t="n"/>
      <c r="AK231" s="715" t="n"/>
      <c r="AL231" s="715" t="n"/>
      <c r="AM231" s="715" t="n"/>
      <c r="AN231" s="715" t="n"/>
      <c r="AO231" s="715" t="n"/>
      <c r="AP231" s="715" t="n"/>
      <c r="AQ231" s="715" t="n"/>
      <c r="AR231" s="715" t="n"/>
      <c r="AS231" s="715" t="n"/>
      <c r="AT231" s="715" t="n"/>
      <c r="AU231" s="715" t="n"/>
      <c r="AV231" s="715" t="n"/>
      <c r="AW231" s="715" t="n"/>
      <c r="AX231" s="715" t="n"/>
      <c r="AY231" s="715" t="n"/>
      <c r="AZ231" s="715" t="n"/>
      <c r="BA231" s="715" t="n"/>
      <c r="BB231" s="715" t="n"/>
      <c r="BC231" s="715" t="n"/>
      <c r="BD231" s="715" t="n"/>
      <c r="BE231" s="715" t="n"/>
      <c r="BF231" s="715" t="n"/>
      <c r="BG231" s="715" t="n"/>
      <c r="BH231" s="715" t="n"/>
      <c r="BI231" s="715" t="n"/>
      <c r="BJ231" s="715" t="n"/>
      <c r="BK231" s="715" t="n"/>
      <c r="BL231" s="715" t="n"/>
      <c r="BM231" s="715" t="n"/>
    </row>
    <row r="232">
      <c r="A232" s="715" t="n"/>
      <c r="B232" s="715" t="n"/>
      <c r="C232" s="715" t="n"/>
      <c r="D232" s="715" t="n"/>
      <c r="E232" s="715" t="n"/>
      <c r="F232" s="715" t="n"/>
      <c r="G232" s="715" t="n"/>
      <c r="H232" s="715" t="n"/>
      <c r="I232" s="715" t="n"/>
      <c r="J232" s="715" t="n"/>
      <c r="K232" s="715" t="n"/>
      <c r="L232" s="715" t="n"/>
      <c r="M232" s="715" t="n"/>
      <c r="N232" s="715" t="n"/>
      <c r="O232" s="715" t="n"/>
      <c r="P232" s="715" t="n"/>
      <c r="Q232" s="715" t="n"/>
      <c r="R232" s="715" t="n"/>
      <c r="S232" s="715" t="n"/>
      <c r="T232" s="715" t="n"/>
      <c r="U232" s="715" t="n"/>
      <c r="V232" s="715" t="n"/>
      <c r="W232" s="715" t="n"/>
      <c r="X232" s="715" t="n"/>
      <c r="Y232" s="715" t="n"/>
      <c r="Z232" s="715" t="n"/>
      <c r="AA232" s="715" t="n"/>
      <c r="AB232" s="715" t="n"/>
      <c r="AC232" s="715" t="n"/>
      <c r="AD232" s="715" t="n"/>
      <c r="AE232" s="715" t="n"/>
      <c r="AF232" s="715" t="n"/>
      <c r="AG232" s="715" t="n"/>
      <c r="AH232" s="715" t="n"/>
      <c r="AI232" s="715" t="n"/>
      <c r="AJ232" s="715" t="n"/>
      <c r="AK232" s="715" t="n"/>
      <c r="AL232" s="715" t="n"/>
      <c r="AM232" s="715" t="n"/>
      <c r="AN232" s="715" t="n"/>
      <c r="AO232" s="715" t="n"/>
      <c r="AP232" s="715" t="n"/>
      <c r="AQ232" s="715" t="n"/>
      <c r="AR232" s="715" t="n"/>
      <c r="AS232" s="715" t="n"/>
      <c r="AT232" s="715" t="n"/>
      <c r="AU232" s="715" t="n"/>
      <c r="AV232" s="715" t="n"/>
      <c r="AW232" s="715" t="n"/>
      <c r="AX232" s="715" t="n"/>
      <c r="AY232" s="715" t="n"/>
      <c r="AZ232" s="715" t="n"/>
      <c r="BA232" s="715" t="n"/>
      <c r="BB232" s="715" t="n"/>
      <c r="BC232" s="715" t="n"/>
      <c r="BD232" s="715" t="n"/>
      <c r="BE232" s="715" t="n"/>
      <c r="BF232" s="715" t="n"/>
      <c r="BG232" s="715" t="n"/>
      <c r="BH232" s="715" t="n"/>
      <c r="BI232" s="715" t="n"/>
      <c r="BJ232" s="715" t="n"/>
      <c r="BK232" s="715" t="n"/>
      <c r="BL232" s="715" t="n"/>
      <c r="BM232" s="715" t="n"/>
    </row>
    <row r="233">
      <c r="A233" s="715" t="n"/>
      <c r="B233" s="715" t="n"/>
      <c r="C233" s="715" t="n"/>
      <c r="D233" s="715" t="n"/>
      <c r="E233" s="715" t="n"/>
      <c r="F233" s="715" t="n"/>
      <c r="G233" s="715" t="n"/>
      <c r="H233" s="715" t="n"/>
      <c r="I233" s="715" t="n"/>
      <c r="J233" s="715" t="n"/>
      <c r="K233" s="715" t="n"/>
      <c r="L233" s="715" t="n"/>
      <c r="M233" s="715" t="n"/>
      <c r="N233" s="715" t="n"/>
      <c r="O233" s="715" t="n"/>
      <c r="P233" s="715" t="n"/>
      <c r="Q233" s="715" t="n"/>
      <c r="R233" s="715" t="n"/>
      <c r="S233" s="715" t="n"/>
      <c r="T233" s="715" t="n"/>
      <c r="U233" s="715" t="n"/>
      <c r="V233" s="715" t="n"/>
      <c r="W233" s="715" t="n"/>
      <c r="X233" s="715" t="n"/>
      <c r="Y233" s="715" t="n"/>
      <c r="Z233" s="715" t="n"/>
      <c r="AA233" s="715" t="n"/>
      <c r="AB233" s="715" t="n"/>
      <c r="AC233" s="715" t="n"/>
      <c r="AD233" s="715" t="n"/>
      <c r="AE233" s="715" t="n"/>
      <c r="AF233" s="715" t="n"/>
      <c r="AG233" s="715" t="n"/>
      <c r="AH233" s="715" t="n"/>
      <c r="AI233" s="715" t="n"/>
      <c r="AJ233" s="715" t="n"/>
      <c r="AK233" s="715" t="n"/>
      <c r="AL233" s="715" t="n"/>
      <c r="AM233" s="715" t="n"/>
      <c r="AN233" s="715" t="n"/>
      <c r="AO233" s="715" t="n"/>
      <c r="AP233" s="715" t="n"/>
      <c r="AQ233" s="715" t="n"/>
      <c r="AR233" s="715" t="n"/>
      <c r="AS233" s="715" t="n"/>
      <c r="AT233" s="715" t="n"/>
      <c r="AU233" s="715" t="n"/>
      <c r="AV233" s="715" t="n"/>
      <c r="AW233" s="715" t="n"/>
      <c r="AX233" s="715" t="n"/>
      <c r="AY233" s="715" t="n"/>
      <c r="AZ233" s="715" t="n"/>
      <c r="BA233" s="715" t="n"/>
      <c r="BB233" s="715" t="n"/>
      <c r="BC233" s="715" t="n"/>
      <c r="BD233" s="715" t="n"/>
      <c r="BE233" s="715" t="n"/>
      <c r="BF233" s="715" t="n"/>
      <c r="BG233" s="715" t="n"/>
      <c r="BH233" s="715" t="n"/>
      <c r="BI233" s="715" t="n"/>
      <c r="BJ233" s="715" t="n"/>
      <c r="BK233" s="715" t="n"/>
      <c r="BL233" s="715" t="n"/>
      <c r="BM233" s="715" t="n"/>
    </row>
    <row r="234">
      <c r="A234" s="715" t="n"/>
      <c r="B234" s="715" t="n"/>
      <c r="C234" s="715" t="n"/>
      <c r="D234" s="715" t="n"/>
      <c r="E234" s="715" t="n"/>
      <c r="F234" s="715" t="n"/>
      <c r="G234" s="715" t="n"/>
      <c r="H234" s="715" t="n"/>
      <c r="I234" s="715" t="n"/>
      <c r="J234" s="715" t="n"/>
      <c r="K234" s="715" t="n"/>
      <c r="L234" s="715" t="n"/>
      <c r="M234" s="715" t="n"/>
      <c r="N234" s="715" t="n"/>
      <c r="O234" s="715" t="n"/>
      <c r="P234" s="715" t="n"/>
      <c r="Q234" s="715" t="n"/>
      <c r="R234" s="715" t="n"/>
      <c r="S234" s="715" t="n"/>
      <c r="T234" s="715" t="n"/>
      <c r="U234" s="715" t="n"/>
      <c r="V234" s="715" t="n"/>
      <c r="W234" s="715" t="n"/>
      <c r="X234" s="715" t="n"/>
      <c r="Y234" s="715" t="n"/>
      <c r="Z234" s="715" t="n"/>
      <c r="AA234" s="715" t="n"/>
      <c r="AB234" s="715" t="n"/>
      <c r="AC234" s="715" t="n"/>
      <c r="AD234" s="715" t="n"/>
      <c r="AE234" s="715" t="n"/>
      <c r="AF234" s="715" t="n"/>
      <c r="AG234" s="715" t="n"/>
      <c r="AH234" s="715" t="n"/>
      <c r="AI234" s="715" t="n"/>
      <c r="AJ234" s="715" t="n"/>
      <c r="AK234" s="715" t="n"/>
      <c r="AL234" s="715" t="n"/>
      <c r="AM234" s="715" t="n"/>
      <c r="AN234" s="715" t="n"/>
      <c r="AO234" s="715" t="n"/>
      <c r="AP234" s="715" t="n"/>
      <c r="AQ234" s="715" t="n"/>
      <c r="AR234" s="715" t="n"/>
      <c r="AS234" s="715" t="n"/>
      <c r="AT234" s="715" t="n"/>
      <c r="AU234" s="715" t="n"/>
      <c r="AV234" s="715" t="n"/>
      <c r="AW234" s="715" t="n"/>
      <c r="AX234" s="715" t="n"/>
      <c r="AY234" s="715" t="n"/>
      <c r="AZ234" s="715" t="n"/>
      <c r="BA234" s="715" t="n"/>
      <c r="BB234" s="715" t="n"/>
      <c r="BC234" s="715" t="n"/>
      <c r="BD234" s="715" t="n"/>
      <c r="BE234" s="715" t="n"/>
      <c r="BF234" s="715" t="n"/>
      <c r="BG234" s="715" t="n"/>
      <c r="BH234" s="715" t="n"/>
      <c r="BI234" s="715" t="n"/>
      <c r="BJ234" s="715" t="n"/>
      <c r="BK234" s="715" t="n"/>
      <c r="BL234" s="715" t="n"/>
      <c r="BM234" s="715" t="n"/>
    </row>
    <row r="235">
      <c r="A235" s="715" t="n"/>
      <c r="B235" s="715" t="n"/>
      <c r="C235" s="715" t="n"/>
      <c r="D235" s="715" t="n"/>
      <c r="E235" s="715" t="n"/>
      <c r="F235" s="715" t="n"/>
      <c r="G235" s="715" t="n"/>
      <c r="H235" s="715" t="n"/>
      <c r="I235" s="715" t="n"/>
      <c r="J235" s="715" t="n"/>
      <c r="K235" s="715" t="n"/>
      <c r="L235" s="715" t="n"/>
      <c r="M235" s="715" t="n"/>
      <c r="N235" s="715" t="n"/>
      <c r="O235" s="715" t="n"/>
      <c r="P235" s="715" t="n"/>
      <c r="Q235" s="715" t="n"/>
      <c r="R235" s="715" t="n"/>
      <c r="S235" s="715" t="n"/>
      <c r="T235" s="715" t="n"/>
      <c r="U235" s="715" t="n"/>
      <c r="V235" s="715" t="n"/>
      <c r="W235" s="715" t="n"/>
      <c r="X235" s="715" t="n"/>
      <c r="Y235" s="715" t="n"/>
      <c r="Z235" s="715" t="n"/>
      <c r="AA235" s="715" t="n"/>
      <c r="AB235" s="715" t="n"/>
      <c r="AC235" s="715" t="n"/>
      <c r="AD235" s="715" t="n"/>
      <c r="AE235" s="715" t="n"/>
      <c r="AF235" s="715" t="n"/>
      <c r="AG235" s="715" t="n"/>
      <c r="AH235" s="715" t="n"/>
      <c r="AI235" s="715" t="n"/>
      <c r="AJ235" s="715" t="n"/>
      <c r="AK235" s="715" t="n"/>
      <c r="AL235" s="715" t="n"/>
      <c r="AM235" s="715" t="n"/>
      <c r="AN235" s="715" t="n"/>
      <c r="AO235" s="715" t="n"/>
      <c r="AP235" s="715" t="n"/>
      <c r="AQ235" s="715" t="n"/>
      <c r="AR235" s="715" t="n"/>
      <c r="AS235" s="715" t="n"/>
      <c r="AT235" s="715" t="n"/>
      <c r="AU235" s="715" t="n"/>
      <c r="AV235" s="715" t="n"/>
      <c r="AW235" s="715" t="n"/>
      <c r="AX235" s="715" t="n"/>
      <c r="AY235" s="715" t="n"/>
      <c r="AZ235" s="715" t="n"/>
      <c r="BA235" s="715" t="n"/>
      <c r="BB235" s="715" t="n"/>
      <c r="BC235" s="715" t="n"/>
      <c r="BD235" s="715" t="n"/>
      <c r="BE235" s="715" t="n"/>
      <c r="BF235" s="715" t="n"/>
      <c r="BG235" s="715" t="n"/>
      <c r="BH235" s="715" t="n"/>
      <c r="BI235" s="715" t="n"/>
      <c r="BJ235" s="715" t="n"/>
      <c r="BK235" s="715" t="n"/>
      <c r="BL235" s="715" t="n"/>
      <c r="BM235" s="715" t="n"/>
    </row>
    <row r="236">
      <c r="A236" s="715" t="n"/>
      <c r="B236" s="715" t="n"/>
      <c r="C236" s="715" t="n"/>
      <c r="D236" s="715" t="n"/>
      <c r="E236" s="715" t="n"/>
      <c r="F236" s="715" t="n"/>
      <c r="G236" s="715" t="n"/>
      <c r="H236" s="715" t="n"/>
      <c r="I236" s="715" t="n"/>
      <c r="J236" s="715" t="n"/>
      <c r="K236" s="715" t="n"/>
      <c r="L236" s="715" t="n"/>
      <c r="M236" s="715" t="n"/>
      <c r="N236" s="715" t="n"/>
      <c r="O236" s="715" t="n"/>
      <c r="P236" s="715" t="n"/>
      <c r="Q236" s="715" t="n"/>
      <c r="R236" s="715" t="n"/>
      <c r="S236" s="715" t="n"/>
      <c r="T236" s="715" t="n"/>
      <c r="U236" s="715" t="n"/>
      <c r="V236" s="715" t="n"/>
      <c r="W236" s="715" t="n"/>
      <c r="X236" s="715" t="n"/>
      <c r="Y236" s="715" t="n"/>
      <c r="Z236" s="715" t="n"/>
      <c r="AA236" s="715" t="n"/>
      <c r="AB236" s="715" t="n"/>
      <c r="AC236" s="715" t="n"/>
      <c r="AD236" s="715" t="n"/>
      <c r="AE236" s="715" t="n"/>
      <c r="AF236" s="715" t="n"/>
      <c r="AG236" s="715" t="n"/>
      <c r="AH236" s="715" t="n"/>
      <c r="AI236" s="715" t="n"/>
      <c r="AJ236" s="715" t="n"/>
      <c r="AK236" s="715" t="n"/>
      <c r="AL236" s="715" t="n"/>
      <c r="AM236" s="715" t="n"/>
      <c r="AN236" s="715" t="n"/>
      <c r="AO236" s="715" t="n"/>
      <c r="AP236" s="715" t="n"/>
      <c r="AQ236" s="715" t="n"/>
      <c r="AR236" s="715" t="n"/>
      <c r="AS236" s="715" t="n"/>
      <c r="AT236" s="715" t="n"/>
      <c r="AU236" s="715" t="n"/>
      <c r="AV236" s="715" t="n"/>
      <c r="AW236" s="715" t="n"/>
      <c r="AX236" s="715" t="n"/>
      <c r="AY236" s="715" t="n"/>
      <c r="AZ236" s="715" t="n"/>
      <c r="BA236" s="715" t="n"/>
      <c r="BB236" s="715" t="n"/>
      <c r="BC236" s="715" t="n"/>
      <c r="BD236" s="715" t="n"/>
      <c r="BE236" s="715" t="n"/>
      <c r="BF236" s="715" t="n"/>
      <c r="BG236" s="715" t="n"/>
      <c r="BH236" s="715" t="n"/>
      <c r="BI236" s="715" t="n"/>
      <c r="BJ236" s="715" t="n"/>
      <c r="BK236" s="715" t="n"/>
      <c r="BL236" s="715" t="n"/>
      <c r="BM236" s="715" t="n"/>
    </row>
    <row r="237">
      <c r="A237" s="715" t="n"/>
      <c r="B237" s="715" t="n"/>
      <c r="C237" s="715" t="n"/>
      <c r="D237" s="715" t="n"/>
      <c r="E237" s="715" t="n"/>
      <c r="F237" s="715" t="n"/>
      <c r="G237" s="715" t="n"/>
      <c r="H237" s="715" t="n"/>
      <c r="I237" s="715" t="n"/>
      <c r="J237" s="715" t="n"/>
      <c r="K237" s="715" t="n"/>
      <c r="L237" s="715" t="n"/>
      <c r="M237" s="715" t="n"/>
      <c r="N237" s="715" t="n"/>
      <c r="O237" s="715" t="n"/>
      <c r="P237" s="715" t="n"/>
      <c r="Q237" s="715" t="n"/>
      <c r="R237" s="715" t="n"/>
      <c r="S237" s="715" t="n"/>
      <c r="T237" s="715" t="n"/>
      <c r="U237" s="715" t="n"/>
      <c r="V237" s="715" t="n"/>
      <c r="W237" s="715" t="n"/>
      <c r="X237" s="715" t="n"/>
      <c r="Y237" s="715" t="n"/>
      <c r="Z237" s="715" t="n"/>
      <c r="AA237" s="715" t="n"/>
      <c r="AB237" s="715" t="n"/>
      <c r="AC237" s="715" t="n"/>
      <c r="AD237" s="715" t="n"/>
      <c r="AE237" s="715" t="n"/>
      <c r="AF237" s="715" t="n"/>
      <c r="AG237" s="715" t="n"/>
      <c r="AH237" s="715" t="n"/>
      <c r="AI237" s="715" t="n"/>
      <c r="AJ237" s="715" t="n"/>
      <c r="AK237" s="715" t="n"/>
      <c r="AL237" s="715" t="n"/>
      <c r="AM237" s="715" t="n"/>
      <c r="AN237" s="715" t="n"/>
      <c r="AO237" s="715" t="n"/>
      <c r="AP237" s="715" t="n"/>
      <c r="AQ237" s="715" t="n"/>
      <c r="AR237" s="715" t="n"/>
      <c r="AS237" s="715" t="n"/>
      <c r="AT237" s="715" t="n"/>
      <c r="AU237" s="715" t="n"/>
      <c r="AV237" s="715" t="n"/>
      <c r="AW237" s="715" t="n"/>
      <c r="AX237" s="715" t="n"/>
      <c r="AY237" s="715" t="n"/>
      <c r="AZ237" s="715" t="n"/>
      <c r="BA237" s="715" t="n"/>
      <c r="BB237" s="715" t="n"/>
      <c r="BC237" s="715" t="n"/>
      <c r="BD237" s="715" t="n"/>
      <c r="BE237" s="715" t="n"/>
      <c r="BF237" s="715" t="n"/>
      <c r="BG237" s="715" t="n"/>
      <c r="BH237" s="715" t="n"/>
      <c r="BI237" s="715" t="n"/>
      <c r="BJ237" s="715" t="n"/>
      <c r="BK237" s="715" t="n"/>
      <c r="BL237" s="715" t="n"/>
      <c r="BM237" s="715" t="n"/>
    </row>
    <row r="238">
      <c r="A238" s="715" t="n"/>
      <c r="B238" s="715" t="n"/>
      <c r="C238" s="715" t="n"/>
      <c r="D238" s="715" t="n"/>
      <c r="E238" s="715" t="n"/>
      <c r="F238" s="715" t="n"/>
      <c r="G238" s="715" t="n"/>
      <c r="H238" s="715" t="n"/>
      <c r="I238" s="715" t="n"/>
      <c r="J238" s="715" t="n"/>
      <c r="K238" s="715" t="n"/>
      <c r="L238" s="715" t="n"/>
      <c r="M238" s="715" t="n"/>
      <c r="N238" s="715" t="n"/>
      <c r="O238" s="715" t="n"/>
      <c r="P238" s="715" t="n"/>
      <c r="Q238" s="715" t="n"/>
      <c r="R238" s="715" t="n"/>
      <c r="S238" s="715" t="n"/>
      <c r="T238" s="715" t="n"/>
      <c r="U238" s="715" t="n"/>
      <c r="V238" s="715" t="n"/>
      <c r="W238" s="715" t="n"/>
      <c r="X238" s="715" t="n"/>
      <c r="Y238" s="715" t="n"/>
      <c r="Z238" s="715" t="n"/>
      <c r="AA238" s="715" t="n"/>
      <c r="AB238" s="715" t="n"/>
      <c r="AC238" s="715" t="n"/>
      <c r="AD238" s="715" t="n"/>
      <c r="AE238" s="715" t="n"/>
      <c r="AF238" s="715" t="n"/>
      <c r="AG238" s="715" t="n"/>
      <c r="AH238" s="715" t="n"/>
      <c r="AI238" s="715" t="n"/>
      <c r="AJ238" s="715" t="n"/>
      <c r="AK238" s="715" t="n"/>
      <c r="AL238" s="715" t="n"/>
      <c r="AM238" s="715" t="n"/>
      <c r="AN238" s="715" t="n"/>
      <c r="AO238" s="715" t="n"/>
      <c r="AP238" s="715" t="n"/>
      <c r="AQ238" s="715" t="n"/>
      <c r="AR238" s="715" t="n"/>
      <c r="AS238" s="715" t="n"/>
      <c r="AT238" s="715" t="n"/>
      <c r="AU238" s="715" t="n"/>
      <c r="AV238" s="715" t="n"/>
      <c r="AW238" s="715" t="n"/>
      <c r="AX238" s="715" t="n"/>
      <c r="AY238" s="715" t="n"/>
      <c r="AZ238" s="715" t="n"/>
      <c r="BA238" s="715" t="n"/>
      <c r="BB238" s="715" t="n"/>
      <c r="BC238" s="715" t="n"/>
      <c r="BD238" s="715" t="n"/>
      <c r="BE238" s="715" t="n"/>
      <c r="BF238" s="715" t="n"/>
      <c r="BG238" s="715" t="n"/>
      <c r="BH238" s="715" t="n"/>
      <c r="BI238" s="715" t="n"/>
      <c r="BJ238" s="715" t="n"/>
      <c r="BK238" s="715" t="n"/>
      <c r="BL238" s="715" t="n"/>
      <c r="BM238" s="715" t="n"/>
    </row>
    <row r="239">
      <c r="A239" s="715" t="n"/>
      <c r="B239" s="715" t="n"/>
      <c r="C239" s="715" t="n"/>
      <c r="D239" s="715" t="n"/>
      <c r="E239" s="715" t="n"/>
      <c r="F239" s="715" t="n"/>
      <c r="G239" s="715" t="n"/>
      <c r="H239" s="715" t="n"/>
      <c r="I239" s="715" t="n"/>
      <c r="J239" s="715" t="n"/>
      <c r="K239" s="715" t="n"/>
      <c r="L239" s="715" t="n"/>
      <c r="M239" s="715" t="n"/>
      <c r="N239" s="715" t="n"/>
      <c r="O239" s="715" t="n"/>
      <c r="P239" s="715" t="n"/>
      <c r="Q239" s="715" t="n"/>
      <c r="R239" s="715" t="n"/>
      <c r="S239" s="715" t="n"/>
      <c r="T239" s="715" t="n"/>
      <c r="U239" s="715" t="n"/>
      <c r="V239" s="715" t="n"/>
      <c r="W239" s="715" t="n"/>
      <c r="X239" s="715" t="n"/>
      <c r="Y239" s="715" t="n"/>
      <c r="Z239" s="715" t="n"/>
      <c r="AA239" s="715" t="n"/>
      <c r="AB239" s="715" t="n"/>
      <c r="AC239" s="715" t="n"/>
      <c r="AD239" s="715" t="n"/>
      <c r="AE239" s="715" t="n"/>
      <c r="AF239" s="715" t="n"/>
      <c r="AG239" s="715" t="n"/>
      <c r="AH239" s="715" t="n"/>
      <c r="AI239" s="715" t="n"/>
      <c r="AJ239" s="715" t="n"/>
      <c r="AK239" s="715" t="n"/>
      <c r="AL239" s="715" t="n"/>
      <c r="AM239" s="715" t="n"/>
      <c r="AN239" s="715" t="n"/>
      <c r="AO239" s="715" t="n"/>
      <c r="AP239" s="715" t="n"/>
      <c r="AQ239" s="715" t="n"/>
      <c r="AR239" s="715" t="n"/>
      <c r="AS239" s="715" t="n"/>
      <c r="AT239" s="715" t="n"/>
      <c r="AU239" s="715" t="n"/>
      <c r="AV239" s="715" t="n"/>
      <c r="AW239" s="715" t="n"/>
      <c r="AX239" s="715" t="n"/>
      <c r="AY239" s="715" t="n"/>
      <c r="AZ239" s="715" t="n"/>
      <c r="BA239" s="715" t="n"/>
      <c r="BB239" s="715" t="n"/>
      <c r="BC239" s="715" t="n"/>
      <c r="BD239" s="715" t="n"/>
      <c r="BE239" s="715" t="n"/>
      <c r="BF239" s="715" t="n"/>
      <c r="BG239" s="715" t="n"/>
      <c r="BH239" s="715" t="n"/>
      <c r="BI239" s="715" t="n"/>
      <c r="BJ239" s="715" t="n"/>
      <c r="BK239" s="715" t="n"/>
      <c r="BL239" s="715" t="n"/>
      <c r="BM239" s="715" t="n"/>
    </row>
    <row r="240">
      <c r="A240" s="715" t="n"/>
      <c r="B240" s="715" t="n"/>
      <c r="C240" s="715" t="n"/>
      <c r="D240" s="715" t="n"/>
      <c r="E240" s="715" t="n"/>
      <c r="F240" s="715" t="n"/>
      <c r="G240" s="715" t="n"/>
      <c r="H240" s="715" t="n"/>
      <c r="I240" s="715" t="n"/>
      <c r="J240" s="715" t="n"/>
      <c r="K240" s="715" t="n"/>
      <c r="L240" s="715" t="n"/>
      <c r="M240" s="715" t="n"/>
      <c r="N240" s="715" t="n"/>
      <c r="O240" s="715" t="n"/>
      <c r="P240" s="715" t="n"/>
      <c r="Q240" s="715" t="n"/>
      <c r="R240" s="715" t="n"/>
      <c r="S240" s="715" t="n"/>
      <c r="T240" s="715" t="n"/>
      <c r="U240" s="715" t="n"/>
      <c r="V240" s="715" t="n"/>
      <c r="W240" s="715" t="n"/>
      <c r="X240" s="715" t="n"/>
      <c r="Y240" s="715" t="n"/>
      <c r="Z240" s="715" t="n"/>
      <c r="AA240" s="715" t="n"/>
      <c r="AB240" s="715" t="n"/>
      <c r="AC240" s="715" t="n"/>
      <c r="AD240" s="715" t="n"/>
      <c r="AE240" s="715" t="n"/>
      <c r="AF240" s="715" t="n"/>
      <c r="AG240" s="715" t="n"/>
      <c r="AH240" s="715" t="n"/>
      <c r="AI240" s="715" t="n"/>
      <c r="AJ240" s="715" t="n"/>
      <c r="AK240" s="715" t="n"/>
      <c r="AL240" s="715" t="n"/>
      <c r="AM240" s="715" t="n"/>
      <c r="AN240" s="715" t="n"/>
      <c r="AO240" s="715" t="n"/>
      <c r="AP240" s="715" t="n"/>
      <c r="AQ240" s="715" t="n"/>
      <c r="AR240" s="715" t="n"/>
      <c r="AS240" s="715" t="n"/>
      <c r="AT240" s="715" t="n"/>
      <c r="AU240" s="715" t="n"/>
      <c r="AV240" s="715" t="n"/>
      <c r="AW240" s="715" t="n"/>
      <c r="AX240" s="715" t="n"/>
      <c r="AY240" s="715" t="n"/>
      <c r="AZ240" s="715" t="n"/>
      <c r="BA240" s="715" t="n"/>
      <c r="BB240" s="715" t="n"/>
      <c r="BC240" s="715" t="n"/>
      <c r="BD240" s="715" t="n"/>
      <c r="BE240" s="715" t="n"/>
      <c r="BF240" s="715" t="n"/>
      <c r="BG240" s="715" t="n"/>
      <c r="BH240" s="715" t="n"/>
      <c r="BI240" s="715" t="n"/>
      <c r="BJ240" s="715" t="n"/>
      <c r="BK240" s="715" t="n"/>
      <c r="BL240" s="715" t="n"/>
      <c r="BM240" s="715" t="n"/>
    </row>
    <row r="241">
      <c r="A241" s="715" t="n"/>
      <c r="B241" s="715" t="n"/>
      <c r="C241" s="715" t="n"/>
      <c r="D241" s="715" t="n"/>
      <c r="E241" s="715" t="n"/>
      <c r="F241" s="715" t="n"/>
      <c r="G241" s="715" t="n"/>
      <c r="H241" s="715" t="n"/>
      <c r="I241" s="715" t="n"/>
      <c r="J241" s="715" t="n"/>
      <c r="K241" s="715" t="n"/>
      <c r="L241" s="715" t="n"/>
      <c r="M241" s="715" t="n"/>
      <c r="N241" s="715" t="n"/>
      <c r="O241" s="715" t="n"/>
      <c r="P241" s="715" t="n"/>
      <c r="Q241" s="715" t="n"/>
      <c r="R241" s="715" t="n"/>
      <c r="S241" s="715" t="n"/>
      <c r="T241" s="715" t="n"/>
      <c r="U241" s="715" t="n"/>
      <c r="V241" s="715" t="n"/>
      <c r="W241" s="715" t="n"/>
      <c r="X241" s="715" t="n"/>
      <c r="Y241" s="715" t="n"/>
      <c r="Z241" s="715" t="n"/>
      <c r="AA241" s="715" t="n"/>
      <c r="AB241" s="715" t="n"/>
      <c r="AC241" s="715" t="n"/>
      <c r="AD241" s="715" t="n"/>
      <c r="AE241" s="715" t="n"/>
      <c r="AF241" s="715" t="n"/>
      <c r="AG241" s="715" t="n"/>
      <c r="AH241" s="715" t="n"/>
      <c r="AI241" s="715" t="n"/>
      <c r="AJ241" s="715" t="n"/>
      <c r="AK241" s="715" t="n"/>
      <c r="AL241" s="715" t="n"/>
      <c r="AM241" s="715" t="n"/>
      <c r="AN241" s="715" t="n"/>
      <c r="AO241" s="715" t="n"/>
      <c r="AP241" s="715" t="n"/>
      <c r="AQ241" s="715" t="n"/>
      <c r="AR241" s="715" t="n"/>
      <c r="AS241" s="715" t="n"/>
      <c r="AT241" s="715" t="n"/>
      <c r="AU241" s="715" t="n"/>
      <c r="AV241" s="715" t="n"/>
      <c r="AW241" s="715" t="n"/>
      <c r="AX241" s="715" t="n"/>
      <c r="AY241" s="715" t="n"/>
      <c r="AZ241" s="715" t="n"/>
      <c r="BA241" s="715" t="n"/>
      <c r="BB241" s="715" t="n"/>
      <c r="BC241" s="715" t="n"/>
      <c r="BD241" s="715" t="n"/>
      <c r="BE241" s="715" t="n"/>
      <c r="BF241" s="715" t="n"/>
      <c r="BG241" s="715" t="n"/>
      <c r="BH241" s="715" t="n"/>
      <c r="BI241" s="715" t="n"/>
      <c r="BJ241" s="715" t="n"/>
      <c r="BK241" s="715" t="n"/>
      <c r="BL241" s="715" t="n"/>
      <c r="BM241" s="715" t="n"/>
    </row>
    <row r="242">
      <c r="A242" s="715" t="n"/>
      <c r="B242" s="715" t="n"/>
      <c r="C242" s="715" t="n"/>
      <c r="D242" s="715" t="n"/>
      <c r="E242" s="715" t="n"/>
      <c r="F242" s="715" t="n"/>
      <c r="G242" s="715" t="n"/>
      <c r="H242" s="715" t="n"/>
      <c r="I242" s="715" t="n"/>
      <c r="J242" s="715" t="n"/>
      <c r="K242" s="715" t="n"/>
      <c r="L242" s="715" t="n"/>
      <c r="M242" s="715" t="n"/>
      <c r="N242" s="715" t="n"/>
      <c r="O242" s="715" t="n"/>
      <c r="P242" s="715" t="n"/>
      <c r="Q242" s="715" t="n"/>
      <c r="R242" s="715" t="n"/>
      <c r="S242" s="715" t="n"/>
      <c r="T242" s="715" t="n"/>
      <c r="U242" s="715" t="n"/>
      <c r="V242" s="715" t="n"/>
      <c r="W242" s="715" t="n"/>
      <c r="X242" s="715" t="n"/>
      <c r="Y242" s="715" t="n"/>
      <c r="Z242" s="715" t="n"/>
      <c r="AA242" s="715" t="n"/>
      <c r="AB242" s="715" t="n"/>
      <c r="AC242" s="715" t="n"/>
      <c r="AD242" s="715" t="n"/>
      <c r="AE242" s="715" t="n"/>
      <c r="AF242" s="715" t="n"/>
      <c r="AG242" s="715" t="n"/>
      <c r="AH242" s="715" t="n"/>
      <c r="AI242" s="715" t="n"/>
      <c r="AJ242" s="715" t="n"/>
      <c r="AK242" s="715" t="n"/>
      <c r="AL242" s="715" t="n"/>
      <c r="AM242" s="715" t="n"/>
      <c r="AN242" s="715" t="n"/>
      <c r="AO242" s="715" t="n"/>
      <c r="AP242" s="715" t="n"/>
      <c r="AQ242" s="715" t="n"/>
      <c r="AR242" s="715" t="n"/>
      <c r="AS242" s="715" t="n"/>
      <c r="AT242" s="715" t="n"/>
      <c r="AU242" s="715" t="n"/>
      <c r="AV242" s="715" t="n"/>
      <c r="AW242" s="715" t="n"/>
      <c r="AX242" s="715" t="n"/>
      <c r="AY242" s="715" t="n"/>
      <c r="AZ242" s="715" t="n"/>
      <c r="BA242" s="715" t="n"/>
      <c r="BB242" s="715" t="n"/>
      <c r="BC242" s="715" t="n"/>
      <c r="BD242" s="715" t="n"/>
      <c r="BE242" s="715" t="n"/>
      <c r="BF242" s="715" t="n"/>
      <c r="BG242" s="715" t="n"/>
      <c r="BH242" s="715" t="n"/>
      <c r="BI242" s="715" t="n"/>
      <c r="BJ242" s="715" t="n"/>
      <c r="BK242" s="715" t="n"/>
      <c r="BL242" s="715" t="n"/>
      <c r="BM242" s="715" t="n"/>
    </row>
    <row r="243">
      <c r="A243" s="715" t="n"/>
      <c r="B243" s="715" t="n"/>
      <c r="C243" s="715" t="n"/>
      <c r="D243" s="715" t="n"/>
      <c r="E243" s="715" t="n"/>
      <c r="F243" s="715" t="n"/>
      <c r="G243" s="715" t="n"/>
      <c r="H243" s="715" t="n"/>
      <c r="I243" s="715" t="n"/>
      <c r="J243" s="715" t="n"/>
      <c r="K243" s="715" t="n"/>
      <c r="L243" s="715" t="n"/>
      <c r="M243" s="715" t="n"/>
      <c r="N243" s="715" t="n"/>
      <c r="O243" s="715" t="n"/>
      <c r="P243" s="715" t="n"/>
      <c r="Q243" s="715" t="n"/>
      <c r="R243" s="715" t="n"/>
      <c r="S243" s="715" t="n"/>
      <c r="T243" s="715" t="n"/>
      <c r="U243" s="715" t="n"/>
      <c r="V243" s="715" t="n"/>
      <c r="W243" s="715" t="n"/>
      <c r="X243" s="715" t="n"/>
      <c r="Y243" s="715" t="n"/>
      <c r="Z243" s="715" t="n"/>
      <c r="AA243" s="715" t="n"/>
      <c r="AB243" s="715" t="n"/>
      <c r="AC243" s="715" t="n"/>
      <c r="AD243" s="715" t="n"/>
      <c r="AE243" s="715" t="n"/>
      <c r="AF243" s="715" t="n"/>
      <c r="AG243" s="715" t="n"/>
      <c r="AH243" s="715" t="n"/>
      <c r="AI243" s="715" t="n"/>
      <c r="AJ243" s="715" t="n"/>
      <c r="AK243" s="715" t="n"/>
      <c r="AL243" s="715" t="n"/>
      <c r="AM243" s="715" t="n"/>
      <c r="AN243" s="715" t="n"/>
      <c r="AO243" s="715" t="n"/>
      <c r="AP243" s="715" t="n"/>
      <c r="AQ243" s="715" t="n"/>
      <c r="AR243" s="715" t="n"/>
      <c r="AS243" s="715" t="n"/>
      <c r="AT243" s="715" t="n"/>
      <c r="AU243" s="715" t="n"/>
      <c r="AV243" s="715" t="n"/>
      <c r="AW243" s="715" t="n"/>
      <c r="AX243" s="715" t="n"/>
      <c r="AY243" s="715" t="n"/>
      <c r="AZ243" s="715" t="n"/>
      <c r="BA243" s="715" t="n"/>
      <c r="BB243" s="715" t="n"/>
      <c r="BC243" s="715" t="n"/>
      <c r="BD243" s="715" t="n"/>
      <c r="BE243" s="715" t="n"/>
      <c r="BF243" s="715" t="n"/>
      <c r="BG243" s="715" t="n"/>
      <c r="BH243" s="715" t="n"/>
      <c r="BI243" s="715" t="n"/>
      <c r="BJ243" s="715" t="n"/>
      <c r="BK243" s="715" t="n"/>
      <c r="BL243" s="715" t="n"/>
      <c r="BM243" s="715" t="n"/>
    </row>
    <row r="244">
      <c r="A244" s="715" t="n"/>
      <c r="B244" s="715" t="n"/>
      <c r="C244" s="715" t="n"/>
      <c r="D244" s="715" t="n"/>
      <c r="E244" s="715" t="n"/>
      <c r="F244" s="715" t="n"/>
      <c r="G244" s="715" t="n"/>
      <c r="H244" s="715" t="n"/>
      <c r="I244" s="715" t="n"/>
      <c r="J244" s="715" t="n"/>
      <c r="K244" s="715" t="n"/>
      <c r="L244" s="715" t="n"/>
      <c r="M244" s="715" t="n"/>
      <c r="N244" s="715" t="n"/>
      <c r="O244" s="715" t="n"/>
      <c r="P244" s="715" t="n"/>
      <c r="Q244" s="715" t="n"/>
      <c r="R244" s="715" t="n"/>
      <c r="S244" s="715" t="n"/>
      <c r="T244" s="715" t="n"/>
      <c r="U244" s="715" t="n"/>
      <c r="V244" s="715" t="n"/>
      <c r="W244" s="715" t="n"/>
      <c r="X244" s="715" t="n"/>
      <c r="Y244" s="715" t="n"/>
      <c r="Z244" s="715" t="n"/>
      <c r="AA244" s="715" t="n"/>
      <c r="AB244" s="715" t="n"/>
      <c r="AC244" s="715" t="n"/>
      <c r="AD244" s="715" t="n"/>
      <c r="AE244" s="715" t="n"/>
      <c r="AF244" s="715" t="n"/>
      <c r="AG244" s="715" t="n"/>
      <c r="AH244" s="715" t="n"/>
      <c r="AI244" s="715" t="n"/>
      <c r="AJ244" s="715" t="n"/>
      <c r="AK244" s="715" t="n"/>
      <c r="AL244" s="715" t="n"/>
      <c r="AM244" s="715" t="n"/>
      <c r="AN244" s="715" t="n"/>
      <c r="AO244" s="715" t="n"/>
      <c r="AP244" s="715" t="n"/>
      <c r="AQ244" s="715" t="n"/>
      <c r="AR244" s="715" t="n"/>
      <c r="AS244" s="715" t="n"/>
      <c r="AT244" s="715" t="n"/>
      <c r="AU244" s="715" t="n"/>
      <c r="AV244" s="715" t="n"/>
      <c r="AW244" s="715" t="n"/>
      <c r="AX244" s="715" t="n"/>
      <c r="AY244" s="715" t="n"/>
      <c r="AZ244" s="715" t="n"/>
      <c r="BA244" s="715" t="n"/>
      <c r="BB244" s="715" t="n"/>
      <c r="BC244" s="715" t="n"/>
      <c r="BD244" s="715" t="n"/>
      <c r="BE244" s="715" t="n"/>
      <c r="BF244" s="715" t="n"/>
      <c r="BG244" s="715" t="n"/>
      <c r="BH244" s="715" t="n"/>
      <c r="BI244" s="715" t="n"/>
      <c r="BJ244" s="715" t="n"/>
      <c r="BK244" s="715" t="n"/>
      <c r="BL244" s="715" t="n"/>
      <c r="BM244" s="715" t="n"/>
    </row>
    <row r="245">
      <c r="A245" s="715" t="n"/>
      <c r="B245" s="715" t="n"/>
      <c r="C245" s="715" t="n"/>
      <c r="D245" s="715" t="n"/>
      <c r="E245" s="715" t="n"/>
      <c r="F245" s="715" t="n"/>
      <c r="G245" s="715" t="n"/>
      <c r="H245" s="715" t="n"/>
      <c r="I245" s="715" t="n"/>
      <c r="J245" s="715" t="n"/>
      <c r="K245" s="715" t="n"/>
      <c r="L245" s="715" t="n"/>
      <c r="M245" s="715" t="n"/>
      <c r="N245" s="715" t="n"/>
      <c r="O245" s="715" t="n"/>
      <c r="P245" s="715" t="n"/>
      <c r="Q245" s="715" t="n"/>
      <c r="R245" s="715" t="n"/>
      <c r="S245" s="715" t="n"/>
      <c r="T245" s="715" t="n"/>
      <c r="U245" s="715" t="n"/>
      <c r="V245" s="715" t="n"/>
      <c r="W245" s="715" t="n"/>
      <c r="X245" s="715" t="n"/>
      <c r="Y245" s="715" t="n"/>
      <c r="Z245" s="715" t="n"/>
      <c r="AA245" s="715" t="n"/>
      <c r="AB245" s="715" t="n"/>
      <c r="AC245" s="715" t="n"/>
      <c r="AD245" s="715" t="n"/>
      <c r="AE245" s="715" t="n"/>
      <c r="AF245" s="715" t="n"/>
      <c r="AG245" s="715" t="n"/>
      <c r="AH245" s="715" t="n"/>
      <c r="AI245" s="715" t="n"/>
      <c r="AJ245" s="715" t="n"/>
      <c r="AK245" s="715" t="n"/>
      <c r="AL245" s="715" t="n"/>
      <c r="AM245" s="715" t="n"/>
      <c r="AN245" s="715" t="n"/>
      <c r="AO245" s="715" t="n"/>
      <c r="AP245" s="715" t="n"/>
      <c r="AQ245" s="715" t="n"/>
      <c r="AR245" s="715" t="n"/>
      <c r="AS245" s="715" t="n"/>
      <c r="AT245" s="715" t="n"/>
      <c r="AU245" s="715" t="n"/>
      <c r="AV245" s="715" t="n"/>
      <c r="AW245" s="715" t="n"/>
      <c r="AX245" s="715" t="n"/>
      <c r="AY245" s="715" t="n"/>
      <c r="AZ245" s="715" t="n"/>
      <c r="BA245" s="715" t="n"/>
      <c r="BB245" s="715" t="n"/>
      <c r="BC245" s="715" t="n"/>
      <c r="BD245" s="715" t="n"/>
      <c r="BE245" s="715" t="n"/>
      <c r="BF245" s="715" t="n"/>
      <c r="BG245" s="715" t="n"/>
      <c r="BH245" s="715" t="n"/>
      <c r="BI245" s="715" t="n"/>
      <c r="BJ245" s="715" t="n"/>
      <c r="BK245" s="715" t="n"/>
      <c r="BL245" s="715" t="n"/>
      <c r="BM245" s="715" t="n"/>
    </row>
    <row r="246">
      <c r="A246" s="715" t="n"/>
      <c r="B246" s="715" t="n"/>
      <c r="C246" s="715" t="n"/>
      <c r="D246" s="715" t="n"/>
      <c r="E246" s="715" t="n"/>
      <c r="F246" s="715" t="n"/>
      <c r="G246" s="715" t="n"/>
      <c r="H246" s="715" t="n"/>
      <c r="I246" s="715" t="n"/>
      <c r="J246" s="715" t="n"/>
      <c r="K246" s="715" t="n"/>
      <c r="L246" s="715" t="n"/>
      <c r="M246" s="715" t="n"/>
      <c r="N246" s="715" t="n"/>
      <c r="O246" s="715" t="n"/>
      <c r="P246" s="715" t="n"/>
      <c r="Q246" s="715" t="n"/>
      <c r="R246" s="715" t="n"/>
      <c r="S246" s="715" t="n"/>
      <c r="T246" s="715" t="n"/>
      <c r="U246" s="715" t="n"/>
      <c r="V246" s="715" t="n"/>
      <c r="W246" s="715" t="n"/>
      <c r="X246" s="715" t="n"/>
      <c r="Y246" s="715" t="n"/>
      <c r="Z246" s="715" t="n"/>
      <c r="AA246" s="715" t="n"/>
      <c r="AB246" s="715" t="n"/>
      <c r="AC246" s="715" t="n"/>
      <c r="AD246" s="715" t="n"/>
      <c r="AE246" s="715" t="n"/>
      <c r="AF246" s="715" t="n"/>
      <c r="AG246" s="715" t="n"/>
      <c r="AH246" s="715" t="n"/>
      <c r="AI246" s="715" t="n"/>
      <c r="AJ246" s="715" t="n"/>
      <c r="AK246" s="715" t="n"/>
      <c r="AL246" s="715" t="n"/>
      <c r="AM246" s="715" t="n"/>
      <c r="AN246" s="715" t="n"/>
      <c r="AO246" s="715" t="n"/>
      <c r="AP246" s="715" t="n"/>
      <c r="AQ246" s="715" t="n"/>
      <c r="AR246" s="715" t="n"/>
      <c r="AS246" s="715" t="n"/>
      <c r="AT246" s="715" t="n"/>
      <c r="AU246" s="715" t="n"/>
      <c r="AV246" s="715" t="n"/>
      <c r="AW246" s="715" t="n"/>
      <c r="AX246" s="715" t="n"/>
      <c r="AY246" s="715" t="n"/>
      <c r="AZ246" s="715" t="n"/>
      <c r="BA246" s="715" t="n"/>
      <c r="BB246" s="715" t="n"/>
      <c r="BC246" s="715" t="n"/>
      <c r="BD246" s="715" t="n"/>
      <c r="BE246" s="715" t="n"/>
      <c r="BF246" s="715" t="n"/>
      <c r="BG246" s="715" t="n"/>
      <c r="BH246" s="715" t="n"/>
      <c r="BI246" s="715" t="n"/>
      <c r="BJ246" s="715" t="n"/>
      <c r="BK246" s="715" t="n"/>
      <c r="BL246" s="715" t="n"/>
      <c r="BM246" s="715" t="n"/>
    </row>
    <row r="247">
      <c r="A247" s="715" t="n"/>
      <c r="B247" s="715" t="n"/>
      <c r="C247" s="715" t="n"/>
      <c r="D247" s="715" t="n"/>
      <c r="E247" s="715" t="n"/>
      <c r="F247" s="715" t="n"/>
      <c r="G247" s="715" t="n"/>
      <c r="H247" s="715" t="n"/>
      <c r="I247" s="715" t="n"/>
      <c r="J247" s="715" t="n"/>
      <c r="K247" s="715" t="n"/>
      <c r="L247" s="715" t="n"/>
      <c r="M247" s="715" t="n"/>
      <c r="N247" s="715" t="n"/>
      <c r="O247" s="715" t="n"/>
      <c r="P247" s="715" t="n"/>
      <c r="Q247" s="715" t="n"/>
      <c r="R247" s="715" t="n"/>
      <c r="S247" s="715" t="n"/>
      <c r="T247" s="715" t="n"/>
      <c r="U247" s="715" t="n"/>
      <c r="V247" s="715" t="n"/>
      <c r="W247" s="715" t="n"/>
      <c r="X247" s="715" t="n"/>
      <c r="Y247" s="715" t="n"/>
      <c r="Z247" s="715" t="n"/>
      <c r="AA247" s="715" t="n"/>
      <c r="AB247" s="715" t="n"/>
      <c r="AC247" s="715" t="n"/>
      <c r="AD247" s="715" t="n"/>
      <c r="AE247" s="715" t="n"/>
      <c r="AF247" s="715" t="n"/>
      <c r="AG247" s="715" t="n"/>
      <c r="AH247" s="715" t="n"/>
      <c r="AI247" s="715" t="n"/>
      <c r="AJ247" s="715" t="n"/>
      <c r="AK247" s="715" t="n"/>
      <c r="AL247" s="715" t="n"/>
      <c r="AM247" s="715" t="n"/>
      <c r="AN247" s="715" t="n"/>
      <c r="AO247" s="715" t="n"/>
      <c r="AP247" s="715" t="n"/>
      <c r="AQ247" s="715" t="n"/>
      <c r="AR247" s="715" t="n"/>
      <c r="AS247" s="715" t="n"/>
      <c r="AT247" s="715" t="n"/>
      <c r="AU247" s="715" t="n"/>
      <c r="AV247" s="715" t="n"/>
      <c r="AW247" s="715" t="n"/>
      <c r="AX247" s="715" t="n"/>
      <c r="AY247" s="715" t="n"/>
      <c r="AZ247" s="715" t="n"/>
      <c r="BA247" s="715" t="n"/>
      <c r="BB247" s="715" t="n"/>
      <c r="BC247" s="715" t="n"/>
      <c r="BD247" s="715" t="n"/>
      <c r="BE247" s="715" t="n"/>
      <c r="BF247" s="715" t="n"/>
      <c r="BG247" s="715" t="n"/>
      <c r="BH247" s="715" t="n"/>
      <c r="BI247" s="715" t="n"/>
      <c r="BJ247" s="715" t="n"/>
      <c r="BK247" s="715" t="n"/>
      <c r="BL247" s="715" t="n"/>
      <c r="BM247" s="715" t="n"/>
    </row>
    <row r="248">
      <c r="A248" s="714" t="n"/>
      <c r="B248" s="713" t="n"/>
      <c r="C248" s="964" t="n"/>
      <c r="D248" s="713" t="n"/>
      <c r="E248" s="964" t="n"/>
      <c r="F248" s="713" t="n"/>
      <c r="G248" s="964" t="n"/>
      <c r="H248" s="713" t="n"/>
      <c r="I248" s="965" t="n"/>
      <c r="J248" s="710" t="n"/>
      <c r="K248" s="964" t="n"/>
      <c r="L248" s="713" t="n"/>
      <c r="M248" s="964" t="n"/>
      <c r="N248" s="713" t="n"/>
      <c r="O248" s="964" t="n"/>
      <c r="P248" s="713" t="n"/>
      <c r="Q248" s="965" t="n"/>
      <c r="R248" s="710" t="n"/>
      <c r="S248" s="964" t="n"/>
      <c r="T248" s="713" t="n"/>
      <c r="U248" s="964" t="n"/>
      <c r="V248" s="713" t="n"/>
      <c r="W248" s="964" t="n"/>
      <c r="X248" s="713" t="n"/>
      <c r="Y248" s="965" t="n"/>
      <c r="Z248" s="710" t="n"/>
      <c r="AA248" s="964" t="n"/>
      <c r="AB248" s="713" t="n"/>
      <c r="AC248" s="964" t="n"/>
      <c r="AD248" s="713" t="n"/>
      <c r="AE248" s="964" t="n"/>
      <c r="AF248" s="713" t="n"/>
      <c r="AG248" s="965" t="n"/>
      <c r="AH248" s="710" t="n"/>
      <c r="AI248" s="964" t="n"/>
      <c r="AJ248" s="713" t="n"/>
      <c r="AK248" s="964" t="n"/>
      <c r="AL248" s="713" t="n"/>
      <c r="AM248" s="964" t="n"/>
      <c r="AN248" s="713" t="n"/>
      <c r="AO248" s="965" t="n"/>
      <c r="AP248" s="710" t="n"/>
      <c r="AQ248" s="964" t="n"/>
      <c r="AR248" s="713" t="n"/>
      <c r="AS248" s="964" t="n"/>
      <c r="AT248" s="713" t="n"/>
      <c r="AU248" s="964" t="n"/>
      <c r="AV248" s="713" t="n"/>
      <c r="AW248" s="965" t="n"/>
      <c r="AX248" s="710" t="n"/>
      <c r="AY248" s="964" t="n"/>
      <c r="AZ248" s="713" t="n"/>
      <c r="BA248" s="964" t="n"/>
      <c r="BB248" s="713" t="n"/>
      <c r="BC248" s="964" t="n"/>
      <c r="BD248" s="713" t="n"/>
      <c r="BE248" s="965" t="n"/>
      <c r="BF248" s="710" t="n"/>
      <c r="BG248" s="964" t="n"/>
      <c r="BH248" s="709" t="n"/>
      <c r="BI248" s="966" t="n"/>
      <c r="BJ248" s="713" t="n"/>
      <c r="BK248" s="964" t="n"/>
      <c r="BL248" s="713" t="n"/>
      <c r="BM248" s="965" t="n"/>
    </row>
    <row r="249" ht="15" customFormat="1" customHeight="1" s="24">
      <c r="A249" s="707" t="n"/>
      <c r="B249" s="715" t="n"/>
      <c r="C249" s="715" t="n"/>
      <c r="D249" s="715" t="n"/>
      <c r="E249" s="715" t="n"/>
      <c r="F249" s="715" t="n"/>
      <c r="G249" s="715" t="n"/>
      <c r="H249" s="715" t="n"/>
      <c r="I249" s="715" t="n"/>
      <c r="J249" s="715" t="n"/>
      <c r="K249" s="715" t="n"/>
      <c r="L249" s="715" t="n"/>
      <c r="M249" s="715" t="n"/>
      <c r="N249" s="715" t="n"/>
      <c r="O249" s="715" t="n"/>
      <c r="P249" s="715" t="n"/>
      <c r="Q249" s="715" t="n"/>
      <c r="R249" s="715" t="n"/>
      <c r="S249" s="715" t="n"/>
      <c r="T249" s="715" t="n"/>
      <c r="U249" s="715" t="n"/>
      <c r="V249" s="715" t="n"/>
      <c r="W249" s="715" t="n"/>
      <c r="X249" s="715" t="n"/>
      <c r="Y249" s="715" t="n"/>
      <c r="Z249" s="715" t="n"/>
      <c r="AA249" s="715" t="n"/>
      <c r="AB249" s="715" t="n"/>
      <c r="AC249" s="715" t="n"/>
      <c r="AD249" s="715" t="n"/>
      <c r="AE249" s="715" t="n"/>
      <c r="AF249" s="715" t="n"/>
      <c r="AG249" s="715" t="n"/>
      <c r="AH249" s="715" t="n"/>
      <c r="AI249" s="715" t="n"/>
      <c r="AJ249" s="715" t="n"/>
      <c r="AK249" s="715" t="n"/>
      <c r="AL249" s="715" t="n"/>
      <c r="AM249" s="715" t="n"/>
      <c r="AN249" s="715" t="n"/>
      <c r="AO249" s="715" t="n"/>
      <c r="AP249" s="715" t="n"/>
      <c r="AQ249" s="715" t="n"/>
      <c r="AR249" s="715" t="n"/>
      <c r="AS249" s="715" t="n"/>
      <c r="AT249" s="715" t="n"/>
      <c r="AU249" s="715" t="n"/>
      <c r="AV249" s="715" t="n"/>
      <c r="AW249" s="715" t="n"/>
      <c r="AX249" s="715" t="n"/>
      <c r="AY249" s="715" t="n"/>
      <c r="AZ249" s="715" t="n"/>
      <c r="BA249" s="715" t="n"/>
      <c r="BB249" s="715" t="n"/>
      <c r="BC249" s="715" t="n"/>
      <c r="BD249" s="715" t="n"/>
      <c r="BE249" s="715" t="n"/>
      <c r="BF249" s="715" t="n"/>
      <c r="BG249" s="715" t="n"/>
      <c r="BH249" s="715" t="n"/>
      <c r="BI249" s="715" t="n"/>
      <c r="BJ249" s="715" t="n"/>
      <c r="BK249" s="715" t="n"/>
      <c r="BL249" s="715" t="n"/>
      <c r="BM249" s="715" t="n"/>
    </row>
    <row r="250" ht="15" customFormat="1" customHeight="1" s="24">
      <c r="A250" s="715" t="n"/>
      <c r="B250" s="715" t="n"/>
      <c r="C250" s="715" t="n"/>
      <c r="D250" s="715" t="n"/>
      <c r="E250" s="715" t="n"/>
      <c r="F250" s="715" t="n"/>
      <c r="G250" s="715" t="n"/>
      <c r="H250" s="715" t="n"/>
      <c r="I250" s="715" t="n"/>
      <c r="J250" s="715" t="n"/>
      <c r="K250" s="715" t="n"/>
      <c r="L250" s="715" t="n"/>
      <c r="M250" s="715" t="n"/>
      <c r="N250" s="715" t="n"/>
      <c r="O250" s="715" t="n"/>
      <c r="P250" s="715" t="n"/>
      <c r="Q250" s="715" t="n"/>
      <c r="R250" s="715" t="n"/>
      <c r="S250" s="715" t="n"/>
      <c r="T250" s="715" t="n"/>
      <c r="U250" s="715" t="n"/>
      <c r="V250" s="715" t="n"/>
      <c r="W250" s="715" t="n"/>
      <c r="X250" s="715" t="n"/>
      <c r="Y250" s="715" t="n"/>
      <c r="Z250" s="715" t="n"/>
      <c r="AA250" s="715" t="n"/>
      <c r="AB250" s="715" t="n"/>
      <c r="AC250" s="715" t="n"/>
      <c r="AD250" s="715" t="n"/>
      <c r="AE250" s="715" t="n"/>
      <c r="AF250" s="715" t="n"/>
      <c r="AG250" s="715" t="n"/>
      <c r="AH250" s="715" t="n"/>
      <c r="AI250" s="715" t="n"/>
      <c r="AJ250" s="715" t="n"/>
      <c r="AK250" s="715" t="n"/>
      <c r="AL250" s="715" t="n"/>
      <c r="AM250" s="715" t="n"/>
      <c r="AN250" s="715" t="n"/>
      <c r="AO250" s="715" t="n"/>
      <c r="AP250" s="715" t="n"/>
      <c r="AQ250" s="715" t="n"/>
      <c r="AR250" s="715" t="n"/>
      <c r="AS250" s="715" t="n"/>
      <c r="AT250" s="715" t="n"/>
      <c r="AU250" s="715" t="n"/>
      <c r="AV250" s="715" t="n"/>
      <c r="AW250" s="715" t="n"/>
      <c r="AX250" s="715" t="n"/>
      <c r="AY250" s="715" t="n"/>
      <c r="AZ250" s="715" t="n"/>
      <c r="BA250" s="715" t="n"/>
      <c r="BB250" s="715" t="n"/>
      <c r="BC250" s="715" t="n"/>
      <c r="BD250" s="715" t="n"/>
      <c r="BE250" s="715" t="n"/>
      <c r="BF250" s="715" t="n"/>
      <c r="BG250" s="715" t="n"/>
      <c r="BH250" s="715" t="n"/>
      <c r="BI250" s="715" t="n"/>
      <c r="BJ250" s="715" t="n"/>
      <c r="BK250" s="715" t="n"/>
      <c r="BL250" s="715" t="n"/>
      <c r="BM250" s="715" t="n"/>
    </row>
    <row r="251" ht="15" customFormat="1" customHeight="1" s="24">
      <c r="A251" s="715" t="n"/>
      <c r="B251" s="715" t="n"/>
      <c r="C251" s="715" t="n"/>
      <c r="D251" s="715" t="n"/>
      <c r="E251" s="715" t="n"/>
      <c r="F251" s="715" t="n"/>
      <c r="G251" s="715" t="n"/>
      <c r="H251" s="715" t="n"/>
      <c r="I251" s="715" t="n"/>
      <c r="J251" s="715" t="n"/>
      <c r="K251" s="715" t="n"/>
      <c r="L251" s="715" t="n"/>
      <c r="M251" s="715" t="n"/>
      <c r="N251" s="715" t="n"/>
      <c r="O251" s="715" t="n"/>
      <c r="P251" s="715" t="n"/>
      <c r="Q251" s="715" t="n"/>
      <c r="R251" s="715" t="n"/>
      <c r="S251" s="715" t="n"/>
      <c r="T251" s="715" t="n"/>
      <c r="U251" s="715" t="n"/>
      <c r="V251" s="715" t="n"/>
      <c r="W251" s="715" t="n"/>
      <c r="X251" s="715" t="n"/>
      <c r="Y251" s="715" t="n"/>
      <c r="Z251" s="715" t="n"/>
      <c r="AA251" s="715" t="n"/>
      <c r="AB251" s="715" t="n"/>
      <c r="AC251" s="715" t="n"/>
      <c r="AD251" s="715" t="n"/>
      <c r="AE251" s="715" t="n"/>
      <c r="AF251" s="715" t="n"/>
      <c r="AG251" s="715" t="n"/>
      <c r="AH251" s="715" t="n"/>
      <c r="AI251" s="715" t="n"/>
      <c r="AJ251" s="715" t="n"/>
      <c r="AK251" s="715" t="n"/>
      <c r="AL251" s="715" t="n"/>
      <c r="AM251" s="715" t="n"/>
      <c r="AN251" s="715" t="n"/>
      <c r="AO251" s="715" t="n"/>
      <c r="AP251" s="715" t="n"/>
      <c r="AQ251" s="715" t="n"/>
      <c r="AR251" s="715" t="n"/>
      <c r="AS251" s="715" t="n"/>
      <c r="AT251" s="715" t="n"/>
      <c r="AU251" s="715" t="n"/>
      <c r="AV251" s="715" t="n"/>
      <c r="AW251" s="715" t="n"/>
      <c r="AX251" s="715" t="n"/>
      <c r="AY251" s="715" t="n"/>
      <c r="AZ251" s="715" t="n"/>
      <c r="BA251" s="715" t="n"/>
      <c r="BB251" s="715" t="n"/>
      <c r="BC251" s="715" t="n"/>
      <c r="BD251" s="715" t="n"/>
      <c r="BE251" s="715" t="n"/>
      <c r="BF251" s="715" t="n"/>
      <c r="BG251" s="715" t="n"/>
      <c r="BH251" s="715" t="n"/>
      <c r="BI251" s="715" t="n"/>
      <c r="BJ251" s="715" t="n"/>
      <c r="BK251" s="715" t="n"/>
      <c r="BL251" s="715" t="n"/>
      <c r="BM251" s="715" t="n"/>
    </row>
    <row r="252" ht="15" customFormat="1" customHeight="1" s="24">
      <c r="A252" s="715" t="n"/>
      <c r="B252" s="715" t="n"/>
      <c r="C252" s="715" t="n"/>
      <c r="D252" s="715" t="n"/>
      <c r="E252" s="715" t="n"/>
      <c r="F252" s="715" t="n"/>
      <c r="G252" s="715" t="n"/>
      <c r="H252" s="715" t="n"/>
      <c r="I252" s="715" t="n"/>
      <c r="J252" s="715" t="n"/>
      <c r="K252" s="715" t="n"/>
      <c r="L252" s="715" t="n"/>
      <c r="M252" s="715" t="n"/>
      <c r="N252" s="715" t="n"/>
      <c r="O252" s="715" t="n"/>
      <c r="P252" s="715" t="n"/>
      <c r="Q252" s="715" t="n"/>
      <c r="R252" s="715" t="n"/>
      <c r="S252" s="715" t="n"/>
      <c r="T252" s="715" t="n"/>
      <c r="U252" s="715" t="n"/>
      <c r="V252" s="715" t="n"/>
      <c r="W252" s="715" t="n"/>
      <c r="X252" s="715" t="n"/>
      <c r="Y252" s="715" t="n"/>
      <c r="Z252" s="715" t="n"/>
      <c r="AA252" s="715" t="n"/>
      <c r="AB252" s="715" t="n"/>
      <c r="AC252" s="715" t="n"/>
      <c r="AD252" s="715" t="n"/>
      <c r="AE252" s="715" t="n"/>
      <c r="AF252" s="715" t="n"/>
      <c r="AG252" s="715" t="n"/>
      <c r="AH252" s="715" t="n"/>
      <c r="AI252" s="715" t="n"/>
      <c r="AJ252" s="715" t="n"/>
      <c r="AK252" s="715" t="n"/>
      <c r="AL252" s="715" t="n"/>
      <c r="AM252" s="715" t="n"/>
      <c r="AN252" s="715" t="n"/>
      <c r="AO252" s="715" t="n"/>
      <c r="AP252" s="715" t="n"/>
      <c r="AQ252" s="715" t="n"/>
      <c r="AR252" s="715" t="n"/>
      <c r="AS252" s="715" t="n"/>
      <c r="AT252" s="715" t="n"/>
      <c r="AU252" s="715" t="n"/>
      <c r="AV252" s="715" t="n"/>
      <c r="AW252" s="715" t="n"/>
      <c r="AX252" s="715" t="n"/>
      <c r="AY252" s="715" t="n"/>
      <c r="AZ252" s="715" t="n"/>
      <c r="BA252" s="715" t="n"/>
      <c r="BB252" s="715" t="n"/>
      <c r="BC252" s="715" t="n"/>
      <c r="BD252" s="715" t="n"/>
      <c r="BE252" s="715" t="n"/>
      <c r="BF252" s="715" t="n"/>
      <c r="BG252" s="715" t="n"/>
      <c r="BH252" s="715" t="n"/>
      <c r="BI252" s="715" t="n"/>
      <c r="BJ252" s="715" t="n"/>
      <c r="BK252" s="715" t="n"/>
      <c r="BL252" s="715" t="n"/>
      <c r="BM252" s="715" t="n"/>
    </row>
    <row r="253" ht="15" customFormat="1" customHeight="1" s="24">
      <c r="A253" s="715" t="n"/>
      <c r="B253" s="715" t="n"/>
      <c r="C253" s="715" t="n"/>
      <c r="D253" s="715" t="n"/>
      <c r="E253" s="715" t="n"/>
      <c r="F253" s="715" t="n"/>
      <c r="G253" s="715" t="n"/>
      <c r="H253" s="715" t="n"/>
      <c r="I253" s="715" t="n"/>
      <c r="J253" s="715" t="n"/>
      <c r="K253" s="715" t="n"/>
      <c r="L253" s="715" t="n"/>
      <c r="M253" s="715" t="n"/>
      <c r="N253" s="715" t="n"/>
      <c r="O253" s="715" t="n"/>
      <c r="P253" s="715" t="n"/>
      <c r="Q253" s="715" t="n"/>
      <c r="R253" s="715" t="n"/>
      <c r="S253" s="715" t="n"/>
      <c r="T253" s="715" t="n"/>
      <c r="U253" s="715" t="n"/>
      <c r="V253" s="715" t="n"/>
      <c r="W253" s="715" t="n"/>
      <c r="X253" s="715" t="n"/>
      <c r="Y253" s="715" t="n"/>
      <c r="Z253" s="715" t="n"/>
      <c r="AA253" s="715" t="n"/>
      <c r="AB253" s="715" t="n"/>
      <c r="AC253" s="715" t="n"/>
      <c r="AD253" s="715" t="n"/>
      <c r="AE253" s="715" t="n"/>
      <c r="AF253" s="715" t="n"/>
      <c r="AG253" s="715" t="n"/>
      <c r="AH253" s="715" t="n"/>
      <c r="AI253" s="715" t="n"/>
      <c r="AJ253" s="715" t="n"/>
      <c r="AK253" s="715" t="n"/>
      <c r="AL253" s="715" t="n"/>
      <c r="AM253" s="715" t="n"/>
      <c r="AN253" s="715" t="n"/>
      <c r="AO253" s="715" t="n"/>
      <c r="AP253" s="715" t="n"/>
      <c r="AQ253" s="715" t="n"/>
      <c r="AR253" s="715" t="n"/>
      <c r="AS253" s="715" t="n"/>
      <c r="AT253" s="715" t="n"/>
      <c r="AU253" s="715" t="n"/>
      <c r="AV253" s="715" t="n"/>
      <c r="AW253" s="715" t="n"/>
      <c r="AX253" s="715" t="n"/>
      <c r="AY253" s="715" t="n"/>
      <c r="AZ253" s="715" t="n"/>
      <c r="BA253" s="715" t="n"/>
      <c r="BB253" s="715" t="n"/>
      <c r="BC253" s="715" t="n"/>
      <c r="BD253" s="715" t="n"/>
      <c r="BE253" s="715" t="n"/>
      <c r="BF253" s="715" t="n"/>
      <c r="BG253" s="715" t="n"/>
      <c r="BH253" s="715" t="n"/>
      <c r="BI253" s="715" t="n"/>
      <c r="BJ253" s="715" t="n"/>
      <c r="BK253" s="715" t="n"/>
      <c r="BL253" s="715" t="n"/>
      <c r="BM253" s="715" t="n"/>
    </row>
    <row r="254" ht="15" customFormat="1" customHeight="1" s="24">
      <c r="A254" s="715" t="n"/>
      <c r="B254" s="715" t="n"/>
      <c r="C254" s="715" t="n"/>
      <c r="D254" s="715" t="n"/>
      <c r="E254" s="715" t="n"/>
      <c r="F254" s="715" t="n"/>
      <c r="G254" s="715" t="n"/>
      <c r="H254" s="715" t="n"/>
      <c r="I254" s="715" t="n"/>
      <c r="J254" s="715" t="n"/>
      <c r="K254" s="715" t="n"/>
      <c r="L254" s="715" t="n"/>
      <c r="M254" s="715" t="n"/>
      <c r="N254" s="715" t="n"/>
      <c r="O254" s="715" t="n"/>
      <c r="P254" s="715" t="n"/>
      <c r="Q254" s="715" t="n"/>
      <c r="R254" s="715" t="n"/>
      <c r="S254" s="715" t="n"/>
      <c r="T254" s="715" t="n"/>
      <c r="U254" s="715" t="n"/>
      <c r="V254" s="715" t="n"/>
      <c r="W254" s="715" t="n"/>
      <c r="X254" s="715" t="n"/>
      <c r="Y254" s="715" t="n"/>
      <c r="Z254" s="715" t="n"/>
      <c r="AA254" s="715" t="n"/>
      <c r="AB254" s="715" t="n"/>
      <c r="AC254" s="715" t="n"/>
      <c r="AD254" s="715" t="n"/>
      <c r="AE254" s="715" t="n"/>
      <c r="AF254" s="715" t="n"/>
      <c r="AG254" s="715" t="n"/>
      <c r="AH254" s="715" t="n"/>
      <c r="AI254" s="715" t="n"/>
      <c r="AJ254" s="715" t="n"/>
      <c r="AK254" s="715" t="n"/>
      <c r="AL254" s="715" t="n"/>
      <c r="AM254" s="715" t="n"/>
      <c r="AN254" s="715" t="n"/>
      <c r="AO254" s="715" t="n"/>
      <c r="AP254" s="715" t="n"/>
      <c r="AQ254" s="715" t="n"/>
      <c r="AR254" s="715" t="n"/>
      <c r="AS254" s="715" t="n"/>
      <c r="AT254" s="715" t="n"/>
      <c r="AU254" s="715" t="n"/>
      <c r="AV254" s="715" t="n"/>
      <c r="AW254" s="715" t="n"/>
      <c r="AX254" s="715" t="n"/>
      <c r="AY254" s="715" t="n"/>
      <c r="AZ254" s="715" t="n"/>
      <c r="BA254" s="715" t="n"/>
      <c r="BB254" s="715" t="n"/>
      <c r="BC254" s="715" t="n"/>
      <c r="BD254" s="715" t="n"/>
      <c r="BE254" s="715" t="n"/>
      <c r="BF254" s="715" t="n"/>
      <c r="BG254" s="715" t="n"/>
      <c r="BH254" s="715" t="n"/>
      <c r="BI254" s="715" t="n"/>
      <c r="BJ254" s="715" t="n"/>
      <c r="BK254" s="715" t="n"/>
      <c r="BL254" s="715" t="n"/>
      <c r="BM254" s="715" t="n"/>
    </row>
    <row r="255" ht="15" customFormat="1" customHeight="1" s="24">
      <c r="A255" s="715" t="n"/>
      <c r="B255" s="715" t="n"/>
      <c r="C255" s="715" t="n"/>
      <c r="D255" s="715" t="n"/>
      <c r="E255" s="715" t="n"/>
      <c r="F255" s="715" t="n"/>
      <c r="G255" s="715" t="n"/>
      <c r="H255" s="715" t="n"/>
      <c r="I255" s="715" t="n"/>
      <c r="J255" s="715" t="n"/>
      <c r="K255" s="715" t="n"/>
      <c r="L255" s="715" t="n"/>
      <c r="M255" s="715" t="n"/>
      <c r="N255" s="715" t="n"/>
      <c r="O255" s="715" t="n"/>
      <c r="P255" s="715" t="n"/>
      <c r="Q255" s="715" t="n"/>
      <c r="R255" s="715" t="n"/>
      <c r="S255" s="715" t="n"/>
      <c r="T255" s="715" t="n"/>
      <c r="U255" s="715" t="n"/>
      <c r="V255" s="715" t="n"/>
      <c r="W255" s="715" t="n"/>
      <c r="X255" s="715" t="n"/>
      <c r="Y255" s="715" t="n"/>
      <c r="Z255" s="715" t="n"/>
      <c r="AA255" s="715" t="n"/>
      <c r="AB255" s="715" t="n"/>
      <c r="AC255" s="715" t="n"/>
      <c r="AD255" s="715" t="n"/>
      <c r="AE255" s="715" t="n"/>
      <c r="AF255" s="715" t="n"/>
      <c r="AG255" s="715" t="n"/>
      <c r="AH255" s="715" t="n"/>
      <c r="AI255" s="715" t="n"/>
      <c r="AJ255" s="715" t="n"/>
      <c r="AK255" s="715" t="n"/>
      <c r="AL255" s="715" t="n"/>
      <c r="AM255" s="715" t="n"/>
      <c r="AN255" s="715" t="n"/>
      <c r="AO255" s="715" t="n"/>
      <c r="AP255" s="715" t="n"/>
      <c r="AQ255" s="715" t="n"/>
      <c r="AR255" s="715" t="n"/>
      <c r="AS255" s="715" t="n"/>
      <c r="AT255" s="715" t="n"/>
      <c r="AU255" s="715" t="n"/>
      <c r="AV255" s="715" t="n"/>
      <c r="AW255" s="715" t="n"/>
      <c r="AX255" s="715" t="n"/>
      <c r="AY255" s="715" t="n"/>
      <c r="AZ255" s="715" t="n"/>
      <c r="BA255" s="715" t="n"/>
      <c r="BB255" s="715" t="n"/>
      <c r="BC255" s="715" t="n"/>
      <c r="BD255" s="715" t="n"/>
      <c r="BE255" s="715" t="n"/>
      <c r="BF255" s="715" t="n"/>
      <c r="BG255" s="715" t="n"/>
      <c r="BH255" s="715" t="n"/>
      <c r="BI255" s="715" t="n"/>
      <c r="BJ255" s="715" t="n"/>
      <c r="BK255" s="715" t="n"/>
      <c r="BL255" s="715" t="n"/>
      <c r="BM255" s="715" t="n"/>
    </row>
    <row r="256" ht="15" customFormat="1" customHeight="1" s="24">
      <c r="A256" s="715" t="n"/>
      <c r="B256" s="715" t="n"/>
      <c r="C256" s="715" t="n"/>
      <c r="D256" s="715" t="n"/>
      <c r="E256" s="715" t="n"/>
      <c r="F256" s="715" t="n"/>
      <c r="G256" s="715" t="n"/>
      <c r="H256" s="715" t="n"/>
      <c r="I256" s="715" t="n"/>
      <c r="J256" s="715" t="n"/>
      <c r="K256" s="715" t="n"/>
      <c r="L256" s="715" t="n"/>
      <c r="M256" s="715" t="n"/>
      <c r="N256" s="715" t="n"/>
      <c r="O256" s="715" t="n"/>
      <c r="P256" s="715" t="n"/>
      <c r="Q256" s="715" t="n"/>
      <c r="R256" s="715" t="n"/>
      <c r="S256" s="715" t="n"/>
      <c r="T256" s="715" t="n"/>
      <c r="U256" s="715" t="n"/>
      <c r="V256" s="715" t="n"/>
      <c r="W256" s="715" t="n"/>
      <c r="X256" s="715" t="n"/>
      <c r="Y256" s="715" t="n"/>
      <c r="Z256" s="715" t="n"/>
      <c r="AA256" s="715" t="n"/>
      <c r="AB256" s="715" t="n"/>
      <c r="AC256" s="715" t="n"/>
      <c r="AD256" s="715" t="n"/>
      <c r="AE256" s="715" t="n"/>
      <c r="AF256" s="715" t="n"/>
      <c r="AG256" s="715" t="n"/>
      <c r="AH256" s="715" t="n"/>
      <c r="AI256" s="715" t="n"/>
      <c r="AJ256" s="715" t="n"/>
      <c r="AK256" s="715" t="n"/>
      <c r="AL256" s="715" t="n"/>
      <c r="AM256" s="715" t="n"/>
      <c r="AN256" s="715" t="n"/>
      <c r="AO256" s="715" t="n"/>
      <c r="AP256" s="715" t="n"/>
      <c r="AQ256" s="715" t="n"/>
      <c r="AR256" s="715" t="n"/>
      <c r="AS256" s="715" t="n"/>
      <c r="AT256" s="715" t="n"/>
      <c r="AU256" s="715" t="n"/>
      <c r="AV256" s="715" t="n"/>
      <c r="AW256" s="715" t="n"/>
      <c r="AX256" s="715" t="n"/>
      <c r="AY256" s="715" t="n"/>
      <c r="AZ256" s="715" t="n"/>
      <c r="BA256" s="715" t="n"/>
      <c r="BB256" s="715" t="n"/>
      <c r="BC256" s="715" t="n"/>
      <c r="BD256" s="715" t="n"/>
      <c r="BE256" s="715" t="n"/>
      <c r="BF256" s="715" t="n"/>
      <c r="BG256" s="715" t="n"/>
      <c r="BH256" s="715" t="n"/>
      <c r="BI256" s="715" t="n"/>
      <c r="BJ256" s="715" t="n"/>
      <c r="BK256" s="715" t="n"/>
      <c r="BL256" s="715" t="n"/>
      <c r="BM256" s="715" t="n"/>
    </row>
    <row r="257" ht="15" customFormat="1" customHeight="1" s="24">
      <c r="A257" s="715" t="n"/>
      <c r="B257" s="715" t="n"/>
      <c r="C257" s="715" t="n"/>
      <c r="D257" s="715" t="n"/>
      <c r="E257" s="715" t="n"/>
      <c r="F257" s="715" t="n"/>
      <c r="G257" s="715" t="n"/>
      <c r="H257" s="715" t="n"/>
      <c r="I257" s="715" t="n"/>
      <c r="J257" s="715" t="n"/>
      <c r="K257" s="715" t="n"/>
      <c r="L257" s="715" t="n"/>
      <c r="M257" s="715" t="n"/>
      <c r="N257" s="715" t="n"/>
      <c r="O257" s="715" t="n"/>
      <c r="P257" s="715" t="n"/>
      <c r="Q257" s="715" t="n"/>
      <c r="R257" s="715" t="n"/>
      <c r="S257" s="715" t="n"/>
      <c r="T257" s="715" t="n"/>
      <c r="U257" s="715" t="n"/>
      <c r="V257" s="715" t="n"/>
      <c r="W257" s="715" t="n"/>
      <c r="X257" s="715" t="n"/>
      <c r="Y257" s="715" t="n"/>
      <c r="Z257" s="715" t="n"/>
      <c r="AA257" s="715" t="n"/>
      <c r="AB257" s="715" t="n"/>
      <c r="AC257" s="715" t="n"/>
      <c r="AD257" s="715" t="n"/>
      <c r="AE257" s="715" t="n"/>
      <c r="AF257" s="715" t="n"/>
      <c r="AG257" s="715" t="n"/>
      <c r="AH257" s="715" t="n"/>
      <c r="AI257" s="715" t="n"/>
      <c r="AJ257" s="715" t="n"/>
      <c r="AK257" s="715" t="n"/>
      <c r="AL257" s="715" t="n"/>
      <c r="AM257" s="715" t="n"/>
      <c r="AN257" s="715" t="n"/>
      <c r="AO257" s="715" t="n"/>
      <c r="AP257" s="715" t="n"/>
      <c r="AQ257" s="715" t="n"/>
      <c r="AR257" s="715" t="n"/>
      <c r="AS257" s="715" t="n"/>
      <c r="AT257" s="715" t="n"/>
      <c r="AU257" s="715" t="n"/>
      <c r="AV257" s="715" t="n"/>
      <c r="AW257" s="715" t="n"/>
      <c r="AX257" s="715" t="n"/>
      <c r="AY257" s="715" t="n"/>
      <c r="AZ257" s="715" t="n"/>
      <c r="BA257" s="715" t="n"/>
      <c r="BB257" s="715" t="n"/>
      <c r="BC257" s="715" t="n"/>
      <c r="BD257" s="715" t="n"/>
      <c r="BE257" s="715" t="n"/>
      <c r="BF257" s="715" t="n"/>
      <c r="BG257" s="715" t="n"/>
      <c r="BH257" s="715" t="n"/>
      <c r="BI257" s="715" t="n"/>
      <c r="BJ257" s="715" t="n"/>
      <c r="BK257" s="715" t="n"/>
      <c r="BL257" s="715" t="n"/>
      <c r="BM257" s="715" t="n"/>
    </row>
    <row r="258" ht="15" customFormat="1" customHeight="1" s="24">
      <c r="A258" s="715" t="n"/>
      <c r="B258" s="715" t="n"/>
      <c r="C258" s="715" t="n"/>
      <c r="D258" s="715" t="n"/>
      <c r="E258" s="715" t="n"/>
      <c r="F258" s="715" t="n"/>
      <c r="G258" s="715" t="n"/>
      <c r="H258" s="715" t="n"/>
      <c r="I258" s="715" t="n"/>
      <c r="J258" s="715" t="n"/>
      <c r="K258" s="715" t="n"/>
      <c r="L258" s="715" t="n"/>
      <c r="M258" s="715" t="n"/>
      <c r="N258" s="715" t="n"/>
      <c r="O258" s="715" t="n"/>
      <c r="P258" s="715" t="n"/>
      <c r="Q258" s="715" t="n"/>
      <c r="R258" s="715" t="n"/>
      <c r="S258" s="715" t="n"/>
      <c r="T258" s="715" t="n"/>
      <c r="U258" s="715" t="n"/>
      <c r="V258" s="715" t="n"/>
      <c r="W258" s="715" t="n"/>
      <c r="X258" s="715" t="n"/>
      <c r="Y258" s="715" t="n"/>
      <c r="Z258" s="715" t="n"/>
      <c r="AA258" s="715" t="n"/>
      <c r="AB258" s="715" t="n"/>
      <c r="AC258" s="715" t="n"/>
      <c r="AD258" s="715" t="n"/>
      <c r="AE258" s="715" t="n"/>
      <c r="AF258" s="715" t="n"/>
      <c r="AG258" s="715" t="n"/>
      <c r="AH258" s="715" t="n"/>
      <c r="AI258" s="715" t="n"/>
      <c r="AJ258" s="715" t="n"/>
      <c r="AK258" s="715" t="n"/>
      <c r="AL258" s="715" t="n"/>
      <c r="AM258" s="715" t="n"/>
      <c r="AN258" s="715" t="n"/>
      <c r="AO258" s="715" t="n"/>
      <c r="AP258" s="715" t="n"/>
      <c r="AQ258" s="715" t="n"/>
      <c r="AR258" s="715" t="n"/>
      <c r="AS258" s="715" t="n"/>
      <c r="AT258" s="715" t="n"/>
      <c r="AU258" s="715" t="n"/>
      <c r="AV258" s="715" t="n"/>
      <c r="AW258" s="715" t="n"/>
      <c r="AX258" s="715" t="n"/>
      <c r="AY258" s="715" t="n"/>
      <c r="AZ258" s="715" t="n"/>
      <c r="BA258" s="715" t="n"/>
      <c r="BB258" s="715" t="n"/>
      <c r="BC258" s="715" t="n"/>
      <c r="BD258" s="715" t="n"/>
      <c r="BE258" s="715" t="n"/>
      <c r="BF258" s="715" t="n"/>
      <c r="BG258" s="715" t="n"/>
      <c r="BH258" s="715" t="n"/>
      <c r="BI258" s="715" t="n"/>
      <c r="BJ258" s="715" t="n"/>
      <c r="BK258" s="715" t="n"/>
      <c r="BL258" s="715" t="n"/>
      <c r="BM258" s="715" t="n"/>
    </row>
    <row r="259" ht="15" customFormat="1" customHeight="1" s="24">
      <c r="A259" s="715" t="n"/>
      <c r="B259" s="715" t="n"/>
      <c r="C259" s="715" t="n"/>
      <c r="D259" s="715" t="n"/>
      <c r="E259" s="715" t="n"/>
      <c r="F259" s="715" t="n"/>
      <c r="G259" s="715" t="n"/>
      <c r="H259" s="715" t="n"/>
      <c r="I259" s="715" t="n"/>
      <c r="J259" s="715" t="n"/>
      <c r="K259" s="715" t="n"/>
      <c r="L259" s="715" t="n"/>
      <c r="M259" s="715" t="n"/>
      <c r="N259" s="715" t="n"/>
      <c r="O259" s="715" t="n"/>
      <c r="P259" s="715" t="n"/>
      <c r="Q259" s="715" t="n"/>
      <c r="R259" s="715" t="n"/>
      <c r="S259" s="715" t="n"/>
      <c r="T259" s="715" t="n"/>
      <c r="U259" s="715" t="n"/>
      <c r="V259" s="715" t="n"/>
      <c r="W259" s="715" t="n"/>
      <c r="X259" s="715" t="n"/>
      <c r="Y259" s="715" t="n"/>
      <c r="Z259" s="715" t="n"/>
      <c r="AA259" s="715" t="n"/>
      <c r="AB259" s="715" t="n"/>
      <c r="AC259" s="715" t="n"/>
      <c r="AD259" s="715" t="n"/>
      <c r="AE259" s="715" t="n"/>
      <c r="AF259" s="715" t="n"/>
      <c r="AG259" s="715" t="n"/>
      <c r="AH259" s="715" t="n"/>
      <c r="AI259" s="715" t="n"/>
      <c r="AJ259" s="715" t="n"/>
      <c r="AK259" s="715" t="n"/>
      <c r="AL259" s="715" t="n"/>
      <c r="AM259" s="715" t="n"/>
      <c r="AN259" s="715" t="n"/>
      <c r="AO259" s="715" t="n"/>
      <c r="AP259" s="715" t="n"/>
      <c r="AQ259" s="715" t="n"/>
      <c r="AR259" s="715" t="n"/>
      <c r="AS259" s="715" t="n"/>
      <c r="AT259" s="715" t="n"/>
      <c r="AU259" s="715" t="n"/>
      <c r="AV259" s="715" t="n"/>
      <c r="AW259" s="715" t="n"/>
      <c r="AX259" s="715" t="n"/>
      <c r="AY259" s="715" t="n"/>
      <c r="AZ259" s="715" t="n"/>
      <c r="BA259" s="715" t="n"/>
      <c r="BB259" s="715" t="n"/>
      <c r="BC259" s="715" t="n"/>
      <c r="BD259" s="715" t="n"/>
      <c r="BE259" s="715" t="n"/>
      <c r="BF259" s="715" t="n"/>
      <c r="BG259" s="715" t="n"/>
      <c r="BH259" s="715" t="n"/>
      <c r="BI259" s="715" t="n"/>
      <c r="BJ259" s="715" t="n"/>
      <c r="BK259" s="715" t="n"/>
      <c r="BL259" s="715" t="n"/>
      <c r="BM259" s="715" t="n"/>
    </row>
    <row r="260" ht="15" customFormat="1" customHeight="1" s="24">
      <c r="A260" s="715" t="n"/>
      <c r="B260" s="715" t="n"/>
      <c r="C260" s="715" t="n"/>
      <c r="D260" s="715" t="n"/>
      <c r="E260" s="715" t="n"/>
      <c r="F260" s="715" t="n"/>
      <c r="G260" s="715" t="n"/>
      <c r="H260" s="715" t="n"/>
      <c r="I260" s="715" t="n"/>
      <c r="J260" s="715" t="n"/>
      <c r="K260" s="715" t="n"/>
      <c r="L260" s="715" t="n"/>
      <c r="M260" s="715" t="n"/>
      <c r="N260" s="715" t="n"/>
      <c r="O260" s="715" t="n"/>
      <c r="P260" s="715" t="n"/>
      <c r="Q260" s="715" t="n"/>
      <c r="R260" s="715" t="n"/>
      <c r="S260" s="715" t="n"/>
      <c r="T260" s="715" t="n"/>
      <c r="U260" s="715" t="n"/>
      <c r="V260" s="715" t="n"/>
      <c r="W260" s="715" t="n"/>
      <c r="X260" s="715" t="n"/>
      <c r="Y260" s="715" t="n"/>
      <c r="Z260" s="715" t="n"/>
      <c r="AA260" s="715" t="n"/>
      <c r="AB260" s="715" t="n"/>
      <c r="AC260" s="715" t="n"/>
      <c r="AD260" s="715" t="n"/>
      <c r="AE260" s="715" t="n"/>
      <c r="AF260" s="715" t="n"/>
      <c r="AG260" s="715" t="n"/>
      <c r="AH260" s="715" t="n"/>
      <c r="AI260" s="715" t="n"/>
      <c r="AJ260" s="715" t="n"/>
      <c r="AK260" s="715" t="n"/>
      <c r="AL260" s="715" t="n"/>
      <c r="AM260" s="715" t="n"/>
      <c r="AN260" s="715" t="n"/>
      <c r="AO260" s="715" t="n"/>
      <c r="AP260" s="715" t="n"/>
      <c r="AQ260" s="715" t="n"/>
      <c r="AR260" s="715" t="n"/>
      <c r="AS260" s="715" t="n"/>
      <c r="AT260" s="715" t="n"/>
      <c r="AU260" s="715" t="n"/>
      <c r="AV260" s="715" t="n"/>
      <c r="AW260" s="715" t="n"/>
      <c r="AX260" s="715" t="n"/>
      <c r="AY260" s="715" t="n"/>
      <c r="AZ260" s="715" t="n"/>
      <c r="BA260" s="715" t="n"/>
      <c r="BB260" s="715" t="n"/>
      <c r="BC260" s="715" t="n"/>
      <c r="BD260" s="715" t="n"/>
      <c r="BE260" s="715" t="n"/>
      <c r="BF260" s="715" t="n"/>
      <c r="BG260" s="715" t="n"/>
      <c r="BH260" s="715" t="n"/>
      <c r="BI260" s="715" t="n"/>
      <c r="BJ260" s="715" t="n"/>
      <c r="BK260" s="715" t="n"/>
      <c r="BL260" s="715" t="n"/>
      <c r="BM260" s="715" t="n"/>
    </row>
    <row r="261" ht="15" customFormat="1" customHeight="1" s="24">
      <c r="A261" s="715" t="n"/>
      <c r="B261" s="715" t="n"/>
      <c r="C261" s="715" t="n"/>
      <c r="D261" s="715" t="n"/>
      <c r="E261" s="715" t="n"/>
      <c r="F261" s="715" t="n"/>
      <c r="G261" s="715" t="n"/>
      <c r="H261" s="715" t="n"/>
      <c r="I261" s="715" t="n"/>
      <c r="J261" s="715" t="n"/>
      <c r="K261" s="715" t="n"/>
      <c r="L261" s="715" t="n"/>
      <c r="M261" s="715" t="n"/>
      <c r="N261" s="715" t="n"/>
      <c r="O261" s="715" t="n"/>
      <c r="P261" s="715" t="n"/>
      <c r="Q261" s="715" t="n"/>
      <c r="R261" s="715" t="n"/>
      <c r="S261" s="715" t="n"/>
      <c r="T261" s="715" t="n"/>
      <c r="U261" s="715" t="n"/>
      <c r="V261" s="715" t="n"/>
      <c r="W261" s="715" t="n"/>
      <c r="X261" s="715" t="n"/>
      <c r="Y261" s="715" t="n"/>
      <c r="Z261" s="715" t="n"/>
      <c r="AA261" s="715" t="n"/>
      <c r="AB261" s="715" t="n"/>
      <c r="AC261" s="715" t="n"/>
      <c r="AD261" s="715" t="n"/>
      <c r="AE261" s="715" t="n"/>
      <c r="AF261" s="715" t="n"/>
      <c r="AG261" s="715" t="n"/>
      <c r="AH261" s="715" t="n"/>
      <c r="AI261" s="715" t="n"/>
      <c r="AJ261" s="715" t="n"/>
      <c r="AK261" s="715" t="n"/>
      <c r="AL261" s="715" t="n"/>
      <c r="AM261" s="715" t="n"/>
      <c r="AN261" s="715" t="n"/>
      <c r="AO261" s="715" t="n"/>
      <c r="AP261" s="715" t="n"/>
      <c r="AQ261" s="715" t="n"/>
      <c r="AR261" s="715" t="n"/>
      <c r="AS261" s="715" t="n"/>
      <c r="AT261" s="715" t="n"/>
      <c r="AU261" s="715" t="n"/>
      <c r="AV261" s="715" t="n"/>
      <c r="AW261" s="715" t="n"/>
      <c r="AX261" s="715" t="n"/>
      <c r="AY261" s="715" t="n"/>
      <c r="AZ261" s="715" t="n"/>
      <c r="BA261" s="715" t="n"/>
      <c r="BB261" s="715" t="n"/>
      <c r="BC261" s="715" t="n"/>
      <c r="BD261" s="715" t="n"/>
      <c r="BE261" s="715" t="n"/>
      <c r="BF261" s="715" t="n"/>
      <c r="BG261" s="715" t="n"/>
      <c r="BH261" s="715" t="n"/>
      <c r="BI261" s="715" t="n"/>
      <c r="BJ261" s="715" t="n"/>
      <c r="BK261" s="715" t="n"/>
      <c r="BL261" s="715" t="n"/>
      <c r="BM261" s="715" t="n"/>
    </row>
    <row r="262" ht="15" customFormat="1" customHeight="1" s="24">
      <c r="A262" s="715" t="n"/>
      <c r="B262" s="715" t="n"/>
      <c r="C262" s="715" t="n"/>
      <c r="D262" s="715" t="n"/>
      <c r="E262" s="715" t="n"/>
      <c r="F262" s="715" t="n"/>
      <c r="G262" s="715" t="n"/>
      <c r="H262" s="715" t="n"/>
      <c r="I262" s="715" t="n"/>
      <c r="J262" s="715" t="n"/>
      <c r="K262" s="715" t="n"/>
      <c r="L262" s="715" t="n"/>
      <c r="M262" s="715" t="n"/>
      <c r="N262" s="715" t="n"/>
      <c r="O262" s="715" t="n"/>
      <c r="P262" s="715" t="n"/>
      <c r="Q262" s="715" t="n"/>
      <c r="R262" s="715" t="n"/>
      <c r="S262" s="715" t="n"/>
      <c r="T262" s="715" t="n"/>
      <c r="U262" s="715" t="n"/>
      <c r="V262" s="715" t="n"/>
      <c r="W262" s="715" t="n"/>
      <c r="X262" s="715" t="n"/>
      <c r="Y262" s="715" t="n"/>
      <c r="Z262" s="715" t="n"/>
      <c r="AA262" s="715" t="n"/>
      <c r="AB262" s="715" t="n"/>
      <c r="AC262" s="715" t="n"/>
      <c r="AD262" s="715" t="n"/>
      <c r="AE262" s="715" t="n"/>
      <c r="AF262" s="715" t="n"/>
      <c r="AG262" s="715" t="n"/>
      <c r="AH262" s="715" t="n"/>
      <c r="AI262" s="715" t="n"/>
      <c r="AJ262" s="715" t="n"/>
      <c r="AK262" s="715" t="n"/>
      <c r="AL262" s="715" t="n"/>
      <c r="AM262" s="715" t="n"/>
      <c r="AN262" s="715" t="n"/>
      <c r="AO262" s="715" t="n"/>
      <c r="AP262" s="715" t="n"/>
      <c r="AQ262" s="715" t="n"/>
      <c r="AR262" s="715" t="n"/>
      <c r="AS262" s="715" t="n"/>
      <c r="AT262" s="715" t="n"/>
      <c r="AU262" s="715" t="n"/>
      <c r="AV262" s="715" t="n"/>
      <c r="AW262" s="715" t="n"/>
      <c r="AX262" s="715" t="n"/>
      <c r="AY262" s="715" t="n"/>
      <c r="AZ262" s="715" t="n"/>
      <c r="BA262" s="715" t="n"/>
      <c r="BB262" s="715" t="n"/>
      <c r="BC262" s="715" t="n"/>
      <c r="BD262" s="715" t="n"/>
      <c r="BE262" s="715" t="n"/>
      <c r="BF262" s="715" t="n"/>
      <c r="BG262" s="715" t="n"/>
      <c r="BH262" s="715" t="n"/>
      <c r="BI262" s="715" t="n"/>
      <c r="BJ262" s="715" t="n"/>
      <c r="BK262" s="715" t="n"/>
      <c r="BL262" s="715" t="n"/>
      <c r="BM262" s="715" t="n"/>
    </row>
    <row r="263" ht="15" customFormat="1" customHeight="1" s="24">
      <c r="A263" s="715" t="n"/>
      <c r="B263" s="715" t="n"/>
      <c r="C263" s="715" t="n"/>
      <c r="D263" s="715" t="n"/>
      <c r="E263" s="715" t="n"/>
      <c r="F263" s="715" t="n"/>
      <c r="G263" s="715" t="n"/>
      <c r="H263" s="715" t="n"/>
      <c r="I263" s="715" t="n"/>
      <c r="J263" s="715" t="n"/>
      <c r="K263" s="715" t="n"/>
      <c r="L263" s="715" t="n"/>
      <c r="M263" s="715" t="n"/>
      <c r="N263" s="715" t="n"/>
      <c r="O263" s="715" t="n"/>
      <c r="P263" s="715" t="n"/>
      <c r="Q263" s="715" t="n"/>
      <c r="R263" s="715" t="n"/>
      <c r="S263" s="715" t="n"/>
      <c r="T263" s="715" t="n"/>
      <c r="U263" s="715" t="n"/>
      <c r="V263" s="715" t="n"/>
      <c r="W263" s="715" t="n"/>
      <c r="X263" s="715" t="n"/>
      <c r="Y263" s="715" t="n"/>
      <c r="Z263" s="715" t="n"/>
      <c r="AA263" s="715" t="n"/>
      <c r="AB263" s="715" t="n"/>
      <c r="AC263" s="715" t="n"/>
      <c r="AD263" s="715" t="n"/>
      <c r="AE263" s="715" t="n"/>
      <c r="AF263" s="715" t="n"/>
      <c r="AG263" s="715" t="n"/>
      <c r="AH263" s="715" t="n"/>
      <c r="AI263" s="715" t="n"/>
      <c r="AJ263" s="715" t="n"/>
      <c r="AK263" s="715" t="n"/>
      <c r="AL263" s="715" t="n"/>
      <c r="AM263" s="715" t="n"/>
      <c r="AN263" s="715" t="n"/>
      <c r="AO263" s="715" t="n"/>
      <c r="AP263" s="715" t="n"/>
      <c r="AQ263" s="715" t="n"/>
      <c r="AR263" s="715" t="n"/>
      <c r="AS263" s="715" t="n"/>
      <c r="AT263" s="715" t="n"/>
      <c r="AU263" s="715" t="n"/>
      <c r="AV263" s="715" t="n"/>
      <c r="AW263" s="715" t="n"/>
      <c r="AX263" s="715" t="n"/>
      <c r="AY263" s="715" t="n"/>
      <c r="AZ263" s="715" t="n"/>
      <c r="BA263" s="715" t="n"/>
      <c r="BB263" s="715" t="n"/>
      <c r="BC263" s="715" t="n"/>
      <c r="BD263" s="715" t="n"/>
      <c r="BE263" s="715" t="n"/>
      <c r="BF263" s="715" t="n"/>
      <c r="BG263" s="715" t="n"/>
      <c r="BH263" s="715" t="n"/>
      <c r="BI263" s="715" t="n"/>
      <c r="BJ263" s="715" t="n"/>
      <c r="BK263" s="715" t="n"/>
      <c r="BL263" s="715" t="n"/>
      <c r="BM263" s="715" t="n"/>
    </row>
    <row r="264" ht="15" customFormat="1" customHeight="1" s="24">
      <c r="A264" s="715" t="n"/>
      <c r="B264" s="715" t="n"/>
      <c r="C264" s="715" t="n"/>
      <c r="D264" s="715" t="n"/>
      <c r="E264" s="715" t="n"/>
      <c r="F264" s="715" t="n"/>
      <c r="G264" s="715" t="n"/>
      <c r="H264" s="715" t="n"/>
      <c r="I264" s="715" t="n"/>
      <c r="J264" s="715" t="n"/>
      <c r="K264" s="715" t="n"/>
      <c r="L264" s="715" t="n"/>
      <c r="M264" s="715" t="n"/>
      <c r="N264" s="715" t="n"/>
      <c r="O264" s="715" t="n"/>
      <c r="P264" s="715" t="n"/>
      <c r="Q264" s="715" t="n"/>
      <c r="R264" s="715" t="n"/>
      <c r="S264" s="715" t="n"/>
      <c r="T264" s="715" t="n"/>
      <c r="U264" s="715" t="n"/>
      <c r="V264" s="715" t="n"/>
      <c r="W264" s="715" t="n"/>
      <c r="X264" s="715" t="n"/>
      <c r="Y264" s="715" t="n"/>
      <c r="Z264" s="715" t="n"/>
      <c r="AA264" s="715" t="n"/>
      <c r="AB264" s="715" t="n"/>
      <c r="AC264" s="715" t="n"/>
      <c r="AD264" s="715" t="n"/>
      <c r="AE264" s="715" t="n"/>
      <c r="AF264" s="715" t="n"/>
      <c r="AG264" s="715" t="n"/>
      <c r="AH264" s="715" t="n"/>
      <c r="AI264" s="715" t="n"/>
      <c r="AJ264" s="715" t="n"/>
      <c r="AK264" s="715" t="n"/>
      <c r="AL264" s="715" t="n"/>
      <c r="AM264" s="715" t="n"/>
      <c r="AN264" s="715" t="n"/>
      <c r="AO264" s="715" t="n"/>
      <c r="AP264" s="715" t="n"/>
      <c r="AQ264" s="715" t="n"/>
      <c r="AR264" s="715" t="n"/>
      <c r="AS264" s="715" t="n"/>
      <c r="AT264" s="715" t="n"/>
      <c r="AU264" s="715" t="n"/>
      <c r="AV264" s="715" t="n"/>
      <c r="AW264" s="715" t="n"/>
      <c r="AX264" s="715" t="n"/>
      <c r="AY264" s="715" t="n"/>
      <c r="AZ264" s="715" t="n"/>
      <c r="BA264" s="715" t="n"/>
      <c r="BB264" s="715" t="n"/>
      <c r="BC264" s="715" t="n"/>
      <c r="BD264" s="715" t="n"/>
      <c r="BE264" s="715" t="n"/>
      <c r="BF264" s="715" t="n"/>
      <c r="BG264" s="715" t="n"/>
      <c r="BH264" s="715" t="n"/>
      <c r="BI264" s="715" t="n"/>
      <c r="BJ264" s="715" t="n"/>
      <c r="BK264" s="715" t="n"/>
      <c r="BL264" s="715" t="n"/>
      <c r="BM264" s="715" t="n"/>
    </row>
    <row r="265" ht="15" customFormat="1" customHeight="1" s="24">
      <c r="A265" s="715" t="n"/>
      <c r="B265" s="715" t="n"/>
      <c r="C265" s="715" t="n"/>
      <c r="D265" s="715" t="n"/>
      <c r="E265" s="715" t="n"/>
      <c r="F265" s="715" t="n"/>
      <c r="G265" s="715" t="n"/>
      <c r="H265" s="715" t="n"/>
      <c r="I265" s="715" t="n"/>
      <c r="J265" s="715" t="n"/>
      <c r="K265" s="715" t="n"/>
      <c r="L265" s="715" t="n"/>
      <c r="M265" s="715" t="n"/>
      <c r="N265" s="715" t="n"/>
      <c r="O265" s="715" t="n"/>
      <c r="P265" s="715" t="n"/>
      <c r="Q265" s="715" t="n"/>
      <c r="R265" s="715" t="n"/>
      <c r="S265" s="715" t="n"/>
      <c r="T265" s="715" t="n"/>
      <c r="U265" s="715" t="n"/>
      <c r="V265" s="715" t="n"/>
      <c r="W265" s="715" t="n"/>
      <c r="X265" s="715" t="n"/>
      <c r="Y265" s="715" t="n"/>
      <c r="Z265" s="715" t="n"/>
      <c r="AA265" s="715" t="n"/>
      <c r="AB265" s="715" t="n"/>
      <c r="AC265" s="715" t="n"/>
      <c r="AD265" s="715" t="n"/>
      <c r="AE265" s="715" t="n"/>
      <c r="AF265" s="715" t="n"/>
      <c r="AG265" s="715" t="n"/>
      <c r="AH265" s="715" t="n"/>
      <c r="AI265" s="715" t="n"/>
      <c r="AJ265" s="715" t="n"/>
      <c r="AK265" s="715" t="n"/>
      <c r="AL265" s="715" t="n"/>
      <c r="AM265" s="715" t="n"/>
      <c r="AN265" s="715" t="n"/>
      <c r="AO265" s="715" t="n"/>
      <c r="AP265" s="715" t="n"/>
      <c r="AQ265" s="715" t="n"/>
      <c r="AR265" s="715" t="n"/>
      <c r="AS265" s="715" t="n"/>
      <c r="AT265" s="715" t="n"/>
      <c r="AU265" s="715" t="n"/>
      <c r="AV265" s="715" t="n"/>
      <c r="AW265" s="715" t="n"/>
      <c r="AX265" s="715" t="n"/>
      <c r="AY265" s="715" t="n"/>
      <c r="AZ265" s="715" t="n"/>
      <c r="BA265" s="715" t="n"/>
      <c r="BB265" s="715" t="n"/>
      <c r="BC265" s="715" t="n"/>
      <c r="BD265" s="715" t="n"/>
      <c r="BE265" s="715" t="n"/>
      <c r="BF265" s="715" t="n"/>
      <c r="BG265" s="715" t="n"/>
      <c r="BH265" s="715" t="n"/>
      <c r="BI265" s="715" t="n"/>
      <c r="BJ265" s="715" t="n"/>
      <c r="BK265" s="715" t="n"/>
      <c r="BL265" s="715" t="n"/>
      <c r="BM265" s="715" t="n"/>
    </row>
    <row r="266" ht="15" customFormat="1" customHeight="1" s="24">
      <c r="A266" s="715" t="n"/>
      <c r="B266" s="715" t="n"/>
      <c r="C266" s="715" t="n"/>
      <c r="D266" s="715" t="n"/>
      <c r="E266" s="715" t="n"/>
      <c r="F266" s="715" t="n"/>
      <c r="G266" s="715" t="n"/>
      <c r="H266" s="715" t="n"/>
      <c r="I266" s="715" t="n"/>
      <c r="J266" s="715" t="n"/>
      <c r="K266" s="715" t="n"/>
      <c r="L266" s="715" t="n"/>
      <c r="M266" s="715" t="n"/>
      <c r="N266" s="715" t="n"/>
      <c r="O266" s="715" t="n"/>
      <c r="P266" s="715" t="n"/>
      <c r="Q266" s="715" t="n"/>
      <c r="R266" s="715" t="n"/>
      <c r="S266" s="715" t="n"/>
      <c r="T266" s="715" t="n"/>
      <c r="U266" s="715" t="n"/>
      <c r="V266" s="715" t="n"/>
      <c r="W266" s="715" t="n"/>
      <c r="X266" s="715" t="n"/>
      <c r="Y266" s="715" t="n"/>
      <c r="Z266" s="715" t="n"/>
      <c r="AA266" s="715" t="n"/>
      <c r="AB266" s="715" t="n"/>
      <c r="AC266" s="715" t="n"/>
      <c r="AD266" s="715" t="n"/>
      <c r="AE266" s="715" t="n"/>
      <c r="AF266" s="715" t="n"/>
      <c r="AG266" s="715" t="n"/>
      <c r="AH266" s="715" t="n"/>
      <c r="AI266" s="715" t="n"/>
      <c r="AJ266" s="715" t="n"/>
      <c r="AK266" s="715" t="n"/>
      <c r="AL266" s="715" t="n"/>
      <c r="AM266" s="715" t="n"/>
      <c r="AN266" s="715" t="n"/>
      <c r="AO266" s="715" t="n"/>
      <c r="AP266" s="715" t="n"/>
      <c r="AQ266" s="715" t="n"/>
      <c r="AR266" s="715" t="n"/>
      <c r="AS266" s="715" t="n"/>
      <c r="AT266" s="715" t="n"/>
      <c r="AU266" s="715" t="n"/>
      <c r="AV266" s="715" t="n"/>
      <c r="AW266" s="715" t="n"/>
      <c r="AX266" s="715" t="n"/>
      <c r="AY266" s="715" t="n"/>
      <c r="AZ266" s="715" t="n"/>
      <c r="BA266" s="715" t="n"/>
      <c r="BB266" s="715" t="n"/>
      <c r="BC266" s="715" t="n"/>
      <c r="BD266" s="715" t="n"/>
      <c r="BE266" s="715" t="n"/>
      <c r="BF266" s="715" t="n"/>
      <c r="BG266" s="715" t="n"/>
      <c r="BH266" s="715" t="n"/>
      <c r="BI266" s="715" t="n"/>
      <c r="BJ266" s="715" t="n"/>
      <c r="BK266" s="715" t="n"/>
      <c r="BL266" s="715" t="n"/>
      <c r="BM266" s="715" t="n"/>
    </row>
    <row r="267" ht="15" customFormat="1" customHeight="1" s="24">
      <c r="A267" s="715" t="n"/>
      <c r="B267" s="715" t="n"/>
      <c r="C267" s="715" t="n"/>
      <c r="D267" s="715" t="n"/>
      <c r="E267" s="715" t="n"/>
      <c r="F267" s="715" t="n"/>
      <c r="G267" s="715" t="n"/>
      <c r="H267" s="715" t="n"/>
      <c r="I267" s="715" t="n"/>
      <c r="J267" s="715" t="n"/>
      <c r="K267" s="715" t="n"/>
      <c r="L267" s="715" t="n"/>
      <c r="M267" s="715" t="n"/>
      <c r="N267" s="715" t="n"/>
      <c r="O267" s="715" t="n"/>
      <c r="P267" s="715" t="n"/>
      <c r="Q267" s="715" t="n"/>
      <c r="R267" s="715" t="n"/>
      <c r="S267" s="715" t="n"/>
      <c r="T267" s="715" t="n"/>
      <c r="U267" s="715" t="n"/>
      <c r="V267" s="715" t="n"/>
      <c r="W267" s="715" t="n"/>
      <c r="X267" s="715" t="n"/>
      <c r="Y267" s="715" t="n"/>
      <c r="Z267" s="715" t="n"/>
      <c r="AA267" s="715" t="n"/>
      <c r="AB267" s="715" t="n"/>
      <c r="AC267" s="715" t="n"/>
      <c r="AD267" s="715" t="n"/>
      <c r="AE267" s="715" t="n"/>
      <c r="AF267" s="715" t="n"/>
      <c r="AG267" s="715" t="n"/>
      <c r="AH267" s="715" t="n"/>
      <c r="AI267" s="715" t="n"/>
      <c r="AJ267" s="715" t="n"/>
      <c r="AK267" s="715" t="n"/>
      <c r="AL267" s="715" t="n"/>
      <c r="AM267" s="715" t="n"/>
      <c r="AN267" s="715" t="n"/>
      <c r="AO267" s="715" t="n"/>
      <c r="AP267" s="715" t="n"/>
      <c r="AQ267" s="715" t="n"/>
      <c r="AR267" s="715" t="n"/>
      <c r="AS267" s="715" t="n"/>
      <c r="AT267" s="715" t="n"/>
      <c r="AU267" s="715" t="n"/>
      <c r="AV267" s="715" t="n"/>
      <c r="AW267" s="715" t="n"/>
      <c r="AX267" s="715" t="n"/>
      <c r="AY267" s="715" t="n"/>
      <c r="AZ267" s="715" t="n"/>
      <c r="BA267" s="715" t="n"/>
      <c r="BB267" s="715" t="n"/>
      <c r="BC267" s="715" t="n"/>
      <c r="BD267" s="715" t="n"/>
      <c r="BE267" s="715" t="n"/>
      <c r="BF267" s="715" t="n"/>
      <c r="BG267" s="715" t="n"/>
      <c r="BH267" s="715" t="n"/>
      <c r="BI267" s="715" t="n"/>
      <c r="BJ267" s="715" t="n"/>
      <c r="BK267" s="715" t="n"/>
      <c r="BL267" s="715" t="n"/>
      <c r="BM267" s="715" t="n"/>
    </row>
    <row r="268" ht="15" customFormat="1" customHeight="1" s="24">
      <c r="A268" s="715" t="n"/>
      <c r="B268" s="715" t="n"/>
      <c r="C268" s="715" t="n"/>
      <c r="D268" s="715" t="n"/>
      <c r="E268" s="715" t="n"/>
      <c r="F268" s="715" t="n"/>
      <c r="G268" s="715" t="n"/>
      <c r="H268" s="715" t="n"/>
      <c r="I268" s="715" t="n"/>
      <c r="J268" s="715" t="n"/>
      <c r="K268" s="715" t="n"/>
      <c r="L268" s="715" t="n"/>
      <c r="M268" s="715" t="n"/>
      <c r="N268" s="715" t="n"/>
      <c r="O268" s="715" t="n"/>
      <c r="P268" s="715" t="n"/>
      <c r="Q268" s="715" t="n"/>
      <c r="R268" s="715" t="n"/>
      <c r="S268" s="715" t="n"/>
      <c r="T268" s="715" t="n"/>
      <c r="U268" s="715" t="n"/>
      <c r="V268" s="715" t="n"/>
      <c r="W268" s="715" t="n"/>
      <c r="X268" s="715" t="n"/>
      <c r="Y268" s="715" t="n"/>
      <c r="Z268" s="715" t="n"/>
      <c r="AA268" s="715" t="n"/>
      <c r="AB268" s="715" t="n"/>
      <c r="AC268" s="715" t="n"/>
      <c r="AD268" s="715" t="n"/>
      <c r="AE268" s="715" t="n"/>
      <c r="AF268" s="715" t="n"/>
      <c r="AG268" s="715" t="n"/>
      <c r="AH268" s="715" t="n"/>
      <c r="AI268" s="715" t="n"/>
      <c r="AJ268" s="715" t="n"/>
      <c r="AK268" s="715" t="n"/>
      <c r="AL268" s="715" t="n"/>
      <c r="AM268" s="715" t="n"/>
      <c r="AN268" s="715" t="n"/>
      <c r="AO268" s="715" t="n"/>
      <c r="AP268" s="715" t="n"/>
      <c r="AQ268" s="715" t="n"/>
      <c r="AR268" s="715" t="n"/>
      <c r="AS268" s="715" t="n"/>
      <c r="AT268" s="715" t="n"/>
      <c r="AU268" s="715" t="n"/>
      <c r="AV268" s="715" t="n"/>
      <c r="AW268" s="715" t="n"/>
      <c r="AX268" s="715" t="n"/>
      <c r="AY268" s="715" t="n"/>
      <c r="AZ268" s="715" t="n"/>
      <c r="BA268" s="715" t="n"/>
      <c r="BB268" s="715" t="n"/>
      <c r="BC268" s="715" t="n"/>
      <c r="BD268" s="715" t="n"/>
      <c r="BE268" s="715" t="n"/>
      <c r="BF268" s="715" t="n"/>
      <c r="BG268" s="715" t="n"/>
      <c r="BH268" s="715" t="n"/>
      <c r="BI268" s="715" t="n"/>
      <c r="BJ268" s="715" t="n"/>
      <c r="BK268" s="715" t="n"/>
      <c r="BL268" s="715" t="n"/>
      <c r="BM268" s="715" t="n"/>
    </row>
    <row r="269" ht="15" customFormat="1" customHeight="1" s="24">
      <c r="A269" s="715" t="n"/>
      <c r="B269" s="715" t="n"/>
      <c r="C269" s="715" t="n"/>
      <c r="D269" s="715" t="n"/>
      <c r="E269" s="715" t="n"/>
      <c r="F269" s="715" t="n"/>
      <c r="G269" s="715" t="n"/>
      <c r="H269" s="715" t="n"/>
      <c r="I269" s="715" t="n"/>
      <c r="J269" s="715" t="n"/>
      <c r="K269" s="715" t="n"/>
      <c r="L269" s="715" t="n"/>
      <c r="M269" s="715" t="n"/>
      <c r="N269" s="715" t="n"/>
      <c r="O269" s="715" t="n"/>
      <c r="P269" s="715" t="n"/>
      <c r="Q269" s="715" t="n"/>
      <c r="R269" s="715" t="n"/>
      <c r="S269" s="715" t="n"/>
      <c r="T269" s="715" t="n"/>
      <c r="U269" s="715" t="n"/>
      <c r="V269" s="715" t="n"/>
      <c r="W269" s="715" t="n"/>
      <c r="X269" s="715" t="n"/>
      <c r="Y269" s="715" t="n"/>
      <c r="Z269" s="715" t="n"/>
      <c r="AA269" s="715" t="n"/>
      <c r="AB269" s="715" t="n"/>
      <c r="AC269" s="715" t="n"/>
      <c r="AD269" s="715" t="n"/>
      <c r="AE269" s="715" t="n"/>
      <c r="AF269" s="715" t="n"/>
      <c r="AG269" s="715" t="n"/>
      <c r="AH269" s="715" t="n"/>
      <c r="AI269" s="715" t="n"/>
      <c r="AJ269" s="715" t="n"/>
      <c r="AK269" s="715" t="n"/>
      <c r="AL269" s="715" t="n"/>
      <c r="AM269" s="715" t="n"/>
      <c r="AN269" s="715" t="n"/>
      <c r="AO269" s="715" t="n"/>
      <c r="AP269" s="715" t="n"/>
      <c r="AQ269" s="715" t="n"/>
      <c r="AR269" s="715" t="n"/>
      <c r="AS269" s="715" t="n"/>
      <c r="AT269" s="715" t="n"/>
      <c r="AU269" s="715" t="n"/>
      <c r="AV269" s="715" t="n"/>
      <c r="AW269" s="715" t="n"/>
      <c r="AX269" s="715" t="n"/>
      <c r="AY269" s="715" t="n"/>
      <c r="AZ269" s="715" t="n"/>
      <c r="BA269" s="715" t="n"/>
      <c r="BB269" s="715" t="n"/>
      <c r="BC269" s="715" t="n"/>
      <c r="BD269" s="715" t="n"/>
      <c r="BE269" s="715" t="n"/>
      <c r="BF269" s="715" t="n"/>
      <c r="BG269" s="715" t="n"/>
      <c r="BH269" s="715" t="n"/>
      <c r="BI269" s="715" t="n"/>
      <c r="BJ269" s="715" t="n"/>
      <c r="BK269" s="715" t="n"/>
      <c r="BL269" s="715" t="n"/>
      <c r="BM269" s="715" t="n"/>
    </row>
    <row r="270" ht="15" customFormat="1" customHeight="1" s="24">
      <c r="A270" s="715" t="n"/>
      <c r="B270" s="715" t="n"/>
      <c r="C270" s="715" t="n"/>
      <c r="D270" s="715" t="n"/>
      <c r="E270" s="715" t="n"/>
      <c r="F270" s="715" t="n"/>
      <c r="G270" s="715" t="n"/>
      <c r="H270" s="715" t="n"/>
      <c r="I270" s="715" t="n"/>
      <c r="J270" s="715" t="n"/>
      <c r="K270" s="715" t="n"/>
      <c r="L270" s="715" t="n"/>
      <c r="M270" s="715" t="n"/>
      <c r="N270" s="715" t="n"/>
      <c r="O270" s="715" t="n"/>
      <c r="P270" s="715" t="n"/>
      <c r="Q270" s="715" t="n"/>
      <c r="R270" s="715" t="n"/>
      <c r="S270" s="715" t="n"/>
      <c r="T270" s="715" t="n"/>
      <c r="U270" s="715" t="n"/>
      <c r="V270" s="715" t="n"/>
      <c r="W270" s="715" t="n"/>
      <c r="X270" s="715" t="n"/>
      <c r="Y270" s="715" t="n"/>
      <c r="Z270" s="715" t="n"/>
      <c r="AA270" s="715" t="n"/>
      <c r="AB270" s="715" t="n"/>
      <c r="AC270" s="715" t="n"/>
      <c r="AD270" s="715" t="n"/>
      <c r="AE270" s="715" t="n"/>
      <c r="AF270" s="715" t="n"/>
      <c r="AG270" s="715" t="n"/>
      <c r="AH270" s="715" t="n"/>
      <c r="AI270" s="715" t="n"/>
      <c r="AJ270" s="715" t="n"/>
      <c r="AK270" s="715" t="n"/>
      <c r="AL270" s="715" t="n"/>
      <c r="AM270" s="715" t="n"/>
      <c r="AN270" s="715" t="n"/>
      <c r="AO270" s="715" t="n"/>
      <c r="AP270" s="715" t="n"/>
      <c r="AQ270" s="715" t="n"/>
      <c r="AR270" s="715" t="n"/>
      <c r="AS270" s="715" t="n"/>
      <c r="AT270" s="715" t="n"/>
      <c r="AU270" s="715" t="n"/>
      <c r="AV270" s="715" t="n"/>
      <c r="AW270" s="715" t="n"/>
      <c r="AX270" s="715" t="n"/>
      <c r="AY270" s="715" t="n"/>
      <c r="AZ270" s="715" t="n"/>
      <c r="BA270" s="715" t="n"/>
      <c r="BB270" s="715" t="n"/>
      <c r="BC270" s="715" t="n"/>
      <c r="BD270" s="715" t="n"/>
      <c r="BE270" s="715" t="n"/>
      <c r="BF270" s="715" t="n"/>
      <c r="BG270" s="715" t="n"/>
      <c r="BH270" s="715" t="n"/>
      <c r="BI270" s="715" t="n"/>
      <c r="BJ270" s="715" t="n"/>
      <c r="BK270" s="715" t="n"/>
      <c r="BL270" s="715" t="n"/>
      <c r="BM270" s="715" t="n"/>
    </row>
    <row r="271" ht="15" customFormat="1" customHeight="1" s="24">
      <c r="A271" s="715" t="n"/>
      <c r="B271" s="715" t="n"/>
      <c r="C271" s="715" t="n"/>
      <c r="D271" s="715" t="n"/>
      <c r="E271" s="715" t="n"/>
      <c r="F271" s="715" t="n"/>
      <c r="G271" s="715" t="n"/>
      <c r="H271" s="715" t="n"/>
      <c r="I271" s="715" t="n"/>
      <c r="J271" s="715" t="n"/>
      <c r="K271" s="715" t="n"/>
      <c r="L271" s="715" t="n"/>
      <c r="M271" s="715" t="n"/>
      <c r="N271" s="715" t="n"/>
      <c r="O271" s="715" t="n"/>
      <c r="P271" s="715" t="n"/>
      <c r="Q271" s="715" t="n"/>
      <c r="R271" s="715" t="n"/>
      <c r="S271" s="715" t="n"/>
      <c r="T271" s="715" t="n"/>
      <c r="U271" s="715" t="n"/>
      <c r="V271" s="715" t="n"/>
      <c r="W271" s="715" t="n"/>
      <c r="X271" s="715" t="n"/>
      <c r="Y271" s="715" t="n"/>
      <c r="Z271" s="715" t="n"/>
      <c r="AA271" s="715" t="n"/>
      <c r="AB271" s="715" t="n"/>
      <c r="AC271" s="715" t="n"/>
      <c r="AD271" s="715" t="n"/>
      <c r="AE271" s="715" t="n"/>
      <c r="AF271" s="715" t="n"/>
      <c r="AG271" s="715" t="n"/>
      <c r="AH271" s="715" t="n"/>
      <c r="AI271" s="715" t="n"/>
      <c r="AJ271" s="715" t="n"/>
      <c r="AK271" s="715" t="n"/>
      <c r="AL271" s="715" t="n"/>
      <c r="AM271" s="715" t="n"/>
      <c r="AN271" s="715" t="n"/>
      <c r="AO271" s="715" t="n"/>
      <c r="AP271" s="715" t="n"/>
      <c r="AQ271" s="715" t="n"/>
      <c r="AR271" s="715" t="n"/>
      <c r="AS271" s="715" t="n"/>
      <c r="AT271" s="715" t="n"/>
      <c r="AU271" s="715" t="n"/>
      <c r="AV271" s="715" t="n"/>
      <c r="AW271" s="715" t="n"/>
      <c r="AX271" s="715" t="n"/>
      <c r="AY271" s="715" t="n"/>
      <c r="AZ271" s="715" t="n"/>
      <c r="BA271" s="715" t="n"/>
      <c r="BB271" s="715" t="n"/>
      <c r="BC271" s="715" t="n"/>
      <c r="BD271" s="715" t="n"/>
      <c r="BE271" s="715" t="n"/>
      <c r="BF271" s="715" t="n"/>
      <c r="BG271" s="715" t="n"/>
      <c r="BH271" s="715" t="n"/>
      <c r="BI271" s="715" t="n"/>
      <c r="BJ271" s="715" t="n"/>
      <c r="BK271" s="715" t="n"/>
      <c r="BL271" s="715" t="n"/>
      <c r="BM271" s="715" t="n"/>
    </row>
    <row r="272" ht="15" customFormat="1" customHeight="1" s="24">
      <c r="A272" s="715" t="n"/>
      <c r="B272" s="715" t="n"/>
      <c r="C272" s="715" t="n"/>
      <c r="D272" s="715" t="n"/>
      <c r="E272" s="715" t="n"/>
      <c r="F272" s="715" t="n"/>
      <c r="G272" s="715" t="n"/>
      <c r="H272" s="715" t="n"/>
      <c r="I272" s="715" t="n"/>
      <c r="J272" s="715" t="n"/>
      <c r="K272" s="715" t="n"/>
      <c r="L272" s="715" t="n"/>
      <c r="M272" s="715" t="n"/>
      <c r="N272" s="715" t="n"/>
      <c r="O272" s="715" t="n"/>
      <c r="P272" s="715" t="n"/>
      <c r="Q272" s="715" t="n"/>
      <c r="R272" s="715" t="n"/>
      <c r="S272" s="715" t="n"/>
      <c r="T272" s="715" t="n"/>
      <c r="U272" s="715" t="n"/>
      <c r="V272" s="715" t="n"/>
      <c r="W272" s="715" t="n"/>
      <c r="X272" s="715" t="n"/>
      <c r="Y272" s="715" t="n"/>
      <c r="Z272" s="715" t="n"/>
      <c r="AA272" s="715" t="n"/>
      <c r="AB272" s="715" t="n"/>
      <c r="AC272" s="715" t="n"/>
      <c r="AD272" s="715" t="n"/>
      <c r="AE272" s="715" t="n"/>
      <c r="AF272" s="715" t="n"/>
      <c r="AG272" s="715" t="n"/>
      <c r="AH272" s="715" t="n"/>
      <c r="AI272" s="715" t="n"/>
      <c r="AJ272" s="715" t="n"/>
      <c r="AK272" s="715" t="n"/>
      <c r="AL272" s="715" t="n"/>
      <c r="AM272" s="715" t="n"/>
      <c r="AN272" s="715" t="n"/>
      <c r="AO272" s="715" t="n"/>
      <c r="AP272" s="715" t="n"/>
      <c r="AQ272" s="715" t="n"/>
      <c r="AR272" s="715" t="n"/>
      <c r="AS272" s="715" t="n"/>
      <c r="AT272" s="715" t="n"/>
      <c r="AU272" s="715" t="n"/>
      <c r="AV272" s="715" t="n"/>
      <c r="AW272" s="715" t="n"/>
      <c r="AX272" s="715" t="n"/>
      <c r="AY272" s="715" t="n"/>
      <c r="AZ272" s="715" t="n"/>
      <c r="BA272" s="715" t="n"/>
      <c r="BB272" s="715" t="n"/>
      <c r="BC272" s="715" t="n"/>
      <c r="BD272" s="715" t="n"/>
      <c r="BE272" s="715" t="n"/>
      <c r="BF272" s="715" t="n"/>
      <c r="BG272" s="715" t="n"/>
      <c r="BH272" s="715" t="n"/>
      <c r="BI272" s="715" t="n"/>
      <c r="BJ272" s="715" t="n"/>
      <c r="BK272" s="715" t="n"/>
      <c r="BL272" s="715" t="n"/>
      <c r="BM272" s="715" t="n"/>
    </row>
    <row r="273" ht="15" customFormat="1" customHeight="1" s="24">
      <c r="A273" s="715" t="n"/>
      <c r="B273" s="715" t="n"/>
      <c r="C273" s="715" t="n"/>
      <c r="D273" s="715" t="n"/>
      <c r="E273" s="715" t="n"/>
      <c r="F273" s="715" t="n"/>
      <c r="G273" s="715" t="n"/>
      <c r="H273" s="715" t="n"/>
      <c r="I273" s="715" t="n"/>
      <c r="J273" s="715" t="n"/>
      <c r="K273" s="715" t="n"/>
      <c r="L273" s="715" t="n"/>
      <c r="M273" s="715" t="n"/>
      <c r="N273" s="715" t="n"/>
      <c r="O273" s="715" t="n"/>
      <c r="P273" s="715" t="n"/>
      <c r="Q273" s="715" t="n"/>
      <c r="R273" s="715" t="n"/>
      <c r="S273" s="715" t="n"/>
      <c r="T273" s="715" t="n"/>
      <c r="U273" s="715" t="n"/>
      <c r="V273" s="715" t="n"/>
      <c r="W273" s="715" t="n"/>
      <c r="X273" s="715" t="n"/>
      <c r="Y273" s="715" t="n"/>
      <c r="Z273" s="715" t="n"/>
      <c r="AA273" s="715" t="n"/>
      <c r="AB273" s="715" t="n"/>
      <c r="AC273" s="715" t="n"/>
      <c r="AD273" s="715" t="n"/>
      <c r="AE273" s="715" t="n"/>
      <c r="AF273" s="715" t="n"/>
      <c r="AG273" s="715" t="n"/>
      <c r="AH273" s="715" t="n"/>
      <c r="AI273" s="715" t="n"/>
      <c r="AJ273" s="715" t="n"/>
      <c r="AK273" s="715" t="n"/>
      <c r="AL273" s="715" t="n"/>
      <c r="AM273" s="715" t="n"/>
      <c r="AN273" s="715" t="n"/>
      <c r="AO273" s="715" t="n"/>
      <c r="AP273" s="715" t="n"/>
      <c r="AQ273" s="715" t="n"/>
      <c r="AR273" s="715" t="n"/>
      <c r="AS273" s="715" t="n"/>
      <c r="AT273" s="715" t="n"/>
      <c r="AU273" s="715" t="n"/>
      <c r="AV273" s="715" t="n"/>
      <c r="AW273" s="715" t="n"/>
      <c r="AX273" s="715" t="n"/>
      <c r="AY273" s="715" t="n"/>
      <c r="AZ273" s="715" t="n"/>
      <c r="BA273" s="715" t="n"/>
      <c r="BB273" s="715" t="n"/>
      <c r="BC273" s="715" t="n"/>
      <c r="BD273" s="715" t="n"/>
      <c r="BE273" s="715" t="n"/>
      <c r="BF273" s="715" t="n"/>
      <c r="BG273" s="715" t="n"/>
      <c r="BH273" s="715" t="n"/>
      <c r="BI273" s="715" t="n"/>
      <c r="BJ273" s="715" t="n"/>
      <c r="BK273" s="715" t="n"/>
      <c r="BL273" s="715" t="n"/>
      <c r="BM273" s="715" t="n"/>
    </row>
    <row r="274" ht="15" customFormat="1" customHeight="1" s="24">
      <c r="A274" s="715" t="n"/>
      <c r="B274" s="715" t="n"/>
      <c r="C274" s="715" t="n"/>
      <c r="D274" s="715" t="n"/>
      <c r="E274" s="715" t="n"/>
      <c r="F274" s="715" t="n"/>
      <c r="G274" s="715" t="n"/>
      <c r="H274" s="715" t="n"/>
      <c r="I274" s="715" t="n"/>
      <c r="J274" s="715" t="n"/>
      <c r="K274" s="715" t="n"/>
      <c r="L274" s="715" t="n"/>
      <c r="M274" s="715" t="n"/>
      <c r="N274" s="715" t="n"/>
      <c r="O274" s="715" t="n"/>
      <c r="P274" s="715" t="n"/>
      <c r="Q274" s="715" t="n"/>
      <c r="R274" s="715" t="n"/>
      <c r="S274" s="715" t="n"/>
      <c r="T274" s="715" t="n"/>
      <c r="U274" s="715" t="n"/>
      <c r="V274" s="715" t="n"/>
      <c r="W274" s="715" t="n"/>
      <c r="X274" s="715" t="n"/>
      <c r="Y274" s="715" t="n"/>
      <c r="Z274" s="715" t="n"/>
      <c r="AA274" s="715" t="n"/>
      <c r="AB274" s="715" t="n"/>
      <c r="AC274" s="715" t="n"/>
      <c r="AD274" s="715" t="n"/>
      <c r="AE274" s="715" t="n"/>
      <c r="AF274" s="715" t="n"/>
      <c r="AG274" s="715" t="n"/>
      <c r="AH274" s="715" t="n"/>
      <c r="AI274" s="715" t="n"/>
      <c r="AJ274" s="715" t="n"/>
      <c r="AK274" s="715" t="n"/>
      <c r="AL274" s="715" t="n"/>
      <c r="AM274" s="715" t="n"/>
      <c r="AN274" s="715" t="n"/>
      <c r="AO274" s="715" t="n"/>
      <c r="AP274" s="715" t="n"/>
      <c r="AQ274" s="715" t="n"/>
      <c r="AR274" s="715" t="n"/>
      <c r="AS274" s="715" t="n"/>
      <c r="AT274" s="715" t="n"/>
      <c r="AU274" s="715" t="n"/>
      <c r="AV274" s="715" t="n"/>
      <c r="AW274" s="715" t="n"/>
      <c r="AX274" s="715" t="n"/>
      <c r="AY274" s="715" t="n"/>
      <c r="AZ274" s="715" t="n"/>
      <c r="BA274" s="715" t="n"/>
      <c r="BB274" s="715" t="n"/>
      <c r="BC274" s="715" t="n"/>
      <c r="BD274" s="715" t="n"/>
      <c r="BE274" s="715" t="n"/>
      <c r="BF274" s="715" t="n"/>
      <c r="BG274" s="715" t="n"/>
      <c r="BH274" s="715" t="n"/>
      <c r="BI274" s="715" t="n"/>
      <c r="BJ274" s="715" t="n"/>
      <c r="BK274" s="715" t="n"/>
      <c r="BL274" s="715" t="n"/>
      <c r="BM274" s="715" t="n"/>
    </row>
    <row r="275" ht="15" customFormat="1" customHeight="1" s="24">
      <c r="A275" s="715" t="n"/>
      <c r="B275" s="715" t="n"/>
      <c r="C275" s="715" t="n"/>
      <c r="D275" s="715" t="n"/>
      <c r="E275" s="715" t="n"/>
      <c r="F275" s="715" t="n"/>
      <c r="G275" s="715" t="n"/>
      <c r="H275" s="715" t="n"/>
      <c r="I275" s="715" t="n"/>
      <c r="J275" s="715" t="n"/>
      <c r="K275" s="715" t="n"/>
      <c r="L275" s="715" t="n"/>
      <c r="M275" s="715" t="n"/>
      <c r="N275" s="715" t="n"/>
      <c r="O275" s="715" t="n"/>
      <c r="P275" s="715" t="n"/>
      <c r="Q275" s="715" t="n"/>
      <c r="R275" s="715" t="n"/>
      <c r="S275" s="715" t="n"/>
      <c r="T275" s="715" t="n"/>
      <c r="U275" s="715" t="n"/>
      <c r="V275" s="715" t="n"/>
      <c r="W275" s="715" t="n"/>
      <c r="X275" s="715" t="n"/>
      <c r="Y275" s="715" t="n"/>
      <c r="Z275" s="715" t="n"/>
      <c r="AA275" s="715" t="n"/>
      <c r="AB275" s="715" t="n"/>
      <c r="AC275" s="715" t="n"/>
      <c r="AD275" s="715" t="n"/>
      <c r="AE275" s="715" t="n"/>
      <c r="AF275" s="715" t="n"/>
      <c r="AG275" s="715" t="n"/>
      <c r="AH275" s="715" t="n"/>
      <c r="AI275" s="715" t="n"/>
      <c r="AJ275" s="715" t="n"/>
      <c r="AK275" s="715" t="n"/>
      <c r="AL275" s="715" t="n"/>
      <c r="AM275" s="715" t="n"/>
      <c r="AN275" s="715" t="n"/>
      <c r="AO275" s="715" t="n"/>
      <c r="AP275" s="715" t="n"/>
      <c r="AQ275" s="715" t="n"/>
      <c r="AR275" s="715" t="n"/>
      <c r="AS275" s="715" t="n"/>
      <c r="AT275" s="715" t="n"/>
      <c r="AU275" s="715" t="n"/>
      <c r="AV275" s="715" t="n"/>
      <c r="AW275" s="715" t="n"/>
      <c r="AX275" s="715" t="n"/>
      <c r="AY275" s="715" t="n"/>
      <c r="AZ275" s="715" t="n"/>
      <c r="BA275" s="715" t="n"/>
      <c r="BB275" s="715" t="n"/>
      <c r="BC275" s="715" t="n"/>
      <c r="BD275" s="715" t="n"/>
      <c r="BE275" s="715" t="n"/>
      <c r="BF275" s="715" t="n"/>
      <c r="BG275" s="715" t="n"/>
      <c r="BH275" s="715" t="n"/>
      <c r="BI275" s="715" t="n"/>
      <c r="BJ275" s="715" t="n"/>
      <c r="BK275" s="715" t="n"/>
      <c r="BL275" s="715" t="n"/>
      <c r="BM275" s="715" t="n"/>
    </row>
    <row r="276" ht="15" customFormat="1" customHeight="1" s="24">
      <c r="A276" s="715" t="n"/>
      <c r="B276" s="715" t="n"/>
      <c r="C276" s="715" t="n"/>
      <c r="D276" s="715" t="n"/>
      <c r="E276" s="715" t="n"/>
      <c r="F276" s="715" t="n"/>
      <c r="G276" s="715" t="n"/>
      <c r="H276" s="715" t="n"/>
      <c r="I276" s="715" t="n"/>
      <c r="J276" s="715" t="n"/>
      <c r="K276" s="715" t="n"/>
      <c r="L276" s="715" t="n"/>
      <c r="M276" s="715" t="n"/>
      <c r="N276" s="715" t="n"/>
      <c r="O276" s="715" t="n"/>
      <c r="P276" s="715" t="n"/>
      <c r="Q276" s="715" t="n"/>
      <c r="R276" s="715" t="n"/>
      <c r="S276" s="715" t="n"/>
      <c r="T276" s="715" t="n"/>
      <c r="U276" s="715" t="n"/>
      <c r="V276" s="715" t="n"/>
      <c r="W276" s="715" t="n"/>
      <c r="X276" s="715" t="n"/>
      <c r="Y276" s="715" t="n"/>
      <c r="Z276" s="715" t="n"/>
      <c r="AA276" s="715" t="n"/>
      <c r="AB276" s="715" t="n"/>
      <c r="AC276" s="715" t="n"/>
      <c r="AD276" s="715" t="n"/>
      <c r="AE276" s="715" t="n"/>
      <c r="AF276" s="715" t="n"/>
      <c r="AG276" s="715" t="n"/>
      <c r="AH276" s="715" t="n"/>
      <c r="AI276" s="715" t="n"/>
      <c r="AJ276" s="715" t="n"/>
      <c r="AK276" s="715" t="n"/>
      <c r="AL276" s="715" t="n"/>
      <c r="AM276" s="715" t="n"/>
      <c r="AN276" s="715" t="n"/>
      <c r="AO276" s="715" t="n"/>
      <c r="AP276" s="715" t="n"/>
      <c r="AQ276" s="715" t="n"/>
      <c r="AR276" s="715" t="n"/>
      <c r="AS276" s="715" t="n"/>
      <c r="AT276" s="715" t="n"/>
      <c r="AU276" s="715" t="n"/>
      <c r="AV276" s="715" t="n"/>
      <c r="AW276" s="715" t="n"/>
      <c r="AX276" s="715" t="n"/>
      <c r="AY276" s="715" t="n"/>
      <c r="AZ276" s="715" t="n"/>
      <c r="BA276" s="715" t="n"/>
      <c r="BB276" s="715" t="n"/>
      <c r="BC276" s="715" t="n"/>
      <c r="BD276" s="715" t="n"/>
      <c r="BE276" s="715" t="n"/>
      <c r="BF276" s="715" t="n"/>
      <c r="BG276" s="715" t="n"/>
      <c r="BH276" s="715" t="n"/>
      <c r="BI276" s="715" t="n"/>
      <c r="BJ276" s="715" t="n"/>
      <c r="BK276" s="715" t="n"/>
      <c r="BL276" s="715" t="n"/>
      <c r="BM276" s="715" t="n"/>
    </row>
    <row r="277" ht="15" customFormat="1" customHeight="1" s="24">
      <c r="A277" s="715" t="n"/>
      <c r="B277" s="715" t="n"/>
      <c r="C277" s="715" t="n"/>
      <c r="D277" s="715" t="n"/>
      <c r="E277" s="715" t="n"/>
      <c r="F277" s="715" t="n"/>
      <c r="G277" s="715" t="n"/>
      <c r="H277" s="715" t="n"/>
      <c r="I277" s="715" t="n"/>
      <c r="J277" s="715" t="n"/>
      <c r="K277" s="715" t="n"/>
      <c r="L277" s="715" t="n"/>
      <c r="M277" s="715" t="n"/>
      <c r="N277" s="715" t="n"/>
      <c r="O277" s="715" t="n"/>
      <c r="P277" s="715" t="n"/>
      <c r="Q277" s="715" t="n"/>
      <c r="R277" s="715" t="n"/>
      <c r="S277" s="715" t="n"/>
      <c r="T277" s="715" t="n"/>
      <c r="U277" s="715" t="n"/>
      <c r="V277" s="715" t="n"/>
      <c r="W277" s="715" t="n"/>
      <c r="X277" s="715" t="n"/>
      <c r="Y277" s="715" t="n"/>
      <c r="Z277" s="715" t="n"/>
      <c r="AA277" s="715" t="n"/>
      <c r="AB277" s="715" t="n"/>
      <c r="AC277" s="715" t="n"/>
      <c r="AD277" s="715" t="n"/>
      <c r="AE277" s="715" t="n"/>
      <c r="AF277" s="715" t="n"/>
      <c r="AG277" s="715" t="n"/>
      <c r="AH277" s="715" t="n"/>
      <c r="AI277" s="715" t="n"/>
      <c r="AJ277" s="715" t="n"/>
      <c r="AK277" s="715" t="n"/>
      <c r="AL277" s="715" t="n"/>
      <c r="AM277" s="715" t="n"/>
      <c r="AN277" s="715" t="n"/>
      <c r="AO277" s="715" t="n"/>
      <c r="AP277" s="715" t="n"/>
      <c r="AQ277" s="715" t="n"/>
      <c r="AR277" s="715" t="n"/>
      <c r="AS277" s="715" t="n"/>
      <c r="AT277" s="715" t="n"/>
      <c r="AU277" s="715" t="n"/>
      <c r="AV277" s="715" t="n"/>
      <c r="AW277" s="715" t="n"/>
      <c r="AX277" s="715" t="n"/>
      <c r="AY277" s="715" t="n"/>
      <c r="AZ277" s="715" t="n"/>
      <c r="BA277" s="715" t="n"/>
      <c r="BB277" s="715" t="n"/>
      <c r="BC277" s="715" t="n"/>
      <c r="BD277" s="715" t="n"/>
      <c r="BE277" s="715" t="n"/>
      <c r="BF277" s="715" t="n"/>
      <c r="BG277" s="715" t="n"/>
      <c r="BH277" s="715" t="n"/>
      <c r="BI277" s="715" t="n"/>
      <c r="BJ277" s="715" t="n"/>
      <c r="BK277" s="715" t="n"/>
      <c r="BL277" s="715" t="n"/>
      <c r="BM277" s="715" t="n"/>
    </row>
    <row r="278" ht="15" customFormat="1" customHeight="1" s="24">
      <c r="A278" s="715" t="n"/>
      <c r="B278" s="715" t="n"/>
      <c r="C278" s="715" t="n"/>
      <c r="D278" s="715" t="n"/>
      <c r="E278" s="715" t="n"/>
      <c r="F278" s="715" t="n"/>
      <c r="G278" s="715" t="n"/>
      <c r="H278" s="715" t="n"/>
      <c r="I278" s="715" t="n"/>
      <c r="J278" s="715" t="n"/>
      <c r="K278" s="715" t="n"/>
      <c r="L278" s="715" t="n"/>
      <c r="M278" s="715" t="n"/>
      <c r="N278" s="715" t="n"/>
      <c r="O278" s="715" t="n"/>
      <c r="P278" s="715" t="n"/>
      <c r="Q278" s="715" t="n"/>
      <c r="R278" s="715" t="n"/>
      <c r="S278" s="715" t="n"/>
      <c r="T278" s="715" t="n"/>
      <c r="U278" s="715" t="n"/>
      <c r="V278" s="715" t="n"/>
      <c r="W278" s="715" t="n"/>
      <c r="X278" s="715" t="n"/>
      <c r="Y278" s="715" t="n"/>
      <c r="Z278" s="715" t="n"/>
      <c r="AA278" s="715" t="n"/>
      <c r="AB278" s="715" t="n"/>
      <c r="AC278" s="715" t="n"/>
      <c r="AD278" s="715" t="n"/>
      <c r="AE278" s="715" t="n"/>
      <c r="AF278" s="715" t="n"/>
      <c r="AG278" s="715" t="n"/>
      <c r="AH278" s="715" t="n"/>
      <c r="AI278" s="715" t="n"/>
      <c r="AJ278" s="715" t="n"/>
      <c r="AK278" s="715" t="n"/>
      <c r="AL278" s="715" t="n"/>
      <c r="AM278" s="715" t="n"/>
      <c r="AN278" s="715" t="n"/>
      <c r="AO278" s="715" t="n"/>
      <c r="AP278" s="715" t="n"/>
      <c r="AQ278" s="715" t="n"/>
      <c r="AR278" s="715" t="n"/>
      <c r="AS278" s="715" t="n"/>
      <c r="AT278" s="715" t="n"/>
      <c r="AU278" s="715" t="n"/>
      <c r="AV278" s="715" t="n"/>
      <c r="AW278" s="715" t="n"/>
      <c r="AX278" s="715" t="n"/>
      <c r="AY278" s="715" t="n"/>
      <c r="AZ278" s="715" t="n"/>
      <c r="BA278" s="715" t="n"/>
      <c r="BB278" s="715" t="n"/>
      <c r="BC278" s="715" t="n"/>
      <c r="BD278" s="715" t="n"/>
      <c r="BE278" s="715" t="n"/>
      <c r="BF278" s="715" t="n"/>
      <c r="BG278" s="715" t="n"/>
      <c r="BH278" s="715" t="n"/>
      <c r="BI278" s="715" t="n"/>
      <c r="BJ278" s="715" t="n"/>
      <c r="BK278" s="715" t="n"/>
      <c r="BL278" s="715" t="n"/>
      <c r="BM278" s="715" t="n"/>
    </row>
    <row r="279" ht="15" customFormat="1" customHeight="1" s="24">
      <c r="A279" s="715" t="n"/>
      <c r="B279" s="715" t="n"/>
      <c r="C279" s="715" t="n"/>
      <c r="D279" s="715" t="n"/>
      <c r="E279" s="715" t="n"/>
      <c r="F279" s="715" t="n"/>
      <c r="G279" s="715" t="n"/>
      <c r="H279" s="715" t="n"/>
      <c r="I279" s="715" t="n"/>
      <c r="J279" s="715" t="n"/>
      <c r="K279" s="715" t="n"/>
      <c r="L279" s="715" t="n"/>
      <c r="M279" s="715" t="n"/>
      <c r="N279" s="715" t="n"/>
      <c r="O279" s="715" t="n"/>
      <c r="P279" s="715" t="n"/>
      <c r="Q279" s="715" t="n"/>
      <c r="R279" s="715" t="n"/>
      <c r="S279" s="715" t="n"/>
      <c r="T279" s="715" t="n"/>
      <c r="U279" s="715" t="n"/>
      <c r="V279" s="715" t="n"/>
      <c r="W279" s="715" t="n"/>
      <c r="X279" s="715" t="n"/>
      <c r="Y279" s="715" t="n"/>
      <c r="Z279" s="715" t="n"/>
      <c r="AA279" s="715" t="n"/>
      <c r="AB279" s="715" t="n"/>
      <c r="AC279" s="715" t="n"/>
      <c r="AD279" s="715" t="n"/>
      <c r="AE279" s="715" t="n"/>
      <c r="AF279" s="715" t="n"/>
      <c r="AG279" s="715" t="n"/>
      <c r="AH279" s="715" t="n"/>
      <c r="AI279" s="715" t="n"/>
      <c r="AJ279" s="715" t="n"/>
      <c r="AK279" s="715" t="n"/>
      <c r="AL279" s="715" t="n"/>
      <c r="AM279" s="715" t="n"/>
      <c r="AN279" s="715" t="n"/>
      <c r="AO279" s="715" t="n"/>
      <c r="AP279" s="715" t="n"/>
      <c r="AQ279" s="715" t="n"/>
      <c r="AR279" s="715" t="n"/>
      <c r="AS279" s="715" t="n"/>
      <c r="AT279" s="715" t="n"/>
      <c r="AU279" s="715" t="n"/>
      <c r="AV279" s="715" t="n"/>
      <c r="AW279" s="715" t="n"/>
      <c r="AX279" s="715" t="n"/>
      <c r="AY279" s="715" t="n"/>
      <c r="AZ279" s="715" t="n"/>
      <c r="BA279" s="715" t="n"/>
      <c r="BB279" s="715" t="n"/>
      <c r="BC279" s="715" t="n"/>
      <c r="BD279" s="715" t="n"/>
      <c r="BE279" s="715" t="n"/>
      <c r="BF279" s="715" t="n"/>
      <c r="BG279" s="715" t="n"/>
      <c r="BH279" s="715" t="n"/>
      <c r="BI279" s="715" t="n"/>
      <c r="BJ279" s="715" t="n"/>
      <c r="BK279" s="715" t="n"/>
      <c r="BL279" s="715" t="n"/>
      <c r="BM279" s="715" t="n"/>
    </row>
    <row r="280" ht="15" customFormat="1" customHeight="1" s="24">
      <c r="A280" s="715" t="n"/>
      <c r="B280" s="715" t="n"/>
      <c r="C280" s="715" t="n"/>
      <c r="D280" s="715" t="n"/>
      <c r="E280" s="715" t="n"/>
      <c r="F280" s="715" t="n"/>
      <c r="G280" s="715" t="n"/>
      <c r="H280" s="715" t="n"/>
      <c r="I280" s="715" t="n"/>
      <c r="J280" s="715" t="n"/>
      <c r="K280" s="715" t="n"/>
      <c r="L280" s="715" t="n"/>
      <c r="M280" s="715" t="n"/>
      <c r="N280" s="715" t="n"/>
      <c r="O280" s="715" t="n"/>
      <c r="P280" s="715" t="n"/>
      <c r="Q280" s="715" t="n"/>
      <c r="R280" s="715" t="n"/>
      <c r="S280" s="715" t="n"/>
      <c r="T280" s="715" t="n"/>
      <c r="U280" s="715" t="n"/>
      <c r="V280" s="715" t="n"/>
      <c r="W280" s="715" t="n"/>
      <c r="X280" s="715" t="n"/>
      <c r="Y280" s="715" t="n"/>
      <c r="Z280" s="715" t="n"/>
      <c r="AA280" s="715" t="n"/>
      <c r="AB280" s="715" t="n"/>
      <c r="AC280" s="715" t="n"/>
      <c r="AD280" s="715" t="n"/>
      <c r="AE280" s="715" t="n"/>
      <c r="AF280" s="715" t="n"/>
      <c r="AG280" s="715" t="n"/>
      <c r="AH280" s="715" t="n"/>
      <c r="AI280" s="715" t="n"/>
      <c r="AJ280" s="715" t="n"/>
      <c r="AK280" s="715" t="n"/>
      <c r="AL280" s="715" t="n"/>
      <c r="AM280" s="715" t="n"/>
      <c r="AN280" s="715" t="n"/>
      <c r="AO280" s="715" t="n"/>
      <c r="AP280" s="715" t="n"/>
      <c r="AQ280" s="715" t="n"/>
      <c r="AR280" s="715" t="n"/>
      <c r="AS280" s="715" t="n"/>
      <c r="AT280" s="715" t="n"/>
      <c r="AU280" s="715" t="n"/>
      <c r="AV280" s="715" t="n"/>
      <c r="AW280" s="715" t="n"/>
      <c r="AX280" s="715" t="n"/>
      <c r="AY280" s="715" t="n"/>
      <c r="AZ280" s="715" t="n"/>
      <c r="BA280" s="715" t="n"/>
      <c r="BB280" s="715" t="n"/>
      <c r="BC280" s="715" t="n"/>
      <c r="BD280" s="715" t="n"/>
      <c r="BE280" s="715" t="n"/>
      <c r="BF280" s="715" t="n"/>
      <c r="BG280" s="715" t="n"/>
      <c r="BH280" s="715" t="n"/>
      <c r="BI280" s="715" t="n"/>
      <c r="BJ280" s="715" t="n"/>
      <c r="BK280" s="715" t="n"/>
      <c r="BL280" s="715" t="n"/>
      <c r="BM280" s="715" t="n"/>
    </row>
    <row r="281" ht="15" customFormat="1" customHeight="1" s="24">
      <c r="A281" s="715" t="n"/>
      <c r="B281" s="715" t="n"/>
      <c r="C281" s="715" t="n"/>
      <c r="D281" s="715" t="n"/>
      <c r="E281" s="715" t="n"/>
      <c r="F281" s="715" t="n"/>
      <c r="G281" s="715" t="n"/>
      <c r="H281" s="715" t="n"/>
      <c r="I281" s="715" t="n"/>
      <c r="J281" s="715" t="n"/>
      <c r="K281" s="715" t="n"/>
      <c r="L281" s="715" t="n"/>
      <c r="M281" s="715" t="n"/>
      <c r="N281" s="715" t="n"/>
      <c r="O281" s="715" t="n"/>
      <c r="P281" s="715" t="n"/>
      <c r="Q281" s="715" t="n"/>
      <c r="R281" s="715" t="n"/>
      <c r="S281" s="715" t="n"/>
      <c r="T281" s="715" t="n"/>
      <c r="U281" s="715" t="n"/>
      <c r="V281" s="715" t="n"/>
      <c r="W281" s="715" t="n"/>
      <c r="X281" s="715" t="n"/>
      <c r="Y281" s="715" t="n"/>
      <c r="Z281" s="715" t="n"/>
      <c r="AA281" s="715" t="n"/>
      <c r="AB281" s="715" t="n"/>
      <c r="AC281" s="715" t="n"/>
      <c r="AD281" s="715" t="n"/>
      <c r="AE281" s="715" t="n"/>
      <c r="AF281" s="715" t="n"/>
      <c r="AG281" s="715" t="n"/>
      <c r="AH281" s="715" t="n"/>
      <c r="AI281" s="715" t="n"/>
      <c r="AJ281" s="715" t="n"/>
      <c r="AK281" s="715" t="n"/>
      <c r="AL281" s="715" t="n"/>
      <c r="AM281" s="715" t="n"/>
      <c r="AN281" s="715" t="n"/>
      <c r="AO281" s="715" t="n"/>
      <c r="AP281" s="715" t="n"/>
      <c r="AQ281" s="715" t="n"/>
      <c r="AR281" s="715" t="n"/>
      <c r="AS281" s="715" t="n"/>
      <c r="AT281" s="715" t="n"/>
      <c r="AU281" s="715" t="n"/>
      <c r="AV281" s="715" t="n"/>
      <c r="AW281" s="715" t="n"/>
      <c r="AX281" s="715" t="n"/>
      <c r="AY281" s="715" t="n"/>
      <c r="AZ281" s="715" t="n"/>
      <c r="BA281" s="715" t="n"/>
      <c r="BB281" s="715" t="n"/>
      <c r="BC281" s="715" t="n"/>
      <c r="BD281" s="715" t="n"/>
      <c r="BE281" s="715" t="n"/>
      <c r="BF281" s="715" t="n"/>
      <c r="BG281" s="715" t="n"/>
      <c r="BH281" s="715" t="n"/>
      <c r="BI281" s="715" t="n"/>
      <c r="BJ281" s="715" t="n"/>
      <c r="BK281" s="715" t="n"/>
      <c r="BL281" s="715" t="n"/>
      <c r="BM281" s="715" t="n"/>
    </row>
    <row r="282" ht="15" customFormat="1" customHeight="1" s="24">
      <c r="A282" s="715" t="n"/>
      <c r="B282" s="715" t="n"/>
      <c r="C282" s="715" t="n"/>
      <c r="D282" s="715" t="n"/>
      <c r="E282" s="715" t="n"/>
      <c r="F282" s="715" t="n"/>
      <c r="G282" s="715" t="n"/>
      <c r="H282" s="715" t="n"/>
      <c r="I282" s="715" t="n"/>
      <c r="J282" s="715" t="n"/>
      <c r="K282" s="715" t="n"/>
      <c r="L282" s="715" t="n"/>
      <c r="M282" s="715" t="n"/>
      <c r="N282" s="715" t="n"/>
      <c r="O282" s="715" t="n"/>
      <c r="P282" s="715" t="n"/>
      <c r="Q282" s="715" t="n"/>
      <c r="R282" s="715" t="n"/>
      <c r="S282" s="715" t="n"/>
      <c r="T282" s="715" t="n"/>
      <c r="U282" s="715" t="n"/>
      <c r="V282" s="715" t="n"/>
      <c r="W282" s="715" t="n"/>
      <c r="X282" s="715" t="n"/>
      <c r="Y282" s="715" t="n"/>
      <c r="Z282" s="715" t="n"/>
      <c r="AA282" s="715" t="n"/>
      <c r="AB282" s="715" t="n"/>
      <c r="AC282" s="715" t="n"/>
      <c r="AD282" s="715" t="n"/>
      <c r="AE282" s="715" t="n"/>
      <c r="AF282" s="715" t="n"/>
      <c r="AG282" s="715" t="n"/>
      <c r="AH282" s="715" t="n"/>
      <c r="AI282" s="715" t="n"/>
      <c r="AJ282" s="715" t="n"/>
      <c r="AK282" s="715" t="n"/>
      <c r="AL282" s="715" t="n"/>
      <c r="AM282" s="715" t="n"/>
      <c r="AN282" s="715" t="n"/>
      <c r="AO282" s="715" t="n"/>
      <c r="AP282" s="715" t="n"/>
      <c r="AQ282" s="715" t="n"/>
      <c r="AR282" s="715" t="n"/>
      <c r="AS282" s="715" t="n"/>
      <c r="AT282" s="715" t="n"/>
      <c r="AU282" s="715" t="n"/>
      <c r="AV282" s="715" t="n"/>
      <c r="AW282" s="715" t="n"/>
      <c r="AX282" s="715" t="n"/>
      <c r="AY282" s="715" t="n"/>
      <c r="AZ282" s="715" t="n"/>
      <c r="BA282" s="715" t="n"/>
      <c r="BB282" s="715" t="n"/>
      <c r="BC282" s="715" t="n"/>
      <c r="BD282" s="715" t="n"/>
      <c r="BE282" s="715" t="n"/>
      <c r="BF282" s="715" t="n"/>
      <c r="BG282" s="715" t="n"/>
      <c r="BH282" s="715" t="n"/>
      <c r="BI282" s="715" t="n"/>
      <c r="BJ282" s="715" t="n"/>
      <c r="BK282" s="715" t="n"/>
      <c r="BL282" s="715" t="n"/>
      <c r="BM282" s="715" t="n"/>
    </row>
    <row r="283" ht="15" customFormat="1" customHeight="1" s="24">
      <c r="A283" s="715" t="n"/>
      <c r="B283" s="715" t="n"/>
      <c r="C283" s="715" t="n"/>
      <c r="D283" s="715" t="n"/>
      <c r="E283" s="715" t="n"/>
      <c r="F283" s="715" t="n"/>
      <c r="G283" s="715" t="n"/>
      <c r="H283" s="715" t="n"/>
      <c r="I283" s="715" t="n"/>
      <c r="J283" s="715" t="n"/>
      <c r="K283" s="715" t="n"/>
      <c r="L283" s="715" t="n"/>
      <c r="M283" s="715" t="n"/>
      <c r="N283" s="715" t="n"/>
      <c r="O283" s="715" t="n"/>
      <c r="P283" s="715" t="n"/>
      <c r="Q283" s="715" t="n"/>
      <c r="R283" s="715" t="n"/>
      <c r="S283" s="715" t="n"/>
      <c r="T283" s="715" t="n"/>
      <c r="U283" s="715" t="n"/>
      <c r="V283" s="715" t="n"/>
      <c r="W283" s="715" t="n"/>
      <c r="X283" s="715" t="n"/>
      <c r="Y283" s="715" t="n"/>
      <c r="Z283" s="715" t="n"/>
      <c r="AA283" s="715" t="n"/>
      <c r="AB283" s="715" t="n"/>
      <c r="AC283" s="715" t="n"/>
      <c r="AD283" s="715" t="n"/>
      <c r="AE283" s="715" t="n"/>
      <c r="AF283" s="715" t="n"/>
      <c r="AG283" s="715" t="n"/>
      <c r="AH283" s="715" t="n"/>
      <c r="AI283" s="715" t="n"/>
      <c r="AJ283" s="715" t="n"/>
      <c r="AK283" s="715" t="n"/>
      <c r="AL283" s="715" t="n"/>
      <c r="AM283" s="715" t="n"/>
      <c r="AN283" s="715" t="n"/>
      <c r="AO283" s="715" t="n"/>
      <c r="AP283" s="715" t="n"/>
      <c r="AQ283" s="715" t="n"/>
      <c r="AR283" s="715" t="n"/>
      <c r="AS283" s="715" t="n"/>
      <c r="AT283" s="715" t="n"/>
      <c r="AU283" s="715" t="n"/>
      <c r="AV283" s="715" t="n"/>
      <c r="AW283" s="715" t="n"/>
      <c r="AX283" s="715" t="n"/>
      <c r="AY283" s="715" t="n"/>
      <c r="AZ283" s="715" t="n"/>
      <c r="BA283" s="715" t="n"/>
      <c r="BB283" s="715" t="n"/>
      <c r="BC283" s="715" t="n"/>
      <c r="BD283" s="715" t="n"/>
      <c r="BE283" s="715" t="n"/>
      <c r="BF283" s="715" t="n"/>
      <c r="BG283" s="715" t="n"/>
      <c r="BH283" s="715" t="n"/>
      <c r="BI283" s="715" t="n"/>
      <c r="BJ283" s="715" t="n"/>
      <c r="BK283" s="715" t="n"/>
      <c r="BL283" s="715" t="n"/>
      <c r="BM283" s="715" t="n"/>
    </row>
    <row r="284" ht="15" customFormat="1" customHeight="1" s="24">
      <c r="A284" s="715" t="n"/>
      <c r="B284" s="715" t="n"/>
      <c r="C284" s="715" t="n"/>
      <c r="D284" s="715" t="n"/>
      <c r="E284" s="715" t="n"/>
      <c r="F284" s="715" t="n"/>
      <c r="G284" s="715" t="n"/>
      <c r="H284" s="715" t="n"/>
      <c r="I284" s="715" t="n"/>
      <c r="J284" s="715" t="n"/>
      <c r="K284" s="715" t="n"/>
      <c r="L284" s="715" t="n"/>
      <c r="M284" s="715" t="n"/>
      <c r="N284" s="715" t="n"/>
      <c r="O284" s="715" t="n"/>
      <c r="P284" s="715" t="n"/>
      <c r="Q284" s="715" t="n"/>
      <c r="R284" s="715" t="n"/>
      <c r="S284" s="715" t="n"/>
      <c r="T284" s="715" t="n"/>
      <c r="U284" s="715" t="n"/>
      <c r="V284" s="715" t="n"/>
      <c r="W284" s="715" t="n"/>
      <c r="X284" s="715" t="n"/>
      <c r="Y284" s="715" t="n"/>
      <c r="Z284" s="715" t="n"/>
      <c r="AA284" s="715" t="n"/>
      <c r="AB284" s="715" t="n"/>
      <c r="AC284" s="715" t="n"/>
      <c r="AD284" s="715" t="n"/>
      <c r="AE284" s="715" t="n"/>
      <c r="AF284" s="715" t="n"/>
      <c r="AG284" s="715" t="n"/>
      <c r="AH284" s="715" t="n"/>
      <c r="AI284" s="715" t="n"/>
      <c r="AJ284" s="715" t="n"/>
      <c r="AK284" s="715" t="n"/>
      <c r="AL284" s="715" t="n"/>
      <c r="AM284" s="715" t="n"/>
      <c r="AN284" s="715" t="n"/>
      <c r="AO284" s="715" t="n"/>
      <c r="AP284" s="715" t="n"/>
      <c r="AQ284" s="715" t="n"/>
      <c r="AR284" s="715" t="n"/>
      <c r="AS284" s="715" t="n"/>
      <c r="AT284" s="715" t="n"/>
      <c r="AU284" s="715" t="n"/>
      <c r="AV284" s="715" t="n"/>
      <c r="AW284" s="715" t="n"/>
      <c r="AX284" s="715" t="n"/>
      <c r="AY284" s="715" t="n"/>
      <c r="AZ284" s="715" t="n"/>
      <c r="BA284" s="715" t="n"/>
      <c r="BB284" s="715" t="n"/>
      <c r="BC284" s="715" t="n"/>
      <c r="BD284" s="715" t="n"/>
      <c r="BE284" s="715" t="n"/>
      <c r="BF284" s="715" t="n"/>
      <c r="BG284" s="715" t="n"/>
      <c r="BH284" s="715" t="n"/>
      <c r="BI284" s="715" t="n"/>
      <c r="BJ284" s="715" t="n"/>
      <c r="BK284" s="715" t="n"/>
      <c r="BL284" s="715" t="n"/>
      <c r="BM284" s="715" t="n"/>
    </row>
    <row r="285" ht="15" customFormat="1" customHeight="1" s="24">
      <c r="A285" s="715" t="n"/>
      <c r="B285" s="715" t="n"/>
      <c r="C285" s="715" t="n"/>
      <c r="D285" s="715" t="n"/>
      <c r="E285" s="715" t="n"/>
      <c r="F285" s="715" t="n"/>
      <c r="G285" s="715" t="n"/>
      <c r="H285" s="715" t="n"/>
      <c r="I285" s="715" t="n"/>
      <c r="J285" s="715" t="n"/>
      <c r="K285" s="715" t="n"/>
      <c r="L285" s="715" t="n"/>
      <c r="M285" s="715" t="n"/>
      <c r="N285" s="715" t="n"/>
      <c r="O285" s="715" t="n"/>
      <c r="P285" s="715" t="n"/>
      <c r="Q285" s="715" t="n"/>
      <c r="R285" s="715" t="n"/>
      <c r="S285" s="715" t="n"/>
      <c r="T285" s="715" t="n"/>
      <c r="U285" s="715" t="n"/>
      <c r="V285" s="715" t="n"/>
      <c r="W285" s="715" t="n"/>
      <c r="X285" s="715" t="n"/>
      <c r="Y285" s="715" t="n"/>
      <c r="Z285" s="715" t="n"/>
      <c r="AA285" s="715" t="n"/>
      <c r="AB285" s="715" t="n"/>
      <c r="AC285" s="715" t="n"/>
      <c r="AD285" s="715" t="n"/>
      <c r="AE285" s="715" t="n"/>
      <c r="AF285" s="715" t="n"/>
      <c r="AG285" s="715" t="n"/>
      <c r="AH285" s="715" t="n"/>
      <c r="AI285" s="715" t="n"/>
      <c r="AJ285" s="715" t="n"/>
      <c r="AK285" s="715" t="n"/>
      <c r="AL285" s="715" t="n"/>
      <c r="AM285" s="715" t="n"/>
      <c r="AN285" s="715" t="n"/>
      <c r="AO285" s="715" t="n"/>
      <c r="AP285" s="715" t="n"/>
      <c r="AQ285" s="715" t="n"/>
      <c r="AR285" s="715" t="n"/>
      <c r="AS285" s="715" t="n"/>
      <c r="AT285" s="715" t="n"/>
      <c r="AU285" s="715" t="n"/>
      <c r="AV285" s="715" t="n"/>
      <c r="AW285" s="715" t="n"/>
      <c r="AX285" s="715" t="n"/>
      <c r="AY285" s="715" t="n"/>
      <c r="AZ285" s="715" t="n"/>
      <c r="BA285" s="715" t="n"/>
      <c r="BB285" s="715" t="n"/>
      <c r="BC285" s="715" t="n"/>
      <c r="BD285" s="715" t="n"/>
      <c r="BE285" s="715" t="n"/>
      <c r="BF285" s="715" t="n"/>
      <c r="BG285" s="715" t="n"/>
      <c r="BH285" s="715" t="n"/>
      <c r="BI285" s="715" t="n"/>
      <c r="BJ285" s="715" t="n"/>
      <c r="BK285" s="715" t="n"/>
      <c r="BL285" s="715" t="n"/>
      <c r="BM285" s="715" t="n"/>
    </row>
    <row r="286" ht="15" customFormat="1" customHeight="1" s="24">
      <c r="A286" s="715" t="n"/>
      <c r="B286" s="715" t="n"/>
      <c r="C286" s="715" t="n"/>
      <c r="D286" s="715" t="n"/>
      <c r="E286" s="715" t="n"/>
      <c r="F286" s="715" t="n"/>
      <c r="G286" s="715" t="n"/>
      <c r="H286" s="715" t="n"/>
      <c r="I286" s="715" t="n"/>
      <c r="J286" s="715" t="n"/>
      <c r="K286" s="715" t="n"/>
      <c r="L286" s="715" t="n"/>
      <c r="M286" s="715" t="n"/>
      <c r="N286" s="715" t="n"/>
      <c r="O286" s="715" t="n"/>
      <c r="P286" s="715" t="n"/>
      <c r="Q286" s="715" t="n"/>
      <c r="R286" s="715" t="n"/>
      <c r="S286" s="715" t="n"/>
      <c r="T286" s="715" t="n"/>
      <c r="U286" s="715" t="n"/>
      <c r="V286" s="715" t="n"/>
      <c r="W286" s="715" t="n"/>
      <c r="X286" s="715" t="n"/>
      <c r="Y286" s="715" t="n"/>
      <c r="Z286" s="715" t="n"/>
      <c r="AA286" s="715" t="n"/>
      <c r="AB286" s="715" t="n"/>
      <c r="AC286" s="715" t="n"/>
      <c r="AD286" s="715" t="n"/>
      <c r="AE286" s="715" t="n"/>
      <c r="AF286" s="715" t="n"/>
      <c r="AG286" s="715" t="n"/>
      <c r="AH286" s="715" t="n"/>
      <c r="AI286" s="715" t="n"/>
      <c r="AJ286" s="715" t="n"/>
      <c r="AK286" s="715" t="n"/>
      <c r="AL286" s="715" t="n"/>
      <c r="AM286" s="715" t="n"/>
      <c r="AN286" s="715" t="n"/>
      <c r="AO286" s="715" t="n"/>
      <c r="AP286" s="715" t="n"/>
      <c r="AQ286" s="715" t="n"/>
      <c r="AR286" s="715" t="n"/>
      <c r="AS286" s="715" t="n"/>
      <c r="AT286" s="715" t="n"/>
      <c r="AU286" s="715" t="n"/>
      <c r="AV286" s="715" t="n"/>
      <c r="AW286" s="715" t="n"/>
      <c r="AX286" s="715" t="n"/>
      <c r="AY286" s="715" t="n"/>
      <c r="AZ286" s="715" t="n"/>
      <c r="BA286" s="715" t="n"/>
      <c r="BB286" s="715" t="n"/>
      <c r="BC286" s="715" t="n"/>
      <c r="BD286" s="715" t="n"/>
      <c r="BE286" s="715" t="n"/>
      <c r="BF286" s="715" t="n"/>
      <c r="BG286" s="715" t="n"/>
      <c r="BH286" s="715" t="n"/>
      <c r="BI286" s="715" t="n"/>
      <c r="BJ286" s="715" t="n"/>
      <c r="BK286" s="715" t="n"/>
      <c r="BL286" s="715" t="n"/>
      <c r="BM286" s="715" t="n"/>
    </row>
    <row r="287" ht="15" customFormat="1" customHeight="1" s="24">
      <c r="A287" s="715" t="n"/>
      <c r="B287" s="715" t="n"/>
      <c r="C287" s="715" t="n"/>
      <c r="D287" s="715" t="n"/>
      <c r="E287" s="715" t="n"/>
      <c r="F287" s="715" t="n"/>
      <c r="G287" s="715" t="n"/>
      <c r="H287" s="715" t="n"/>
      <c r="I287" s="715" t="n"/>
      <c r="J287" s="715" t="n"/>
      <c r="K287" s="715" t="n"/>
      <c r="L287" s="715" t="n"/>
      <c r="M287" s="715" t="n"/>
      <c r="N287" s="715" t="n"/>
      <c r="O287" s="715" t="n"/>
      <c r="P287" s="715" t="n"/>
      <c r="Q287" s="715" t="n"/>
      <c r="R287" s="715" t="n"/>
      <c r="S287" s="715" t="n"/>
      <c r="T287" s="715" t="n"/>
      <c r="U287" s="715" t="n"/>
      <c r="V287" s="715" t="n"/>
      <c r="W287" s="715" t="n"/>
      <c r="X287" s="715" t="n"/>
      <c r="Y287" s="715" t="n"/>
      <c r="Z287" s="715" t="n"/>
      <c r="AA287" s="715" t="n"/>
      <c r="AB287" s="715" t="n"/>
      <c r="AC287" s="715" t="n"/>
      <c r="AD287" s="715" t="n"/>
      <c r="AE287" s="715" t="n"/>
      <c r="AF287" s="715" t="n"/>
      <c r="AG287" s="715" t="n"/>
      <c r="AH287" s="715" t="n"/>
      <c r="AI287" s="715" t="n"/>
      <c r="AJ287" s="715" t="n"/>
      <c r="AK287" s="715" t="n"/>
      <c r="AL287" s="715" t="n"/>
      <c r="AM287" s="715" t="n"/>
      <c r="AN287" s="715" t="n"/>
      <c r="AO287" s="715" t="n"/>
      <c r="AP287" s="715" t="n"/>
      <c r="AQ287" s="715" t="n"/>
      <c r="AR287" s="715" t="n"/>
      <c r="AS287" s="715" t="n"/>
      <c r="AT287" s="715" t="n"/>
      <c r="AU287" s="715" t="n"/>
      <c r="AV287" s="715" t="n"/>
      <c r="AW287" s="715" t="n"/>
      <c r="AX287" s="715" t="n"/>
      <c r="AY287" s="715" t="n"/>
      <c r="AZ287" s="715" t="n"/>
      <c r="BA287" s="715" t="n"/>
      <c r="BB287" s="715" t="n"/>
      <c r="BC287" s="715" t="n"/>
      <c r="BD287" s="715" t="n"/>
      <c r="BE287" s="715" t="n"/>
      <c r="BF287" s="715" t="n"/>
      <c r="BG287" s="715" t="n"/>
      <c r="BH287" s="715" t="n"/>
      <c r="BI287" s="715" t="n"/>
      <c r="BJ287" s="715" t="n"/>
      <c r="BK287" s="715" t="n"/>
      <c r="BL287" s="715" t="n"/>
      <c r="BM287" s="715" t="n"/>
    </row>
    <row r="288" ht="15" customFormat="1" customHeight="1" s="24">
      <c r="A288" s="715" t="n"/>
      <c r="B288" s="715" t="n"/>
      <c r="C288" s="715" t="n"/>
      <c r="D288" s="715" t="n"/>
      <c r="E288" s="715" t="n"/>
      <c r="F288" s="715" t="n"/>
      <c r="G288" s="715" t="n"/>
      <c r="H288" s="715" t="n"/>
      <c r="I288" s="715" t="n"/>
      <c r="J288" s="715" t="n"/>
      <c r="K288" s="715" t="n"/>
      <c r="L288" s="715" t="n"/>
      <c r="M288" s="715" t="n"/>
      <c r="N288" s="715" t="n"/>
      <c r="O288" s="715" t="n"/>
      <c r="P288" s="715" t="n"/>
      <c r="Q288" s="715" t="n"/>
      <c r="R288" s="715" t="n"/>
      <c r="S288" s="715" t="n"/>
      <c r="T288" s="715" t="n"/>
      <c r="U288" s="715" t="n"/>
      <c r="V288" s="715" t="n"/>
      <c r="W288" s="715" t="n"/>
      <c r="X288" s="715" t="n"/>
      <c r="Y288" s="715" t="n"/>
      <c r="Z288" s="715" t="n"/>
      <c r="AA288" s="715" t="n"/>
      <c r="AB288" s="715" t="n"/>
      <c r="AC288" s="715" t="n"/>
      <c r="AD288" s="715" t="n"/>
      <c r="AE288" s="715" t="n"/>
      <c r="AF288" s="715" t="n"/>
      <c r="AG288" s="715" t="n"/>
      <c r="AH288" s="715" t="n"/>
      <c r="AI288" s="715" t="n"/>
      <c r="AJ288" s="715" t="n"/>
      <c r="AK288" s="715" t="n"/>
      <c r="AL288" s="715" t="n"/>
      <c r="AM288" s="715" t="n"/>
      <c r="AN288" s="715" t="n"/>
      <c r="AO288" s="715" t="n"/>
      <c r="AP288" s="715" t="n"/>
      <c r="AQ288" s="715" t="n"/>
      <c r="AR288" s="715" t="n"/>
      <c r="AS288" s="715" t="n"/>
      <c r="AT288" s="715" t="n"/>
      <c r="AU288" s="715" t="n"/>
      <c r="AV288" s="715" t="n"/>
      <c r="AW288" s="715" t="n"/>
      <c r="AX288" s="715" t="n"/>
      <c r="AY288" s="715" t="n"/>
      <c r="AZ288" s="715" t="n"/>
      <c r="BA288" s="715" t="n"/>
      <c r="BB288" s="715" t="n"/>
      <c r="BC288" s="715" t="n"/>
      <c r="BD288" s="715" t="n"/>
      <c r="BE288" s="715" t="n"/>
      <c r="BF288" s="715" t="n"/>
      <c r="BG288" s="715" t="n"/>
      <c r="BH288" s="715" t="n"/>
      <c r="BI288" s="715" t="n"/>
      <c r="BJ288" s="715" t="n"/>
      <c r="BK288" s="715" t="n"/>
      <c r="BL288" s="715" t="n"/>
      <c r="BM288" s="715" t="n"/>
    </row>
    <row r="289" ht="15" customFormat="1" customHeight="1" s="24">
      <c r="A289" s="715" t="n"/>
      <c r="B289" s="715" t="n"/>
      <c r="C289" s="715" t="n"/>
      <c r="D289" s="715" t="n"/>
      <c r="E289" s="715" t="n"/>
      <c r="F289" s="715" t="n"/>
      <c r="G289" s="715" t="n"/>
      <c r="H289" s="715" t="n"/>
      <c r="I289" s="715" t="n"/>
      <c r="J289" s="715" t="n"/>
      <c r="K289" s="715" t="n"/>
      <c r="L289" s="715" t="n"/>
      <c r="M289" s="715" t="n"/>
      <c r="N289" s="715" t="n"/>
      <c r="O289" s="715" t="n"/>
      <c r="P289" s="715" t="n"/>
      <c r="Q289" s="715" t="n"/>
      <c r="R289" s="715" t="n"/>
      <c r="S289" s="715" t="n"/>
      <c r="T289" s="715" t="n"/>
      <c r="U289" s="715" t="n"/>
      <c r="V289" s="715" t="n"/>
      <c r="W289" s="715" t="n"/>
      <c r="X289" s="715" t="n"/>
      <c r="Y289" s="715" t="n"/>
      <c r="Z289" s="715" t="n"/>
      <c r="AA289" s="715" t="n"/>
      <c r="AB289" s="715" t="n"/>
      <c r="AC289" s="715" t="n"/>
      <c r="AD289" s="715" t="n"/>
      <c r="AE289" s="715" t="n"/>
      <c r="AF289" s="715" t="n"/>
      <c r="AG289" s="715" t="n"/>
      <c r="AH289" s="715" t="n"/>
      <c r="AI289" s="715" t="n"/>
      <c r="AJ289" s="715" t="n"/>
      <c r="AK289" s="715" t="n"/>
      <c r="AL289" s="715" t="n"/>
      <c r="AM289" s="715" t="n"/>
      <c r="AN289" s="715" t="n"/>
      <c r="AO289" s="715" t="n"/>
      <c r="AP289" s="715" t="n"/>
      <c r="AQ289" s="715" t="n"/>
      <c r="AR289" s="715" t="n"/>
      <c r="AS289" s="715" t="n"/>
      <c r="AT289" s="715" t="n"/>
      <c r="AU289" s="715" t="n"/>
      <c r="AV289" s="715" t="n"/>
      <c r="AW289" s="715" t="n"/>
      <c r="AX289" s="715" t="n"/>
      <c r="AY289" s="715" t="n"/>
      <c r="AZ289" s="715" t="n"/>
      <c r="BA289" s="715" t="n"/>
      <c r="BB289" s="715" t="n"/>
      <c r="BC289" s="715" t="n"/>
      <c r="BD289" s="715" t="n"/>
      <c r="BE289" s="715" t="n"/>
      <c r="BF289" s="715" t="n"/>
      <c r="BG289" s="715" t="n"/>
      <c r="BH289" s="715" t="n"/>
      <c r="BI289" s="715" t="n"/>
      <c r="BJ289" s="715" t="n"/>
      <c r="BK289" s="715" t="n"/>
      <c r="BL289" s="715" t="n"/>
      <c r="BM289" s="715" t="n"/>
    </row>
    <row r="290" ht="15" customFormat="1" customHeight="1" s="135">
      <c r="A290" s="706" t="n"/>
      <c r="B290" s="706" t="n"/>
      <c r="C290" s="706" t="n"/>
      <c r="D290" s="706" t="n"/>
      <c r="E290" s="706" t="n"/>
      <c r="F290" s="706" t="n"/>
      <c r="G290" s="706" t="n"/>
      <c r="H290" s="706" t="n"/>
      <c r="I290" s="706" t="n"/>
      <c r="J290" s="706" t="n"/>
      <c r="K290" s="706" t="n"/>
      <c r="L290" s="706" t="n"/>
      <c r="M290" s="706" t="n"/>
      <c r="N290" s="706" t="n"/>
      <c r="O290" s="706" t="n"/>
      <c r="P290" s="706" t="n"/>
      <c r="Q290" s="706" t="n"/>
      <c r="R290" s="706" t="n"/>
      <c r="S290" s="706" t="n"/>
      <c r="T290" s="706" t="n"/>
      <c r="U290" s="706" t="n"/>
      <c r="V290" s="706" t="n"/>
      <c r="W290" s="706" t="n"/>
      <c r="X290" s="706" t="n"/>
      <c r="Y290" s="706" t="n"/>
      <c r="Z290" s="706" t="n"/>
      <c r="AA290" s="706" t="n"/>
      <c r="AB290" s="706" t="n"/>
      <c r="AC290" s="706" t="n"/>
      <c r="AD290" s="706" t="n"/>
      <c r="AE290" s="706" t="n"/>
      <c r="AF290" s="706" t="n"/>
      <c r="AG290" s="706" t="n"/>
      <c r="AH290" s="706" t="n"/>
      <c r="AI290" s="706" t="n"/>
      <c r="AJ290" s="706" t="n"/>
      <c r="AK290" s="706" t="n"/>
      <c r="AL290" s="706" t="n"/>
      <c r="AM290" s="706" t="n"/>
      <c r="AN290" s="706" t="n"/>
      <c r="AO290" s="706" t="n"/>
      <c r="AP290" s="706" t="n"/>
      <c r="AQ290" s="706" t="n"/>
      <c r="AR290" s="706" t="n"/>
      <c r="AS290" s="706" t="n"/>
      <c r="AT290" s="706" t="n"/>
      <c r="AU290" s="706" t="n"/>
      <c r="AV290" s="706" t="n"/>
      <c r="AW290" s="706" t="n"/>
      <c r="AX290" s="706" t="n"/>
      <c r="AY290" s="706" t="n"/>
      <c r="AZ290" s="706" t="n"/>
      <c r="BA290" s="706" t="n"/>
      <c r="BB290" s="706" t="n"/>
      <c r="BC290" s="706" t="n"/>
      <c r="BD290" s="706" t="n"/>
      <c r="BE290" s="706" t="n"/>
      <c r="BF290" s="706" t="n"/>
      <c r="BG290" s="706" t="n"/>
      <c r="BH290" s="706" t="n"/>
      <c r="BI290" s="706" t="n"/>
      <c r="BJ290" s="706" t="n"/>
      <c r="BK290" s="706" t="n"/>
      <c r="BL290" s="706" t="n"/>
      <c r="BM290" s="706" t="n"/>
    </row>
    <row r="291" ht="15" customFormat="1" customHeight="1" s="20">
      <c r="A291" s="722" t="n"/>
      <c r="B291" s="721" t="n"/>
      <c r="C291" s="961" t="n"/>
      <c r="D291" s="721" t="n"/>
      <c r="E291" s="961" t="n"/>
      <c r="F291" s="721" t="n"/>
      <c r="G291" s="961" t="n"/>
      <c r="H291" s="721" t="n"/>
      <c r="I291" s="962" t="n"/>
      <c r="J291" s="718" t="n"/>
      <c r="K291" s="961" t="n"/>
      <c r="L291" s="721" t="n"/>
      <c r="M291" s="961" t="n"/>
      <c r="N291" s="721" t="n"/>
      <c r="O291" s="961" t="n"/>
      <c r="P291" s="721" t="n"/>
      <c r="Q291" s="962" t="n"/>
      <c r="R291" s="718" t="n"/>
      <c r="S291" s="961" t="n"/>
      <c r="T291" s="721" t="n"/>
      <c r="U291" s="961" t="n"/>
      <c r="V291" s="721" t="n"/>
      <c r="W291" s="961" t="n"/>
      <c r="X291" s="721" t="n"/>
      <c r="Y291" s="962" t="n"/>
      <c r="Z291" s="718" t="n"/>
      <c r="AA291" s="961" t="n"/>
      <c r="AB291" s="721" t="n"/>
      <c r="AC291" s="961" t="n"/>
      <c r="AD291" s="721" t="n"/>
      <c r="AE291" s="961" t="n"/>
      <c r="AF291" s="721" t="n"/>
      <c r="AG291" s="962" t="n"/>
      <c r="AH291" s="718" t="n"/>
      <c r="AI291" s="961" t="n"/>
      <c r="AJ291" s="721" t="n"/>
      <c r="AK291" s="961" t="n"/>
      <c r="AL291" s="721" t="n"/>
      <c r="AM291" s="961" t="n"/>
      <c r="AN291" s="721" t="n"/>
      <c r="AO291" s="962" t="n"/>
      <c r="AP291" s="718" t="n"/>
      <c r="AQ291" s="961" t="n"/>
      <c r="AR291" s="721" t="n"/>
      <c r="AS291" s="961" t="n"/>
      <c r="AT291" s="721" t="n"/>
      <c r="AU291" s="961" t="n"/>
      <c r="AV291" s="721" t="n"/>
      <c r="AW291" s="962" t="n"/>
      <c r="AX291" s="718" t="n"/>
      <c r="AY291" s="961" t="n"/>
      <c r="AZ291" s="721" t="n"/>
      <c r="BA291" s="961" t="n"/>
      <c r="BB291" s="721" t="n"/>
      <c r="BC291" s="961" t="n"/>
      <c r="BD291" s="721" t="n"/>
      <c r="BE291" s="962" t="n"/>
      <c r="BF291" s="718" t="n"/>
      <c r="BG291" s="961" t="n"/>
      <c r="BH291" s="717" t="n"/>
      <c r="BI291" s="963" t="n"/>
      <c r="BJ291" s="721" t="n"/>
      <c r="BK291" s="961" t="n"/>
      <c r="BL291" s="721" t="n"/>
      <c r="BM291" s="962" t="n"/>
    </row>
    <row r="292" ht="15" customFormat="1" customHeight="1" s="136">
      <c r="A292" s="705" t="n"/>
      <c r="B292" s="705" t="n"/>
      <c r="C292" s="705" t="n"/>
      <c r="D292" s="705" t="n"/>
      <c r="E292" s="705" t="n"/>
      <c r="F292" s="705" t="n"/>
      <c r="G292" s="705" t="n"/>
      <c r="H292" s="705" t="n"/>
      <c r="I292" s="705" t="n"/>
      <c r="J292" s="705" t="n"/>
      <c r="K292" s="705" t="n"/>
      <c r="L292" s="705" t="n"/>
      <c r="M292" s="705" t="n"/>
      <c r="N292" s="705" t="n"/>
      <c r="O292" s="705" t="n"/>
      <c r="P292" s="705" t="n"/>
      <c r="Q292" s="705" t="n"/>
      <c r="R292" s="705" t="n"/>
      <c r="S292" s="705" t="n"/>
      <c r="T292" s="705" t="n"/>
      <c r="U292" s="705" t="n"/>
      <c r="V292" s="705" t="n"/>
      <c r="W292" s="705" t="n"/>
      <c r="X292" s="705" t="n"/>
      <c r="Y292" s="705" t="n"/>
      <c r="Z292" s="705" t="n"/>
      <c r="AA292" s="705" t="n"/>
      <c r="AB292" s="705" t="n"/>
      <c r="AC292" s="705" t="n"/>
      <c r="AD292" s="705" t="n"/>
      <c r="AE292" s="705" t="n"/>
      <c r="AF292" s="705" t="n"/>
      <c r="AG292" s="705" t="n"/>
      <c r="AH292" s="705" t="n"/>
      <c r="AI292" s="705" t="n"/>
      <c r="AJ292" s="705" t="n"/>
      <c r="AK292" s="705" t="n"/>
      <c r="AL292" s="705" t="n"/>
      <c r="AM292" s="705" t="n"/>
      <c r="AN292" s="705" t="n"/>
      <c r="AO292" s="705" t="n"/>
      <c r="AP292" s="705" t="n"/>
      <c r="AQ292" s="705" t="n"/>
      <c r="AR292" s="705" t="n"/>
      <c r="AS292" s="705" t="n"/>
      <c r="AT292" s="705" t="n"/>
      <c r="AU292" s="705" t="n"/>
      <c r="AV292" s="705" t="n"/>
      <c r="AW292" s="705" t="n"/>
      <c r="AX292" s="705" t="n"/>
      <c r="AY292" s="705" t="n"/>
      <c r="AZ292" s="705" t="n"/>
      <c r="BA292" s="705" t="n"/>
      <c r="BB292" s="705" t="n"/>
      <c r="BC292" s="705" t="n"/>
      <c r="BD292" s="705" t="n"/>
      <c r="BE292" s="705" t="n"/>
      <c r="BF292" s="705" t="n"/>
      <c r="BG292" s="705" t="n"/>
      <c r="BH292" s="705" t="n"/>
      <c r="BI292" s="705" t="n"/>
      <c r="BJ292" s="705" t="n"/>
      <c r="BK292" s="705" t="n"/>
      <c r="BL292" s="705" t="n"/>
      <c r="BM292" s="705" t="n"/>
    </row>
    <row r="293" ht="15" customFormat="1" customHeight="1" s="20">
      <c r="A293" s="722" t="n"/>
      <c r="B293" s="721" t="n"/>
      <c r="C293" s="961" t="n"/>
      <c r="D293" s="721" t="n"/>
      <c r="E293" s="961" t="n"/>
      <c r="F293" s="721" t="n"/>
      <c r="G293" s="961" t="n"/>
      <c r="H293" s="721" t="n"/>
      <c r="I293" s="962" t="n"/>
      <c r="J293" s="718" t="n"/>
      <c r="K293" s="961" t="n"/>
      <c r="L293" s="721" t="n"/>
      <c r="M293" s="961" t="n"/>
      <c r="N293" s="721" t="n"/>
      <c r="O293" s="961" t="n"/>
      <c r="P293" s="721" t="n"/>
      <c r="Q293" s="962" t="n"/>
      <c r="R293" s="718" t="n"/>
      <c r="S293" s="961" t="n"/>
      <c r="T293" s="721" t="n"/>
      <c r="U293" s="961" t="n"/>
      <c r="V293" s="721" t="n"/>
      <c r="W293" s="961" t="n"/>
      <c r="X293" s="721" t="n"/>
      <c r="Y293" s="962" t="n"/>
      <c r="Z293" s="718" t="n"/>
      <c r="AA293" s="961" t="n"/>
      <c r="AB293" s="721" t="n"/>
      <c r="AC293" s="961" t="n"/>
      <c r="AD293" s="721" t="n"/>
      <c r="AE293" s="961" t="n"/>
      <c r="AF293" s="721" t="n"/>
      <c r="AG293" s="962" t="n"/>
      <c r="AH293" s="718" t="n"/>
      <c r="AI293" s="961" t="n"/>
      <c r="AJ293" s="721" t="n"/>
      <c r="AK293" s="961" t="n"/>
      <c r="AL293" s="721" t="n"/>
      <c r="AM293" s="961" t="n"/>
      <c r="AN293" s="721" t="n"/>
      <c r="AO293" s="962" t="n"/>
      <c r="AP293" s="718" t="n"/>
      <c r="AQ293" s="961" t="n"/>
      <c r="AR293" s="721" t="n"/>
      <c r="AS293" s="961" t="n"/>
      <c r="AT293" s="721" t="n"/>
      <c r="AU293" s="961" t="n"/>
      <c r="AV293" s="721" t="n"/>
      <c r="AW293" s="962" t="n"/>
      <c r="AX293" s="718" t="n"/>
      <c r="AY293" s="961" t="n"/>
      <c r="AZ293" s="721" t="n"/>
      <c r="BA293" s="961" t="n"/>
      <c r="BB293" s="721" t="n"/>
      <c r="BC293" s="961" t="n"/>
      <c r="BD293" s="721" t="n"/>
      <c r="BE293" s="962" t="n"/>
      <c r="BF293" s="718" t="n"/>
      <c r="BG293" s="961" t="n"/>
      <c r="BH293" s="717" t="n"/>
      <c r="BI293" s="963" t="n"/>
      <c r="BJ293" s="721" t="n"/>
      <c r="BK293" s="961" t="n"/>
      <c r="BL293" s="721" t="n"/>
      <c r="BM293" s="962" t="n"/>
    </row>
    <row r="294" ht="15" customFormat="1" customHeight="1" s="20">
      <c r="A294" s="722" t="n"/>
      <c r="B294" s="721" t="n"/>
      <c r="C294" s="961" t="n"/>
      <c r="D294" s="721" t="n"/>
      <c r="E294" s="961" t="n"/>
      <c r="F294" s="721" t="n"/>
      <c r="G294" s="961" t="n"/>
      <c r="H294" s="721" t="n"/>
      <c r="I294" s="962" t="n"/>
      <c r="J294" s="718" t="n"/>
      <c r="K294" s="961" t="n"/>
      <c r="L294" s="721" t="n"/>
      <c r="M294" s="961" t="n"/>
      <c r="N294" s="721" t="n"/>
      <c r="O294" s="961" t="n"/>
      <c r="P294" s="721" t="n"/>
      <c r="Q294" s="962" t="n"/>
      <c r="R294" s="718" t="n"/>
      <c r="S294" s="961" t="n"/>
      <c r="T294" s="721" t="n"/>
      <c r="U294" s="961" t="n"/>
      <c r="V294" s="721" t="n"/>
      <c r="W294" s="961" t="n"/>
      <c r="X294" s="721" t="n"/>
      <c r="Y294" s="962" t="n"/>
      <c r="Z294" s="718" t="n"/>
      <c r="AA294" s="961" t="n"/>
      <c r="AB294" s="721" t="n"/>
      <c r="AC294" s="961" t="n"/>
      <c r="AD294" s="721" t="n"/>
      <c r="AE294" s="961" t="n"/>
      <c r="AF294" s="721" t="n"/>
      <c r="AG294" s="962" t="n"/>
      <c r="AH294" s="718" t="n"/>
      <c r="AI294" s="961" t="n"/>
      <c r="AJ294" s="721" t="n"/>
      <c r="AK294" s="961" t="n"/>
      <c r="AL294" s="721" t="n"/>
      <c r="AM294" s="961" t="n"/>
      <c r="AN294" s="721" t="n"/>
      <c r="AO294" s="962" t="n"/>
      <c r="AP294" s="718" t="n"/>
      <c r="AQ294" s="961" t="n"/>
      <c r="AR294" s="721" t="n"/>
      <c r="AS294" s="961" t="n"/>
      <c r="AT294" s="721" t="n"/>
      <c r="AU294" s="961" t="n"/>
      <c r="AV294" s="721" t="n"/>
      <c r="AW294" s="962" t="n"/>
      <c r="AX294" s="718" t="n"/>
      <c r="AY294" s="961" t="n"/>
      <c r="AZ294" s="721" t="n"/>
      <c r="BA294" s="961" t="n"/>
      <c r="BB294" s="721" t="n"/>
      <c r="BC294" s="961" t="n"/>
      <c r="BD294" s="721" t="n"/>
      <c r="BE294" s="962" t="n"/>
      <c r="BF294" s="718" t="n"/>
      <c r="BG294" s="961" t="n"/>
      <c r="BH294" s="717" t="n"/>
      <c r="BI294" s="963" t="n"/>
      <c r="BJ294" s="721" t="n"/>
      <c r="BK294" s="961" t="n"/>
      <c r="BL294" s="721" t="n"/>
      <c r="BM294" s="962" t="n"/>
    </row>
    <row r="295" ht="15" customFormat="1" customHeight="1" s="20">
      <c r="A295" s="722" t="n"/>
      <c r="B295" s="721" t="n"/>
      <c r="C295" s="961" t="n"/>
      <c r="D295" s="721" t="n"/>
      <c r="E295" s="961" t="n"/>
      <c r="F295" s="721" t="n"/>
      <c r="G295" s="961" t="n"/>
      <c r="H295" s="721" t="n"/>
      <c r="I295" s="962" t="n"/>
      <c r="J295" s="718" t="n"/>
      <c r="K295" s="961" t="n"/>
      <c r="L295" s="721" t="n"/>
      <c r="M295" s="961" t="n"/>
      <c r="N295" s="721" t="n"/>
      <c r="O295" s="961" t="n"/>
      <c r="P295" s="721" t="n"/>
      <c r="Q295" s="962" t="n"/>
      <c r="R295" s="718" t="n"/>
      <c r="S295" s="961" t="n"/>
      <c r="T295" s="721" t="n"/>
      <c r="U295" s="961" t="n"/>
      <c r="V295" s="721" t="n"/>
      <c r="W295" s="961" t="n"/>
      <c r="X295" s="721" t="n"/>
      <c r="Y295" s="962" t="n"/>
      <c r="Z295" s="718" t="n"/>
      <c r="AA295" s="961" t="n"/>
      <c r="AB295" s="721" t="n"/>
      <c r="AC295" s="961" t="n"/>
      <c r="AD295" s="721" t="n"/>
      <c r="AE295" s="961" t="n"/>
      <c r="AF295" s="721" t="n"/>
      <c r="AG295" s="962" t="n"/>
      <c r="AH295" s="718" t="n"/>
      <c r="AI295" s="961" t="n"/>
      <c r="AJ295" s="721" t="n"/>
      <c r="AK295" s="961" t="n"/>
      <c r="AL295" s="721" t="n"/>
      <c r="AM295" s="961" t="n"/>
      <c r="AN295" s="721" t="n"/>
      <c r="AO295" s="962" t="n"/>
      <c r="AP295" s="718" t="n"/>
      <c r="AQ295" s="961" t="n"/>
      <c r="AR295" s="721" t="n"/>
      <c r="AS295" s="961" t="n"/>
      <c r="AT295" s="721" t="n"/>
      <c r="AU295" s="961" t="n"/>
      <c r="AV295" s="721" t="n"/>
      <c r="AW295" s="962" t="n"/>
      <c r="AX295" s="718" t="n"/>
      <c r="AY295" s="961" t="n"/>
      <c r="AZ295" s="721" t="n"/>
      <c r="BA295" s="961" t="n"/>
      <c r="BB295" s="721" t="n"/>
      <c r="BC295" s="961" t="n"/>
      <c r="BD295" s="721" t="n"/>
      <c r="BE295" s="962" t="n"/>
      <c r="BF295" s="718" t="n"/>
      <c r="BG295" s="961" t="n"/>
      <c r="BH295" s="717" t="n"/>
      <c r="BI295" s="963" t="n"/>
      <c r="BJ295" s="721" t="n"/>
      <c r="BK295" s="961" t="n"/>
      <c r="BL295" s="721" t="n"/>
      <c r="BM295" s="962" t="n"/>
    </row>
    <row r="296" ht="15" customFormat="1" customHeight="1" s="20">
      <c r="A296" s="722" t="n"/>
      <c r="B296" s="721" t="n"/>
      <c r="C296" s="961" t="n"/>
      <c r="D296" s="721" t="n"/>
      <c r="E296" s="961" t="n"/>
      <c r="F296" s="721" t="n"/>
      <c r="G296" s="961" t="n"/>
      <c r="H296" s="721" t="n"/>
      <c r="I296" s="962" t="n"/>
      <c r="J296" s="718" t="n"/>
      <c r="K296" s="961" t="n"/>
      <c r="L296" s="721" t="n"/>
      <c r="M296" s="961" t="n"/>
      <c r="N296" s="721" t="n"/>
      <c r="O296" s="961" t="n"/>
      <c r="P296" s="721" t="n"/>
      <c r="Q296" s="962" t="n"/>
      <c r="R296" s="718" t="n"/>
      <c r="S296" s="961" t="n"/>
      <c r="T296" s="721" t="n"/>
      <c r="U296" s="961" t="n"/>
      <c r="V296" s="721" t="n"/>
      <c r="W296" s="961" t="n"/>
      <c r="X296" s="721" t="n"/>
      <c r="Y296" s="962" t="n"/>
      <c r="Z296" s="718" t="n"/>
      <c r="AA296" s="961" t="n"/>
      <c r="AB296" s="721" t="n"/>
      <c r="AC296" s="961" t="n"/>
      <c r="AD296" s="721" t="n"/>
      <c r="AE296" s="961" t="n"/>
      <c r="AF296" s="721" t="n"/>
      <c r="AG296" s="962" t="n"/>
      <c r="AH296" s="718" t="n"/>
      <c r="AI296" s="961" t="n"/>
      <c r="AJ296" s="721" t="n"/>
      <c r="AK296" s="961" t="n"/>
      <c r="AL296" s="721" t="n"/>
      <c r="AM296" s="961" t="n"/>
      <c r="AN296" s="721" t="n"/>
      <c r="AO296" s="962" t="n"/>
      <c r="AP296" s="718" t="n"/>
      <c r="AQ296" s="961" t="n"/>
      <c r="AR296" s="721" t="n"/>
      <c r="AS296" s="961" t="n"/>
      <c r="AT296" s="721" t="n"/>
      <c r="AU296" s="961" t="n"/>
      <c r="AV296" s="721" t="n"/>
      <c r="AW296" s="962" t="n"/>
      <c r="AX296" s="718" t="n"/>
      <c r="AY296" s="961" t="n"/>
      <c r="AZ296" s="721" t="n"/>
      <c r="BA296" s="961" t="n"/>
      <c r="BB296" s="721" t="n"/>
      <c r="BC296" s="961" t="n"/>
      <c r="BD296" s="721" t="n"/>
      <c r="BE296" s="962" t="n"/>
      <c r="BF296" s="718" t="n"/>
      <c r="BG296" s="961" t="n"/>
      <c r="BH296" s="717" t="n"/>
      <c r="BI296" s="963" t="n"/>
      <c r="BJ296" s="721" t="n"/>
      <c r="BK296" s="961" t="n"/>
      <c r="BL296" s="721" t="n"/>
      <c r="BM296" s="962" t="n"/>
    </row>
    <row r="297" ht="15" customFormat="1" customHeight="1" s="20">
      <c r="A297" s="722" t="n"/>
      <c r="B297" s="721" t="n"/>
      <c r="C297" s="961" t="n"/>
      <c r="D297" s="721" t="n"/>
      <c r="E297" s="961" t="n"/>
      <c r="F297" s="721" t="n"/>
      <c r="G297" s="961" t="n"/>
      <c r="H297" s="721" t="n"/>
      <c r="I297" s="962" t="n"/>
      <c r="J297" s="718" t="n"/>
      <c r="K297" s="961" t="n"/>
      <c r="L297" s="721" t="n"/>
      <c r="M297" s="961" t="n"/>
      <c r="N297" s="721" t="n"/>
      <c r="O297" s="961" t="n"/>
      <c r="P297" s="721" t="n"/>
      <c r="Q297" s="962" t="n"/>
      <c r="R297" s="718" t="n"/>
      <c r="S297" s="961" t="n"/>
      <c r="T297" s="721" t="n"/>
      <c r="U297" s="961" t="n"/>
      <c r="V297" s="721" t="n"/>
      <c r="W297" s="961" t="n"/>
      <c r="X297" s="721" t="n"/>
      <c r="Y297" s="962" t="n"/>
      <c r="Z297" s="718" t="n"/>
      <c r="AA297" s="961" t="n"/>
      <c r="AB297" s="721" t="n"/>
      <c r="AC297" s="961" t="n"/>
      <c r="AD297" s="721" t="n"/>
      <c r="AE297" s="961" t="n"/>
      <c r="AF297" s="721" t="n"/>
      <c r="AG297" s="962" t="n"/>
      <c r="AH297" s="718" t="n"/>
      <c r="AI297" s="961" t="n"/>
      <c r="AJ297" s="721" t="n"/>
      <c r="AK297" s="961" t="n"/>
      <c r="AL297" s="721" t="n"/>
      <c r="AM297" s="961" t="n"/>
      <c r="AN297" s="721" t="n"/>
      <c r="AO297" s="962" t="n"/>
      <c r="AP297" s="718" t="n"/>
      <c r="AQ297" s="961" t="n"/>
      <c r="AR297" s="721" t="n"/>
      <c r="AS297" s="961" t="n"/>
      <c r="AT297" s="721" t="n"/>
      <c r="AU297" s="961" t="n"/>
      <c r="AV297" s="721" t="n"/>
      <c r="AW297" s="962" t="n"/>
      <c r="AX297" s="718" t="n"/>
      <c r="AY297" s="961" t="n"/>
      <c r="AZ297" s="721" t="n"/>
      <c r="BA297" s="961" t="n"/>
      <c r="BB297" s="721" t="n"/>
      <c r="BC297" s="961" t="n"/>
      <c r="BD297" s="721" t="n"/>
      <c r="BE297" s="962" t="n"/>
      <c r="BF297" s="718" t="n"/>
      <c r="BG297" s="961" t="n"/>
      <c r="BH297" s="717" t="n"/>
      <c r="BI297" s="963" t="n"/>
      <c r="BJ297" s="721" t="n"/>
      <c r="BK297" s="961" t="n"/>
      <c r="BL297" s="721" t="n"/>
      <c r="BM297" s="962" t="n"/>
    </row>
    <row r="298" ht="15" customFormat="1" customHeight="1" s="20">
      <c r="A298" s="722" t="n"/>
      <c r="B298" s="721" t="n"/>
      <c r="C298" s="961" t="n"/>
      <c r="D298" s="721" t="n"/>
      <c r="E298" s="961" t="n"/>
      <c r="F298" s="721" t="n"/>
      <c r="G298" s="961" t="n"/>
      <c r="H298" s="721" t="n"/>
      <c r="I298" s="962" t="n"/>
      <c r="J298" s="718" t="n"/>
      <c r="K298" s="961" t="n"/>
      <c r="L298" s="721" t="n"/>
      <c r="M298" s="961" t="n"/>
      <c r="N298" s="721" t="n"/>
      <c r="O298" s="961" t="n"/>
      <c r="P298" s="721" t="n"/>
      <c r="Q298" s="962" t="n"/>
      <c r="R298" s="718" t="n"/>
      <c r="S298" s="961" t="n"/>
      <c r="T298" s="721" t="n"/>
      <c r="U298" s="961" t="n"/>
      <c r="V298" s="721" t="n"/>
      <c r="W298" s="961" t="n"/>
      <c r="X298" s="721" t="n"/>
      <c r="Y298" s="962" t="n"/>
      <c r="Z298" s="718" t="n"/>
      <c r="AA298" s="961" t="n"/>
      <c r="AB298" s="721" t="n"/>
      <c r="AC298" s="961" t="n"/>
      <c r="AD298" s="721" t="n"/>
      <c r="AE298" s="961" t="n"/>
      <c r="AF298" s="721" t="n"/>
      <c r="AG298" s="962" t="n"/>
      <c r="AH298" s="718" t="n"/>
      <c r="AI298" s="961" t="n"/>
      <c r="AJ298" s="721" t="n"/>
      <c r="AK298" s="961" t="n"/>
      <c r="AL298" s="721" t="n"/>
      <c r="AM298" s="961" t="n"/>
      <c r="AN298" s="721" t="n"/>
      <c r="AO298" s="962" t="n"/>
      <c r="AP298" s="718" t="n"/>
      <c r="AQ298" s="961" t="n"/>
      <c r="AR298" s="721" t="n"/>
      <c r="AS298" s="961" t="n"/>
      <c r="AT298" s="721" t="n"/>
      <c r="AU298" s="961" t="n"/>
      <c r="AV298" s="721" t="n"/>
      <c r="AW298" s="962" t="n"/>
      <c r="AX298" s="718" t="n"/>
      <c r="AY298" s="961" t="n"/>
      <c r="AZ298" s="721" t="n"/>
      <c r="BA298" s="961" t="n"/>
      <c r="BB298" s="721" t="n"/>
      <c r="BC298" s="961" t="n"/>
      <c r="BD298" s="721" t="n"/>
      <c r="BE298" s="962" t="n"/>
      <c r="BF298" s="718" t="n"/>
      <c r="BG298" s="961" t="n"/>
      <c r="BH298" s="717" t="n"/>
      <c r="BI298" s="963" t="n"/>
      <c r="BJ298" s="721" t="n"/>
      <c r="BK298" s="961" t="n"/>
      <c r="BL298" s="721" t="n"/>
      <c r="BM298" s="962" t="n"/>
    </row>
    <row r="299" ht="15" customFormat="1" customHeight="1" s="20">
      <c r="A299" s="722" t="n"/>
      <c r="B299" s="721" t="n"/>
      <c r="C299" s="961" t="n"/>
      <c r="D299" s="721" t="n"/>
      <c r="E299" s="961" t="n"/>
      <c r="F299" s="721" t="n"/>
      <c r="G299" s="961" t="n"/>
      <c r="H299" s="721" t="n"/>
      <c r="I299" s="962" t="n"/>
      <c r="J299" s="718" t="n"/>
      <c r="K299" s="961" t="n"/>
      <c r="L299" s="721" t="n"/>
      <c r="M299" s="961" t="n"/>
      <c r="N299" s="721" t="n"/>
      <c r="O299" s="961" t="n"/>
      <c r="P299" s="721" t="n"/>
      <c r="Q299" s="962" t="n"/>
      <c r="R299" s="718" t="n"/>
      <c r="S299" s="961" t="n"/>
      <c r="T299" s="721" t="n"/>
      <c r="U299" s="961" t="n"/>
      <c r="V299" s="721" t="n"/>
      <c r="W299" s="961" t="n"/>
      <c r="X299" s="721" t="n"/>
      <c r="Y299" s="962" t="n"/>
      <c r="Z299" s="718" t="n"/>
      <c r="AA299" s="961" t="n"/>
      <c r="AB299" s="721" t="n"/>
      <c r="AC299" s="961" t="n"/>
      <c r="AD299" s="721" t="n"/>
      <c r="AE299" s="961" t="n"/>
      <c r="AF299" s="721" t="n"/>
      <c r="AG299" s="962" t="n"/>
      <c r="AH299" s="718" t="n"/>
      <c r="AI299" s="961" t="n"/>
      <c r="AJ299" s="721" t="n"/>
      <c r="AK299" s="961" t="n"/>
      <c r="AL299" s="721" t="n"/>
      <c r="AM299" s="961" t="n"/>
      <c r="AN299" s="721" t="n"/>
      <c r="AO299" s="962" t="n"/>
      <c r="AP299" s="718" t="n"/>
      <c r="AQ299" s="961" t="n"/>
      <c r="AR299" s="721" t="n"/>
      <c r="AS299" s="961" t="n"/>
      <c r="AT299" s="721" t="n"/>
      <c r="AU299" s="961" t="n"/>
      <c r="AV299" s="721" t="n"/>
      <c r="AW299" s="962" t="n"/>
      <c r="AX299" s="718" t="n"/>
      <c r="AY299" s="961" t="n"/>
      <c r="AZ299" s="721" t="n"/>
      <c r="BA299" s="961" t="n"/>
      <c r="BB299" s="721" t="n"/>
      <c r="BC299" s="961" t="n"/>
      <c r="BD299" s="721" t="n"/>
      <c r="BE299" s="962" t="n"/>
      <c r="BF299" s="718" t="n"/>
      <c r="BG299" s="961" t="n"/>
      <c r="BH299" s="717" t="n"/>
      <c r="BI299" s="963" t="n"/>
      <c r="BJ299" s="721" t="n"/>
      <c r="BK299" s="961" t="n"/>
      <c r="BL299" s="721" t="n"/>
      <c r="BM299" s="962" t="n"/>
    </row>
    <row r="300" ht="15" customFormat="1" customHeight="1" s="20">
      <c r="A300" s="722" t="n"/>
      <c r="B300" s="721" t="n"/>
      <c r="C300" s="961" t="n"/>
      <c r="D300" s="721" t="n"/>
      <c r="E300" s="961" t="n"/>
      <c r="F300" s="721" t="n"/>
      <c r="G300" s="961" t="n"/>
      <c r="H300" s="721" t="n"/>
      <c r="I300" s="962" t="n"/>
      <c r="J300" s="718" t="n"/>
      <c r="K300" s="961" t="n"/>
      <c r="L300" s="721" t="n"/>
      <c r="M300" s="961" t="n"/>
      <c r="N300" s="721" t="n"/>
      <c r="O300" s="961" t="n"/>
      <c r="P300" s="721" t="n"/>
      <c r="Q300" s="962" t="n"/>
      <c r="R300" s="718" t="n"/>
      <c r="S300" s="961" t="n"/>
      <c r="T300" s="721" t="n"/>
      <c r="U300" s="961" t="n"/>
      <c r="V300" s="721" t="n"/>
      <c r="W300" s="961" t="n"/>
      <c r="X300" s="721" t="n"/>
      <c r="Y300" s="962" t="n"/>
      <c r="Z300" s="718" t="n"/>
      <c r="AA300" s="961" t="n"/>
      <c r="AB300" s="721" t="n"/>
      <c r="AC300" s="961" t="n"/>
      <c r="AD300" s="721" t="n"/>
      <c r="AE300" s="961" t="n"/>
      <c r="AF300" s="721" t="n"/>
      <c r="AG300" s="962" t="n"/>
      <c r="AH300" s="718" t="n"/>
      <c r="AI300" s="961" t="n"/>
      <c r="AJ300" s="721" t="n"/>
      <c r="AK300" s="961" t="n"/>
      <c r="AL300" s="721" t="n"/>
      <c r="AM300" s="961" t="n"/>
      <c r="AN300" s="721" t="n"/>
      <c r="AO300" s="962" t="n"/>
      <c r="AP300" s="718" t="n"/>
      <c r="AQ300" s="961" t="n"/>
      <c r="AR300" s="721" t="n"/>
      <c r="AS300" s="961" t="n"/>
      <c r="AT300" s="721" t="n"/>
      <c r="AU300" s="961" t="n"/>
      <c r="AV300" s="721" t="n"/>
      <c r="AW300" s="962" t="n"/>
      <c r="AX300" s="718" t="n"/>
      <c r="AY300" s="961" t="n"/>
      <c r="AZ300" s="721" t="n"/>
      <c r="BA300" s="961" t="n"/>
      <c r="BB300" s="721" t="n"/>
      <c r="BC300" s="961" t="n"/>
      <c r="BD300" s="721" t="n"/>
      <c r="BE300" s="962" t="n"/>
      <c r="BF300" s="718" t="n"/>
      <c r="BG300" s="961" t="n"/>
      <c r="BH300" s="717" t="n"/>
      <c r="BI300" s="963" t="n"/>
      <c r="BJ300" s="721" t="n"/>
      <c r="BK300" s="961" t="n"/>
      <c r="BL300" s="721" t="n"/>
      <c r="BM300" s="962" t="n"/>
    </row>
    <row r="301" ht="15" customFormat="1" customHeight="1" s="23">
      <c r="A301" s="721" t="n"/>
      <c r="B301" s="721" t="n"/>
      <c r="C301" s="961" t="n"/>
      <c r="D301" s="721" t="n"/>
      <c r="E301" s="961" t="n"/>
      <c r="F301" s="721" t="n"/>
      <c r="G301" s="961" t="n"/>
      <c r="H301" s="721" t="n"/>
      <c r="I301" s="962" t="n"/>
      <c r="J301" s="718" t="n"/>
      <c r="K301" s="961" t="n"/>
      <c r="L301" s="721" t="n"/>
      <c r="M301" s="961" t="n"/>
      <c r="N301" s="721" t="n"/>
      <c r="O301" s="961" t="n"/>
      <c r="P301" s="721" t="n"/>
      <c r="Q301" s="962" t="n"/>
      <c r="R301" s="718" t="n"/>
      <c r="S301" s="961" t="n"/>
      <c r="T301" s="721" t="n"/>
      <c r="U301" s="961" t="n"/>
      <c r="V301" s="721" t="n"/>
      <c r="W301" s="961" t="n"/>
      <c r="X301" s="721" t="n"/>
      <c r="Y301" s="962" t="n"/>
      <c r="Z301" s="718" t="n"/>
      <c r="AA301" s="961" t="n"/>
      <c r="AB301" s="721" t="n"/>
      <c r="AC301" s="961" t="n"/>
      <c r="AD301" s="721" t="n"/>
      <c r="AE301" s="961" t="n"/>
      <c r="AF301" s="721" t="n"/>
      <c r="AG301" s="962" t="n"/>
      <c r="AH301" s="718" t="n"/>
      <c r="AI301" s="961" t="n"/>
      <c r="AJ301" s="721" t="n"/>
      <c r="AK301" s="961" t="n"/>
      <c r="AL301" s="721" t="n"/>
      <c r="AM301" s="961" t="n"/>
      <c r="AN301" s="721" t="n"/>
      <c r="AO301" s="962" t="n"/>
      <c r="AP301" s="718" t="n"/>
      <c r="AQ301" s="961" t="n"/>
      <c r="AR301" s="721" t="n"/>
      <c r="AS301" s="961" t="n"/>
      <c r="AT301" s="721" t="n"/>
      <c r="AU301" s="961" t="n"/>
      <c r="AV301" s="721" t="n"/>
      <c r="AW301" s="962" t="n"/>
      <c r="AX301" s="718" t="n"/>
      <c r="AY301" s="961" t="n"/>
      <c r="AZ301" s="721" t="n"/>
      <c r="BA301" s="961" t="n"/>
      <c r="BB301" s="721" t="n"/>
      <c r="BC301" s="961" t="n"/>
      <c r="BD301" s="721" t="n"/>
      <c r="BE301" s="962" t="n"/>
      <c r="BF301" s="718" t="n"/>
      <c r="BG301" s="961" t="n"/>
      <c r="BH301" s="717" t="n"/>
      <c r="BI301" s="963" t="n"/>
      <c r="BJ301" s="721" t="n"/>
      <c r="BK301" s="961" t="n"/>
      <c r="BL301" s="721" t="n"/>
      <c r="BM301" s="962" t="n"/>
    </row>
    <row r="302" ht="15" customFormat="1" customHeight="1" s="23">
      <c r="A302" s="721" t="n"/>
      <c r="B302" s="721" t="n"/>
      <c r="C302" s="961" t="n"/>
      <c r="D302" s="721" t="n"/>
      <c r="E302" s="961" t="n"/>
      <c r="F302" s="721" t="n"/>
      <c r="G302" s="961" t="n"/>
      <c r="H302" s="721" t="n"/>
      <c r="I302" s="962" t="n"/>
      <c r="J302" s="718" t="n"/>
      <c r="K302" s="961" t="n"/>
      <c r="L302" s="721" t="n"/>
      <c r="M302" s="961" t="n"/>
      <c r="N302" s="721" t="n"/>
      <c r="O302" s="961" t="n"/>
      <c r="P302" s="721" t="n"/>
      <c r="Q302" s="962" t="n"/>
      <c r="R302" s="718" t="n"/>
      <c r="S302" s="961" t="n"/>
      <c r="T302" s="721" t="n"/>
      <c r="U302" s="961" t="n"/>
      <c r="V302" s="721" t="n"/>
      <c r="W302" s="961" t="n"/>
      <c r="X302" s="721" t="n"/>
      <c r="Y302" s="962" t="n"/>
      <c r="Z302" s="718" t="n"/>
      <c r="AA302" s="961" t="n"/>
      <c r="AB302" s="721" t="n"/>
      <c r="AC302" s="961" t="n"/>
      <c r="AD302" s="721" t="n"/>
      <c r="AE302" s="961" t="n"/>
      <c r="AF302" s="721" t="n"/>
      <c r="AG302" s="962" t="n"/>
      <c r="AH302" s="718" t="n"/>
      <c r="AI302" s="961" t="n"/>
      <c r="AJ302" s="721" t="n"/>
      <c r="AK302" s="961" t="n"/>
      <c r="AL302" s="721" t="n"/>
      <c r="AM302" s="961" t="n"/>
      <c r="AN302" s="721" t="n"/>
      <c r="AO302" s="962" t="n"/>
      <c r="AP302" s="718" t="n"/>
      <c r="AQ302" s="961" t="n"/>
      <c r="AR302" s="721" t="n"/>
      <c r="AS302" s="961" t="n"/>
      <c r="AT302" s="721" t="n"/>
      <c r="AU302" s="961" t="n"/>
      <c r="AV302" s="721" t="n"/>
      <c r="AW302" s="962" t="n"/>
      <c r="AX302" s="718" t="n"/>
      <c r="AY302" s="961" t="n"/>
      <c r="AZ302" s="721" t="n"/>
      <c r="BA302" s="961" t="n"/>
      <c r="BB302" s="721" t="n"/>
      <c r="BC302" s="961" t="n"/>
      <c r="BD302" s="721" t="n"/>
      <c r="BE302" s="962" t="n"/>
      <c r="BF302" s="718" t="n"/>
      <c r="BG302" s="961" t="n"/>
      <c r="BH302" s="717" t="n"/>
      <c r="BI302" s="963" t="n"/>
      <c r="BJ302" s="721" t="n"/>
      <c r="BK302" s="961" t="n"/>
      <c r="BL302" s="721" t="n"/>
      <c r="BM302" s="962" t="n"/>
    </row>
    <row r="303" ht="15" customFormat="1" customHeight="1" s="23">
      <c r="A303" s="721" t="n"/>
      <c r="B303" s="721" t="n"/>
      <c r="C303" s="961" t="n"/>
      <c r="D303" s="721" t="n"/>
      <c r="E303" s="788" t="n"/>
      <c r="F303" s="721" t="n"/>
      <c r="G303" s="961" t="n"/>
      <c r="H303" s="721" t="n"/>
      <c r="I303" s="962" t="n"/>
      <c r="J303" s="718" t="n"/>
      <c r="K303" s="961" t="n"/>
      <c r="L303" s="721" t="n"/>
      <c r="M303" s="961" t="n"/>
      <c r="N303" s="721" t="n"/>
      <c r="O303" s="961" t="n"/>
      <c r="P303" s="721" t="n"/>
      <c r="Q303" s="962" t="n"/>
      <c r="R303" s="718" t="n"/>
      <c r="S303" s="961" t="n"/>
      <c r="T303" s="721" t="n"/>
      <c r="U303" s="961" t="n"/>
      <c r="V303" s="721" t="n"/>
      <c r="W303" s="961" t="n"/>
      <c r="X303" s="721" t="n"/>
      <c r="Y303" s="962" t="n"/>
      <c r="Z303" s="718" t="n"/>
      <c r="AA303" s="961" t="n"/>
      <c r="AB303" s="721" t="n"/>
      <c r="AC303" s="961" t="n"/>
      <c r="AD303" s="721" t="n"/>
      <c r="AE303" s="961" t="n"/>
      <c r="AF303" s="721" t="n"/>
      <c r="AG303" s="962" t="n"/>
      <c r="AH303" s="718" t="n"/>
      <c r="AI303" s="961" t="n"/>
      <c r="AJ303" s="721" t="n"/>
      <c r="AK303" s="961" t="n"/>
      <c r="AL303" s="721" t="n"/>
      <c r="AM303" s="961" t="n"/>
      <c r="AN303" s="721" t="n"/>
      <c r="AO303" s="962" t="n"/>
      <c r="AP303" s="718" t="n"/>
      <c r="AQ303" s="961" t="n"/>
      <c r="AR303" s="721" t="n"/>
      <c r="AS303" s="961" t="n"/>
      <c r="AT303" s="721" t="n"/>
      <c r="AU303" s="961" t="n"/>
      <c r="AV303" s="721" t="n"/>
      <c r="AW303" s="962" t="n"/>
      <c r="AX303" s="718" t="n"/>
      <c r="AY303" s="961" t="n"/>
      <c r="AZ303" s="721" t="n"/>
      <c r="BA303" s="961" t="n"/>
      <c r="BB303" s="721" t="n"/>
      <c r="BC303" s="961" t="n"/>
      <c r="BD303" s="721" t="n"/>
      <c r="BE303" s="962" t="n"/>
      <c r="BF303" s="718" t="n"/>
      <c r="BG303" s="961" t="n"/>
      <c r="BH303" s="717" t="n"/>
      <c r="BI303" s="963" t="n"/>
      <c r="BJ303" s="721" t="n"/>
      <c r="BK303" s="961" t="n"/>
      <c r="BL303" s="721" t="n"/>
      <c r="BM303" s="962" t="n"/>
    </row>
    <row r="304" ht="15" customFormat="1" customHeight="1" s="23">
      <c r="A304" s="721" t="n"/>
      <c r="B304" s="721" t="n"/>
      <c r="C304" s="961" t="n"/>
      <c r="D304" s="721" t="n"/>
      <c r="E304" s="788" t="n"/>
      <c r="F304" s="721" t="n"/>
      <c r="G304" s="961" t="n"/>
      <c r="H304" s="721" t="n"/>
      <c r="I304" s="962" t="n"/>
      <c r="J304" s="718" t="n"/>
      <c r="K304" s="961" t="n"/>
      <c r="L304" s="721" t="n"/>
      <c r="M304" s="961" t="n"/>
      <c r="N304" s="721" t="n"/>
      <c r="O304" s="961" t="n"/>
      <c r="P304" s="721" t="n"/>
      <c r="Q304" s="962" t="n"/>
      <c r="R304" s="718" t="n"/>
      <c r="S304" s="961" t="n"/>
      <c r="T304" s="721" t="n"/>
      <c r="U304" s="961" t="n"/>
      <c r="V304" s="721" t="n"/>
      <c r="W304" s="961" t="n"/>
      <c r="X304" s="721" t="n"/>
      <c r="Y304" s="962" t="n"/>
      <c r="Z304" s="718" t="n"/>
      <c r="AA304" s="961" t="n"/>
      <c r="AB304" s="721" t="n"/>
      <c r="AC304" s="961" t="n"/>
      <c r="AD304" s="721" t="n"/>
      <c r="AE304" s="961" t="n"/>
      <c r="AF304" s="721" t="n"/>
      <c r="AG304" s="962" t="n"/>
      <c r="AH304" s="718" t="n"/>
      <c r="AI304" s="961" t="n"/>
      <c r="AJ304" s="721" t="n"/>
      <c r="AK304" s="961" t="n"/>
      <c r="AL304" s="721" t="n"/>
      <c r="AM304" s="961" t="n"/>
      <c r="AN304" s="721" t="n"/>
      <c r="AO304" s="962" t="n"/>
      <c r="AP304" s="718" t="n"/>
      <c r="AQ304" s="961" t="n"/>
      <c r="AR304" s="721" t="n"/>
      <c r="AS304" s="961" t="n"/>
      <c r="AT304" s="721" t="n"/>
      <c r="AU304" s="961" t="n"/>
      <c r="AV304" s="721" t="n"/>
      <c r="AW304" s="962" t="n"/>
      <c r="AX304" s="718" t="n"/>
      <c r="AY304" s="961" t="n"/>
      <c r="AZ304" s="721" t="n"/>
      <c r="BA304" s="961" t="n"/>
      <c r="BB304" s="721" t="n"/>
      <c r="BC304" s="961" t="n"/>
      <c r="BD304" s="721" t="n"/>
      <c r="BE304" s="962" t="n"/>
      <c r="BF304" s="718" t="n"/>
      <c r="BG304" s="961" t="n"/>
      <c r="BH304" s="717" t="n"/>
      <c r="BI304" s="963" t="n"/>
      <c r="BJ304" s="721" t="n"/>
      <c r="BK304" s="961" t="n"/>
      <c r="BL304" s="721" t="n"/>
      <c r="BM304" s="962" t="n"/>
    </row>
    <row r="305" ht="15" customFormat="1" customHeight="1" s="23">
      <c r="A305" s="721" t="n"/>
      <c r="B305" s="721" t="n"/>
      <c r="C305" s="961" t="n"/>
      <c r="D305" s="721" t="n"/>
      <c r="E305" s="961" t="n"/>
      <c r="F305" s="721" t="n"/>
      <c r="G305" s="961" t="n"/>
      <c r="H305" s="721" t="n"/>
      <c r="I305" s="962" t="n"/>
      <c r="J305" s="718" t="n"/>
      <c r="K305" s="961" t="n"/>
      <c r="L305" s="721" t="n"/>
      <c r="M305" s="961" t="n"/>
      <c r="N305" s="721" t="n"/>
      <c r="O305" s="961" t="n"/>
      <c r="P305" s="721" t="n"/>
      <c r="Q305" s="962" t="n"/>
      <c r="R305" s="718" t="n"/>
      <c r="S305" s="961" t="n"/>
      <c r="T305" s="721" t="n"/>
      <c r="U305" s="961" t="n"/>
      <c r="V305" s="721" t="n"/>
      <c r="W305" s="961" t="n"/>
      <c r="X305" s="721" t="n"/>
      <c r="Y305" s="962" t="n"/>
      <c r="Z305" s="718" t="n"/>
      <c r="AA305" s="961" t="n"/>
      <c r="AB305" s="721" t="n"/>
      <c r="AC305" s="961" t="n"/>
      <c r="AD305" s="721" t="n"/>
      <c r="AE305" s="961" t="n"/>
      <c r="AF305" s="721" t="n"/>
      <c r="AG305" s="962" t="n"/>
      <c r="AH305" s="718" t="n"/>
      <c r="AI305" s="961" t="n"/>
      <c r="AJ305" s="721" t="n"/>
      <c r="AK305" s="961" t="n"/>
      <c r="AL305" s="721" t="n"/>
      <c r="AM305" s="961" t="n"/>
      <c r="AN305" s="721" t="n"/>
      <c r="AO305" s="962" t="n"/>
      <c r="AP305" s="718" t="n"/>
      <c r="AQ305" s="961" t="n"/>
      <c r="AR305" s="721" t="n"/>
      <c r="AS305" s="961" t="n"/>
      <c r="AT305" s="721" t="n"/>
      <c r="AU305" s="961" t="n"/>
      <c r="AV305" s="721" t="n"/>
      <c r="AW305" s="962" t="n"/>
      <c r="AX305" s="718" t="n"/>
      <c r="AY305" s="961" t="n"/>
      <c r="AZ305" s="721" t="n"/>
      <c r="BA305" s="961" t="n"/>
      <c r="BB305" s="721" t="n"/>
      <c r="BC305" s="961" t="n"/>
      <c r="BD305" s="721" t="n"/>
      <c r="BE305" s="962" t="n"/>
      <c r="BF305" s="718" t="n"/>
      <c r="BG305" s="961" t="n"/>
      <c r="BH305" s="717" t="n"/>
      <c r="BI305" s="963" t="n"/>
      <c r="BJ305" s="721" t="n"/>
      <c r="BK305" s="961" t="n"/>
      <c r="BL305" s="721" t="n"/>
      <c r="BM305" s="962" t="n"/>
    </row>
    <row r="306" ht="15" customFormat="1" customHeight="1" s="23">
      <c r="A306" s="721" t="n"/>
      <c r="B306" s="721" t="n"/>
      <c r="C306" s="961" t="n"/>
      <c r="D306" s="721" t="n"/>
      <c r="E306" s="961" t="n"/>
      <c r="F306" s="721" t="n"/>
      <c r="G306" s="961" t="n"/>
      <c r="H306" s="721" t="n"/>
      <c r="I306" s="962" t="n"/>
      <c r="J306" s="718" t="n"/>
      <c r="K306" s="961" t="n"/>
      <c r="L306" s="721" t="n"/>
      <c r="M306" s="961" t="n"/>
      <c r="N306" s="721" t="n"/>
      <c r="O306" s="961" t="n"/>
      <c r="P306" s="721" t="n"/>
      <c r="Q306" s="962" t="n"/>
      <c r="R306" s="718" t="n"/>
      <c r="S306" s="961" t="n"/>
      <c r="T306" s="721" t="n"/>
      <c r="U306" s="961" t="n"/>
      <c r="V306" s="721" t="n"/>
      <c r="W306" s="961" t="n"/>
      <c r="X306" s="721" t="n"/>
      <c r="Y306" s="962" t="n"/>
      <c r="Z306" s="718" t="n"/>
      <c r="AA306" s="961" t="n"/>
      <c r="AB306" s="721" t="n"/>
      <c r="AC306" s="961" t="n"/>
      <c r="AD306" s="721" t="n"/>
      <c r="AE306" s="961" t="n"/>
      <c r="AF306" s="721" t="n"/>
      <c r="AG306" s="962" t="n"/>
      <c r="AH306" s="718" t="n"/>
      <c r="AI306" s="961" t="n"/>
      <c r="AJ306" s="721" t="n"/>
      <c r="AK306" s="961" t="n"/>
      <c r="AL306" s="721" t="n"/>
      <c r="AM306" s="961" t="n"/>
      <c r="AN306" s="721" t="n"/>
      <c r="AO306" s="962" t="n"/>
      <c r="AP306" s="718" t="n"/>
      <c r="AQ306" s="961" t="n"/>
      <c r="AR306" s="721" t="n"/>
      <c r="AS306" s="961" t="n"/>
      <c r="AT306" s="721" t="n"/>
      <c r="AU306" s="961" t="n"/>
      <c r="AV306" s="721" t="n"/>
      <c r="AW306" s="962" t="n"/>
      <c r="AX306" s="718" t="n"/>
      <c r="AY306" s="961" t="n"/>
      <c r="AZ306" s="721" t="n"/>
      <c r="BA306" s="961" t="n"/>
      <c r="BB306" s="721" t="n"/>
      <c r="BC306" s="961" t="n"/>
      <c r="BD306" s="721" t="n"/>
      <c r="BE306" s="962" t="n"/>
      <c r="BF306" s="718" t="n"/>
      <c r="BG306" s="961" t="n"/>
      <c r="BH306" s="717" t="n"/>
      <c r="BI306" s="963" t="n"/>
      <c r="BJ306" s="721" t="n"/>
      <c r="BK306" s="961" t="n"/>
      <c r="BL306" s="721" t="n"/>
      <c r="BM306" s="962" t="n"/>
    </row>
    <row r="307" ht="15" customFormat="1" customHeight="1" s="23">
      <c r="A307" s="721" t="n"/>
      <c r="B307" s="721" t="n"/>
      <c r="C307" s="961" t="n"/>
      <c r="D307" s="721" t="n"/>
      <c r="E307" s="961" t="n"/>
      <c r="F307" s="721" t="n"/>
      <c r="G307" s="961" t="n"/>
      <c r="H307" s="721" t="n"/>
      <c r="I307" s="962" t="n"/>
      <c r="J307" s="718" t="n"/>
      <c r="K307" s="961" t="n"/>
      <c r="L307" s="721" t="n"/>
      <c r="M307" s="961" t="n"/>
      <c r="N307" s="721" t="n"/>
      <c r="O307" s="961" t="n"/>
      <c r="P307" s="721" t="n"/>
      <c r="Q307" s="962" t="n"/>
      <c r="R307" s="718" t="n"/>
      <c r="S307" s="961" t="n"/>
      <c r="T307" s="721" t="n"/>
      <c r="U307" s="961" t="n"/>
      <c r="V307" s="721" t="n"/>
      <c r="W307" s="961" t="n"/>
      <c r="X307" s="721" t="n"/>
      <c r="Y307" s="962" t="n"/>
      <c r="Z307" s="718" t="n"/>
      <c r="AA307" s="961" t="n"/>
      <c r="AB307" s="721" t="n"/>
      <c r="AC307" s="961" t="n"/>
      <c r="AD307" s="721" t="n"/>
      <c r="AE307" s="961" t="n"/>
      <c r="AF307" s="721" t="n"/>
      <c r="AG307" s="962" t="n"/>
      <c r="AH307" s="718" t="n"/>
      <c r="AI307" s="961" t="n"/>
      <c r="AJ307" s="721" t="n"/>
      <c r="AK307" s="961" t="n"/>
      <c r="AL307" s="721" t="n"/>
      <c r="AM307" s="961" t="n"/>
      <c r="AN307" s="721" t="n"/>
      <c r="AO307" s="962" t="n"/>
      <c r="AP307" s="718" t="n"/>
      <c r="AQ307" s="961" t="n"/>
      <c r="AR307" s="721" t="n"/>
      <c r="AS307" s="961" t="n"/>
      <c r="AT307" s="721" t="n"/>
      <c r="AU307" s="961" t="n"/>
      <c r="AV307" s="721" t="n"/>
      <c r="AW307" s="962" t="n"/>
      <c r="AX307" s="718" t="n"/>
      <c r="AY307" s="961" t="n"/>
      <c r="AZ307" s="721" t="n"/>
      <c r="BA307" s="961" t="n"/>
      <c r="BB307" s="721" t="n"/>
      <c r="BC307" s="961" t="n"/>
      <c r="BD307" s="721" t="n"/>
      <c r="BE307" s="962" t="n"/>
      <c r="BF307" s="718" t="n"/>
      <c r="BG307" s="961" t="n"/>
      <c r="BH307" s="717" t="n"/>
      <c r="BI307" s="963" t="n"/>
      <c r="BJ307" s="721" t="n"/>
      <c r="BK307" s="961" t="n"/>
      <c r="BL307" s="721" t="n"/>
      <c r="BM307" s="962" t="n"/>
    </row>
    <row r="308" ht="15" customFormat="1" customHeight="1" s="23">
      <c r="A308" s="721" t="n"/>
      <c r="B308" s="721" t="n"/>
      <c r="C308" s="961" t="n"/>
      <c r="D308" s="721" t="n"/>
      <c r="E308" s="961" t="n"/>
      <c r="F308" s="721" t="n"/>
      <c r="G308" s="961" t="n"/>
      <c r="H308" s="721" t="n"/>
      <c r="I308" s="962" t="n"/>
      <c r="J308" s="718" t="n"/>
      <c r="K308" s="961" t="n"/>
      <c r="L308" s="721" t="n"/>
      <c r="M308" s="961" t="n"/>
      <c r="N308" s="721" t="n"/>
      <c r="O308" s="961" t="n"/>
      <c r="P308" s="721" t="n"/>
      <c r="Q308" s="962" t="n"/>
      <c r="R308" s="718" t="n"/>
      <c r="S308" s="961" t="n"/>
      <c r="T308" s="721" t="n"/>
      <c r="U308" s="961" t="n"/>
      <c r="V308" s="721" t="n"/>
      <c r="W308" s="961" t="n"/>
      <c r="X308" s="721" t="n"/>
      <c r="Y308" s="962" t="n"/>
      <c r="Z308" s="718" t="n"/>
      <c r="AA308" s="961" t="n"/>
      <c r="AB308" s="721" t="n"/>
      <c r="AC308" s="961" t="n"/>
      <c r="AD308" s="721" t="n"/>
      <c r="AE308" s="961" t="n"/>
      <c r="AF308" s="721" t="n"/>
      <c r="AG308" s="962" t="n"/>
      <c r="AH308" s="718" t="n"/>
      <c r="AI308" s="961" t="n"/>
      <c r="AJ308" s="721" t="n"/>
      <c r="AK308" s="961" t="n"/>
      <c r="AL308" s="721" t="n"/>
      <c r="AM308" s="961" t="n"/>
      <c r="AN308" s="721" t="n"/>
      <c r="AO308" s="962" t="n"/>
      <c r="AP308" s="718" t="n"/>
      <c r="AQ308" s="961" t="n"/>
      <c r="AR308" s="721" t="n"/>
      <c r="AS308" s="961" t="n"/>
      <c r="AT308" s="721" t="n"/>
      <c r="AU308" s="961" t="n"/>
      <c r="AV308" s="721" t="n"/>
      <c r="AW308" s="962" t="n"/>
      <c r="AX308" s="718" t="n"/>
      <c r="AY308" s="961" t="n"/>
      <c r="AZ308" s="721" t="n"/>
      <c r="BA308" s="961" t="n"/>
      <c r="BB308" s="721" t="n"/>
      <c r="BC308" s="961" t="n"/>
      <c r="BD308" s="721" t="n"/>
      <c r="BE308" s="962" t="n"/>
      <c r="BF308" s="718" t="n"/>
      <c r="BG308" s="961" t="n"/>
      <c r="BH308" s="717" t="n"/>
      <c r="BI308" s="963" t="n"/>
      <c r="BJ308" s="721" t="n"/>
      <c r="BK308" s="961" t="n"/>
      <c r="BL308" s="721" t="n"/>
      <c r="BM308" s="962" t="n"/>
    </row>
    <row r="309" ht="15" customFormat="1" customHeight="1" s="23">
      <c r="A309" s="721" t="n"/>
      <c r="B309" s="721" t="n"/>
      <c r="C309" s="961" t="n"/>
      <c r="D309" s="721" t="n"/>
      <c r="E309" s="961" t="n"/>
      <c r="F309" s="721" t="n"/>
      <c r="G309" s="961" t="n"/>
      <c r="H309" s="721" t="n"/>
      <c r="I309" s="962" t="n"/>
      <c r="J309" s="718" t="n"/>
      <c r="K309" s="961" t="n"/>
      <c r="L309" s="721" t="n"/>
      <c r="M309" s="961" t="n"/>
      <c r="N309" s="721" t="n"/>
      <c r="O309" s="961" t="n"/>
      <c r="P309" s="721" t="n"/>
      <c r="Q309" s="962" t="n"/>
      <c r="R309" s="718" t="n"/>
      <c r="S309" s="961" t="n"/>
      <c r="T309" s="721" t="n"/>
      <c r="U309" s="961" t="n"/>
      <c r="V309" s="721" t="n"/>
      <c r="W309" s="961" t="n"/>
      <c r="X309" s="721" t="n"/>
      <c r="Y309" s="962" t="n"/>
      <c r="Z309" s="718" t="n"/>
      <c r="AA309" s="961" t="n"/>
      <c r="AB309" s="721" t="n"/>
      <c r="AC309" s="961" t="n"/>
      <c r="AD309" s="721" t="n"/>
      <c r="AE309" s="961" t="n"/>
      <c r="AF309" s="721" t="n"/>
      <c r="AG309" s="962" t="n"/>
      <c r="AH309" s="718" t="n"/>
      <c r="AI309" s="961" t="n"/>
      <c r="AJ309" s="721" t="n"/>
      <c r="AK309" s="961" t="n"/>
      <c r="AL309" s="721" t="n"/>
      <c r="AM309" s="961" t="n"/>
      <c r="AN309" s="721" t="n"/>
      <c r="AO309" s="962" t="n"/>
      <c r="AP309" s="718" t="n"/>
      <c r="AQ309" s="961" t="n"/>
      <c r="AR309" s="721" t="n"/>
      <c r="AS309" s="961" t="n"/>
      <c r="AT309" s="721" t="n"/>
      <c r="AU309" s="961" t="n"/>
      <c r="AV309" s="721" t="n"/>
      <c r="AW309" s="962" t="n"/>
      <c r="AX309" s="718" t="n"/>
      <c r="AY309" s="961" t="n"/>
      <c r="AZ309" s="721" t="n"/>
      <c r="BA309" s="961" t="n"/>
      <c r="BB309" s="721" t="n"/>
      <c r="BC309" s="961" t="n"/>
      <c r="BD309" s="721" t="n"/>
      <c r="BE309" s="962" t="n"/>
      <c r="BF309" s="718" t="n"/>
      <c r="BG309" s="961" t="n"/>
      <c r="BH309" s="717" t="n"/>
      <c r="BI309" s="963" t="n"/>
      <c r="BJ309" s="721" t="n"/>
      <c r="BK309" s="961" t="n"/>
      <c r="BL309" s="721" t="n"/>
      <c r="BM309" s="962" t="n"/>
    </row>
    <row r="310" ht="15" customFormat="1" customHeight="1" s="23">
      <c r="A310" s="721" t="n"/>
      <c r="B310" s="721" t="n"/>
      <c r="C310" s="961" t="n"/>
      <c r="D310" s="721" t="n"/>
      <c r="E310" s="961" t="n"/>
      <c r="F310" s="721" t="n"/>
      <c r="G310" s="961" t="n"/>
      <c r="H310" s="721" t="n"/>
      <c r="I310" s="962" t="n"/>
      <c r="J310" s="718" t="n"/>
      <c r="K310" s="961" t="n"/>
      <c r="L310" s="721" t="n"/>
      <c r="M310" s="961" t="n"/>
      <c r="N310" s="721" t="n"/>
      <c r="O310" s="961" t="n"/>
      <c r="P310" s="721" t="n"/>
      <c r="Q310" s="962" t="n"/>
      <c r="R310" s="718" t="n"/>
      <c r="S310" s="961" t="n"/>
      <c r="T310" s="721" t="n"/>
      <c r="U310" s="961" t="n"/>
      <c r="V310" s="721" t="n"/>
      <c r="W310" s="961" t="n"/>
      <c r="X310" s="721" t="n"/>
      <c r="Y310" s="962" t="n"/>
      <c r="Z310" s="718" t="n"/>
      <c r="AA310" s="961" t="n"/>
      <c r="AB310" s="721" t="n"/>
      <c r="AC310" s="961" t="n"/>
      <c r="AD310" s="721" t="n"/>
      <c r="AE310" s="961" t="n"/>
      <c r="AF310" s="721" t="n"/>
      <c r="AG310" s="962" t="n"/>
      <c r="AH310" s="718" t="n"/>
      <c r="AI310" s="961" t="n"/>
      <c r="AJ310" s="721" t="n"/>
      <c r="AK310" s="961" t="n"/>
      <c r="AL310" s="721" t="n"/>
      <c r="AM310" s="961" t="n"/>
      <c r="AN310" s="721" t="n"/>
      <c r="AO310" s="962" t="n"/>
      <c r="AP310" s="718" t="n"/>
      <c r="AQ310" s="961" t="n"/>
      <c r="AR310" s="721" t="n"/>
      <c r="AS310" s="961" t="n"/>
      <c r="AT310" s="721" t="n"/>
      <c r="AU310" s="961" t="n"/>
      <c r="AV310" s="721" t="n"/>
      <c r="AW310" s="962" t="n"/>
      <c r="AX310" s="718" t="n"/>
      <c r="AY310" s="961" t="n"/>
      <c r="AZ310" s="721" t="n"/>
      <c r="BA310" s="961" t="n"/>
      <c r="BB310" s="721" t="n"/>
      <c r="BC310" s="961" t="n"/>
      <c r="BD310" s="721" t="n"/>
      <c r="BE310" s="962" t="n"/>
      <c r="BF310" s="718" t="n"/>
      <c r="BG310" s="961" t="n"/>
      <c r="BH310" s="717" t="n"/>
      <c r="BI310" s="963" t="n"/>
      <c r="BJ310" s="721" t="n"/>
      <c r="BK310" s="961" t="n"/>
      <c r="BL310" s="721" t="n"/>
      <c r="BM310" s="962" t="n"/>
    </row>
    <row r="311" ht="15" customFormat="1" customHeight="1" s="23">
      <c r="A311" s="721" t="n"/>
      <c r="B311" s="721" t="n"/>
      <c r="C311" s="961" t="n"/>
      <c r="D311" s="721" t="n"/>
      <c r="E311" s="961" t="n"/>
      <c r="F311" s="721" t="n"/>
      <c r="G311" s="961" t="n"/>
      <c r="H311" s="721" t="n"/>
      <c r="I311" s="962" t="n"/>
      <c r="J311" s="718" t="n"/>
      <c r="K311" s="961" t="n"/>
      <c r="L311" s="721" t="n"/>
      <c r="M311" s="961" t="n"/>
      <c r="N311" s="721" t="n"/>
      <c r="O311" s="961" t="n"/>
      <c r="P311" s="721" t="n"/>
      <c r="Q311" s="962" t="n"/>
      <c r="R311" s="718" t="n"/>
      <c r="S311" s="961" t="n"/>
      <c r="T311" s="721" t="n"/>
      <c r="U311" s="961" t="n"/>
      <c r="V311" s="721" t="n"/>
      <c r="W311" s="961" t="n"/>
      <c r="X311" s="721" t="n"/>
      <c r="Y311" s="962" t="n"/>
      <c r="Z311" s="718" t="n"/>
      <c r="AA311" s="961" t="n"/>
      <c r="AB311" s="721" t="n"/>
      <c r="AC311" s="961" t="n"/>
      <c r="AD311" s="721" t="n"/>
      <c r="AE311" s="961" t="n"/>
      <c r="AF311" s="721" t="n"/>
      <c r="AG311" s="962" t="n"/>
      <c r="AH311" s="718" t="n"/>
      <c r="AI311" s="961" t="n"/>
      <c r="AJ311" s="721" t="n"/>
      <c r="AK311" s="961" t="n"/>
      <c r="AL311" s="721" t="n"/>
      <c r="AM311" s="961" t="n"/>
      <c r="AN311" s="721" t="n"/>
      <c r="AO311" s="962" t="n"/>
      <c r="AP311" s="718" t="n"/>
      <c r="AQ311" s="961" t="n"/>
      <c r="AR311" s="721" t="n"/>
      <c r="AS311" s="961" t="n"/>
      <c r="AT311" s="721" t="n"/>
      <c r="AU311" s="961" t="n"/>
      <c r="AV311" s="721" t="n"/>
      <c r="AW311" s="962" t="n"/>
      <c r="AX311" s="718" t="n"/>
      <c r="AY311" s="961" t="n"/>
      <c r="AZ311" s="721" t="n"/>
      <c r="BA311" s="961" t="n"/>
      <c r="BB311" s="721" t="n"/>
      <c r="BC311" s="961" t="n"/>
      <c r="BD311" s="721" t="n"/>
      <c r="BE311" s="962" t="n"/>
      <c r="BF311" s="718" t="n"/>
      <c r="BG311" s="961" t="n"/>
      <c r="BH311" s="717" t="n"/>
      <c r="BI311" s="963" t="n"/>
      <c r="BJ311" s="721" t="n"/>
      <c r="BK311" s="961" t="n"/>
      <c r="BL311" s="721" t="n"/>
      <c r="BM311" s="962" t="n"/>
    </row>
    <row r="312" ht="15" customFormat="1" customHeight="1" s="23">
      <c r="A312" s="721" t="n"/>
      <c r="B312" s="721" t="n"/>
      <c r="C312" s="961" t="n"/>
      <c r="D312" s="721" t="n"/>
      <c r="E312" s="961" t="n"/>
      <c r="F312" s="721" t="n"/>
      <c r="G312" s="961" t="n"/>
      <c r="H312" s="721" t="n"/>
      <c r="I312" s="962" t="n"/>
      <c r="J312" s="718" t="n"/>
      <c r="K312" s="961" t="n"/>
      <c r="L312" s="721" t="n"/>
      <c r="M312" s="961" t="n"/>
      <c r="N312" s="721" t="n"/>
      <c r="O312" s="961" t="n"/>
      <c r="P312" s="721" t="n"/>
      <c r="Q312" s="962" t="n"/>
      <c r="R312" s="718" t="n"/>
      <c r="S312" s="961" t="n"/>
      <c r="T312" s="721" t="n"/>
      <c r="U312" s="961" t="n"/>
      <c r="V312" s="721" t="n"/>
      <c r="W312" s="961" t="n"/>
      <c r="X312" s="721" t="n"/>
      <c r="Y312" s="962" t="n"/>
      <c r="Z312" s="718" t="n"/>
      <c r="AA312" s="961" t="n"/>
      <c r="AB312" s="721" t="n"/>
      <c r="AC312" s="961" t="n"/>
      <c r="AD312" s="721" t="n"/>
      <c r="AE312" s="961" t="n"/>
      <c r="AF312" s="721" t="n"/>
      <c r="AG312" s="962" t="n"/>
      <c r="AH312" s="718" t="n"/>
      <c r="AI312" s="961" t="n"/>
      <c r="AJ312" s="721" t="n"/>
      <c r="AK312" s="961" t="n"/>
      <c r="AL312" s="721" t="n"/>
      <c r="AM312" s="961" t="n"/>
      <c r="AN312" s="721" t="n"/>
      <c r="AO312" s="962" t="n"/>
      <c r="AP312" s="718" t="n"/>
      <c r="AQ312" s="961" t="n"/>
      <c r="AR312" s="721" t="n"/>
      <c r="AS312" s="961" t="n"/>
      <c r="AT312" s="721" t="n"/>
      <c r="AU312" s="961" t="n"/>
      <c r="AV312" s="721" t="n"/>
      <c r="AW312" s="962" t="n"/>
      <c r="AX312" s="718" t="n"/>
      <c r="AY312" s="961" t="n"/>
      <c r="AZ312" s="721" t="n"/>
      <c r="BA312" s="961" t="n"/>
      <c r="BB312" s="721" t="n"/>
      <c r="BC312" s="961" t="n"/>
      <c r="BD312" s="721" t="n"/>
      <c r="BE312" s="962" t="n"/>
      <c r="BF312" s="718" t="n"/>
      <c r="BG312" s="961" t="n"/>
      <c r="BH312" s="717" t="n"/>
      <c r="BI312" s="963" t="n"/>
      <c r="BJ312" s="721" t="n"/>
      <c r="BK312" s="961" t="n"/>
      <c r="BL312" s="721" t="n"/>
      <c r="BM312" s="962" t="n"/>
    </row>
    <row r="313" ht="15" customFormat="1" customHeight="1" s="23">
      <c r="A313" s="721" t="n"/>
      <c r="B313" s="721" t="n"/>
      <c r="C313" s="961" t="n"/>
      <c r="D313" s="721" t="n"/>
      <c r="E313" s="961" t="n"/>
      <c r="F313" s="721" t="n"/>
      <c r="G313" s="961" t="n"/>
      <c r="H313" s="721" t="n"/>
      <c r="I313" s="962" t="n"/>
      <c r="J313" s="718" t="n"/>
      <c r="K313" s="961" t="n"/>
      <c r="L313" s="721" t="n"/>
      <c r="M313" s="961" t="n"/>
      <c r="N313" s="721" t="n"/>
      <c r="O313" s="961" t="n"/>
      <c r="P313" s="721" t="n"/>
      <c r="Q313" s="962" t="n"/>
      <c r="R313" s="718" t="n"/>
      <c r="S313" s="961" t="n"/>
      <c r="T313" s="721" t="n"/>
      <c r="U313" s="961" t="n"/>
      <c r="V313" s="721" t="n"/>
      <c r="W313" s="961" t="n"/>
      <c r="X313" s="721" t="n"/>
      <c r="Y313" s="962" t="n"/>
      <c r="Z313" s="718" t="n"/>
      <c r="AA313" s="961" t="n"/>
      <c r="AB313" s="721" t="n"/>
      <c r="AC313" s="961" t="n"/>
      <c r="AD313" s="721" t="n"/>
      <c r="AE313" s="961" t="n"/>
      <c r="AF313" s="721" t="n"/>
      <c r="AG313" s="962" t="n"/>
      <c r="AH313" s="718" t="n"/>
      <c r="AI313" s="961" t="n"/>
      <c r="AJ313" s="721" t="n"/>
      <c r="AK313" s="961" t="n"/>
      <c r="AL313" s="721" t="n"/>
      <c r="AM313" s="961" t="n"/>
      <c r="AN313" s="721" t="n"/>
      <c r="AO313" s="962" t="n"/>
      <c r="AP313" s="718" t="n"/>
      <c r="AQ313" s="961" t="n"/>
      <c r="AR313" s="721" t="n"/>
      <c r="AS313" s="961" t="n"/>
      <c r="AT313" s="721" t="n"/>
      <c r="AU313" s="961" t="n"/>
      <c r="AV313" s="721" t="n"/>
      <c r="AW313" s="962" t="n"/>
      <c r="AX313" s="718" t="n"/>
      <c r="AY313" s="961" t="n"/>
      <c r="AZ313" s="721" t="n"/>
      <c r="BA313" s="961" t="n"/>
      <c r="BB313" s="721" t="n"/>
      <c r="BC313" s="961" t="n"/>
      <c r="BD313" s="721" t="n"/>
      <c r="BE313" s="962" t="n"/>
      <c r="BF313" s="718" t="n"/>
      <c r="BG313" s="961" t="n"/>
      <c r="BH313" s="717" t="n"/>
      <c r="BI313" s="963" t="n"/>
      <c r="BJ313" s="721" t="n"/>
      <c r="BK313" s="961" t="n"/>
      <c r="BL313" s="721" t="n"/>
      <c r="BM313" s="962" t="n"/>
    </row>
    <row r="314" ht="15" customFormat="1" customHeight="1" s="23">
      <c r="A314" s="721" t="n"/>
      <c r="B314" s="721" t="n"/>
      <c r="C314" s="961" t="n"/>
      <c r="D314" s="721" t="n"/>
      <c r="E314" s="961" t="n"/>
      <c r="F314" s="721" t="n"/>
      <c r="G314" s="961" t="n"/>
      <c r="H314" s="721" t="n"/>
      <c r="I314" s="962" t="n"/>
      <c r="J314" s="718" t="n"/>
      <c r="K314" s="961" t="n"/>
      <c r="L314" s="721" t="n"/>
      <c r="M314" s="961" t="n"/>
      <c r="N314" s="721" t="n"/>
      <c r="O314" s="961" t="n"/>
      <c r="P314" s="721" t="n"/>
      <c r="Q314" s="962" t="n"/>
      <c r="R314" s="718" t="n"/>
      <c r="S314" s="961" t="n"/>
      <c r="T314" s="721" t="n"/>
      <c r="U314" s="961" t="n"/>
      <c r="V314" s="721" t="n"/>
      <c r="W314" s="961" t="n"/>
      <c r="X314" s="721" t="n"/>
      <c r="Y314" s="962" t="n"/>
      <c r="Z314" s="718" t="n"/>
      <c r="AA314" s="961" t="n"/>
      <c r="AB314" s="721" t="n"/>
      <c r="AC314" s="961" t="n"/>
      <c r="AD314" s="721" t="n"/>
      <c r="AE314" s="961" t="n"/>
      <c r="AF314" s="721" t="n"/>
      <c r="AG314" s="962" t="n"/>
      <c r="AH314" s="718" t="n"/>
      <c r="AI314" s="961" t="n"/>
      <c r="AJ314" s="721" t="n"/>
      <c r="AK314" s="961" t="n"/>
      <c r="AL314" s="721" t="n"/>
      <c r="AM314" s="961" t="n"/>
      <c r="AN314" s="721" t="n"/>
      <c r="AO314" s="962" t="n"/>
      <c r="AP314" s="718" t="n"/>
      <c r="AQ314" s="961" t="n"/>
      <c r="AR314" s="721" t="n"/>
      <c r="AS314" s="961" t="n"/>
      <c r="AT314" s="721" t="n"/>
      <c r="AU314" s="961" t="n"/>
      <c r="AV314" s="721" t="n"/>
      <c r="AW314" s="962" t="n"/>
      <c r="AX314" s="718" t="n"/>
      <c r="AY314" s="961" t="n"/>
      <c r="AZ314" s="721" t="n"/>
      <c r="BA314" s="961" t="n"/>
      <c r="BB314" s="721" t="n"/>
      <c r="BC314" s="961" t="n"/>
      <c r="BD314" s="721" t="n"/>
      <c r="BE314" s="962" t="n"/>
      <c r="BF314" s="718" t="n"/>
      <c r="BG314" s="961" t="n"/>
      <c r="BH314" s="717" t="n"/>
      <c r="BI314" s="963" t="n"/>
      <c r="BJ314" s="721" t="n"/>
      <c r="BK314" s="961" t="n"/>
      <c r="BL314" s="721" t="n"/>
      <c r="BM314" s="962" t="n"/>
    </row>
    <row r="315" ht="15" customFormat="1" customHeight="1" s="23">
      <c r="A315" s="721" t="n"/>
      <c r="B315" s="721" t="n"/>
      <c r="C315" s="961" t="n"/>
      <c r="D315" s="721" t="n"/>
      <c r="E315" s="961" t="n"/>
      <c r="F315" s="721" t="n"/>
      <c r="G315" s="961" t="n"/>
      <c r="H315" s="721" t="n"/>
      <c r="I315" s="962" t="n"/>
      <c r="J315" s="718" t="n"/>
      <c r="K315" s="961" t="n"/>
      <c r="L315" s="721" t="n"/>
      <c r="M315" s="961" t="n"/>
      <c r="N315" s="721" t="n"/>
      <c r="O315" s="961" t="n"/>
      <c r="P315" s="721" t="n"/>
      <c r="Q315" s="962" t="n"/>
      <c r="R315" s="718" t="n"/>
      <c r="S315" s="961" t="n"/>
      <c r="T315" s="721" t="n"/>
      <c r="U315" s="961" t="n"/>
      <c r="V315" s="721" t="n"/>
      <c r="W315" s="961" t="n"/>
      <c r="X315" s="721" t="n"/>
      <c r="Y315" s="962" t="n"/>
      <c r="Z315" s="718" t="n"/>
      <c r="AA315" s="961" t="n"/>
      <c r="AB315" s="721" t="n"/>
      <c r="AC315" s="961" t="n"/>
      <c r="AD315" s="721" t="n"/>
      <c r="AE315" s="961" t="n"/>
      <c r="AF315" s="721" t="n"/>
      <c r="AG315" s="962" t="n"/>
      <c r="AH315" s="718" t="n"/>
      <c r="AI315" s="961" t="n"/>
      <c r="AJ315" s="721" t="n"/>
      <c r="AK315" s="961" t="n"/>
      <c r="AL315" s="721" t="n"/>
      <c r="AM315" s="961" t="n"/>
      <c r="AN315" s="721" t="n"/>
      <c r="AO315" s="962" t="n"/>
      <c r="AP315" s="718" t="n"/>
      <c r="AQ315" s="961" t="n"/>
      <c r="AR315" s="721" t="n"/>
      <c r="AS315" s="961" t="n"/>
      <c r="AT315" s="721" t="n"/>
      <c r="AU315" s="961" t="n"/>
      <c r="AV315" s="721" t="n"/>
      <c r="AW315" s="962" t="n"/>
      <c r="AX315" s="718" t="n"/>
      <c r="AY315" s="961" t="n"/>
      <c r="AZ315" s="721" t="n"/>
      <c r="BA315" s="961" t="n"/>
      <c r="BB315" s="721" t="n"/>
      <c r="BC315" s="961" t="n"/>
      <c r="BD315" s="721" t="n"/>
      <c r="BE315" s="962" t="n"/>
      <c r="BF315" s="718" t="n"/>
      <c r="BG315" s="961" t="n"/>
      <c r="BH315" s="704" t="n"/>
      <c r="BI315" s="967" t="n"/>
      <c r="BJ315" s="721" t="n"/>
      <c r="BK315" s="961" t="n"/>
      <c r="BL315" s="721" t="n"/>
      <c r="BM315" s="962" t="n"/>
    </row>
    <row r="316" ht="15" customFormat="1" customHeight="1" s="23">
      <c r="A316" s="721" t="n"/>
      <c r="B316" s="721" t="n"/>
      <c r="C316" s="961" t="n"/>
      <c r="D316" s="721" t="n"/>
      <c r="E316" s="961" t="n"/>
      <c r="F316" s="721" t="n"/>
      <c r="G316" s="961" t="n"/>
      <c r="H316" s="721" t="n"/>
      <c r="I316" s="962" t="n"/>
      <c r="J316" s="718" t="n"/>
      <c r="K316" s="961" t="n"/>
      <c r="L316" s="721" t="n"/>
      <c r="M316" s="961" t="n"/>
      <c r="N316" s="721" t="n"/>
      <c r="O316" s="961" t="n"/>
      <c r="P316" s="721" t="n"/>
      <c r="Q316" s="962" t="n"/>
      <c r="R316" s="718" t="n"/>
      <c r="S316" s="961" t="n"/>
      <c r="T316" s="721" t="n"/>
      <c r="U316" s="961" t="n"/>
      <c r="V316" s="721" t="n"/>
      <c r="W316" s="961" t="n"/>
      <c r="X316" s="721" t="n"/>
      <c r="Y316" s="962" t="n"/>
      <c r="Z316" s="718" t="n"/>
      <c r="AA316" s="961" t="n"/>
      <c r="AB316" s="721" t="n"/>
      <c r="AC316" s="961" t="n"/>
      <c r="AD316" s="721" t="n"/>
      <c r="AE316" s="961" t="n"/>
      <c r="AF316" s="721" t="n"/>
      <c r="AG316" s="962" t="n"/>
      <c r="AH316" s="718" t="n"/>
      <c r="AI316" s="961" t="n"/>
      <c r="AJ316" s="721" t="n"/>
      <c r="AK316" s="961" t="n"/>
      <c r="AL316" s="721" t="n"/>
      <c r="AM316" s="961" t="n"/>
      <c r="AN316" s="721" t="n"/>
      <c r="AO316" s="962" t="n"/>
      <c r="AP316" s="718" t="n"/>
      <c r="AQ316" s="961" t="n"/>
      <c r="AR316" s="721" t="n"/>
      <c r="AS316" s="961" t="n"/>
      <c r="AT316" s="721" t="n"/>
      <c r="AU316" s="961" t="n"/>
      <c r="AV316" s="721" t="n"/>
      <c r="AW316" s="962" t="n"/>
      <c r="AX316" s="718" t="n"/>
      <c r="AY316" s="961" t="n"/>
      <c r="AZ316" s="721" t="n"/>
      <c r="BA316" s="961" t="n"/>
      <c r="BB316" s="721" t="n"/>
      <c r="BC316" s="961" t="n"/>
      <c r="BD316" s="721" t="n"/>
      <c r="BE316" s="962" t="n"/>
      <c r="BF316" s="718" t="n"/>
      <c r="BG316" s="961" t="n"/>
      <c r="BH316" s="704" t="n"/>
      <c r="BI316" s="967" t="n"/>
      <c r="BJ316" s="721" t="n"/>
      <c r="BK316" s="961" t="n"/>
      <c r="BL316" s="721" t="n"/>
      <c r="BM316" s="962" t="n"/>
    </row>
    <row r="317" ht="15" customFormat="1" customHeight="1" s="23">
      <c r="A317" s="721" t="n"/>
      <c r="B317" s="721" t="n"/>
      <c r="C317" s="961" t="n"/>
      <c r="D317" s="721" t="n"/>
      <c r="E317" s="961" t="n"/>
      <c r="F317" s="721" t="n"/>
      <c r="G317" s="961" t="n"/>
      <c r="H317" s="721" t="n"/>
      <c r="I317" s="962" t="n"/>
      <c r="J317" s="718" t="n"/>
      <c r="K317" s="961" t="n"/>
      <c r="L317" s="721" t="n"/>
      <c r="M317" s="961" t="n"/>
      <c r="N317" s="721" t="n"/>
      <c r="O317" s="961" t="n"/>
      <c r="P317" s="721" t="n"/>
      <c r="Q317" s="962" t="n"/>
      <c r="R317" s="718" t="n"/>
      <c r="S317" s="961" t="n"/>
      <c r="T317" s="721" t="n"/>
      <c r="U317" s="961" t="n"/>
      <c r="V317" s="721" t="n"/>
      <c r="W317" s="961" t="n"/>
      <c r="X317" s="721" t="n"/>
      <c r="Y317" s="962" t="n"/>
      <c r="Z317" s="718" t="n"/>
      <c r="AA317" s="961" t="n"/>
      <c r="AB317" s="721" t="n"/>
      <c r="AC317" s="961" t="n"/>
      <c r="AD317" s="721" t="n"/>
      <c r="AE317" s="961" t="n"/>
      <c r="AF317" s="721" t="n"/>
      <c r="AG317" s="962" t="n"/>
      <c r="AH317" s="718" t="n"/>
      <c r="AI317" s="961" t="n"/>
      <c r="AJ317" s="721" t="n"/>
      <c r="AK317" s="961" t="n"/>
      <c r="AL317" s="721" t="n"/>
      <c r="AM317" s="961" t="n"/>
      <c r="AN317" s="721" t="n"/>
      <c r="AO317" s="962" t="n"/>
      <c r="AP317" s="718" t="n"/>
      <c r="AQ317" s="961" t="n"/>
      <c r="AR317" s="721" t="n"/>
      <c r="AS317" s="961" t="n"/>
      <c r="AT317" s="721" t="n"/>
      <c r="AU317" s="961" t="n"/>
      <c r="AV317" s="721" t="n"/>
      <c r="AW317" s="962" t="n"/>
      <c r="AX317" s="718" t="n"/>
      <c r="AY317" s="961" t="n"/>
      <c r="AZ317" s="721" t="n"/>
      <c r="BA317" s="961" t="n"/>
      <c r="BB317" s="721" t="n"/>
      <c r="BC317" s="961" t="n"/>
      <c r="BD317" s="721" t="n"/>
      <c r="BE317" s="962" t="n"/>
      <c r="BF317" s="718" t="n"/>
      <c r="BG317" s="961" t="n"/>
      <c r="BH317" s="704" t="n"/>
      <c r="BI317" s="967" t="n"/>
      <c r="BJ317" s="721" t="n"/>
      <c r="BK317" s="961" t="n"/>
      <c r="BL317" s="721" t="n"/>
      <c r="BM317" s="962" t="n"/>
    </row>
    <row r="318" ht="15" customFormat="1" customHeight="1" s="23">
      <c r="A318" s="721" t="n"/>
      <c r="B318" s="721" t="n"/>
      <c r="C318" s="961" t="n"/>
      <c r="D318" s="721" t="n"/>
      <c r="E318" s="961" t="n"/>
      <c r="F318" s="721" t="n"/>
      <c r="G318" s="961" t="n"/>
      <c r="H318" s="721" t="n"/>
      <c r="I318" s="962" t="n"/>
      <c r="J318" s="718" t="n"/>
      <c r="K318" s="961" t="n"/>
      <c r="L318" s="721" t="n"/>
      <c r="M318" s="961" t="n"/>
      <c r="N318" s="721" t="n"/>
      <c r="O318" s="961" t="n"/>
      <c r="P318" s="721" t="n"/>
      <c r="Q318" s="962" t="n"/>
      <c r="R318" s="718" t="n"/>
      <c r="S318" s="961" t="n"/>
      <c r="T318" s="721" t="n"/>
      <c r="U318" s="961" t="n"/>
      <c r="V318" s="721" t="n"/>
      <c r="W318" s="961" t="n"/>
      <c r="X318" s="721" t="n"/>
      <c r="Y318" s="962" t="n"/>
      <c r="Z318" s="718" t="n"/>
      <c r="AA318" s="961" t="n"/>
      <c r="AB318" s="721" t="n"/>
      <c r="AC318" s="961" t="n"/>
      <c r="AD318" s="721" t="n"/>
      <c r="AE318" s="961" t="n"/>
      <c r="AF318" s="721" t="n"/>
      <c r="AG318" s="962" t="n"/>
      <c r="AH318" s="718" t="n"/>
      <c r="AI318" s="961" t="n"/>
      <c r="AJ318" s="721" t="n"/>
      <c r="AK318" s="961" t="n"/>
      <c r="AL318" s="721" t="n"/>
      <c r="AM318" s="961" t="n"/>
      <c r="AN318" s="721" t="n"/>
      <c r="AO318" s="962" t="n"/>
      <c r="AP318" s="718" t="n"/>
      <c r="AQ318" s="961" t="n"/>
      <c r="AR318" s="721" t="n"/>
      <c r="AS318" s="961" t="n"/>
      <c r="AT318" s="721" t="n"/>
      <c r="AU318" s="961" t="n"/>
      <c r="AV318" s="721" t="n"/>
      <c r="AW318" s="962" t="n"/>
      <c r="AX318" s="718" t="n"/>
      <c r="AY318" s="961" t="n"/>
      <c r="AZ318" s="721" t="n"/>
      <c r="BA318" s="961" t="n"/>
      <c r="BB318" s="721" t="n"/>
      <c r="BC318" s="961" t="n"/>
      <c r="BD318" s="721" t="n"/>
      <c r="BE318" s="962" t="n"/>
      <c r="BF318" s="718" t="n"/>
      <c r="BG318" s="961" t="n"/>
      <c r="BH318" s="704" t="n"/>
      <c r="BI318" s="967" t="n"/>
      <c r="BJ318" s="721" t="n"/>
      <c r="BK318" s="961" t="n"/>
      <c r="BL318" s="721" t="n"/>
      <c r="BM318" s="962" t="n"/>
    </row>
    <row r="319" ht="15" customFormat="1" customHeight="1" s="23">
      <c r="A319" s="721" t="n"/>
      <c r="B319" s="721" t="n"/>
      <c r="C319" s="961" t="n"/>
      <c r="D319" s="721" t="n"/>
      <c r="E319" s="961" t="n"/>
      <c r="F319" s="721" t="n"/>
      <c r="G319" s="961" t="n"/>
      <c r="H319" s="721" t="n"/>
      <c r="I319" s="962" t="n"/>
      <c r="J319" s="718" t="n"/>
      <c r="K319" s="961" t="n"/>
      <c r="L319" s="721" t="n"/>
      <c r="M319" s="961" t="n"/>
      <c r="N319" s="721" t="n"/>
      <c r="O319" s="961" t="n"/>
      <c r="P319" s="721" t="n"/>
      <c r="Q319" s="962" t="n"/>
      <c r="R319" s="718" t="n"/>
      <c r="S319" s="961" t="n"/>
      <c r="T319" s="721" t="n"/>
      <c r="U319" s="961" t="n"/>
      <c r="V319" s="721" t="n"/>
      <c r="W319" s="961" t="n"/>
      <c r="X319" s="721" t="n"/>
      <c r="Y319" s="962" t="n"/>
      <c r="Z319" s="718" t="n"/>
      <c r="AA319" s="961" t="n"/>
      <c r="AB319" s="721" t="n"/>
      <c r="AC319" s="961" t="n"/>
      <c r="AD319" s="721" t="n"/>
      <c r="AE319" s="961" t="n"/>
      <c r="AF319" s="721" t="n"/>
      <c r="AG319" s="962" t="n"/>
      <c r="AH319" s="718" t="n"/>
      <c r="AI319" s="961" t="n"/>
      <c r="AJ319" s="721" t="n"/>
      <c r="AK319" s="961" t="n"/>
      <c r="AL319" s="721" t="n"/>
      <c r="AM319" s="961" t="n"/>
      <c r="AN319" s="721" t="n"/>
      <c r="AO319" s="962" t="n"/>
      <c r="AP319" s="718" t="n"/>
      <c r="AQ319" s="961" t="n"/>
      <c r="AR319" s="721" t="n"/>
      <c r="AS319" s="961" t="n"/>
      <c r="AT319" s="721" t="n"/>
      <c r="AU319" s="961" t="n"/>
      <c r="AV319" s="721" t="n"/>
      <c r="AW319" s="962" t="n"/>
      <c r="AX319" s="718" t="n"/>
      <c r="AY319" s="961" t="n"/>
      <c r="AZ319" s="721" t="n"/>
      <c r="BA319" s="961" t="n"/>
      <c r="BB319" s="721" t="n"/>
      <c r="BC319" s="961" t="n"/>
      <c r="BD319" s="721" t="n"/>
      <c r="BE319" s="962" t="n"/>
      <c r="BF319" s="718" t="n"/>
      <c r="BG319" s="961" t="n"/>
      <c r="BH319" s="717" t="n"/>
      <c r="BI319" s="963" t="n"/>
      <c r="BJ319" s="721" t="n"/>
      <c r="BK319" s="961" t="n"/>
      <c r="BL319" s="721" t="n"/>
      <c r="BM319" s="962" t="n"/>
    </row>
    <row r="320" ht="15" customFormat="1" customHeight="1" s="23">
      <c r="A320" s="721" t="n"/>
      <c r="B320" s="721" t="n"/>
      <c r="C320" s="961" t="n"/>
      <c r="D320" s="721" t="n"/>
      <c r="E320" s="961" t="n"/>
      <c r="F320" s="721" t="n"/>
      <c r="G320" s="961" t="n"/>
      <c r="H320" s="721" t="n"/>
      <c r="I320" s="962" t="n"/>
      <c r="J320" s="718" t="n"/>
      <c r="K320" s="961" t="n"/>
      <c r="L320" s="721" t="n"/>
      <c r="M320" s="961" t="n"/>
      <c r="N320" s="721" t="n"/>
      <c r="O320" s="961" t="n"/>
      <c r="P320" s="721" t="n"/>
      <c r="Q320" s="962" t="n"/>
      <c r="R320" s="718" t="n"/>
      <c r="S320" s="961" t="n"/>
      <c r="T320" s="721" t="n"/>
      <c r="U320" s="961" t="n"/>
      <c r="V320" s="721" t="n"/>
      <c r="W320" s="961" t="n"/>
      <c r="X320" s="721" t="n"/>
      <c r="Y320" s="962" t="n"/>
      <c r="Z320" s="718" t="n"/>
      <c r="AA320" s="961" t="n"/>
      <c r="AB320" s="721" t="n"/>
      <c r="AC320" s="961" t="n"/>
      <c r="AD320" s="721" t="n"/>
      <c r="AE320" s="961" t="n"/>
      <c r="AF320" s="721" t="n"/>
      <c r="AG320" s="962" t="n"/>
      <c r="AH320" s="718" t="n"/>
      <c r="AI320" s="961" t="n"/>
      <c r="AJ320" s="721" t="n"/>
      <c r="AK320" s="961" t="n"/>
      <c r="AL320" s="721" t="n"/>
      <c r="AM320" s="961" t="n"/>
      <c r="AN320" s="721" t="n"/>
      <c r="AO320" s="962" t="n"/>
      <c r="AP320" s="718" t="n"/>
      <c r="AQ320" s="961" t="n"/>
      <c r="AR320" s="721" t="n"/>
      <c r="AS320" s="961" t="n"/>
      <c r="AT320" s="721" t="n"/>
      <c r="AU320" s="961" t="n"/>
      <c r="AV320" s="721" t="n"/>
      <c r="AW320" s="962" t="n"/>
      <c r="AX320" s="718" t="n"/>
      <c r="AY320" s="961" t="n"/>
      <c r="AZ320" s="721" t="n"/>
      <c r="BA320" s="961" t="n"/>
      <c r="BB320" s="721" t="n"/>
      <c r="BC320" s="961" t="n"/>
      <c r="BD320" s="721" t="n"/>
      <c r="BE320" s="962" t="n"/>
      <c r="BF320" s="718" t="n"/>
      <c r="BG320" s="961" t="n"/>
      <c r="BH320" s="717" t="n"/>
      <c r="BI320" s="963" t="n"/>
      <c r="BJ320" s="721" t="n"/>
      <c r="BK320" s="961" t="n"/>
      <c r="BL320" s="721" t="n"/>
      <c r="BM320" s="962" t="n"/>
    </row>
    <row r="321" ht="15" customFormat="1" customHeight="1" s="23">
      <c r="A321" s="721" t="n"/>
      <c r="B321" s="721" t="n"/>
      <c r="C321" s="961" t="n"/>
      <c r="D321" s="721" t="n"/>
      <c r="E321" s="961" t="n"/>
      <c r="F321" s="721" t="n"/>
      <c r="G321" s="961" t="n"/>
      <c r="H321" s="721" t="n"/>
      <c r="I321" s="962" t="n"/>
      <c r="J321" s="718" t="n"/>
      <c r="K321" s="961" t="n"/>
      <c r="L321" s="721" t="n"/>
      <c r="M321" s="961" t="n"/>
      <c r="N321" s="721" t="n"/>
      <c r="O321" s="961" t="n"/>
      <c r="P321" s="721" t="n"/>
      <c r="Q321" s="962" t="n"/>
      <c r="R321" s="718" t="n"/>
      <c r="S321" s="961" t="n"/>
      <c r="T321" s="721" t="n"/>
      <c r="U321" s="961" t="n"/>
      <c r="V321" s="721" t="n"/>
      <c r="W321" s="961" t="n"/>
      <c r="X321" s="721" t="n"/>
      <c r="Y321" s="962" t="n"/>
      <c r="Z321" s="718" t="n"/>
      <c r="AA321" s="961" t="n"/>
      <c r="AB321" s="721" t="n"/>
      <c r="AC321" s="961" t="n"/>
      <c r="AD321" s="721" t="n"/>
      <c r="AE321" s="961" t="n"/>
      <c r="AF321" s="721" t="n"/>
      <c r="AG321" s="962" t="n"/>
      <c r="AH321" s="718" t="n"/>
      <c r="AI321" s="961" t="n"/>
      <c r="AJ321" s="721" t="n"/>
      <c r="AK321" s="961" t="n"/>
      <c r="AL321" s="721" t="n"/>
      <c r="AM321" s="961" t="n"/>
      <c r="AN321" s="721" t="n"/>
      <c r="AO321" s="962" t="n"/>
      <c r="AP321" s="718" t="n"/>
      <c r="AQ321" s="961" t="n"/>
      <c r="AR321" s="721" t="n"/>
      <c r="AS321" s="961" t="n"/>
      <c r="AT321" s="721" t="n"/>
      <c r="AU321" s="961" t="n"/>
      <c r="AV321" s="721" t="n"/>
      <c r="AW321" s="962" t="n"/>
      <c r="AX321" s="718" t="n"/>
      <c r="AY321" s="961" t="n"/>
      <c r="AZ321" s="721" t="n"/>
      <c r="BA321" s="961" t="n"/>
      <c r="BB321" s="721" t="n"/>
      <c r="BC321" s="961" t="n"/>
      <c r="BD321" s="721" t="n"/>
      <c r="BE321" s="962" t="n"/>
      <c r="BF321" s="718" t="n"/>
      <c r="BG321" s="961" t="n"/>
      <c r="BH321" s="717" t="n"/>
      <c r="BI321" s="963" t="n"/>
      <c r="BJ321" s="721" t="n"/>
      <c r="BK321" s="961" t="n"/>
      <c r="BL321" s="721" t="n"/>
      <c r="BM321" s="962" t="n"/>
    </row>
    <row r="322" ht="15" customFormat="1" customHeight="1" s="23">
      <c r="A322" s="721" t="n"/>
      <c r="B322" s="721" t="n"/>
      <c r="C322" s="961" t="n"/>
      <c r="D322" s="721" t="n"/>
      <c r="E322" s="961" t="n"/>
      <c r="F322" s="721" t="n"/>
      <c r="G322" s="961" t="n"/>
      <c r="H322" s="721" t="n"/>
      <c r="I322" s="962" t="n"/>
      <c r="J322" s="718" t="n"/>
      <c r="K322" s="961" t="n"/>
      <c r="L322" s="721" t="n"/>
      <c r="M322" s="961" t="n"/>
      <c r="N322" s="721" t="n"/>
      <c r="O322" s="961" t="n"/>
      <c r="P322" s="721" t="n"/>
      <c r="Q322" s="962" t="n"/>
      <c r="R322" s="718" t="n"/>
      <c r="S322" s="961" t="n"/>
      <c r="T322" s="721" t="n"/>
      <c r="U322" s="961" t="n"/>
      <c r="V322" s="721" t="n"/>
      <c r="W322" s="961" t="n"/>
      <c r="X322" s="721" t="n"/>
      <c r="Y322" s="962" t="n"/>
      <c r="Z322" s="718" t="n"/>
      <c r="AA322" s="961" t="n"/>
      <c r="AB322" s="721" t="n"/>
      <c r="AC322" s="961" t="n"/>
      <c r="AD322" s="721" t="n"/>
      <c r="AE322" s="961" t="n"/>
      <c r="AF322" s="721" t="n"/>
      <c r="AG322" s="962" t="n"/>
      <c r="AH322" s="718" t="n"/>
      <c r="AI322" s="961" t="n"/>
      <c r="AJ322" s="721" t="n"/>
      <c r="AK322" s="961" t="n"/>
      <c r="AL322" s="721" t="n"/>
      <c r="AM322" s="961" t="n"/>
      <c r="AN322" s="721" t="n"/>
      <c r="AO322" s="962" t="n"/>
      <c r="AP322" s="718" t="n"/>
      <c r="AQ322" s="961" t="n"/>
      <c r="AR322" s="721" t="n"/>
      <c r="AS322" s="961" t="n"/>
      <c r="AT322" s="721" t="n"/>
      <c r="AU322" s="961" t="n"/>
      <c r="AV322" s="721" t="n"/>
      <c r="AW322" s="962" t="n"/>
      <c r="AX322" s="718" t="n"/>
      <c r="AY322" s="961" t="n"/>
      <c r="AZ322" s="721" t="n"/>
      <c r="BA322" s="961" t="n"/>
      <c r="BB322" s="721" t="n"/>
      <c r="BC322" s="961" t="n"/>
      <c r="BD322" s="721" t="n"/>
      <c r="BE322" s="962" t="n"/>
      <c r="BF322" s="718" t="n"/>
      <c r="BG322" s="961" t="n"/>
      <c r="BH322" s="717" t="n"/>
      <c r="BI322" s="963" t="n"/>
      <c r="BJ322" s="721" t="n"/>
      <c r="BK322" s="961" t="n"/>
      <c r="BL322" s="721" t="n"/>
      <c r="BM322" s="962" t="n"/>
    </row>
    <row r="323" ht="15" customFormat="1" customHeight="1" s="23">
      <c r="A323" s="721" t="n"/>
      <c r="B323" s="721" t="n"/>
      <c r="C323" s="961" t="n"/>
      <c r="D323" s="721" t="n"/>
      <c r="E323" s="961" t="n"/>
      <c r="F323" s="721" t="n"/>
      <c r="G323" s="961" t="n"/>
      <c r="H323" s="721" t="n"/>
      <c r="I323" s="962" t="n"/>
      <c r="J323" s="718" t="n"/>
      <c r="K323" s="961" t="n"/>
      <c r="L323" s="721" t="n"/>
      <c r="M323" s="961" t="n"/>
      <c r="N323" s="721" t="n"/>
      <c r="O323" s="961" t="n"/>
      <c r="P323" s="721" t="n"/>
      <c r="Q323" s="962" t="n"/>
      <c r="R323" s="718" t="n"/>
      <c r="S323" s="961" t="n"/>
      <c r="T323" s="721" t="n"/>
      <c r="U323" s="961" t="n"/>
      <c r="V323" s="721" t="n"/>
      <c r="W323" s="961" t="n"/>
      <c r="X323" s="721" t="n"/>
      <c r="Y323" s="962" t="n"/>
      <c r="Z323" s="718" t="n"/>
      <c r="AA323" s="961" t="n"/>
      <c r="AB323" s="721" t="n"/>
      <c r="AC323" s="961" t="n"/>
      <c r="AD323" s="721" t="n"/>
      <c r="AE323" s="961" t="n"/>
      <c r="AF323" s="721" t="n"/>
      <c r="AG323" s="962" t="n"/>
      <c r="AH323" s="718" t="n"/>
      <c r="AI323" s="961" t="n"/>
      <c r="AJ323" s="721" t="n"/>
      <c r="AK323" s="961" t="n"/>
      <c r="AL323" s="721" t="n"/>
      <c r="AM323" s="961" t="n"/>
      <c r="AN323" s="721" t="n"/>
      <c r="AO323" s="962" t="n"/>
      <c r="AP323" s="718" t="n"/>
      <c r="AQ323" s="961" t="n"/>
      <c r="AR323" s="721" t="n"/>
      <c r="AS323" s="961" t="n"/>
      <c r="AT323" s="721" t="n"/>
      <c r="AU323" s="961" t="n"/>
      <c r="AV323" s="721" t="n"/>
      <c r="AW323" s="962" t="n"/>
      <c r="AX323" s="718" t="n"/>
      <c r="AY323" s="961" t="n"/>
      <c r="AZ323" s="721" t="n"/>
      <c r="BA323" s="961" t="n"/>
      <c r="BB323" s="721" t="n"/>
      <c r="BC323" s="961" t="n"/>
      <c r="BD323" s="721" t="n"/>
      <c r="BE323" s="962" t="n"/>
      <c r="BF323" s="718" t="n"/>
      <c r="BG323" s="961" t="n"/>
      <c r="BH323" s="717" t="n"/>
      <c r="BI323" s="963" t="n"/>
      <c r="BJ323" s="721" t="n"/>
      <c r="BK323" s="961" t="n"/>
      <c r="BL323" s="721" t="n"/>
      <c r="BM323" s="962" t="n"/>
    </row>
    <row r="324" ht="15" customFormat="1" customHeight="1" s="23">
      <c r="A324" s="721" t="n"/>
      <c r="B324" s="721" t="n"/>
      <c r="C324" s="961" t="n"/>
      <c r="D324" s="721" t="n"/>
      <c r="E324" s="961" t="n"/>
      <c r="F324" s="721" t="n"/>
      <c r="G324" s="961" t="n"/>
      <c r="H324" s="721" t="n"/>
      <c r="I324" s="962" t="n"/>
      <c r="J324" s="718" t="n"/>
      <c r="K324" s="961" t="n"/>
      <c r="L324" s="721" t="n"/>
      <c r="M324" s="961" t="n"/>
      <c r="N324" s="721" t="n"/>
      <c r="O324" s="961" t="n"/>
      <c r="P324" s="721" t="n"/>
      <c r="Q324" s="962" t="n"/>
      <c r="R324" s="718" t="n"/>
      <c r="S324" s="961" t="n"/>
      <c r="T324" s="721" t="n"/>
      <c r="U324" s="961" t="n"/>
      <c r="V324" s="721" t="n"/>
      <c r="W324" s="961" t="n"/>
      <c r="X324" s="721" t="n"/>
      <c r="Y324" s="962" t="n"/>
      <c r="Z324" s="718" t="n"/>
      <c r="AA324" s="961" t="n"/>
      <c r="AB324" s="721" t="n"/>
      <c r="AC324" s="961" t="n"/>
      <c r="AD324" s="721" t="n"/>
      <c r="AE324" s="961" t="n"/>
      <c r="AF324" s="721" t="n"/>
      <c r="AG324" s="962" t="n"/>
      <c r="AH324" s="718" t="n"/>
      <c r="AI324" s="961" t="n"/>
      <c r="AJ324" s="721" t="n"/>
      <c r="AK324" s="961" t="n"/>
      <c r="AL324" s="721" t="n"/>
      <c r="AM324" s="961" t="n"/>
      <c r="AN324" s="721" t="n"/>
      <c r="AO324" s="962" t="n"/>
      <c r="AP324" s="718" t="n"/>
      <c r="AQ324" s="961" t="n"/>
      <c r="AR324" s="721" t="n"/>
      <c r="AS324" s="961" t="n"/>
      <c r="AT324" s="721" t="n"/>
      <c r="AU324" s="961" t="n"/>
      <c r="AV324" s="721" t="n"/>
      <c r="AW324" s="962" t="n"/>
      <c r="AX324" s="718" t="n"/>
      <c r="AY324" s="961" t="n"/>
      <c r="AZ324" s="721" t="n"/>
      <c r="BA324" s="961" t="n"/>
      <c r="BB324" s="721" t="n"/>
      <c r="BC324" s="961" t="n"/>
      <c r="BD324" s="721" t="n"/>
      <c r="BE324" s="962" t="n"/>
      <c r="BF324" s="718" t="n"/>
      <c r="BG324" s="961" t="n"/>
      <c r="BH324" s="717" t="n"/>
      <c r="BI324" s="963" t="n"/>
      <c r="BJ324" s="721" t="n"/>
      <c r="BK324" s="961" t="n"/>
      <c r="BL324" s="721" t="n"/>
      <c r="BM324" s="962" t="n"/>
    </row>
    <row r="325" ht="15" customFormat="1" customHeight="1" s="23">
      <c r="A325" s="721" t="n"/>
      <c r="B325" s="721" t="n"/>
      <c r="C325" s="961" t="n"/>
      <c r="D325" s="721" t="n"/>
      <c r="E325" s="961" t="n"/>
      <c r="F325" s="721" t="n"/>
      <c r="G325" s="961" t="n"/>
      <c r="H325" s="721" t="n"/>
      <c r="I325" s="962" t="n"/>
      <c r="J325" s="718" t="n"/>
      <c r="K325" s="961" t="n"/>
      <c r="L325" s="721" t="n"/>
      <c r="M325" s="961" t="n"/>
      <c r="N325" s="721" t="n"/>
      <c r="O325" s="961" t="n"/>
      <c r="P325" s="721" t="n"/>
      <c r="Q325" s="962" t="n"/>
      <c r="R325" s="718" t="n"/>
      <c r="S325" s="961" t="n"/>
      <c r="T325" s="721" t="n"/>
      <c r="U325" s="961" t="n"/>
      <c r="V325" s="721" t="n"/>
      <c r="W325" s="961" t="n"/>
      <c r="X325" s="721" t="n"/>
      <c r="Y325" s="962" t="n"/>
      <c r="Z325" s="718" t="n"/>
      <c r="AA325" s="961" t="n"/>
      <c r="AB325" s="721" t="n"/>
      <c r="AC325" s="961" t="n"/>
      <c r="AD325" s="721" t="n"/>
      <c r="AE325" s="961" t="n"/>
      <c r="AF325" s="721" t="n"/>
      <c r="AG325" s="962" t="n"/>
      <c r="AH325" s="718" t="n"/>
      <c r="AI325" s="961" t="n"/>
      <c r="AJ325" s="721" t="n"/>
      <c r="AK325" s="961" t="n"/>
      <c r="AL325" s="721" t="n"/>
      <c r="AM325" s="961" t="n"/>
      <c r="AN325" s="721" t="n"/>
      <c r="AO325" s="962" t="n"/>
      <c r="AP325" s="718" t="n"/>
      <c r="AQ325" s="961" t="n"/>
      <c r="AR325" s="721" t="n"/>
      <c r="AS325" s="961" t="n"/>
      <c r="AT325" s="721" t="n"/>
      <c r="AU325" s="961" t="n"/>
      <c r="AV325" s="721" t="n"/>
      <c r="AW325" s="962" t="n"/>
      <c r="AX325" s="718" t="n"/>
      <c r="AY325" s="961" t="n"/>
      <c r="AZ325" s="721" t="n"/>
      <c r="BA325" s="961" t="n"/>
      <c r="BB325" s="721" t="n"/>
      <c r="BC325" s="961" t="n"/>
      <c r="BD325" s="721" t="n"/>
      <c r="BE325" s="962" t="n"/>
      <c r="BF325" s="718" t="n"/>
      <c r="BG325" s="961" t="n"/>
      <c r="BH325" s="717" t="n"/>
      <c r="BI325" s="963" t="n"/>
      <c r="BJ325" s="721" t="n"/>
      <c r="BK325" s="961" t="n"/>
      <c r="BL325" s="721" t="n"/>
      <c r="BM325" s="962" t="n"/>
    </row>
    <row r="326" ht="15" customFormat="1" customHeight="1" s="23">
      <c r="A326" s="721" t="n"/>
      <c r="B326" s="721" t="n"/>
      <c r="C326" s="961" t="n"/>
      <c r="D326" s="721" t="n"/>
      <c r="E326" s="961" t="n"/>
      <c r="F326" s="721" t="n"/>
      <c r="G326" s="961" t="n"/>
      <c r="H326" s="721" t="n"/>
      <c r="I326" s="962" t="n"/>
      <c r="J326" s="718" t="n"/>
      <c r="K326" s="961" t="n"/>
      <c r="L326" s="721" t="n"/>
      <c r="M326" s="961" t="n"/>
      <c r="N326" s="721" t="n"/>
      <c r="O326" s="961" t="n"/>
      <c r="P326" s="721" t="n"/>
      <c r="Q326" s="962" t="n"/>
      <c r="R326" s="718" t="n"/>
      <c r="S326" s="961" t="n"/>
      <c r="T326" s="721" t="n"/>
      <c r="U326" s="961" t="n"/>
      <c r="V326" s="721" t="n"/>
      <c r="W326" s="961" t="n"/>
      <c r="X326" s="721" t="n"/>
      <c r="Y326" s="962" t="n"/>
      <c r="Z326" s="718" t="n"/>
      <c r="AA326" s="961" t="n"/>
      <c r="AB326" s="721" t="n"/>
      <c r="AC326" s="961" t="n"/>
      <c r="AD326" s="721" t="n"/>
      <c r="AE326" s="961" t="n"/>
      <c r="AF326" s="721" t="n"/>
      <c r="AG326" s="962" t="n"/>
      <c r="AH326" s="718" t="n"/>
      <c r="AI326" s="961" t="n"/>
      <c r="AJ326" s="721" t="n"/>
      <c r="AK326" s="961" t="n"/>
      <c r="AL326" s="721" t="n"/>
      <c r="AM326" s="961" t="n"/>
      <c r="AN326" s="721" t="n"/>
      <c r="AO326" s="962" t="n"/>
      <c r="AP326" s="718" t="n"/>
      <c r="AQ326" s="961" t="n"/>
      <c r="AR326" s="721" t="n"/>
      <c r="AS326" s="961" t="n"/>
      <c r="AT326" s="721" t="n"/>
      <c r="AU326" s="961" t="n"/>
      <c r="AV326" s="721" t="n"/>
      <c r="AW326" s="962" t="n"/>
      <c r="AX326" s="718" t="n"/>
      <c r="AY326" s="961" t="n"/>
      <c r="AZ326" s="721" t="n"/>
      <c r="BA326" s="961" t="n"/>
      <c r="BB326" s="721" t="n"/>
      <c r="BC326" s="961" t="n"/>
      <c r="BD326" s="721" t="n"/>
      <c r="BE326" s="962" t="n"/>
      <c r="BF326" s="718" t="n"/>
      <c r="BG326" s="961" t="n"/>
      <c r="BH326" s="717" t="n"/>
      <c r="BI326" s="963" t="n"/>
      <c r="BJ326" s="721" t="n"/>
      <c r="BK326" s="961" t="n"/>
      <c r="BL326" s="721" t="n"/>
      <c r="BM326" s="962" t="n"/>
    </row>
    <row r="327" ht="15" customFormat="1" customHeight="1" s="23">
      <c r="A327" s="721" t="n"/>
      <c r="B327" s="721" t="n"/>
      <c r="C327" s="961" t="n"/>
      <c r="D327" s="721" t="n"/>
      <c r="E327" s="961" t="n"/>
      <c r="F327" s="721" t="n"/>
      <c r="G327" s="961" t="n"/>
      <c r="H327" s="721" t="n"/>
      <c r="I327" s="962" t="n"/>
      <c r="J327" s="718" t="n"/>
      <c r="K327" s="961" t="n"/>
      <c r="L327" s="721" t="n"/>
      <c r="M327" s="961" t="n"/>
      <c r="N327" s="721" t="n"/>
      <c r="O327" s="961" t="n"/>
      <c r="P327" s="721" t="n"/>
      <c r="Q327" s="962" t="n"/>
      <c r="R327" s="718" t="n"/>
      <c r="S327" s="961" t="n"/>
      <c r="T327" s="721" t="n"/>
      <c r="U327" s="961" t="n"/>
      <c r="V327" s="721" t="n"/>
      <c r="W327" s="961" t="n"/>
      <c r="X327" s="721" t="n"/>
      <c r="Y327" s="962" t="n"/>
      <c r="Z327" s="718" t="n"/>
      <c r="AA327" s="961" t="n"/>
      <c r="AB327" s="721" t="n"/>
      <c r="AC327" s="961" t="n"/>
      <c r="AD327" s="721" t="n"/>
      <c r="AE327" s="961" t="n"/>
      <c r="AF327" s="721" t="n"/>
      <c r="AG327" s="962" t="n"/>
      <c r="AH327" s="718" t="n"/>
      <c r="AI327" s="961" t="n"/>
      <c r="AJ327" s="721" t="n"/>
      <c r="AK327" s="961" t="n"/>
      <c r="AL327" s="721" t="n"/>
      <c r="AM327" s="961" t="n"/>
      <c r="AN327" s="721" t="n"/>
      <c r="AO327" s="962" t="n"/>
      <c r="AP327" s="718" t="n"/>
      <c r="AQ327" s="961" t="n"/>
      <c r="AR327" s="721" t="n"/>
      <c r="AS327" s="961" t="n"/>
      <c r="AT327" s="721" t="n"/>
      <c r="AU327" s="961" t="n"/>
      <c r="AV327" s="721" t="n"/>
      <c r="AW327" s="962" t="n"/>
      <c r="AX327" s="718" t="n"/>
      <c r="AY327" s="961" t="n"/>
      <c r="AZ327" s="721" t="n"/>
      <c r="BA327" s="961" t="n"/>
      <c r="BB327" s="721" t="n"/>
      <c r="BC327" s="961" t="n"/>
      <c r="BD327" s="721" t="n"/>
      <c r="BE327" s="962" t="n"/>
      <c r="BF327" s="718" t="n"/>
      <c r="BG327" s="961" t="n"/>
      <c r="BH327" s="717" t="n"/>
      <c r="BI327" s="963" t="n"/>
      <c r="BJ327" s="721" t="n"/>
      <c r="BK327" s="961" t="n"/>
      <c r="BL327" s="721" t="n"/>
      <c r="BM327" s="962" t="n"/>
    </row>
    <row r="328" ht="15" customFormat="1" customHeight="1" s="23">
      <c r="A328" s="721" t="n"/>
      <c r="B328" s="721" t="n"/>
      <c r="C328" s="961" t="n"/>
      <c r="D328" s="721" t="n"/>
      <c r="E328" s="961" t="n"/>
      <c r="F328" s="721" t="n"/>
      <c r="G328" s="961" t="n"/>
      <c r="H328" s="721" t="n"/>
      <c r="I328" s="962" t="n"/>
      <c r="J328" s="718" t="n"/>
      <c r="K328" s="961" t="n"/>
      <c r="L328" s="721" t="n"/>
      <c r="M328" s="961" t="n"/>
      <c r="N328" s="721" t="n"/>
      <c r="O328" s="961" t="n"/>
      <c r="P328" s="721" t="n"/>
      <c r="Q328" s="962" t="n"/>
      <c r="R328" s="718" t="n"/>
      <c r="S328" s="961" t="n"/>
      <c r="T328" s="721" t="n"/>
      <c r="U328" s="961" t="n"/>
      <c r="V328" s="721" t="n"/>
      <c r="W328" s="961" t="n"/>
      <c r="X328" s="721" t="n"/>
      <c r="Y328" s="962" t="n"/>
      <c r="Z328" s="718" t="n"/>
      <c r="AA328" s="961" t="n"/>
      <c r="AB328" s="721" t="n"/>
      <c r="AC328" s="961" t="n"/>
      <c r="AD328" s="721" t="n"/>
      <c r="AE328" s="961" t="n"/>
      <c r="AF328" s="721" t="n"/>
      <c r="AG328" s="962" t="n"/>
      <c r="AH328" s="718" t="n"/>
      <c r="AI328" s="961" t="n"/>
      <c r="AJ328" s="721" t="n"/>
      <c r="AK328" s="961" t="n"/>
      <c r="AL328" s="721" t="n"/>
      <c r="AM328" s="961" t="n"/>
      <c r="AN328" s="721" t="n"/>
      <c r="AO328" s="962" t="n"/>
      <c r="AP328" s="718" t="n"/>
      <c r="AQ328" s="961" t="n"/>
      <c r="AR328" s="721" t="n"/>
      <c r="AS328" s="961" t="n"/>
      <c r="AT328" s="721" t="n"/>
      <c r="AU328" s="961" t="n"/>
      <c r="AV328" s="721" t="n"/>
      <c r="AW328" s="962" t="n"/>
      <c r="AX328" s="718" t="n"/>
      <c r="AY328" s="961" t="n"/>
      <c r="AZ328" s="721" t="n"/>
      <c r="BA328" s="961" t="n"/>
      <c r="BB328" s="721" t="n"/>
      <c r="BC328" s="961" t="n"/>
      <c r="BD328" s="721" t="n"/>
      <c r="BE328" s="962" t="n"/>
      <c r="BF328" s="718" t="n"/>
      <c r="BG328" s="961" t="n"/>
      <c r="BH328" s="717" t="n"/>
      <c r="BI328" s="963" t="n"/>
      <c r="BJ328" s="721" t="n"/>
      <c r="BK328" s="961" t="n"/>
      <c r="BL328" s="721" t="n"/>
      <c r="BM328" s="962" t="n"/>
    </row>
    <row r="329" ht="15" customFormat="1" customHeight="1" s="23">
      <c r="A329" s="721" t="n"/>
      <c r="B329" s="721" t="n"/>
      <c r="C329" s="961" t="n"/>
      <c r="D329" s="721" t="n"/>
      <c r="E329" s="961" t="n"/>
      <c r="F329" s="721" t="n"/>
      <c r="G329" s="961" t="n"/>
      <c r="H329" s="721" t="n"/>
      <c r="I329" s="962" t="n"/>
      <c r="J329" s="718" t="n"/>
      <c r="K329" s="961" t="n"/>
      <c r="L329" s="721" t="n"/>
      <c r="M329" s="961" t="n"/>
      <c r="N329" s="721" t="n"/>
      <c r="O329" s="961" t="n"/>
      <c r="P329" s="721" t="n"/>
      <c r="Q329" s="962" t="n"/>
      <c r="R329" s="718" t="n"/>
      <c r="S329" s="961" t="n"/>
      <c r="T329" s="721" t="n"/>
      <c r="U329" s="961" t="n"/>
      <c r="V329" s="721" t="n"/>
      <c r="W329" s="961" t="n"/>
      <c r="X329" s="721" t="n"/>
      <c r="Y329" s="962" t="n"/>
      <c r="Z329" s="718" t="n"/>
      <c r="AA329" s="961" t="n"/>
      <c r="AB329" s="721" t="n"/>
      <c r="AC329" s="961" t="n"/>
      <c r="AD329" s="721" t="n"/>
      <c r="AE329" s="961" t="n"/>
      <c r="AF329" s="721" t="n"/>
      <c r="AG329" s="962" t="n"/>
      <c r="AH329" s="718" t="n"/>
      <c r="AI329" s="961" t="n"/>
      <c r="AJ329" s="721" t="n"/>
      <c r="AK329" s="961" t="n"/>
      <c r="AL329" s="721" t="n"/>
      <c r="AM329" s="961" t="n"/>
      <c r="AN329" s="721" t="n"/>
      <c r="AO329" s="962" t="n"/>
      <c r="AP329" s="718" t="n"/>
      <c r="AQ329" s="961" t="n"/>
      <c r="AR329" s="721" t="n"/>
      <c r="AS329" s="961" t="n"/>
      <c r="AT329" s="721" t="n"/>
      <c r="AU329" s="961" t="n"/>
      <c r="AV329" s="721" t="n"/>
      <c r="AW329" s="962" t="n"/>
      <c r="AX329" s="718" t="n"/>
      <c r="AY329" s="961" t="n"/>
      <c r="AZ329" s="721" t="n"/>
      <c r="BA329" s="961" t="n"/>
      <c r="BB329" s="721" t="n"/>
      <c r="BC329" s="961" t="n"/>
      <c r="BD329" s="721" t="n"/>
      <c r="BE329" s="962" t="n"/>
      <c r="BF329" s="718" t="n"/>
      <c r="BG329" s="961" t="n"/>
      <c r="BH329" s="717" t="n"/>
      <c r="BI329" s="963" t="n"/>
      <c r="BJ329" s="721" t="n"/>
      <c r="BK329" s="961" t="n"/>
      <c r="BL329" s="721" t="n"/>
      <c r="BM329" s="962" t="n"/>
    </row>
    <row r="330" ht="15" customFormat="1" customHeight="1" s="23">
      <c r="A330" s="721" t="n"/>
      <c r="B330" s="721" t="n"/>
      <c r="C330" s="961" t="n"/>
      <c r="D330" s="721" t="n"/>
      <c r="E330" s="961" t="n"/>
      <c r="F330" s="721" t="n"/>
      <c r="G330" s="961" t="n"/>
      <c r="H330" s="721" t="n"/>
      <c r="I330" s="962" t="n"/>
      <c r="J330" s="718" t="n"/>
      <c r="K330" s="961" t="n"/>
      <c r="L330" s="721" t="n"/>
      <c r="M330" s="961" t="n"/>
      <c r="N330" s="721" t="n"/>
      <c r="O330" s="961" t="n"/>
      <c r="P330" s="721" t="n"/>
      <c r="Q330" s="962" t="n"/>
      <c r="R330" s="718" t="n"/>
      <c r="S330" s="961" t="n"/>
      <c r="T330" s="721" t="n"/>
      <c r="U330" s="961" t="n"/>
      <c r="V330" s="721" t="n"/>
      <c r="W330" s="961" t="n"/>
      <c r="X330" s="721" t="n"/>
      <c r="Y330" s="962" t="n"/>
      <c r="Z330" s="718" t="n"/>
      <c r="AA330" s="961" t="n"/>
      <c r="AB330" s="721" t="n"/>
      <c r="AC330" s="961" t="n"/>
      <c r="AD330" s="721" t="n"/>
      <c r="AE330" s="961" t="n"/>
      <c r="AF330" s="721" t="n"/>
      <c r="AG330" s="962" t="n"/>
      <c r="AH330" s="718" t="n"/>
      <c r="AI330" s="961" t="n"/>
      <c r="AJ330" s="721" t="n"/>
      <c r="AK330" s="961" t="n"/>
      <c r="AL330" s="721" t="n"/>
      <c r="AM330" s="961" t="n"/>
      <c r="AN330" s="721" t="n"/>
      <c r="AO330" s="962" t="n"/>
      <c r="AP330" s="718" t="n"/>
      <c r="AQ330" s="961" t="n"/>
      <c r="AR330" s="721" t="n"/>
      <c r="AS330" s="961" t="n"/>
      <c r="AT330" s="721" t="n"/>
      <c r="AU330" s="961" t="n"/>
      <c r="AV330" s="721" t="n"/>
      <c r="AW330" s="962" t="n"/>
      <c r="AX330" s="718" t="n"/>
      <c r="AY330" s="961" t="n"/>
      <c r="AZ330" s="721" t="n"/>
      <c r="BA330" s="961" t="n"/>
      <c r="BB330" s="721" t="n"/>
      <c r="BC330" s="961" t="n"/>
      <c r="BD330" s="721" t="n"/>
      <c r="BE330" s="962" t="n"/>
      <c r="BF330" s="718" t="n"/>
      <c r="BG330" s="961" t="n"/>
      <c r="BH330" s="717" t="n"/>
      <c r="BI330" s="963" t="n"/>
      <c r="BJ330" s="721" t="n"/>
      <c r="BK330" s="961" t="n"/>
      <c r="BL330" s="721" t="n"/>
      <c r="BM330" s="962" t="n"/>
    </row>
    <row r="331" ht="15" customFormat="1" customHeight="1" s="23">
      <c r="A331" s="721" t="n"/>
      <c r="B331" s="721" t="n"/>
      <c r="C331" s="961" t="n"/>
      <c r="D331" s="721" t="n"/>
      <c r="E331" s="961" t="n"/>
      <c r="F331" s="721" t="n"/>
      <c r="G331" s="961" t="n"/>
      <c r="H331" s="721" t="n"/>
      <c r="I331" s="962" t="n"/>
      <c r="J331" s="718" t="n"/>
      <c r="K331" s="961" t="n"/>
      <c r="L331" s="721" t="n"/>
      <c r="M331" s="961" t="n"/>
      <c r="N331" s="721" t="n"/>
      <c r="O331" s="961" t="n"/>
      <c r="P331" s="721" t="n"/>
      <c r="Q331" s="962" t="n"/>
      <c r="R331" s="718" t="n"/>
      <c r="S331" s="961" t="n"/>
      <c r="T331" s="721" t="n"/>
      <c r="U331" s="961" t="n"/>
      <c r="V331" s="721" t="n"/>
      <c r="W331" s="961" t="n"/>
      <c r="X331" s="721" t="n"/>
      <c r="Y331" s="962" t="n"/>
      <c r="Z331" s="718" t="n"/>
      <c r="AA331" s="961" t="n"/>
      <c r="AB331" s="721" t="n"/>
      <c r="AC331" s="961" t="n"/>
      <c r="AD331" s="721" t="n"/>
      <c r="AE331" s="961" t="n"/>
      <c r="AF331" s="721" t="n"/>
      <c r="AG331" s="962" t="n"/>
      <c r="AH331" s="718" t="n"/>
      <c r="AI331" s="961" t="n"/>
      <c r="AJ331" s="721" t="n"/>
      <c r="AK331" s="961" t="n"/>
      <c r="AL331" s="721" t="n"/>
      <c r="AM331" s="961" t="n"/>
      <c r="AN331" s="721" t="n"/>
      <c r="AO331" s="962" t="n"/>
      <c r="AP331" s="718" t="n"/>
      <c r="AQ331" s="961" t="n"/>
      <c r="AR331" s="721" t="n"/>
      <c r="AS331" s="961" t="n"/>
      <c r="AT331" s="721" t="n"/>
      <c r="AU331" s="961" t="n"/>
      <c r="AV331" s="721" t="n"/>
      <c r="AW331" s="962" t="n"/>
      <c r="AX331" s="718" t="n"/>
      <c r="AY331" s="961" t="n"/>
      <c r="AZ331" s="721" t="n"/>
      <c r="BA331" s="961" t="n"/>
      <c r="BB331" s="721" t="n"/>
      <c r="BC331" s="961" t="n"/>
      <c r="BD331" s="721" t="n"/>
      <c r="BE331" s="962" t="n"/>
      <c r="BF331" s="718" t="n"/>
      <c r="BG331" s="961" t="n"/>
      <c r="BH331" s="717" t="n"/>
      <c r="BI331" s="963" t="n"/>
      <c r="BJ331" s="721" t="n"/>
      <c r="BK331" s="961" t="n"/>
      <c r="BL331" s="721" t="n"/>
      <c r="BM331" s="962" t="n"/>
    </row>
    <row r="332" ht="15" customFormat="1" customHeight="1" s="23">
      <c r="A332" s="721" t="n"/>
      <c r="B332" s="721" t="n"/>
      <c r="C332" s="961" t="n"/>
      <c r="D332" s="721" t="n"/>
      <c r="E332" s="961" t="n"/>
      <c r="F332" s="721" t="n"/>
      <c r="G332" s="961" t="n"/>
      <c r="H332" s="721" t="n"/>
      <c r="I332" s="962" t="n"/>
      <c r="J332" s="718" t="n"/>
      <c r="K332" s="961" t="n"/>
      <c r="L332" s="721" t="n"/>
      <c r="M332" s="961" t="n"/>
      <c r="N332" s="721" t="n"/>
      <c r="O332" s="961" t="n"/>
      <c r="P332" s="721" t="n"/>
      <c r="Q332" s="962" t="n"/>
      <c r="R332" s="718" t="n"/>
      <c r="S332" s="961" t="n"/>
      <c r="T332" s="721" t="n"/>
      <c r="U332" s="961" t="n"/>
      <c r="V332" s="721" t="n"/>
      <c r="W332" s="961" t="n"/>
      <c r="X332" s="721" t="n"/>
      <c r="Y332" s="962" t="n"/>
      <c r="Z332" s="718" t="n"/>
      <c r="AA332" s="961" t="n"/>
      <c r="AB332" s="721" t="n"/>
      <c r="AC332" s="961" t="n"/>
      <c r="AD332" s="721" t="n"/>
      <c r="AE332" s="961" t="n"/>
      <c r="AF332" s="721" t="n"/>
      <c r="AG332" s="962" t="n"/>
      <c r="AH332" s="718" t="n"/>
      <c r="AI332" s="961" t="n"/>
      <c r="AJ332" s="721" t="n"/>
      <c r="AK332" s="961" t="n"/>
      <c r="AL332" s="721" t="n"/>
      <c r="AM332" s="961" t="n"/>
      <c r="AN332" s="721" t="n"/>
      <c r="AO332" s="962" t="n"/>
      <c r="AP332" s="718" t="n"/>
      <c r="AQ332" s="961" t="n"/>
      <c r="AR332" s="721" t="n"/>
      <c r="AS332" s="961" t="n"/>
      <c r="AT332" s="721" t="n"/>
      <c r="AU332" s="961" t="n"/>
      <c r="AV332" s="721" t="n"/>
      <c r="AW332" s="962" t="n"/>
      <c r="AX332" s="718" t="n"/>
      <c r="AY332" s="961" t="n"/>
      <c r="AZ332" s="721" t="n"/>
      <c r="BA332" s="961" t="n"/>
      <c r="BB332" s="721" t="n"/>
      <c r="BC332" s="961" t="n"/>
      <c r="BD332" s="721" t="n"/>
      <c r="BE332" s="962" t="n"/>
      <c r="BF332" s="718" t="n"/>
      <c r="BG332" s="961" t="n"/>
      <c r="BH332" s="717" t="n"/>
      <c r="BI332" s="963" t="n"/>
      <c r="BJ332" s="721" t="n"/>
      <c r="BK332" s="961" t="n"/>
      <c r="BL332" s="721" t="n"/>
      <c r="BM332" s="962" t="n"/>
    </row>
    <row r="333" ht="15" customFormat="1" customHeight="1" s="23">
      <c r="A333" s="721" t="n"/>
      <c r="B333" s="721" t="n"/>
      <c r="C333" s="961" t="n"/>
      <c r="D333" s="721" t="n"/>
      <c r="E333" s="961" t="n"/>
      <c r="F333" s="721" t="n"/>
      <c r="G333" s="961" t="n"/>
      <c r="H333" s="721" t="n"/>
      <c r="I333" s="962" t="n"/>
      <c r="J333" s="718" t="n"/>
      <c r="K333" s="961" t="n"/>
      <c r="L333" s="721" t="n"/>
      <c r="M333" s="961" t="n"/>
      <c r="N333" s="721" t="n"/>
      <c r="O333" s="961" t="n"/>
      <c r="P333" s="721" t="n"/>
      <c r="Q333" s="962" t="n"/>
      <c r="R333" s="718" t="n"/>
      <c r="S333" s="961" t="n"/>
      <c r="T333" s="721" t="n"/>
      <c r="U333" s="961" t="n"/>
      <c r="V333" s="721" t="n"/>
      <c r="W333" s="961" t="n"/>
      <c r="X333" s="721" t="n"/>
      <c r="Y333" s="962" t="n"/>
      <c r="Z333" s="718" t="n"/>
      <c r="AA333" s="961" t="n"/>
      <c r="AB333" s="721" t="n"/>
      <c r="AC333" s="961" t="n"/>
      <c r="AD333" s="721" t="n"/>
      <c r="AE333" s="961" t="n"/>
      <c r="AF333" s="721" t="n"/>
      <c r="AG333" s="962" t="n"/>
      <c r="AH333" s="718" t="n"/>
      <c r="AI333" s="961" t="n"/>
      <c r="AJ333" s="721" t="n"/>
      <c r="AK333" s="961" t="n"/>
      <c r="AL333" s="721" t="n"/>
      <c r="AM333" s="961" t="n"/>
      <c r="AN333" s="721" t="n"/>
      <c r="AO333" s="962" t="n"/>
      <c r="AP333" s="718" t="n"/>
      <c r="AQ333" s="961" t="n"/>
      <c r="AR333" s="721" t="n"/>
      <c r="AS333" s="961" t="n"/>
      <c r="AT333" s="721" t="n"/>
      <c r="AU333" s="961" t="n"/>
      <c r="AV333" s="721" t="n"/>
      <c r="AW333" s="962" t="n"/>
      <c r="AX333" s="718" t="n"/>
      <c r="AY333" s="961" t="n"/>
      <c r="AZ333" s="721" t="n"/>
      <c r="BA333" s="961" t="n"/>
      <c r="BB333" s="721" t="n"/>
      <c r="BC333" s="961" t="n"/>
      <c r="BD333" s="721" t="n"/>
      <c r="BE333" s="962" t="n"/>
      <c r="BF333" s="718" t="n"/>
      <c r="BG333" s="961" t="n"/>
      <c r="BH333" s="717" t="n"/>
      <c r="BI333" s="963" t="n"/>
      <c r="BJ333" s="721" t="n"/>
      <c r="BK333" s="961" t="n"/>
      <c r="BL333" s="721" t="n"/>
      <c r="BM333" s="962" t="n"/>
    </row>
    <row r="334" ht="15" customFormat="1" customHeight="1" s="23">
      <c r="A334" s="721" t="n"/>
      <c r="B334" s="721" t="n"/>
      <c r="C334" s="961" t="n"/>
      <c r="D334" s="721" t="n"/>
      <c r="E334" s="961" t="n"/>
      <c r="F334" s="721" t="n"/>
      <c r="G334" s="961" t="n"/>
      <c r="H334" s="721" t="n"/>
      <c r="I334" s="962" t="n"/>
      <c r="J334" s="718" t="n"/>
      <c r="K334" s="961" t="n"/>
      <c r="L334" s="721" t="n"/>
      <c r="M334" s="961" t="n"/>
      <c r="N334" s="721" t="n"/>
      <c r="O334" s="961" t="n"/>
      <c r="P334" s="721" t="n"/>
      <c r="Q334" s="962" t="n"/>
      <c r="R334" s="718" t="n"/>
      <c r="S334" s="961" t="n"/>
      <c r="T334" s="721" t="n"/>
      <c r="U334" s="961" t="n"/>
      <c r="V334" s="721" t="n"/>
      <c r="W334" s="961" t="n"/>
      <c r="X334" s="721" t="n"/>
      <c r="Y334" s="962" t="n"/>
      <c r="Z334" s="718" t="n"/>
      <c r="AA334" s="961" t="n"/>
      <c r="AB334" s="721" t="n"/>
      <c r="AC334" s="961" t="n"/>
      <c r="AD334" s="721" t="n"/>
      <c r="AE334" s="961" t="n"/>
      <c r="AF334" s="721" t="n"/>
      <c r="AG334" s="962" t="n"/>
      <c r="AH334" s="718" t="n"/>
      <c r="AI334" s="961" t="n"/>
      <c r="AJ334" s="721" t="n"/>
      <c r="AK334" s="961" t="n"/>
      <c r="AL334" s="721" t="n"/>
      <c r="AM334" s="961" t="n"/>
      <c r="AN334" s="721" t="n"/>
      <c r="AO334" s="962" t="n"/>
      <c r="AP334" s="718" t="n"/>
      <c r="AQ334" s="961" t="n"/>
      <c r="AR334" s="721" t="n"/>
      <c r="AS334" s="961" t="n"/>
      <c r="AT334" s="721" t="n"/>
      <c r="AU334" s="961" t="n"/>
      <c r="AV334" s="721" t="n"/>
      <c r="AW334" s="962" t="n"/>
      <c r="AX334" s="718" t="n"/>
      <c r="AY334" s="961" t="n"/>
      <c r="AZ334" s="721" t="n"/>
      <c r="BA334" s="961" t="n"/>
      <c r="BB334" s="721" t="n"/>
      <c r="BC334" s="961" t="n"/>
      <c r="BD334" s="721" t="n"/>
      <c r="BE334" s="962" t="n"/>
      <c r="BF334" s="718" t="n"/>
      <c r="BG334" s="961" t="n"/>
      <c r="BH334" s="717" t="n"/>
      <c r="BI334" s="963" t="n"/>
      <c r="BJ334" s="721" t="n"/>
      <c r="BK334" s="961" t="n"/>
      <c r="BL334" s="721" t="n"/>
      <c r="BM334" s="962" t="n"/>
    </row>
    <row r="335" ht="15" customFormat="1" customHeight="1" s="23">
      <c r="A335" s="721" t="n"/>
      <c r="B335" s="721" t="n"/>
      <c r="C335" s="961" t="n"/>
      <c r="D335" s="721" t="n"/>
      <c r="E335" s="961" t="n"/>
      <c r="F335" s="721" t="n"/>
      <c r="G335" s="961" t="n"/>
      <c r="H335" s="721" t="n"/>
      <c r="I335" s="962" t="n"/>
      <c r="J335" s="718" t="n"/>
      <c r="K335" s="961" t="n"/>
      <c r="L335" s="721" t="n"/>
      <c r="M335" s="961" t="n"/>
      <c r="N335" s="721" t="n"/>
      <c r="O335" s="961" t="n"/>
      <c r="P335" s="721" t="n"/>
      <c r="Q335" s="962" t="n"/>
      <c r="R335" s="718" t="n"/>
      <c r="S335" s="961" t="n"/>
      <c r="T335" s="721" t="n"/>
      <c r="U335" s="961" t="n"/>
      <c r="V335" s="721" t="n"/>
      <c r="W335" s="961" t="n"/>
      <c r="X335" s="721" t="n"/>
      <c r="Y335" s="962" t="n"/>
      <c r="Z335" s="718" t="n"/>
      <c r="AA335" s="961" t="n"/>
      <c r="AB335" s="721" t="n"/>
      <c r="AC335" s="961" t="n"/>
      <c r="AD335" s="721" t="n"/>
      <c r="AE335" s="961" t="n"/>
      <c r="AF335" s="721" t="n"/>
      <c r="AG335" s="962" t="n"/>
      <c r="AH335" s="718" t="n"/>
      <c r="AI335" s="961" t="n"/>
      <c r="AJ335" s="721" t="n"/>
      <c r="AK335" s="961" t="n"/>
      <c r="AL335" s="721" t="n"/>
      <c r="AM335" s="961" t="n"/>
      <c r="AN335" s="721" t="n"/>
      <c r="AO335" s="962" t="n"/>
      <c r="AP335" s="718" t="n"/>
      <c r="AQ335" s="961" t="n"/>
      <c r="AR335" s="721" t="n"/>
      <c r="AS335" s="961" t="n"/>
      <c r="AT335" s="721" t="n"/>
      <c r="AU335" s="961" t="n"/>
      <c r="AV335" s="721" t="n"/>
      <c r="AW335" s="962" t="n"/>
      <c r="AX335" s="718" t="n"/>
      <c r="AY335" s="961" t="n"/>
      <c r="AZ335" s="721" t="n"/>
      <c r="BA335" s="961" t="n"/>
      <c r="BB335" s="721" t="n"/>
      <c r="BC335" s="961" t="n"/>
      <c r="BD335" s="721" t="n"/>
      <c r="BE335" s="962" t="n"/>
      <c r="BF335" s="718" t="n"/>
      <c r="BG335" s="961" t="n"/>
      <c r="BH335" s="704" t="n"/>
      <c r="BI335" s="967" t="n"/>
      <c r="BJ335" s="721" t="n"/>
      <c r="BK335" s="961" t="n"/>
      <c r="BL335" s="721" t="n"/>
      <c r="BM335" s="962" t="n"/>
    </row>
    <row r="336" ht="15" customFormat="1" customHeight="1" s="23">
      <c r="A336" s="721" t="n"/>
      <c r="B336" s="721" t="n"/>
      <c r="C336" s="961" t="n"/>
      <c r="D336" s="721" t="n"/>
      <c r="E336" s="961" t="n"/>
      <c r="F336" s="721" t="n"/>
      <c r="G336" s="961" t="n"/>
      <c r="H336" s="721" t="n"/>
      <c r="I336" s="962" t="n"/>
      <c r="J336" s="718" t="n"/>
      <c r="K336" s="961" t="n"/>
      <c r="L336" s="721" t="n"/>
      <c r="M336" s="961" t="n"/>
      <c r="N336" s="721" t="n"/>
      <c r="O336" s="961" t="n"/>
      <c r="P336" s="721" t="n"/>
      <c r="Q336" s="962" t="n"/>
      <c r="R336" s="718" t="n"/>
      <c r="S336" s="961" t="n"/>
      <c r="T336" s="721" t="n"/>
      <c r="U336" s="961" t="n"/>
      <c r="V336" s="721" t="n"/>
      <c r="W336" s="961" t="n"/>
      <c r="X336" s="721" t="n"/>
      <c r="Y336" s="962" t="n"/>
      <c r="Z336" s="718" t="n"/>
      <c r="AA336" s="961" t="n"/>
      <c r="AB336" s="721" t="n"/>
      <c r="AC336" s="961" t="n"/>
      <c r="AD336" s="721" t="n"/>
      <c r="AE336" s="961" t="n"/>
      <c r="AF336" s="721" t="n"/>
      <c r="AG336" s="962" t="n"/>
      <c r="AH336" s="718" t="n"/>
      <c r="AI336" s="961" t="n"/>
      <c r="AJ336" s="721" t="n"/>
      <c r="AK336" s="961" t="n"/>
      <c r="AL336" s="721" t="n"/>
      <c r="AM336" s="961" t="n"/>
      <c r="AN336" s="721" t="n"/>
      <c r="AO336" s="962" t="n"/>
      <c r="AP336" s="718" t="n"/>
      <c r="AQ336" s="961" t="n"/>
      <c r="AR336" s="721" t="n"/>
      <c r="AS336" s="961" t="n"/>
      <c r="AT336" s="721" t="n"/>
      <c r="AU336" s="961" t="n"/>
      <c r="AV336" s="721" t="n"/>
      <c r="AW336" s="962" t="n"/>
      <c r="AX336" s="718" t="n"/>
      <c r="AY336" s="961" t="n"/>
      <c r="AZ336" s="721" t="n"/>
      <c r="BA336" s="961" t="n"/>
      <c r="BB336" s="721" t="n"/>
      <c r="BC336" s="961" t="n"/>
      <c r="BD336" s="721" t="n"/>
      <c r="BE336" s="962" t="n"/>
      <c r="BF336" s="718" t="n"/>
      <c r="BG336" s="961" t="n"/>
      <c r="BH336" s="704" t="n"/>
      <c r="BI336" s="967" t="n"/>
      <c r="BJ336" s="721" t="n"/>
      <c r="BK336" s="961" t="n"/>
      <c r="BL336" s="721" t="n"/>
      <c r="BM336" s="962" t="n"/>
    </row>
    <row r="337" ht="15" customFormat="1" customHeight="1" s="23">
      <c r="A337" s="721" t="n"/>
      <c r="B337" s="721" t="n"/>
      <c r="C337" s="961" t="n"/>
      <c r="D337" s="721" t="n"/>
      <c r="E337" s="961" t="n"/>
      <c r="F337" s="721" t="n"/>
      <c r="G337" s="961" t="n"/>
      <c r="H337" s="721" t="n"/>
      <c r="I337" s="962" t="n"/>
      <c r="J337" s="718" t="n"/>
      <c r="K337" s="961" t="n"/>
      <c r="L337" s="721" t="n"/>
      <c r="M337" s="961" t="n"/>
      <c r="N337" s="721" t="n"/>
      <c r="O337" s="961" t="n"/>
      <c r="P337" s="721" t="n"/>
      <c r="Q337" s="962" t="n"/>
      <c r="R337" s="718" t="n"/>
      <c r="S337" s="961" t="n"/>
      <c r="T337" s="721" t="n"/>
      <c r="U337" s="961" t="n"/>
      <c r="V337" s="721" t="n"/>
      <c r="W337" s="961" t="n"/>
      <c r="X337" s="721" t="n"/>
      <c r="Y337" s="962" t="n"/>
      <c r="Z337" s="718" t="n"/>
      <c r="AA337" s="961" t="n"/>
      <c r="AB337" s="721" t="n"/>
      <c r="AC337" s="961" t="n"/>
      <c r="AD337" s="721" t="n"/>
      <c r="AE337" s="961" t="n"/>
      <c r="AF337" s="721" t="n"/>
      <c r="AG337" s="962" t="n"/>
      <c r="AH337" s="718" t="n"/>
      <c r="AI337" s="961" t="n"/>
      <c r="AJ337" s="721" t="n"/>
      <c r="AK337" s="961" t="n"/>
      <c r="AL337" s="721" t="n"/>
      <c r="AM337" s="961" t="n"/>
      <c r="AN337" s="721" t="n"/>
      <c r="AO337" s="962" t="n"/>
      <c r="AP337" s="718" t="n"/>
      <c r="AQ337" s="961" t="n"/>
      <c r="AR337" s="721" t="n"/>
      <c r="AS337" s="961" t="n"/>
      <c r="AT337" s="721" t="n"/>
      <c r="AU337" s="961" t="n"/>
      <c r="AV337" s="721" t="n"/>
      <c r="AW337" s="962" t="n"/>
      <c r="AX337" s="718" t="n"/>
      <c r="AY337" s="961" t="n"/>
      <c r="AZ337" s="721" t="n"/>
      <c r="BA337" s="961" t="n"/>
      <c r="BB337" s="721" t="n"/>
      <c r="BC337" s="961" t="n"/>
      <c r="BD337" s="721" t="n"/>
      <c r="BE337" s="962" t="n"/>
      <c r="BF337" s="718" t="n"/>
      <c r="BG337" s="961" t="n"/>
      <c r="BH337" s="717" t="n"/>
      <c r="BI337" s="963" t="n"/>
      <c r="BJ337" s="721" t="n"/>
      <c r="BK337" s="961" t="n"/>
      <c r="BL337" s="721" t="n"/>
      <c r="BM337" s="962" t="n"/>
    </row>
    <row r="338" ht="15" customFormat="1" customHeight="1" s="18">
      <c r="A338" s="722" t="n"/>
      <c r="B338" s="721" t="n"/>
      <c r="C338" s="961" t="n"/>
      <c r="D338" s="721" t="n"/>
      <c r="E338" s="961" t="n"/>
      <c r="F338" s="721" t="n"/>
      <c r="G338" s="961" t="n"/>
      <c r="H338" s="721" t="n"/>
      <c r="I338" s="962" t="n"/>
      <c r="J338" s="718" t="n"/>
      <c r="K338" s="961" t="n"/>
      <c r="L338" s="721" t="n"/>
      <c r="M338" s="961" t="n"/>
      <c r="N338" s="721" t="n"/>
      <c r="O338" s="961" t="n"/>
      <c r="P338" s="721" t="n"/>
      <c r="Q338" s="962" t="n"/>
      <c r="R338" s="718" t="n"/>
      <c r="S338" s="961" t="n"/>
      <c r="T338" s="721" t="n"/>
      <c r="U338" s="961" t="n"/>
      <c r="V338" s="721" t="n"/>
      <c r="W338" s="961" t="n"/>
      <c r="X338" s="721" t="n"/>
      <c r="Y338" s="962" t="n"/>
      <c r="Z338" s="718" t="n"/>
      <c r="AA338" s="961" t="n"/>
      <c r="AB338" s="721" t="n"/>
      <c r="AC338" s="961" t="n"/>
      <c r="AD338" s="721" t="n"/>
      <c r="AE338" s="961" t="n"/>
      <c r="AF338" s="721" t="n"/>
      <c r="AG338" s="962" t="n"/>
      <c r="AH338" s="718" t="n"/>
      <c r="AI338" s="961" t="n"/>
      <c r="AJ338" s="721" t="n"/>
      <c r="AK338" s="961" t="n"/>
      <c r="AL338" s="721" t="n"/>
      <c r="AM338" s="961" t="n"/>
      <c r="AN338" s="721" t="n"/>
      <c r="AO338" s="962" t="n"/>
      <c r="AP338" s="718" t="n"/>
      <c r="AQ338" s="961" t="n"/>
      <c r="AR338" s="721" t="n"/>
      <c r="AS338" s="961" t="n"/>
      <c r="AT338" s="721" t="n"/>
      <c r="AU338" s="961" t="n"/>
      <c r="AV338" s="721" t="n"/>
      <c r="AW338" s="962" t="n"/>
      <c r="AX338" s="718" t="n"/>
      <c r="AY338" s="961" t="n"/>
      <c r="AZ338" s="721" t="n"/>
      <c r="BA338" s="961" t="n"/>
      <c r="BB338" s="721" t="n"/>
      <c r="BC338" s="961" t="n"/>
      <c r="BD338" s="721" t="n"/>
      <c r="BE338" s="962" t="n"/>
      <c r="BF338" s="718" t="n"/>
      <c r="BG338" s="961" t="n"/>
      <c r="BH338" s="717" t="n"/>
      <c r="BI338" s="963" t="n"/>
      <c r="BJ338" s="721" t="n"/>
      <c r="BK338" s="961" t="n"/>
      <c r="BL338" s="721" t="n"/>
      <c r="BM338" s="962" t="n"/>
    </row>
    <row r="339" ht="15" customFormat="1" customHeight="1" s="18">
      <c r="A339" s="722" t="n"/>
      <c r="B339" s="721" t="n"/>
      <c r="C339" s="961" t="n"/>
      <c r="D339" s="721" t="n"/>
      <c r="E339" s="961" t="n"/>
      <c r="F339" s="721" t="n"/>
      <c r="G339" s="961" t="n"/>
      <c r="H339" s="721" t="n"/>
      <c r="I339" s="962" t="n"/>
      <c r="J339" s="718" t="n"/>
      <c r="K339" s="961" t="n"/>
      <c r="L339" s="721" t="n"/>
      <c r="M339" s="961" t="n"/>
      <c r="N339" s="721" t="n"/>
      <c r="O339" s="961" t="n"/>
      <c r="P339" s="721" t="n"/>
      <c r="Q339" s="962" t="n"/>
      <c r="R339" s="718" t="n"/>
      <c r="S339" s="961" t="n"/>
      <c r="T339" s="721" t="n"/>
      <c r="U339" s="961" t="n"/>
      <c r="V339" s="721" t="n"/>
      <c r="W339" s="961" t="n"/>
      <c r="X339" s="721" t="n"/>
      <c r="Y339" s="962" t="n"/>
      <c r="Z339" s="718" t="n"/>
      <c r="AA339" s="961" t="n"/>
      <c r="AB339" s="721" t="n"/>
      <c r="AC339" s="961" t="n"/>
      <c r="AD339" s="721" t="n"/>
      <c r="AE339" s="961" t="n"/>
      <c r="AF339" s="721" t="n"/>
      <c r="AG339" s="962" t="n"/>
      <c r="AH339" s="718" t="n"/>
      <c r="AI339" s="961" t="n"/>
      <c r="AJ339" s="721" t="n"/>
      <c r="AK339" s="961" t="n"/>
      <c r="AL339" s="721" t="n"/>
      <c r="AM339" s="961" t="n"/>
      <c r="AN339" s="721" t="n"/>
      <c r="AO339" s="962" t="n"/>
      <c r="AP339" s="718" t="n"/>
      <c r="AQ339" s="961" t="n"/>
      <c r="AR339" s="721" t="n"/>
      <c r="AS339" s="961" t="n"/>
      <c r="AT339" s="721" t="n"/>
      <c r="AU339" s="961" t="n"/>
      <c r="AV339" s="721" t="n"/>
      <c r="AW339" s="962" t="n"/>
      <c r="AX339" s="718" t="n"/>
      <c r="AY339" s="961" t="n"/>
      <c r="AZ339" s="721" t="n"/>
      <c r="BA339" s="961" t="n"/>
      <c r="BB339" s="721" t="n"/>
      <c r="BC339" s="961" t="n"/>
      <c r="BD339" s="721" t="n"/>
      <c r="BE339" s="962" t="n"/>
      <c r="BF339" s="718" t="n"/>
      <c r="BG339" s="961" t="n"/>
      <c r="BH339" s="717" t="n"/>
      <c r="BI339" s="963" t="n"/>
      <c r="BJ339" s="721" t="n"/>
      <c r="BK339" s="961" t="n"/>
      <c r="BL339" s="721" t="n"/>
      <c r="BM339" s="962" t="n"/>
    </row>
    <row r="340" ht="15" customFormat="1" customHeight="1" s="20">
      <c r="A340" s="722" t="n"/>
      <c r="B340" s="721" t="n"/>
      <c r="C340" s="961" t="n"/>
      <c r="D340" s="721" t="n"/>
      <c r="E340" s="961" t="n"/>
      <c r="F340" s="721" t="n"/>
      <c r="G340" s="961" t="n"/>
      <c r="H340" s="721" t="n"/>
      <c r="I340" s="962" t="n"/>
      <c r="J340" s="718" t="n"/>
      <c r="K340" s="961" t="n"/>
      <c r="L340" s="721" t="n"/>
      <c r="M340" s="961" t="n"/>
      <c r="N340" s="721" t="n"/>
      <c r="O340" s="961" t="n"/>
      <c r="P340" s="721" t="n"/>
      <c r="Q340" s="962" t="n"/>
      <c r="R340" s="718" t="n"/>
      <c r="S340" s="961" t="n"/>
      <c r="T340" s="721" t="n"/>
      <c r="U340" s="961" t="n"/>
      <c r="V340" s="721" t="n"/>
      <c r="W340" s="961" t="n"/>
      <c r="X340" s="721" t="n"/>
      <c r="Y340" s="962" t="n"/>
      <c r="Z340" s="718" t="n"/>
      <c r="AA340" s="961" t="n"/>
      <c r="AB340" s="721" t="n"/>
      <c r="AC340" s="961" t="n"/>
      <c r="AD340" s="721" t="n"/>
      <c r="AE340" s="961" t="n"/>
      <c r="AF340" s="721" t="n"/>
      <c r="AG340" s="962" t="n"/>
      <c r="AH340" s="718" t="n"/>
      <c r="AI340" s="961" t="n"/>
      <c r="AJ340" s="721" t="n"/>
      <c r="AK340" s="961" t="n"/>
      <c r="AL340" s="721" t="n"/>
      <c r="AM340" s="961" t="n"/>
      <c r="AN340" s="721" t="n"/>
      <c r="AO340" s="962" t="n"/>
      <c r="AP340" s="718" t="n"/>
      <c r="AQ340" s="961" t="n"/>
      <c r="AR340" s="721" t="n"/>
      <c r="AS340" s="961" t="n"/>
      <c r="AT340" s="721" t="n"/>
      <c r="AU340" s="961" t="n"/>
      <c r="AV340" s="721" t="n"/>
      <c r="AW340" s="962" t="n"/>
      <c r="AX340" s="718" t="n"/>
      <c r="AY340" s="961" t="n"/>
      <c r="AZ340" s="721" t="n"/>
      <c r="BA340" s="961" t="n"/>
      <c r="BB340" s="721" t="n"/>
      <c r="BC340" s="961" t="n"/>
      <c r="BD340" s="721" t="n"/>
      <c r="BE340" s="962" t="n"/>
      <c r="BF340" s="718" t="n"/>
      <c r="BG340" s="961" t="n"/>
      <c r="BH340" s="717" t="n"/>
      <c r="BI340" s="963" t="n"/>
      <c r="BJ340" s="721" t="n"/>
      <c r="BK340" s="961" t="n"/>
      <c r="BL340" s="721" t="n"/>
      <c r="BM340" s="962" t="n"/>
    </row>
    <row r="341" ht="15" customFormat="1" customHeight="1" s="18">
      <c r="A341" s="722" t="n"/>
      <c r="B341" s="721" t="n"/>
      <c r="C341" s="961" t="n"/>
      <c r="D341" s="721" t="n"/>
      <c r="E341" s="961" t="n"/>
      <c r="F341" s="721" t="n"/>
      <c r="G341" s="961" t="n"/>
      <c r="H341" s="721" t="n"/>
      <c r="I341" s="962" t="n"/>
      <c r="J341" s="718" t="n"/>
      <c r="K341" s="961" t="n"/>
      <c r="L341" s="721" t="n"/>
      <c r="M341" s="961" t="n"/>
      <c r="N341" s="721" t="n"/>
      <c r="O341" s="961" t="n"/>
      <c r="P341" s="721" t="n"/>
      <c r="Q341" s="962" t="n"/>
      <c r="R341" s="718" t="n"/>
      <c r="S341" s="961" t="n"/>
      <c r="T341" s="721" t="n"/>
      <c r="U341" s="961" t="n"/>
      <c r="V341" s="721" t="n"/>
      <c r="W341" s="961" t="n"/>
      <c r="X341" s="721" t="n"/>
      <c r="Y341" s="962" t="n"/>
      <c r="Z341" s="718" t="n"/>
      <c r="AA341" s="961" t="n"/>
      <c r="AB341" s="721" t="n"/>
      <c r="AC341" s="961" t="n"/>
      <c r="AD341" s="721" t="n"/>
      <c r="AE341" s="961" t="n"/>
      <c r="AF341" s="721" t="n"/>
      <c r="AG341" s="962" t="n"/>
      <c r="AH341" s="718" t="n"/>
      <c r="AI341" s="961" t="n"/>
      <c r="AJ341" s="721" t="n"/>
      <c r="AK341" s="961" t="n"/>
      <c r="AL341" s="721" t="n"/>
      <c r="AM341" s="961" t="n"/>
      <c r="AN341" s="721" t="n"/>
      <c r="AO341" s="962" t="n"/>
      <c r="AP341" s="718" t="n"/>
      <c r="AQ341" s="961" t="n"/>
      <c r="AR341" s="721" t="n"/>
      <c r="AS341" s="961" t="n"/>
      <c r="AT341" s="721" t="n"/>
      <c r="AU341" s="961" t="n"/>
      <c r="AV341" s="721" t="n"/>
      <c r="AW341" s="962" t="n"/>
      <c r="AX341" s="718" t="n"/>
      <c r="AY341" s="961" t="n"/>
      <c r="AZ341" s="721" t="n"/>
      <c r="BA341" s="961" t="n"/>
      <c r="BB341" s="721" t="n"/>
      <c r="BC341" s="961" t="n"/>
      <c r="BD341" s="721" t="n"/>
      <c r="BE341" s="962" t="n"/>
      <c r="BF341" s="718" t="n"/>
      <c r="BG341" s="961" t="n"/>
      <c r="BH341" s="717" t="n"/>
      <c r="BI341" s="963" t="n"/>
      <c r="BJ341" s="721" t="n"/>
      <c r="BK341" s="961" t="n"/>
      <c r="BL341" s="721" t="n"/>
      <c r="BM341" s="962" t="n"/>
    </row>
    <row r="342" ht="15" customFormat="1" customHeight="1" s="18">
      <c r="A342" s="722" t="n"/>
      <c r="B342" s="721" t="n"/>
      <c r="C342" s="961" t="n"/>
      <c r="D342" s="721" t="n"/>
      <c r="E342" s="961" t="n"/>
      <c r="F342" s="721" t="n"/>
      <c r="G342" s="961" t="n"/>
      <c r="H342" s="721" t="n"/>
      <c r="I342" s="962" t="n"/>
      <c r="J342" s="718" t="n"/>
      <c r="K342" s="961" t="n"/>
      <c r="L342" s="721" t="n"/>
      <c r="M342" s="961" t="n"/>
      <c r="N342" s="721" t="n"/>
      <c r="O342" s="961" t="n"/>
      <c r="P342" s="721" t="n"/>
      <c r="Q342" s="962" t="n"/>
      <c r="R342" s="718" t="n"/>
      <c r="S342" s="961" t="n"/>
      <c r="T342" s="721" t="n"/>
      <c r="U342" s="961" t="n"/>
      <c r="V342" s="721" t="n"/>
      <c r="W342" s="961" t="n"/>
      <c r="X342" s="721" t="n"/>
      <c r="Y342" s="962" t="n"/>
      <c r="Z342" s="718" t="n"/>
      <c r="AA342" s="961" t="n"/>
      <c r="AB342" s="721" t="n"/>
      <c r="AC342" s="961" t="n"/>
      <c r="AD342" s="721" t="n"/>
      <c r="AE342" s="961" t="n"/>
      <c r="AF342" s="721" t="n"/>
      <c r="AG342" s="962" t="n"/>
      <c r="AH342" s="718" t="n"/>
      <c r="AI342" s="961" t="n"/>
      <c r="AJ342" s="721" t="n"/>
      <c r="AK342" s="961" t="n"/>
      <c r="AL342" s="721" t="n"/>
      <c r="AM342" s="961" t="n"/>
      <c r="AN342" s="721" t="n"/>
      <c r="AO342" s="962" t="n"/>
      <c r="AP342" s="718" t="n"/>
      <c r="AQ342" s="961" t="n"/>
      <c r="AR342" s="721" t="n"/>
      <c r="AS342" s="961" t="n"/>
      <c r="AT342" s="721" t="n"/>
      <c r="AU342" s="961" t="n"/>
      <c r="AV342" s="721" t="n"/>
      <c r="AW342" s="962" t="n"/>
      <c r="AX342" s="718" t="n"/>
      <c r="AY342" s="961" t="n"/>
      <c r="AZ342" s="721" t="n"/>
      <c r="BA342" s="961" t="n"/>
      <c r="BB342" s="721" t="n"/>
      <c r="BC342" s="961" t="n"/>
      <c r="BD342" s="721" t="n"/>
      <c r="BE342" s="962" t="n"/>
      <c r="BF342" s="718" t="n"/>
      <c r="BG342" s="961" t="n"/>
      <c r="BH342" s="717" t="n"/>
      <c r="BI342" s="963" t="n"/>
      <c r="BJ342" s="721" t="n"/>
      <c r="BK342" s="961" t="n"/>
      <c r="BL342" s="721" t="n"/>
      <c r="BM342" s="962" t="n"/>
    </row>
    <row r="343" ht="15" customFormat="1" customHeight="1" s="18">
      <c r="A343" s="722" t="n"/>
      <c r="B343" s="721" t="n"/>
      <c r="C343" s="961" t="n"/>
      <c r="D343" s="721" t="n"/>
      <c r="E343" s="961" t="n"/>
      <c r="F343" s="721" t="n"/>
      <c r="G343" s="961" t="n"/>
      <c r="H343" s="721" t="n"/>
      <c r="I343" s="962" t="n"/>
      <c r="J343" s="718" t="n"/>
      <c r="K343" s="961" t="n"/>
      <c r="L343" s="721" t="n"/>
      <c r="M343" s="961" t="n"/>
      <c r="N343" s="721" t="n"/>
      <c r="O343" s="961" t="n"/>
      <c r="P343" s="721" t="n"/>
      <c r="Q343" s="962" t="n"/>
      <c r="R343" s="718" t="n"/>
      <c r="S343" s="961" t="n"/>
      <c r="T343" s="721" t="n"/>
      <c r="U343" s="961" t="n"/>
      <c r="V343" s="721" t="n"/>
      <c r="W343" s="961" t="n"/>
      <c r="X343" s="721" t="n"/>
      <c r="Y343" s="962" t="n"/>
      <c r="Z343" s="718" t="n"/>
      <c r="AA343" s="961" t="n"/>
      <c r="AB343" s="721" t="n"/>
      <c r="AC343" s="961" t="n"/>
      <c r="AD343" s="721" t="n"/>
      <c r="AE343" s="961" t="n"/>
      <c r="AF343" s="721" t="n"/>
      <c r="AG343" s="962" t="n"/>
      <c r="AH343" s="718" t="n"/>
      <c r="AI343" s="961" t="n"/>
      <c r="AJ343" s="721" t="n"/>
      <c r="AK343" s="961" t="n"/>
      <c r="AL343" s="721" t="n"/>
      <c r="AM343" s="961" t="n"/>
      <c r="AN343" s="721" t="n"/>
      <c r="AO343" s="962" t="n"/>
      <c r="AP343" s="718" t="n"/>
      <c r="AQ343" s="961" t="n"/>
      <c r="AR343" s="721" t="n"/>
      <c r="AS343" s="961" t="n"/>
      <c r="AT343" s="721" t="n"/>
      <c r="AU343" s="961" t="n"/>
      <c r="AV343" s="721" t="n"/>
      <c r="AW343" s="962" t="n"/>
      <c r="AX343" s="718" t="n"/>
      <c r="AY343" s="961" t="n"/>
      <c r="AZ343" s="721" t="n"/>
      <c r="BA343" s="961" t="n"/>
      <c r="BB343" s="721" t="n"/>
      <c r="BC343" s="961" t="n"/>
      <c r="BD343" s="721" t="n"/>
      <c r="BE343" s="962" t="n"/>
      <c r="BF343" s="718" t="n"/>
      <c r="BG343" s="961" t="n"/>
      <c r="BH343" s="717" t="n"/>
      <c r="BI343" s="963" t="n"/>
      <c r="BJ343" s="721" t="n"/>
      <c r="BK343" s="961" t="n"/>
      <c r="BL343" s="721" t="n"/>
      <c r="BM343" s="962" t="n"/>
    </row>
    <row r="344" ht="15" customFormat="1" customHeight="1" s="18">
      <c r="A344" s="722" t="n"/>
      <c r="B344" s="721" t="n"/>
      <c r="C344" s="961" t="n"/>
      <c r="D344" s="721" t="n"/>
      <c r="E344" s="961" t="n"/>
      <c r="F344" s="721" t="n"/>
      <c r="G344" s="961" t="n"/>
      <c r="H344" s="721" t="n"/>
      <c r="I344" s="962" t="n"/>
      <c r="J344" s="718" t="n"/>
      <c r="K344" s="961" t="n"/>
      <c r="L344" s="721" t="n"/>
      <c r="M344" s="961" t="n"/>
      <c r="N344" s="721" t="n"/>
      <c r="O344" s="961" t="n"/>
      <c r="P344" s="721" t="n"/>
      <c r="Q344" s="962" t="n"/>
      <c r="R344" s="718" t="n"/>
      <c r="S344" s="961" t="n"/>
      <c r="T344" s="721" t="n"/>
      <c r="U344" s="961" t="n"/>
      <c r="V344" s="721" t="n"/>
      <c r="W344" s="961" t="n"/>
      <c r="X344" s="721" t="n"/>
      <c r="Y344" s="962" t="n"/>
      <c r="Z344" s="718" t="n"/>
      <c r="AA344" s="961" t="n"/>
      <c r="AB344" s="721" t="n"/>
      <c r="AC344" s="961" t="n"/>
      <c r="AD344" s="721" t="n"/>
      <c r="AE344" s="961" t="n"/>
      <c r="AF344" s="721" t="n"/>
      <c r="AG344" s="962" t="n"/>
      <c r="AH344" s="718" t="n"/>
      <c r="AI344" s="961" t="n"/>
      <c r="AJ344" s="721" t="n"/>
      <c r="AK344" s="961" t="n"/>
      <c r="AL344" s="721" t="n"/>
      <c r="AM344" s="961" t="n"/>
      <c r="AN344" s="721" t="n"/>
      <c r="AO344" s="962" t="n"/>
      <c r="AP344" s="718" t="n"/>
      <c r="AQ344" s="961" t="n"/>
      <c r="AR344" s="721" t="n"/>
      <c r="AS344" s="961" t="n"/>
      <c r="AT344" s="721" t="n"/>
      <c r="AU344" s="961" t="n"/>
      <c r="AV344" s="721" t="n"/>
      <c r="AW344" s="962" t="n"/>
      <c r="AX344" s="718" t="n"/>
      <c r="AY344" s="961" t="n"/>
      <c r="AZ344" s="721" t="n"/>
      <c r="BA344" s="961" t="n"/>
      <c r="BB344" s="721" t="n"/>
      <c r="BC344" s="961" t="n"/>
      <c r="BD344" s="721" t="n"/>
      <c r="BE344" s="962" t="n"/>
      <c r="BF344" s="718" t="n"/>
      <c r="BG344" s="961" t="n"/>
      <c r="BH344" s="717" t="n"/>
      <c r="BI344" s="963" t="n"/>
      <c r="BJ344" s="721" t="n"/>
      <c r="BK344" s="961" t="n"/>
      <c r="BL344" s="721" t="n"/>
      <c r="BM344" s="962" t="n"/>
    </row>
    <row r="345" ht="15" customFormat="1" customHeight="1" s="18">
      <c r="A345" s="722" t="n"/>
      <c r="B345" s="721" t="n"/>
      <c r="C345" s="961" t="n"/>
      <c r="D345" s="721" t="n"/>
      <c r="E345" s="961" t="n"/>
      <c r="F345" s="721" t="n"/>
      <c r="G345" s="961" t="n"/>
      <c r="H345" s="721" t="n"/>
      <c r="I345" s="962" t="n"/>
      <c r="J345" s="718" t="n"/>
      <c r="K345" s="961" t="n"/>
      <c r="L345" s="721" t="n"/>
      <c r="M345" s="961" t="n"/>
      <c r="N345" s="721" t="n"/>
      <c r="O345" s="961" t="n"/>
      <c r="P345" s="721" t="n"/>
      <c r="Q345" s="962" t="n"/>
      <c r="R345" s="718" t="n"/>
      <c r="S345" s="961" t="n"/>
      <c r="T345" s="721" t="n"/>
      <c r="U345" s="961" t="n"/>
      <c r="V345" s="721" t="n"/>
      <c r="W345" s="961" t="n"/>
      <c r="X345" s="721" t="n"/>
      <c r="Y345" s="962" t="n"/>
      <c r="Z345" s="718" t="n"/>
      <c r="AA345" s="961" t="n"/>
      <c r="AB345" s="721" t="n"/>
      <c r="AC345" s="961" t="n"/>
      <c r="AD345" s="721" t="n"/>
      <c r="AE345" s="961" t="n"/>
      <c r="AF345" s="721" t="n"/>
      <c r="AG345" s="962" t="n"/>
      <c r="AH345" s="718" t="n"/>
      <c r="AI345" s="961" t="n"/>
      <c r="AJ345" s="721" t="n"/>
      <c r="AK345" s="961" t="n"/>
      <c r="AL345" s="721" t="n"/>
      <c r="AM345" s="961" t="n"/>
      <c r="AN345" s="721" t="n"/>
      <c r="AO345" s="962" t="n"/>
      <c r="AP345" s="718" t="n"/>
      <c r="AQ345" s="961" t="n"/>
      <c r="AR345" s="721" t="n"/>
      <c r="AS345" s="961" t="n"/>
      <c r="AT345" s="721" t="n"/>
      <c r="AU345" s="961" t="n"/>
      <c r="AV345" s="721" t="n"/>
      <c r="AW345" s="962" t="n"/>
      <c r="AX345" s="718" t="n"/>
      <c r="AY345" s="961" t="n"/>
      <c r="AZ345" s="721" t="n"/>
      <c r="BA345" s="961" t="n"/>
      <c r="BB345" s="721" t="n"/>
      <c r="BC345" s="961" t="n"/>
      <c r="BD345" s="721" t="n"/>
      <c r="BE345" s="962" t="n"/>
      <c r="BF345" s="718" t="n"/>
      <c r="BG345" s="961" t="n"/>
      <c r="BH345" s="717" t="n"/>
      <c r="BI345" s="963" t="n"/>
      <c r="BJ345" s="721" t="n"/>
      <c r="BK345" s="961" t="n"/>
      <c r="BL345" s="721" t="n"/>
      <c r="BM345" s="962" t="n"/>
    </row>
    <row r="346" ht="15" customFormat="1" customHeight="1" s="18">
      <c r="A346" s="722" t="n"/>
      <c r="B346" s="721" t="n"/>
      <c r="C346" s="961" t="n"/>
      <c r="D346" s="721" t="n"/>
      <c r="E346" s="961" t="n"/>
      <c r="F346" s="721" t="n"/>
      <c r="G346" s="961" t="n"/>
      <c r="H346" s="721" t="n"/>
      <c r="I346" s="962" t="n"/>
      <c r="J346" s="718" t="n"/>
      <c r="K346" s="961" t="n"/>
      <c r="L346" s="721" t="n"/>
      <c r="M346" s="961" t="n"/>
      <c r="N346" s="721" t="n"/>
      <c r="O346" s="961" t="n"/>
      <c r="P346" s="721" t="n"/>
      <c r="Q346" s="962" t="n"/>
      <c r="R346" s="718" t="n"/>
      <c r="S346" s="961" t="n"/>
      <c r="T346" s="721" t="n"/>
      <c r="U346" s="961" t="n"/>
      <c r="V346" s="721" t="n"/>
      <c r="W346" s="961" t="n"/>
      <c r="X346" s="721" t="n"/>
      <c r="Y346" s="962" t="n"/>
      <c r="Z346" s="718" t="n"/>
      <c r="AA346" s="961" t="n"/>
      <c r="AB346" s="721" t="n"/>
      <c r="AC346" s="961" t="n"/>
      <c r="AD346" s="721" t="n"/>
      <c r="AE346" s="961" t="n"/>
      <c r="AF346" s="721" t="n"/>
      <c r="AG346" s="962" t="n"/>
      <c r="AH346" s="718" t="n"/>
      <c r="AI346" s="961" t="n"/>
      <c r="AJ346" s="721" t="n"/>
      <c r="AK346" s="961" t="n"/>
      <c r="AL346" s="721" t="n"/>
      <c r="AM346" s="961" t="n"/>
      <c r="AN346" s="721" t="n"/>
      <c r="AO346" s="962" t="n"/>
      <c r="AP346" s="718" t="n"/>
      <c r="AQ346" s="961" t="n"/>
      <c r="AR346" s="721" t="n"/>
      <c r="AS346" s="961" t="n"/>
      <c r="AT346" s="721" t="n"/>
      <c r="AU346" s="961" t="n"/>
      <c r="AV346" s="721" t="n"/>
      <c r="AW346" s="962" t="n"/>
      <c r="AX346" s="718" t="n"/>
      <c r="AY346" s="961" t="n"/>
      <c r="AZ346" s="721" t="n"/>
      <c r="BA346" s="961" t="n"/>
      <c r="BB346" s="721" t="n"/>
      <c r="BC346" s="961" t="n"/>
      <c r="BD346" s="721" t="n"/>
      <c r="BE346" s="962" t="n"/>
      <c r="BF346" s="718" t="n"/>
      <c r="BG346" s="961" t="n"/>
      <c r="BH346" s="717" t="n"/>
      <c r="BI346" s="963" t="n"/>
      <c r="BJ346" s="721" t="n"/>
      <c r="BK346" s="961" t="n"/>
      <c r="BL346" s="721" t="n"/>
      <c r="BM346" s="962" t="n"/>
    </row>
    <row r="347" ht="15" customFormat="1" customHeight="1" s="18">
      <c r="A347" s="722" t="n"/>
      <c r="B347" s="721" t="n"/>
      <c r="C347" s="961" t="n"/>
      <c r="D347" s="721" t="n"/>
      <c r="E347" s="961" t="n"/>
      <c r="F347" s="721" t="n"/>
      <c r="G347" s="961" t="n"/>
      <c r="H347" s="721" t="n"/>
      <c r="I347" s="962" t="n"/>
      <c r="J347" s="718" t="n"/>
      <c r="K347" s="961" t="n"/>
      <c r="L347" s="721" t="n"/>
      <c r="M347" s="961" t="n"/>
      <c r="N347" s="721" t="n"/>
      <c r="O347" s="961" t="n"/>
      <c r="P347" s="721" t="n"/>
      <c r="Q347" s="962" t="n"/>
      <c r="R347" s="718" t="n"/>
      <c r="S347" s="961" t="n"/>
      <c r="T347" s="721" t="n"/>
      <c r="U347" s="961" t="n"/>
      <c r="V347" s="721" t="n"/>
      <c r="W347" s="961" t="n"/>
      <c r="X347" s="721" t="n"/>
      <c r="Y347" s="962" t="n"/>
      <c r="Z347" s="718" t="n"/>
      <c r="AA347" s="961" t="n"/>
      <c r="AB347" s="721" t="n"/>
      <c r="AC347" s="961" t="n"/>
      <c r="AD347" s="721" t="n"/>
      <c r="AE347" s="961" t="n"/>
      <c r="AF347" s="721" t="n"/>
      <c r="AG347" s="962" t="n"/>
      <c r="AH347" s="718" t="n"/>
      <c r="AI347" s="961" t="n"/>
      <c r="AJ347" s="721" t="n"/>
      <c r="AK347" s="961" t="n"/>
      <c r="AL347" s="721" t="n"/>
      <c r="AM347" s="961" t="n"/>
      <c r="AN347" s="721" t="n"/>
      <c r="AO347" s="962" t="n"/>
      <c r="AP347" s="718" t="n"/>
      <c r="AQ347" s="961" t="n"/>
      <c r="AR347" s="721" t="n"/>
      <c r="AS347" s="961" t="n"/>
      <c r="AT347" s="721" t="n"/>
      <c r="AU347" s="961" t="n"/>
      <c r="AV347" s="721" t="n"/>
      <c r="AW347" s="962" t="n"/>
      <c r="AX347" s="718" t="n"/>
      <c r="AY347" s="961" t="n"/>
      <c r="AZ347" s="721" t="n"/>
      <c r="BA347" s="961" t="n"/>
      <c r="BB347" s="721" t="n"/>
      <c r="BC347" s="961" t="n"/>
      <c r="BD347" s="721" t="n"/>
      <c r="BE347" s="962" t="n"/>
      <c r="BF347" s="718" t="n"/>
      <c r="BG347" s="961" t="n"/>
      <c r="BH347" s="717" t="n"/>
      <c r="BI347" s="963" t="n"/>
      <c r="BJ347" s="721" t="n"/>
      <c r="BK347" s="961" t="n"/>
      <c r="BL347" s="721" t="n"/>
      <c r="BM347" s="962" t="n"/>
    </row>
    <row r="348" ht="15" customFormat="1" customHeight="1" s="18">
      <c r="A348" s="722" t="n"/>
      <c r="B348" s="721" t="n"/>
      <c r="C348" s="961" t="n"/>
      <c r="D348" s="721" t="n"/>
      <c r="E348" s="961" t="n"/>
      <c r="F348" s="721" t="n"/>
      <c r="G348" s="961" t="n"/>
      <c r="H348" s="721" t="n"/>
      <c r="I348" s="962" t="n"/>
      <c r="J348" s="718" t="n"/>
      <c r="K348" s="961" t="n"/>
      <c r="L348" s="721" t="n"/>
      <c r="M348" s="961" t="n"/>
      <c r="N348" s="721" t="n"/>
      <c r="O348" s="961" t="n"/>
      <c r="P348" s="721" t="n"/>
      <c r="Q348" s="962" t="n"/>
      <c r="R348" s="718" t="n"/>
      <c r="S348" s="961" t="n"/>
      <c r="T348" s="721" t="n"/>
      <c r="U348" s="961" t="n"/>
      <c r="V348" s="721" t="n"/>
      <c r="W348" s="961" t="n"/>
      <c r="X348" s="721" t="n"/>
      <c r="Y348" s="962" t="n"/>
      <c r="Z348" s="718" t="n"/>
      <c r="AA348" s="961" t="n"/>
      <c r="AB348" s="721" t="n"/>
      <c r="AC348" s="961" t="n"/>
      <c r="AD348" s="721" t="n"/>
      <c r="AE348" s="961" t="n"/>
      <c r="AF348" s="721" t="n"/>
      <c r="AG348" s="962" t="n"/>
      <c r="AH348" s="718" t="n"/>
      <c r="AI348" s="961" t="n"/>
      <c r="AJ348" s="721" t="n"/>
      <c r="AK348" s="961" t="n"/>
      <c r="AL348" s="721" t="n"/>
      <c r="AM348" s="961" t="n"/>
      <c r="AN348" s="721" t="n"/>
      <c r="AO348" s="962" t="n"/>
      <c r="AP348" s="718" t="n"/>
      <c r="AQ348" s="961" t="n"/>
      <c r="AR348" s="721" t="n"/>
      <c r="AS348" s="961" t="n"/>
      <c r="AT348" s="721" t="n"/>
      <c r="AU348" s="961" t="n"/>
      <c r="AV348" s="721" t="n"/>
      <c r="AW348" s="962" t="n"/>
      <c r="AX348" s="718" t="n"/>
      <c r="AY348" s="961" t="n"/>
      <c r="AZ348" s="721" t="n"/>
      <c r="BA348" s="961" t="n"/>
      <c r="BB348" s="721" t="n"/>
      <c r="BC348" s="961" t="n"/>
      <c r="BD348" s="721" t="n"/>
      <c r="BE348" s="962" t="n"/>
      <c r="BF348" s="718" t="n"/>
      <c r="BG348" s="961" t="n"/>
      <c r="BH348" s="717" t="n"/>
      <c r="BI348" s="963" t="n"/>
      <c r="BJ348" s="721" t="n"/>
      <c r="BK348" s="961" t="n"/>
      <c r="BL348" s="721" t="n"/>
      <c r="BM348" s="962" t="n"/>
    </row>
    <row r="349" ht="15" customFormat="1" customHeight="1" s="18">
      <c r="A349" s="722" t="n"/>
      <c r="B349" s="721" t="n"/>
      <c r="C349" s="961" t="n"/>
      <c r="D349" s="721" t="n"/>
      <c r="E349" s="961" t="n"/>
      <c r="F349" s="721" t="n"/>
      <c r="G349" s="961" t="n"/>
      <c r="H349" s="721" t="n"/>
      <c r="I349" s="962" t="n"/>
      <c r="J349" s="718" t="n"/>
      <c r="K349" s="961" t="n"/>
      <c r="L349" s="721" t="n"/>
      <c r="M349" s="961" t="n"/>
      <c r="N349" s="721" t="n"/>
      <c r="O349" s="961" t="n"/>
      <c r="P349" s="721" t="n"/>
      <c r="Q349" s="962" t="n"/>
      <c r="R349" s="718" t="n"/>
      <c r="S349" s="961" t="n"/>
      <c r="T349" s="721" t="n"/>
      <c r="U349" s="961" t="n"/>
      <c r="V349" s="721" t="n"/>
      <c r="W349" s="961" t="n"/>
      <c r="X349" s="721" t="n"/>
      <c r="Y349" s="962" t="n"/>
      <c r="Z349" s="718" t="n"/>
      <c r="AA349" s="961" t="n"/>
      <c r="AB349" s="721" t="n"/>
      <c r="AC349" s="961" t="n"/>
      <c r="AD349" s="721" t="n"/>
      <c r="AE349" s="961" t="n"/>
      <c r="AF349" s="721" t="n"/>
      <c r="AG349" s="962" t="n"/>
      <c r="AH349" s="718" t="n"/>
      <c r="AI349" s="961" t="n"/>
      <c r="AJ349" s="721" t="n"/>
      <c r="AK349" s="961" t="n"/>
      <c r="AL349" s="721" t="n"/>
      <c r="AM349" s="961" t="n"/>
      <c r="AN349" s="721" t="n"/>
      <c r="AO349" s="962" t="n"/>
      <c r="AP349" s="718" t="n"/>
      <c r="AQ349" s="961" t="n"/>
      <c r="AR349" s="721" t="n"/>
      <c r="AS349" s="961" t="n"/>
      <c r="AT349" s="721" t="n"/>
      <c r="AU349" s="961" t="n"/>
      <c r="AV349" s="721" t="n"/>
      <c r="AW349" s="962" t="n"/>
      <c r="AX349" s="718" t="n"/>
      <c r="AY349" s="961" t="n"/>
      <c r="AZ349" s="721" t="n"/>
      <c r="BA349" s="961" t="n"/>
      <c r="BB349" s="721" t="n"/>
      <c r="BC349" s="961" t="n"/>
      <c r="BD349" s="721" t="n"/>
      <c r="BE349" s="962" t="n"/>
      <c r="BF349" s="718" t="n"/>
      <c r="BG349" s="961" t="n"/>
      <c r="BH349" s="717" t="n"/>
      <c r="BI349" s="963" t="n"/>
      <c r="BJ349" s="721" t="n"/>
      <c r="BK349" s="961" t="n"/>
      <c r="BL349" s="721" t="n"/>
      <c r="BM349" s="962" t="n"/>
    </row>
    <row r="350" ht="15" customFormat="1" customHeight="1" s="18">
      <c r="A350" s="722" t="n"/>
      <c r="B350" s="721" t="n"/>
      <c r="C350" s="961" t="n"/>
      <c r="D350" s="721" t="n"/>
      <c r="E350" s="961" t="n"/>
      <c r="F350" s="721" t="n"/>
      <c r="G350" s="961" t="n"/>
      <c r="H350" s="721" t="n"/>
      <c r="I350" s="962" t="n"/>
      <c r="J350" s="718" t="n"/>
      <c r="K350" s="961" t="n"/>
      <c r="L350" s="721" t="n"/>
      <c r="M350" s="961" t="n"/>
      <c r="N350" s="721" t="n"/>
      <c r="O350" s="961" t="n"/>
      <c r="P350" s="721" t="n"/>
      <c r="Q350" s="962" t="n"/>
      <c r="R350" s="718" t="n"/>
      <c r="S350" s="961" t="n"/>
      <c r="T350" s="721" t="n"/>
      <c r="U350" s="961" t="n"/>
      <c r="V350" s="721" t="n"/>
      <c r="W350" s="961" t="n"/>
      <c r="X350" s="721" t="n"/>
      <c r="Y350" s="962" t="n"/>
      <c r="Z350" s="718" t="n"/>
      <c r="AA350" s="961" t="n"/>
      <c r="AB350" s="721" t="n"/>
      <c r="AC350" s="961" t="n"/>
      <c r="AD350" s="721" t="n"/>
      <c r="AE350" s="961" t="n"/>
      <c r="AF350" s="721" t="n"/>
      <c r="AG350" s="962" t="n"/>
      <c r="AH350" s="718" t="n"/>
      <c r="AI350" s="961" t="n"/>
      <c r="AJ350" s="721" t="n"/>
      <c r="AK350" s="961" t="n"/>
      <c r="AL350" s="721" t="n"/>
      <c r="AM350" s="961" t="n"/>
      <c r="AN350" s="721" t="n"/>
      <c r="AO350" s="962" t="n"/>
      <c r="AP350" s="718" t="n"/>
      <c r="AQ350" s="961" t="n"/>
      <c r="AR350" s="721" t="n"/>
      <c r="AS350" s="961" t="n"/>
      <c r="AT350" s="721" t="n"/>
      <c r="AU350" s="961" t="n"/>
      <c r="AV350" s="721" t="n"/>
      <c r="AW350" s="962" t="n"/>
      <c r="AX350" s="718" t="n"/>
      <c r="AY350" s="961" t="n"/>
      <c r="AZ350" s="721" t="n"/>
      <c r="BA350" s="961" t="n"/>
      <c r="BB350" s="721" t="n"/>
      <c r="BC350" s="961" t="n"/>
      <c r="BD350" s="721" t="n"/>
      <c r="BE350" s="962" t="n"/>
      <c r="BF350" s="718" t="n"/>
      <c r="BG350" s="961" t="n"/>
      <c r="BH350" s="717" t="n"/>
      <c r="BI350" s="963" t="n"/>
      <c r="BJ350" s="721" t="n"/>
      <c r="BK350" s="961" t="n"/>
      <c r="BL350" s="721" t="n"/>
      <c r="BM350" s="962" t="n"/>
    </row>
    <row r="351" ht="15" customFormat="1" customHeight="1" s="18">
      <c r="A351" s="722" t="n"/>
      <c r="B351" s="721" t="n"/>
      <c r="C351" s="961" t="n"/>
      <c r="D351" s="721" t="n"/>
      <c r="E351" s="961" t="n"/>
      <c r="F351" s="721" t="n"/>
      <c r="G351" s="961" t="n"/>
      <c r="H351" s="721" t="n"/>
      <c r="I351" s="962" t="n"/>
      <c r="J351" s="718" t="n"/>
      <c r="K351" s="961" t="n"/>
      <c r="L351" s="721" t="n"/>
      <c r="M351" s="961" t="n"/>
      <c r="N351" s="721" t="n"/>
      <c r="O351" s="961" t="n"/>
      <c r="P351" s="721" t="n"/>
      <c r="Q351" s="962" t="n"/>
      <c r="R351" s="718" t="n"/>
      <c r="S351" s="961" t="n"/>
      <c r="T351" s="721" t="n"/>
      <c r="U351" s="961" t="n"/>
      <c r="V351" s="721" t="n"/>
      <c r="W351" s="961" t="n"/>
      <c r="X351" s="721" t="n"/>
      <c r="Y351" s="962" t="n"/>
      <c r="Z351" s="718" t="n"/>
      <c r="AA351" s="961" t="n"/>
      <c r="AB351" s="721" t="n"/>
      <c r="AC351" s="961" t="n"/>
      <c r="AD351" s="721" t="n"/>
      <c r="AE351" s="961" t="n"/>
      <c r="AF351" s="721" t="n"/>
      <c r="AG351" s="962" t="n"/>
      <c r="AH351" s="718" t="n"/>
      <c r="AI351" s="961" t="n"/>
      <c r="AJ351" s="721" t="n"/>
      <c r="AK351" s="961" t="n"/>
      <c r="AL351" s="721" t="n"/>
      <c r="AM351" s="961" t="n"/>
      <c r="AN351" s="721" t="n"/>
      <c r="AO351" s="962" t="n"/>
      <c r="AP351" s="718" t="n"/>
      <c r="AQ351" s="961" t="n"/>
      <c r="AR351" s="721" t="n"/>
      <c r="AS351" s="961" t="n"/>
      <c r="AT351" s="721" t="n"/>
      <c r="AU351" s="961" t="n"/>
      <c r="AV351" s="721" t="n"/>
      <c r="AW351" s="962" t="n"/>
      <c r="AX351" s="718" t="n"/>
      <c r="AY351" s="961" t="n"/>
      <c r="AZ351" s="721" t="n"/>
      <c r="BA351" s="961" t="n"/>
      <c r="BB351" s="721" t="n"/>
      <c r="BC351" s="961" t="n"/>
      <c r="BD351" s="721" t="n"/>
      <c r="BE351" s="962" t="n"/>
      <c r="BF351" s="718" t="n"/>
      <c r="BG351" s="961" t="n"/>
      <c r="BH351" s="717" t="n"/>
      <c r="BI351" s="963" t="n"/>
      <c r="BJ351" s="721" t="n"/>
      <c r="BK351" s="961" t="n"/>
      <c r="BL351" s="721" t="n"/>
      <c r="BM351" s="962" t="n"/>
    </row>
    <row r="352" ht="15" customFormat="1" customHeight="1" s="18">
      <c r="A352" s="722" t="n"/>
      <c r="B352" s="721" t="n"/>
      <c r="C352" s="961" t="n"/>
      <c r="D352" s="721" t="n"/>
      <c r="E352" s="961" t="n"/>
      <c r="F352" s="721" t="n"/>
      <c r="G352" s="961" t="n"/>
      <c r="H352" s="721" t="n"/>
      <c r="I352" s="962" t="n"/>
      <c r="J352" s="718" t="n"/>
      <c r="K352" s="961" t="n"/>
      <c r="L352" s="721" t="n"/>
      <c r="M352" s="961" t="n"/>
      <c r="N352" s="721" t="n"/>
      <c r="O352" s="961" t="n"/>
      <c r="P352" s="721" t="n"/>
      <c r="Q352" s="962" t="n"/>
      <c r="R352" s="718" t="n"/>
      <c r="S352" s="961" t="n"/>
      <c r="T352" s="721" t="n"/>
      <c r="U352" s="961" t="n"/>
      <c r="V352" s="721" t="n"/>
      <c r="W352" s="961" t="n"/>
      <c r="X352" s="721" t="n"/>
      <c r="Y352" s="962" t="n"/>
      <c r="Z352" s="718" t="n"/>
      <c r="AA352" s="961" t="n"/>
      <c r="AB352" s="721" t="n"/>
      <c r="AC352" s="961" t="n"/>
      <c r="AD352" s="721" t="n"/>
      <c r="AE352" s="961" t="n"/>
      <c r="AF352" s="721" t="n"/>
      <c r="AG352" s="962" t="n"/>
      <c r="AH352" s="718" t="n"/>
      <c r="AI352" s="961" t="n"/>
      <c r="AJ352" s="721" t="n"/>
      <c r="AK352" s="961" t="n"/>
      <c r="AL352" s="721" t="n"/>
      <c r="AM352" s="961" t="n"/>
      <c r="AN352" s="721" t="n"/>
      <c r="AO352" s="962" t="n"/>
      <c r="AP352" s="718" t="n"/>
      <c r="AQ352" s="961" t="n"/>
      <c r="AR352" s="721" t="n"/>
      <c r="AS352" s="961" t="n"/>
      <c r="AT352" s="721" t="n"/>
      <c r="AU352" s="961" t="n"/>
      <c r="AV352" s="721" t="n"/>
      <c r="AW352" s="962" t="n"/>
      <c r="AX352" s="718" t="n"/>
      <c r="AY352" s="961" t="n"/>
      <c r="AZ352" s="721" t="n"/>
      <c r="BA352" s="961" t="n"/>
      <c r="BB352" s="721" t="n"/>
      <c r="BC352" s="961" t="n"/>
      <c r="BD352" s="721" t="n"/>
      <c r="BE352" s="962" t="n"/>
      <c r="BF352" s="718" t="n"/>
      <c r="BG352" s="961" t="n"/>
      <c r="BH352" s="717" t="n"/>
      <c r="BI352" s="963" t="n"/>
      <c r="BJ352" s="721" t="n"/>
      <c r="BK352" s="961" t="n"/>
      <c r="BL352" s="721" t="n"/>
      <c r="BM352" s="962" t="n"/>
    </row>
    <row r="353" ht="15" customFormat="1" customHeight="1" s="18">
      <c r="A353" s="722" t="n"/>
      <c r="B353" s="721" t="n"/>
      <c r="C353" s="961" t="n"/>
      <c r="D353" s="721" t="n"/>
      <c r="E353" s="961" t="n"/>
      <c r="F353" s="721" t="n"/>
      <c r="G353" s="961" t="n"/>
      <c r="H353" s="721" t="n"/>
      <c r="I353" s="962" t="n"/>
      <c r="J353" s="718" t="n"/>
      <c r="K353" s="961" t="n"/>
      <c r="L353" s="721" t="n"/>
      <c r="M353" s="961" t="n"/>
      <c r="N353" s="721" t="n"/>
      <c r="O353" s="961" t="n"/>
      <c r="P353" s="721" t="n"/>
      <c r="Q353" s="962" t="n"/>
      <c r="R353" s="718" t="n"/>
      <c r="S353" s="961" t="n"/>
      <c r="T353" s="721" t="n"/>
      <c r="U353" s="961" t="n"/>
      <c r="V353" s="721" t="n"/>
      <c r="W353" s="961" t="n"/>
      <c r="X353" s="721" t="n"/>
      <c r="Y353" s="962" t="n"/>
      <c r="Z353" s="718" t="n"/>
      <c r="AA353" s="961" t="n"/>
      <c r="AB353" s="721" t="n"/>
      <c r="AC353" s="961" t="n"/>
      <c r="AD353" s="721" t="n"/>
      <c r="AE353" s="961" t="n"/>
      <c r="AF353" s="721" t="n"/>
      <c r="AG353" s="962" t="n"/>
      <c r="AH353" s="718" t="n"/>
      <c r="AI353" s="961" t="n"/>
      <c r="AJ353" s="721" t="n"/>
      <c r="AK353" s="961" t="n"/>
      <c r="AL353" s="721" t="n"/>
      <c r="AM353" s="961" t="n"/>
      <c r="AN353" s="721" t="n"/>
      <c r="AO353" s="962" t="n"/>
      <c r="AP353" s="718" t="n"/>
      <c r="AQ353" s="961" t="n"/>
      <c r="AR353" s="721" t="n"/>
      <c r="AS353" s="961" t="n"/>
      <c r="AT353" s="721" t="n"/>
      <c r="AU353" s="961" t="n"/>
      <c r="AV353" s="721" t="n"/>
      <c r="AW353" s="962" t="n"/>
      <c r="AX353" s="718" t="n"/>
      <c r="AY353" s="961" t="n"/>
      <c r="AZ353" s="721" t="n"/>
      <c r="BA353" s="961" t="n"/>
      <c r="BB353" s="721" t="n"/>
      <c r="BC353" s="961" t="n"/>
      <c r="BD353" s="721" t="n"/>
      <c r="BE353" s="962" t="n"/>
      <c r="BF353" s="718" t="n"/>
      <c r="BG353" s="961" t="n"/>
      <c r="BH353" s="717" t="n"/>
      <c r="BI353" s="963" t="n"/>
      <c r="BJ353" s="721" t="n"/>
      <c r="BK353" s="961" t="n"/>
      <c r="BL353" s="721" t="n"/>
      <c r="BM353" s="962" t="n"/>
    </row>
    <row r="354" ht="15" customFormat="1" customHeight="1" s="18">
      <c r="A354" s="722" t="n"/>
      <c r="B354" s="721" t="n"/>
      <c r="C354" s="961" t="n"/>
      <c r="D354" s="721" t="n"/>
      <c r="E354" s="961" t="n"/>
      <c r="F354" s="721" t="n"/>
      <c r="G354" s="961" t="n"/>
      <c r="H354" s="721" t="n"/>
      <c r="I354" s="962" t="n"/>
      <c r="J354" s="718" t="n"/>
      <c r="K354" s="961" t="n"/>
      <c r="L354" s="721" t="n"/>
      <c r="M354" s="961" t="n"/>
      <c r="N354" s="721" t="n"/>
      <c r="O354" s="961" t="n"/>
      <c r="P354" s="721" t="n"/>
      <c r="Q354" s="962" t="n"/>
      <c r="R354" s="718" t="n"/>
      <c r="S354" s="961" t="n"/>
      <c r="T354" s="721" t="n"/>
      <c r="U354" s="961" t="n"/>
      <c r="V354" s="721" t="n"/>
      <c r="W354" s="961" t="n"/>
      <c r="X354" s="721" t="n"/>
      <c r="Y354" s="962" t="n"/>
      <c r="Z354" s="718" t="n"/>
      <c r="AA354" s="961" t="n"/>
      <c r="AB354" s="721" t="n"/>
      <c r="AC354" s="961" t="n"/>
      <c r="AD354" s="721" t="n"/>
      <c r="AE354" s="961" t="n"/>
      <c r="AF354" s="721" t="n"/>
      <c r="AG354" s="962" t="n"/>
      <c r="AH354" s="718" t="n"/>
      <c r="AI354" s="961" t="n"/>
      <c r="AJ354" s="721" t="n"/>
      <c r="AK354" s="961" t="n"/>
      <c r="AL354" s="721" t="n"/>
      <c r="AM354" s="961" t="n"/>
      <c r="AN354" s="721" t="n"/>
      <c r="AO354" s="962" t="n"/>
      <c r="AP354" s="718" t="n"/>
      <c r="AQ354" s="961" t="n"/>
      <c r="AR354" s="721" t="n"/>
      <c r="AS354" s="961" t="n"/>
      <c r="AT354" s="721" t="n"/>
      <c r="AU354" s="961" t="n"/>
      <c r="AV354" s="721" t="n"/>
      <c r="AW354" s="962" t="n"/>
      <c r="AX354" s="718" t="n"/>
      <c r="AY354" s="961" t="n"/>
      <c r="AZ354" s="721" t="n"/>
      <c r="BA354" s="961" t="n"/>
      <c r="BB354" s="721" t="n"/>
      <c r="BC354" s="961" t="n"/>
      <c r="BD354" s="721" t="n"/>
      <c r="BE354" s="962" t="n"/>
      <c r="BF354" s="718" t="n"/>
      <c r="BG354" s="961" t="n"/>
      <c r="BH354" s="717" t="n"/>
      <c r="BI354" s="963" t="n"/>
      <c r="BJ354" s="721" t="n"/>
      <c r="BK354" s="961" t="n"/>
      <c r="BL354" s="721" t="n"/>
      <c r="BM354" s="962" t="n"/>
    </row>
    <row r="355" ht="15" customFormat="1" customHeight="1" s="18">
      <c r="A355" s="722" t="n"/>
      <c r="B355" s="721" t="n"/>
      <c r="C355" s="961" t="n"/>
      <c r="D355" s="721" t="n"/>
      <c r="E355" s="961" t="n"/>
      <c r="F355" s="721" t="n"/>
      <c r="G355" s="961" t="n"/>
      <c r="H355" s="721" t="n"/>
      <c r="I355" s="962" t="n"/>
      <c r="J355" s="718" t="n"/>
      <c r="K355" s="961" t="n"/>
      <c r="L355" s="721" t="n"/>
      <c r="M355" s="961" t="n"/>
      <c r="N355" s="721" t="n"/>
      <c r="O355" s="961" t="n"/>
      <c r="P355" s="721" t="n"/>
      <c r="Q355" s="962" t="n"/>
      <c r="R355" s="718" t="n"/>
      <c r="S355" s="961" t="n"/>
      <c r="T355" s="721" t="n"/>
      <c r="U355" s="961" t="n"/>
      <c r="V355" s="721" t="n"/>
      <c r="W355" s="961" t="n"/>
      <c r="X355" s="721" t="n"/>
      <c r="Y355" s="962" t="n"/>
      <c r="Z355" s="718" t="n"/>
      <c r="AA355" s="961" t="n"/>
      <c r="AB355" s="721" t="n"/>
      <c r="AC355" s="961" t="n"/>
      <c r="AD355" s="721" t="n"/>
      <c r="AE355" s="961" t="n"/>
      <c r="AF355" s="721" t="n"/>
      <c r="AG355" s="962" t="n"/>
      <c r="AH355" s="718" t="n"/>
      <c r="AI355" s="961" t="n"/>
      <c r="AJ355" s="721" t="n"/>
      <c r="AK355" s="961" t="n"/>
      <c r="AL355" s="721" t="n"/>
      <c r="AM355" s="961" t="n"/>
      <c r="AN355" s="721" t="n"/>
      <c r="AO355" s="962" t="n"/>
      <c r="AP355" s="718" t="n"/>
      <c r="AQ355" s="961" t="n"/>
      <c r="AR355" s="721" t="n"/>
      <c r="AS355" s="961" t="n"/>
      <c r="AT355" s="721" t="n"/>
      <c r="AU355" s="961" t="n"/>
      <c r="AV355" s="721" t="n"/>
      <c r="AW355" s="962" t="n"/>
      <c r="AX355" s="718" t="n"/>
      <c r="AY355" s="961" t="n"/>
      <c r="AZ355" s="721" t="n"/>
      <c r="BA355" s="961" t="n"/>
      <c r="BB355" s="721" t="n"/>
      <c r="BC355" s="961" t="n"/>
      <c r="BD355" s="721" t="n"/>
      <c r="BE355" s="962" t="n"/>
      <c r="BF355" s="718" t="n"/>
      <c r="BG355" s="961" t="n"/>
      <c r="BH355" s="717" t="n"/>
      <c r="BI355" s="963" t="n"/>
      <c r="BJ355" s="721" t="n"/>
      <c r="BK355" s="961" t="n"/>
      <c r="BL355" s="721" t="n"/>
      <c r="BM355" s="962" t="n"/>
    </row>
    <row r="356" ht="15" customFormat="1" customHeight="1" s="25">
      <c r="A356" s="702" t="n"/>
      <c r="B356" s="702" t="n"/>
      <c r="C356" s="702" t="n"/>
      <c r="D356" s="702" t="n"/>
      <c r="E356" s="702" t="n"/>
      <c r="F356" s="702" t="n"/>
      <c r="G356" s="702" t="n"/>
      <c r="H356" s="702" t="n"/>
      <c r="I356" s="702" t="n"/>
      <c r="J356" s="702" t="n"/>
      <c r="K356" s="702" t="n"/>
      <c r="L356" s="702" t="n"/>
      <c r="M356" s="702" t="n"/>
      <c r="N356" s="702" t="n"/>
      <c r="O356" s="702" t="n"/>
      <c r="P356" s="702" t="n"/>
      <c r="Q356" s="702" t="n"/>
      <c r="R356" s="702" t="n"/>
      <c r="S356" s="702" t="n"/>
      <c r="T356" s="702" t="n"/>
      <c r="U356" s="702" t="n"/>
      <c r="V356" s="702" t="n"/>
      <c r="W356" s="702" t="n"/>
      <c r="X356" s="702" t="n"/>
      <c r="Y356" s="702" t="n"/>
      <c r="Z356" s="702" t="n"/>
      <c r="AA356" s="702" t="n"/>
      <c r="AB356" s="702" t="n"/>
      <c r="AC356" s="702" t="n"/>
      <c r="AD356" s="702" t="n"/>
      <c r="AE356" s="702" t="n"/>
      <c r="AF356" s="702" t="n"/>
      <c r="AG356" s="702" t="n"/>
      <c r="AH356" s="702" t="n"/>
      <c r="AI356" s="702" t="n"/>
      <c r="AJ356" s="702" t="n"/>
      <c r="AK356" s="702" t="n"/>
      <c r="AL356" s="702" t="n"/>
      <c r="AM356" s="702" t="n"/>
      <c r="AN356" s="702" t="n"/>
      <c r="AO356" s="702" t="n"/>
      <c r="AP356" s="702" t="n"/>
      <c r="AQ356" s="702" t="n"/>
      <c r="AR356" s="702" t="n"/>
      <c r="AS356" s="702" t="n"/>
      <c r="AT356" s="702" t="n"/>
      <c r="AU356" s="702" t="n"/>
      <c r="AV356" s="702" t="n"/>
      <c r="AW356" s="702" t="n"/>
      <c r="AX356" s="702" t="n"/>
      <c r="AY356" s="702" t="n"/>
      <c r="AZ356" s="702" t="n"/>
      <c r="BA356" s="702" t="n"/>
      <c r="BB356" s="702" t="n"/>
      <c r="BC356" s="702" t="n"/>
      <c r="BD356" s="702" t="n"/>
      <c r="BE356" s="702" t="n"/>
      <c r="BF356" s="702" t="n"/>
      <c r="BG356" s="702" t="n"/>
      <c r="BH356" s="702" t="n"/>
      <c r="BI356" s="702" t="n"/>
      <c r="BJ356" s="702" t="n"/>
      <c r="BK356" s="702" t="n"/>
      <c r="BL356" s="702" t="n"/>
      <c r="BM356" s="702" t="n"/>
    </row>
    <row r="357" ht="15" customFormat="1" customHeight="1" s="18">
      <c r="A357" s="722" t="n"/>
      <c r="B357" s="721" t="n"/>
      <c r="C357" s="961" t="n"/>
      <c r="D357" s="721" t="n"/>
      <c r="E357" s="961" t="n"/>
      <c r="F357" s="721" t="n"/>
      <c r="G357" s="961" t="n"/>
      <c r="H357" s="721" t="n"/>
      <c r="I357" s="962" t="n"/>
      <c r="J357" s="718" t="n"/>
      <c r="K357" s="961" t="n"/>
      <c r="L357" s="721" t="n"/>
      <c r="M357" s="961" t="n"/>
      <c r="N357" s="721" t="n"/>
      <c r="O357" s="961" t="n"/>
      <c r="P357" s="721" t="n"/>
      <c r="Q357" s="962" t="n"/>
      <c r="R357" s="718" t="n"/>
      <c r="S357" s="961" t="n"/>
      <c r="T357" s="721" t="n"/>
      <c r="U357" s="961" t="n"/>
      <c r="V357" s="721" t="n"/>
      <c r="W357" s="961" t="n"/>
      <c r="X357" s="721" t="n"/>
      <c r="Y357" s="962" t="n"/>
      <c r="Z357" s="718" t="n"/>
      <c r="AA357" s="961" t="n"/>
      <c r="AB357" s="721" t="n"/>
      <c r="AC357" s="961" t="n"/>
      <c r="AD357" s="721" t="n"/>
      <c r="AE357" s="961" t="n"/>
      <c r="AF357" s="721" t="n"/>
      <c r="AG357" s="962" t="n"/>
      <c r="AH357" s="718" t="n"/>
      <c r="AI357" s="961" t="n"/>
      <c r="AJ357" s="721" t="n"/>
      <c r="AK357" s="961" t="n"/>
      <c r="AL357" s="721" t="n"/>
      <c r="AM357" s="961" t="n"/>
      <c r="AN357" s="721" t="n"/>
      <c r="AO357" s="962" t="n"/>
      <c r="AP357" s="718" t="n"/>
      <c r="AQ357" s="961" t="n"/>
      <c r="AR357" s="721" t="n"/>
      <c r="AS357" s="961" t="n"/>
      <c r="AT357" s="721" t="n"/>
      <c r="AU357" s="961" t="n"/>
      <c r="AV357" s="721" t="n"/>
      <c r="AW357" s="962" t="n"/>
      <c r="AX357" s="718" t="n"/>
      <c r="AY357" s="961" t="n"/>
      <c r="AZ357" s="721" t="n"/>
      <c r="BA357" s="961" t="n"/>
      <c r="BB357" s="721" t="n"/>
      <c r="BC357" s="961" t="n"/>
      <c r="BD357" s="721" t="n"/>
      <c r="BE357" s="962" t="n"/>
      <c r="BF357" s="718" t="n"/>
      <c r="BG357" s="961" t="n"/>
      <c r="BH357" s="717" t="n"/>
      <c r="BI357" s="963" t="n"/>
      <c r="BJ357" s="721" t="n"/>
      <c r="BK357" s="961" t="n"/>
      <c r="BL357" s="721" t="n"/>
      <c r="BM357" s="962" t="n"/>
    </row>
    <row r="358" ht="15" customFormat="1" customHeight="1" s="137">
      <c r="A358" s="701" t="n"/>
      <c r="B358" s="701" t="n"/>
      <c r="C358" s="701" t="n"/>
      <c r="D358" s="701" t="n"/>
      <c r="E358" s="701" t="n"/>
      <c r="F358" s="701" t="n"/>
      <c r="G358" s="701" t="n"/>
      <c r="H358" s="701" t="n"/>
      <c r="I358" s="701" t="n"/>
      <c r="J358" s="701" t="n"/>
      <c r="K358" s="701" t="n"/>
      <c r="L358" s="701" t="n"/>
      <c r="M358" s="701" t="n"/>
      <c r="N358" s="701" t="n"/>
      <c r="O358" s="701" t="n"/>
      <c r="P358" s="701" t="n"/>
      <c r="Q358" s="701" t="n"/>
      <c r="R358" s="701" t="n"/>
      <c r="S358" s="701" t="n"/>
      <c r="T358" s="701" t="n"/>
      <c r="U358" s="701" t="n"/>
      <c r="V358" s="701" t="n"/>
      <c r="W358" s="701" t="n"/>
      <c r="X358" s="701" t="n"/>
      <c r="Y358" s="701" t="n"/>
      <c r="Z358" s="701" t="n"/>
      <c r="AA358" s="701" t="n"/>
      <c r="AB358" s="701" t="n"/>
      <c r="AC358" s="701" t="n"/>
      <c r="AD358" s="701" t="n"/>
      <c r="AE358" s="701" t="n"/>
      <c r="AF358" s="701" t="n"/>
      <c r="AG358" s="701" t="n"/>
      <c r="AH358" s="701" t="n"/>
      <c r="AI358" s="701" t="n"/>
      <c r="AJ358" s="701" t="n"/>
      <c r="AK358" s="701" t="n"/>
      <c r="AL358" s="701" t="n"/>
      <c r="AM358" s="701" t="n"/>
      <c r="AN358" s="701" t="n"/>
      <c r="AO358" s="701" t="n"/>
      <c r="AP358" s="701" t="n"/>
      <c r="AQ358" s="701" t="n"/>
      <c r="AR358" s="701" t="n"/>
      <c r="AS358" s="701" t="n"/>
      <c r="AT358" s="701" t="n"/>
      <c r="AU358" s="701" t="n"/>
      <c r="AV358" s="701" t="n"/>
      <c r="AW358" s="701" t="n"/>
      <c r="AX358" s="701" t="n"/>
      <c r="AY358" s="701" t="n"/>
      <c r="AZ358" s="701" t="n"/>
      <c r="BA358" s="701" t="n"/>
      <c r="BB358" s="701" t="n"/>
      <c r="BC358" s="701" t="n"/>
      <c r="BD358" s="701" t="n"/>
      <c r="BE358" s="701" t="n"/>
      <c r="BF358" s="701" t="n"/>
      <c r="BG358" s="701" t="n"/>
      <c r="BH358" s="701" t="n"/>
      <c r="BI358" s="701" t="n"/>
      <c r="BJ358" s="701" t="n"/>
      <c r="BK358" s="701" t="n"/>
      <c r="BL358" s="701" t="n"/>
      <c r="BM358" s="701" t="n"/>
    </row>
    <row r="359" ht="15" customFormat="1" customHeight="1" s="18">
      <c r="A359" s="722" t="n"/>
      <c r="B359" s="721" t="n"/>
      <c r="C359" s="961" t="n"/>
      <c r="D359" s="721" t="n"/>
      <c r="E359" s="961" t="n"/>
      <c r="F359" s="721" t="n"/>
      <c r="G359" s="961" t="n"/>
      <c r="H359" s="721" t="n"/>
      <c r="I359" s="962" t="n"/>
      <c r="J359" s="718" t="n"/>
      <c r="K359" s="961" t="n"/>
      <c r="L359" s="721" t="n"/>
      <c r="M359" s="961" t="n"/>
      <c r="N359" s="721" t="n"/>
      <c r="O359" s="961" t="n"/>
      <c r="P359" s="721" t="n"/>
      <c r="Q359" s="962" t="n"/>
      <c r="R359" s="718" t="n"/>
      <c r="S359" s="961" t="n"/>
      <c r="T359" s="721" t="n"/>
      <c r="U359" s="961" t="n"/>
      <c r="V359" s="721" t="n"/>
      <c r="W359" s="961" t="n"/>
      <c r="X359" s="721" t="n"/>
      <c r="Y359" s="962" t="n"/>
      <c r="Z359" s="718" t="n"/>
      <c r="AA359" s="961" t="n"/>
      <c r="AB359" s="721" t="n"/>
      <c r="AC359" s="961" t="n"/>
      <c r="AD359" s="721" t="n"/>
      <c r="AE359" s="961" t="n"/>
      <c r="AF359" s="721" t="n"/>
      <c r="AG359" s="962" t="n"/>
      <c r="AH359" s="718" t="n"/>
      <c r="AI359" s="961" t="n"/>
      <c r="AJ359" s="721" t="n"/>
      <c r="AK359" s="961" t="n"/>
      <c r="AL359" s="721" t="n"/>
      <c r="AM359" s="961" t="n"/>
      <c r="AN359" s="721" t="n"/>
      <c r="AO359" s="962" t="n"/>
      <c r="AP359" s="718" t="n"/>
      <c r="AQ359" s="961" t="n"/>
      <c r="AR359" s="721" t="n"/>
      <c r="AS359" s="961" t="n"/>
      <c r="AT359" s="721" t="n"/>
      <c r="AU359" s="961" t="n"/>
      <c r="AV359" s="721" t="n"/>
      <c r="AW359" s="962" t="n"/>
      <c r="AX359" s="718" t="n"/>
      <c r="AY359" s="961" t="n"/>
      <c r="AZ359" s="721" t="n"/>
      <c r="BA359" s="961" t="n"/>
      <c r="BB359" s="721" t="n"/>
      <c r="BC359" s="961" t="n"/>
      <c r="BD359" s="721" t="n"/>
      <c r="BE359" s="962" t="n"/>
      <c r="BF359" s="718" t="n"/>
      <c r="BG359" s="961" t="n"/>
      <c r="BH359" s="717" t="n"/>
      <c r="BI359" s="963" t="n"/>
      <c r="BJ359" s="721" t="n"/>
      <c r="BK359" s="961" t="n"/>
      <c r="BL359" s="721" t="n"/>
      <c r="BM359" s="962" t="n"/>
    </row>
    <row r="360" ht="15" customFormat="1" customHeight="1" s="18">
      <c r="A360" s="722" t="n"/>
      <c r="B360" s="721" t="n"/>
      <c r="C360" s="961" t="n"/>
      <c r="D360" s="721" t="n"/>
      <c r="E360" s="961" t="n"/>
      <c r="F360" s="721" t="n"/>
      <c r="G360" s="961" t="n"/>
      <c r="H360" s="721" t="n"/>
      <c r="I360" s="962" t="n"/>
      <c r="J360" s="718" t="n"/>
      <c r="K360" s="961" t="n"/>
      <c r="L360" s="721" t="n"/>
      <c r="M360" s="961" t="n"/>
      <c r="N360" s="721" t="n"/>
      <c r="O360" s="961" t="n"/>
      <c r="P360" s="721" t="n"/>
      <c r="Q360" s="962" t="n"/>
      <c r="R360" s="718" t="n"/>
      <c r="S360" s="961" t="n"/>
      <c r="T360" s="721" t="n"/>
      <c r="U360" s="961" t="n"/>
      <c r="V360" s="721" t="n"/>
      <c r="W360" s="961" t="n"/>
      <c r="X360" s="721" t="n"/>
      <c r="Y360" s="962" t="n"/>
      <c r="Z360" s="718" t="n"/>
      <c r="AA360" s="961" t="n"/>
      <c r="AB360" s="721" t="n"/>
      <c r="AC360" s="961" t="n"/>
      <c r="AD360" s="721" t="n"/>
      <c r="AE360" s="961" t="n"/>
      <c r="AF360" s="721" t="n"/>
      <c r="AG360" s="962" t="n"/>
      <c r="AH360" s="718" t="n"/>
      <c r="AI360" s="961" t="n"/>
      <c r="AJ360" s="721" t="n"/>
      <c r="AK360" s="961" t="n"/>
      <c r="AL360" s="721" t="n"/>
      <c r="AM360" s="961" t="n"/>
      <c r="AN360" s="721" t="n"/>
      <c r="AO360" s="962" t="n"/>
      <c r="AP360" s="718" t="n"/>
      <c r="AQ360" s="961" t="n"/>
      <c r="AR360" s="721" t="n"/>
      <c r="AS360" s="961" t="n"/>
      <c r="AT360" s="721" t="n"/>
      <c r="AU360" s="961" t="n"/>
      <c r="AV360" s="721" t="n"/>
      <c r="AW360" s="962" t="n"/>
      <c r="AX360" s="718" t="n"/>
      <c r="AY360" s="961" t="n"/>
      <c r="AZ360" s="721" t="n"/>
      <c r="BA360" s="961" t="n"/>
      <c r="BB360" s="721" t="n"/>
      <c r="BC360" s="961" t="n"/>
      <c r="BD360" s="721" t="n"/>
      <c r="BE360" s="962" t="n"/>
      <c r="BF360" s="718" t="n"/>
      <c r="BG360" s="961" t="n"/>
      <c r="BH360" s="717" t="n"/>
      <c r="BI360" s="963" t="n"/>
      <c r="BJ360" s="721" t="n"/>
      <c r="BK360" s="961" t="n"/>
      <c r="BL360" s="721" t="n"/>
      <c r="BM360" s="962" t="n"/>
    </row>
    <row r="361" ht="15" customFormat="1" customHeight="1" s="18">
      <c r="A361" s="722" t="n"/>
      <c r="B361" s="721" t="n"/>
      <c r="C361" s="961" t="n"/>
      <c r="D361" s="721" t="n"/>
      <c r="E361" s="961" t="n"/>
      <c r="F361" s="721" t="n"/>
      <c r="G361" s="961" t="n"/>
      <c r="H361" s="721" t="n"/>
      <c r="I361" s="962" t="n"/>
      <c r="J361" s="718" t="n"/>
      <c r="K361" s="961" t="n"/>
      <c r="L361" s="721" t="n"/>
      <c r="M361" s="961" t="n"/>
      <c r="N361" s="721" t="n"/>
      <c r="O361" s="961" t="n"/>
      <c r="P361" s="721" t="n"/>
      <c r="Q361" s="962" t="n"/>
      <c r="R361" s="718" t="n"/>
      <c r="S361" s="961" t="n"/>
      <c r="T361" s="721" t="n"/>
      <c r="U361" s="961" t="n"/>
      <c r="V361" s="721" t="n"/>
      <c r="W361" s="961" t="n"/>
      <c r="X361" s="721" t="n"/>
      <c r="Y361" s="962" t="n"/>
      <c r="Z361" s="718" t="n"/>
      <c r="AA361" s="961" t="n"/>
      <c r="AB361" s="721" t="n"/>
      <c r="AC361" s="961" t="n"/>
      <c r="AD361" s="721" t="n"/>
      <c r="AE361" s="961" t="n"/>
      <c r="AF361" s="721" t="n"/>
      <c r="AG361" s="962" t="n"/>
      <c r="AH361" s="718" t="n"/>
      <c r="AI361" s="961" t="n"/>
      <c r="AJ361" s="721" t="n"/>
      <c r="AK361" s="961" t="n"/>
      <c r="AL361" s="721" t="n"/>
      <c r="AM361" s="961" t="n"/>
      <c r="AN361" s="721" t="n"/>
      <c r="AO361" s="962" t="n"/>
      <c r="AP361" s="718" t="n"/>
      <c r="AQ361" s="961" t="n"/>
      <c r="AR361" s="721" t="n"/>
      <c r="AS361" s="961" t="n"/>
      <c r="AT361" s="721" t="n"/>
      <c r="AU361" s="961" t="n"/>
      <c r="AV361" s="721" t="n"/>
      <c r="AW361" s="962" t="n"/>
      <c r="AX361" s="718" t="n"/>
      <c r="AY361" s="961" t="n"/>
      <c r="AZ361" s="721" t="n"/>
      <c r="BA361" s="961" t="n"/>
      <c r="BB361" s="721" t="n"/>
      <c r="BC361" s="961" t="n"/>
      <c r="BD361" s="721" t="n"/>
      <c r="BE361" s="962" t="n"/>
      <c r="BF361" s="718" t="n"/>
      <c r="BG361" s="961" t="n"/>
      <c r="BH361" s="717" t="n"/>
      <c r="BI361" s="963" t="n"/>
      <c r="BJ361" s="721" t="n"/>
      <c r="BK361" s="961" t="n"/>
      <c r="BL361" s="721" t="n"/>
      <c r="BM361" s="962" t="n"/>
    </row>
    <row r="362" ht="15" customFormat="1" customHeight="1" s="18">
      <c r="A362" s="722" t="n"/>
      <c r="B362" s="721" t="n"/>
      <c r="C362" s="961" t="n"/>
      <c r="D362" s="721" t="n"/>
      <c r="E362" s="961" t="n"/>
      <c r="F362" s="721" t="n"/>
      <c r="G362" s="961" t="n"/>
      <c r="H362" s="721" t="n"/>
      <c r="I362" s="962" t="n"/>
      <c r="J362" s="718" t="n"/>
      <c r="K362" s="961" t="n"/>
      <c r="L362" s="721" t="n"/>
      <c r="M362" s="961" t="n"/>
      <c r="N362" s="721" t="n"/>
      <c r="O362" s="961" t="n"/>
      <c r="P362" s="721" t="n"/>
      <c r="Q362" s="962" t="n"/>
      <c r="R362" s="718" t="n"/>
      <c r="S362" s="961" t="n"/>
      <c r="T362" s="721" t="n"/>
      <c r="U362" s="961" t="n"/>
      <c r="V362" s="721" t="n"/>
      <c r="W362" s="961" t="n"/>
      <c r="X362" s="721" t="n"/>
      <c r="Y362" s="962" t="n"/>
      <c r="Z362" s="718" t="n"/>
      <c r="AA362" s="961" t="n"/>
      <c r="AB362" s="721" t="n"/>
      <c r="AC362" s="961" t="n"/>
      <c r="AD362" s="721" t="n"/>
      <c r="AE362" s="961" t="n"/>
      <c r="AF362" s="721" t="n"/>
      <c r="AG362" s="962" t="n"/>
      <c r="AH362" s="718" t="n"/>
      <c r="AI362" s="961" t="n"/>
      <c r="AJ362" s="721" t="n"/>
      <c r="AK362" s="961" t="n"/>
      <c r="AL362" s="721" t="n"/>
      <c r="AM362" s="961" t="n"/>
      <c r="AN362" s="721" t="n"/>
      <c r="AO362" s="962" t="n"/>
      <c r="AP362" s="718" t="n"/>
      <c r="AQ362" s="961" t="n"/>
      <c r="AR362" s="721" t="n"/>
      <c r="AS362" s="961" t="n"/>
      <c r="AT362" s="721" t="n"/>
      <c r="AU362" s="961" t="n"/>
      <c r="AV362" s="721" t="n"/>
      <c r="AW362" s="962" t="n"/>
      <c r="AX362" s="718" t="n"/>
      <c r="AY362" s="961" t="n"/>
      <c r="AZ362" s="721" t="n"/>
      <c r="BA362" s="961" t="n"/>
      <c r="BB362" s="721" t="n"/>
      <c r="BC362" s="961" t="n"/>
      <c r="BD362" s="721" t="n"/>
      <c r="BE362" s="962" t="n"/>
      <c r="BF362" s="718" t="n"/>
      <c r="BG362" s="961" t="n"/>
      <c r="BH362" s="717" t="n"/>
      <c r="BI362" s="963" t="n"/>
      <c r="BJ362" s="721" t="n"/>
      <c r="BK362" s="961" t="n"/>
      <c r="BL362" s="721" t="n"/>
      <c r="BM362" s="962" t="n"/>
    </row>
    <row r="363" ht="15" customFormat="1" customHeight="1" s="18">
      <c r="A363" s="722" t="n"/>
      <c r="B363" s="721" t="n"/>
      <c r="C363" s="961" t="n"/>
      <c r="D363" s="721" t="n"/>
      <c r="E363" s="961" t="n"/>
      <c r="F363" s="721" t="n"/>
      <c r="G363" s="961" t="n"/>
      <c r="H363" s="721" t="n"/>
      <c r="I363" s="962" t="n"/>
      <c r="J363" s="718" t="n"/>
      <c r="K363" s="961" t="n"/>
      <c r="L363" s="721" t="n"/>
      <c r="M363" s="961" t="n"/>
      <c r="N363" s="721" t="n"/>
      <c r="O363" s="961" t="n"/>
      <c r="P363" s="721" t="n"/>
      <c r="Q363" s="962" t="n"/>
      <c r="R363" s="718" t="n"/>
      <c r="S363" s="961" t="n"/>
      <c r="T363" s="721" t="n"/>
      <c r="U363" s="961" t="n"/>
      <c r="V363" s="721" t="n"/>
      <c r="W363" s="961" t="n"/>
      <c r="X363" s="721" t="n"/>
      <c r="Y363" s="962" t="n"/>
      <c r="Z363" s="718" t="n"/>
      <c r="AA363" s="961" t="n"/>
      <c r="AB363" s="721" t="n"/>
      <c r="AC363" s="961" t="n"/>
      <c r="AD363" s="721" t="n"/>
      <c r="AE363" s="961" t="n"/>
      <c r="AF363" s="721" t="n"/>
      <c r="AG363" s="962" t="n"/>
      <c r="AH363" s="718" t="n"/>
      <c r="AI363" s="961" t="n"/>
      <c r="AJ363" s="721" t="n"/>
      <c r="AK363" s="961" t="n"/>
      <c r="AL363" s="721" t="n"/>
      <c r="AM363" s="961" t="n"/>
      <c r="AN363" s="721" t="n"/>
      <c r="AO363" s="962" t="n"/>
      <c r="AP363" s="718" t="n"/>
      <c r="AQ363" s="961" t="n"/>
      <c r="AR363" s="721" t="n"/>
      <c r="AS363" s="961" t="n"/>
      <c r="AT363" s="721" t="n"/>
      <c r="AU363" s="961" t="n"/>
      <c r="AV363" s="721" t="n"/>
      <c r="AW363" s="962" t="n"/>
      <c r="AX363" s="718" t="n"/>
      <c r="AY363" s="961" t="n"/>
      <c r="AZ363" s="721" t="n"/>
      <c r="BA363" s="961" t="n"/>
      <c r="BB363" s="721" t="n"/>
      <c r="BC363" s="961" t="n"/>
      <c r="BD363" s="721" t="n"/>
      <c r="BE363" s="962" t="n"/>
      <c r="BF363" s="718" t="n"/>
      <c r="BG363" s="961" t="n"/>
      <c r="BH363" s="717" t="n"/>
      <c r="BI363" s="963" t="n"/>
      <c r="BJ363" s="721" t="n"/>
      <c r="BK363" s="961" t="n"/>
      <c r="BL363" s="721" t="n"/>
      <c r="BM363" s="962" t="n"/>
    </row>
    <row r="364" ht="15" customFormat="1" customHeight="1" s="18">
      <c r="A364" s="722" t="n"/>
      <c r="B364" s="721" t="n"/>
      <c r="C364" s="961" t="n"/>
      <c r="D364" s="721" t="n"/>
      <c r="E364" s="961" t="n"/>
      <c r="F364" s="721" t="n"/>
      <c r="G364" s="961" t="n"/>
      <c r="H364" s="721" t="n"/>
      <c r="I364" s="962" t="n"/>
      <c r="J364" s="718" t="n"/>
      <c r="K364" s="961" t="n"/>
      <c r="L364" s="721" t="n"/>
      <c r="M364" s="961" t="n"/>
      <c r="N364" s="721" t="n"/>
      <c r="O364" s="961" t="n"/>
      <c r="P364" s="721" t="n"/>
      <c r="Q364" s="962" t="n"/>
      <c r="R364" s="718" t="n"/>
      <c r="S364" s="961" t="n"/>
      <c r="T364" s="721" t="n"/>
      <c r="U364" s="961" t="n"/>
      <c r="V364" s="721" t="n"/>
      <c r="W364" s="961" t="n"/>
      <c r="X364" s="721" t="n"/>
      <c r="Y364" s="962" t="n"/>
      <c r="Z364" s="718" t="n"/>
      <c r="AA364" s="961" t="n"/>
      <c r="AB364" s="721" t="n"/>
      <c r="AC364" s="961" t="n"/>
      <c r="AD364" s="721" t="n"/>
      <c r="AE364" s="961" t="n"/>
      <c r="AF364" s="721" t="n"/>
      <c r="AG364" s="962" t="n"/>
      <c r="AH364" s="718" t="n"/>
      <c r="AI364" s="961" t="n"/>
      <c r="AJ364" s="721" t="n"/>
      <c r="AK364" s="961" t="n"/>
      <c r="AL364" s="721" t="n"/>
      <c r="AM364" s="961" t="n"/>
      <c r="AN364" s="721" t="n"/>
      <c r="AO364" s="962" t="n"/>
      <c r="AP364" s="718" t="n"/>
      <c r="AQ364" s="961" t="n"/>
      <c r="AR364" s="721" t="n"/>
      <c r="AS364" s="961" t="n"/>
      <c r="AT364" s="721" t="n"/>
      <c r="AU364" s="961" t="n"/>
      <c r="AV364" s="721" t="n"/>
      <c r="AW364" s="962" t="n"/>
      <c r="AX364" s="718" t="n"/>
      <c r="AY364" s="961" t="n"/>
      <c r="AZ364" s="721" t="n"/>
      <c r="BA364" s="961" t="n"/>
      <c r="BB364" s="721" t="n"/>
      <c r="BC364" s="961" t="n"/>
      <c r="BD364" s="721" t="n"/>
      <c r="BE364" s="962" t="n"/>
      <c r="BF364" s="718" t="n"/>
      <c r="BG364" s="961" t="n"/>
      <c r="BH364" s="717" t="n"/>
      <c r="BI364" s="963" t="n"/>
      <c r="BJ364" s="721" t="n"/>
      <c r="BK364" s="961" t="n"/>
      <c r="BL364" s="721" t="n"/>
      <c r="BM364" s="962" t="n"/>
    </row>
    <row r="365" ht="15" customFormat="1" customHeight="1" s="18">
      <c r="A365" s="722" t="n"/>
      <c r="B365" s="721" t="n"/>
      <c r="C365" s="961" t="n"/>
      <c r="D365" s="721" t="n"/>
      <c r="E365" s="961" t="n"/>
      <c r="F365" s="721" t="n"/>
      <c r="G365" s="961" t="n"/>
      <c r="H365" s="721" t="n"/>
      <c r="I365" s="962" t="n"/>
      <c r="J365" s="718" t="n"/>
      <c r="K365" s="961" t="n"/>
      <c r="L365" s="721" t="n"/>
      <c r="M365" s="961" t="n"/>
      <c r="N365" s="721" t="n"/>
      <c r="O365" s="961" t="n"/>
      <c r="P365" s="721" t="n"/>
      <c r="Q365" s="962" t="n"/>
      <c r="R365" s="718" t="n"/>
      <c r="S365" s="961" t="n"/>
      <c r="T365" s="721" t="n"/>
      <c r="U365" s="961" t="n"/>
      <c r="V365" s="721" t="n"/>
      <c r="W365" s="961" t="n"/>
      <c r="X365" s="721" t="n"/>
      <c r="Y365" s="962" t="n"/>
      <c r="Z365" s="718" t="n"/>
      <c r="AA365" s="961" t="n"/>
      <c r="AB365" s="721" t="n"/>
      <c r="AC365" s="961" t="n"/>
      <c r="AD365" s="721" t="n"/>
      <c r="AE365" s="961" t="n"/>
      <c r="AF365" s="721" t="n"/>
      <c r="AG365" s="962" t="n"/>
      <c r="AH365" s="718" t="n"/>
      <c r="AI365" s="961" t="n"/>
      <c r="AJ365" s="721" t="n"/>
      <c r="AK365" s="961" t="n"/>
      <c r="AL365" s="721" t="n"/>
      <c r="AM365" s="961" t="n"/>
      <c r="AN365" s="721" t="n"/>
      <c r="AO365" s="962" t="n"/>
      <c r="AP365" s="718" t="n"/>
      <c r="AQ365" s="961" t="n"/>
      <c r="AR365" s="721" t="n"/>
      <c r="AS365" s="961" t="n"/>
      <c r="AT365" s="721" t="n"/>
      <c r="AU365" s="961" t="n"/>
      <c r="AV365" s="721" t="n"/>
      <c r="AW365" s="962" t="n"/>
      <c r="AX365" s="718" t="n"/>
      <c r="AY365" s="961" t="n"/>
      <c r="AZ365" s="721" t="n"/>
      <c r="BA365" s="961" t="n"/>
      <c r="BB365" s="721" t="n"/>
      <c r="BC365" s="961" t="n"/>
      <c r="BD365" s="721" t="n"/>
      <c r="BE365" s="962" t="n"/>
      <c r="BF365" s="718" t="n"/>
      <c r="BG365" s="961" t="n"/>
      <c r="BH365" s="717" t="n"/>
      <c r="BI365" s="963" t="n"/>
      <c r="BJ365" s="721" t="n"/>
      <c r="BK365" s="961" t="n"/>
      <c r="BL365" s="721" t="n"/>
      <c r="BM365" s="962" t="n"/>
    </row>
    <row r="366" ht="15" customFormat="1" customHeight="1" s="18">
      <c r="A366" s="722" t="n"/>
      <c r="B366" s="721" t="n"/>
      <c r="C366" s="961" t="n"/>
      <c r="D366" s="721" t="n"/>
      <c r="E366" s="961" t="n"/>
      <c r="F366" s="721" t="n"/>
      <c r="G366" s="961" t="n"/>
      <c r="H366" s="721" t="n"/>
      <c r="I366" s="962" t="n"/>
      <c r="J366" s="718" t="n"/>
      <c r="K366" s="961" t="n"/>
      <c r="L366" s="721" t="n"/>
      <c r="M366" s="961" t="n"/>
      <c r="N366" s="721" t="n"/>
      <c r="O366" s="961" t="n"/>
      <c r="P366" s="721" t="n"/>
      <c r="Q366" s="962" t="n"/>
      <c r="R366" s="718" t="n"/>
      <c r="S366" s="961" t="n"/>
      <c r="T366" s="721" t="n"/>
      <c r="U366" s="961" t="n"/>
      <c r="V366" s="721" t="n"/>
      <c r="W366" s="961" t="n"/>
      <c r="X366" s="721" t="n"/>
      <c r="Y366" s="962" t="n"/>
      <c r="Z366" s="718" t="n"/>
      <c r="AA366" s="961" t="n"/>
      <c r="AB366" s="721" t="n"/>
      <c r="AC366" s="961" t="n"/>
      <c r="AD366" s="721" t="n"/>
      <c r="AE366" s="961" t="n"/>
      <c r="AF366" s="721" t="n"/>
      <c r="AG366" s="962" t="n"/>
      <c r="AH366" s="718" t="n"/>
      <c r="AI366" s="961" t="n"/>
      <c r="AJ366" s="721" t="n"/>
      <c r="AK366" s="961" t="n"/>
      <c r="AL366" s="721" t="n"/>
      <c r="AM366" s="961" t="n"/>
      <c r="AN366" s="721" t="n"/>
      <c r="AO366" s="962" t="n"/>
      <c r="AP366" s="718" t="n"/>
      <c r="AQ366" s="961" t="n"/>
      <c r="AR366" s="721" t="n"/>
      <c r="AS366" s="961" t="n"/>
      <c r="AT366" s="721" t="n"/>
      <c r="AU366" s="961" t="n"/>
      <c r="AV366" s="721" t="n"/>
      <c r="AW366" s="962" t="n"/>
      <c r="AX366" s="718" t="n"/>
      <c r="AY366" s="961" t="n"/>
      <c r="AZ366" s="721" t="n"/>
      <c r="BA366" s="961" t="n"/>
      <c r="BB366" s="721" t="n"/>
      <c r="BC366" s="961" t="n"/>
      <c r="BD366" s="721" t="n"/>
      <c r="BE366" s="962" t="n"/>
      <c r="BF366" s="718" t="n"/>
      <c r="BG366" s="961" t="n"/>
      <c r="BH366" s="717" t="n"/>
      <c r="BI366" s="963" t="n"/>
      <c r="BJ366" s="721" t="n"/>
      <c r="BK366" s="961" t="n"/>
      <c r="BL366" s="721" t="n"/>
      <c r="BM366" s="962" t="n"/>
    </row>
    <row r="367" ht="15" customFormat="1" customHeight="1" s="18">
      <c r="A367" s="722" t="n"/>
      <c r="B367" s="721" t="n"/>
      <c r="C367" s="961" t="n"/>
      <c r="D367" s="721" t="n"/>
      <c r="E367" s="961" t="n"/>
      <c r="F367" s="721" t="n"/>
      <c r="G367" s="961" t="n"/>
      <c r="H367" s="721" t="n"/>
      <c r="I367" s="962" t="n"/>
      <c r="J367" s="718" t="n"/>
      <c r="K367" s="961" t="n"/>
      <c r="L367" s="721" t="n"/>
      <c r="M367" s="961" t="n"/>
      <c r="N367" s="721" t="n"/>
      <c r="O367" s="961" t="n"/>
      <c r="P367" s="721" t="n"/>
      <c r="Q367" s="962" t="n"/>
      <c r="R367" s="718" t="n"/>
      <c r="S367" s="961" t="n"/>
      <c r="T367" s="721" t="n"/>
      <c r="U367" s="961" t="n"/>
      <c r="V367" s="721" t="n"/>
      <c r="W367" s="961" t="n"/>
      <c r="X367" s="721" t="n"/>
      <c r="Y367" s="962" t="n"/>
      <c r="Z367" s="718" t="n"/>
      <c r="AA367" s="961" t="n"/>
      <c r="AB367" s="721" t="n"/>
      <c r="AC367" s="961" t="n"/>
      <c r="AD367" s="721" t="n"/>
      <c r="AE367" s="961" t="n"/>
      <c r="AF367" s="721" t="n"/>
      <c r="AG367" s="962" t="n"/>
      <c r="AH367" s="718" t="n"/>
      <c r="AI367" s="961" t="n"/>
      <c r="AJ367" s="721" t="n"/>
      <c r="AK367" s="961" t="n"/>
      <c r="AL367" s="721" t="n"/>
      <c r="AM367" s="961" t="n"/>
      <c r="AN367" s="721" t="n"/>
      <c r="AO367" s="962" t="n"/>
      <c r="AP367" s="718" t="n"/>
      <c r="AQ367" s="961" t="n"/>
      <c r="AR367" s="721" t="n"/>
      <c r="AS367" s="961" t="n"/>
      <c r="AT367" s="721" t="n"/>
      <c r="AU367" s="961" t="n"/>
      <c r="AV367" s="721" t="n"/>
      <c r="AW367" s="962" t="n"/>
      <c r="AX367" s="718" t="n"/>
      <c r="AY367" s="961" t="n"/>
      <c r="AZ367" s="721" t="n"/>
      <c r="BA367" s="961" t="n"/>
      <c r="BB367" s="721" t="n"/>
      <c r="BC367" s="961" t="n"/>
      <c r="BD367" s="721" t="n"/>
      <c r="BE367" s="962" t="n"/>
      <c r="BF367" s="718" t="n"/>
      <c r="BG367" s="961" t="n"/>
      <c r="BH367" s="717" t="n"/>
      <c r="BI367" s="963" t="n"/>
      <c r="BJ367" s="721" t="n"/>
      <c r="BK367" s="961" t="n"/>
      <c r="BL367" s="721" t="n"/>
      <c r="BM367" s="962" t="n"/>
    </row>
    <row r="368" ht="15" customFormat="1" customHeight="1" s="18">
      <c r="A368" s="722" t="n"/>
      <c r="B368" s="721" t="n"/>
      <c r="C368" s="961" t="n"/>
      <c r="D368" s="721" t="n"/>
      <c r="E368" s="961" t="n"/>
      <c r="F368" s="721" t="n"/>
      <c r="G368" s="961" t="n"/>
      <c r="H368" s="721" t="n"/>
      <c r="I368" s="962" t="n"/>
      <c r="J368" s="718" t="n"/>
      <c r="K368" s="961" t="n"/>
      <c r="L368" s="721" t="n"/>
      <c r="M368" s="961" t="n"/>
      <c r="N368" s="721" t="n"/>
      <c r="O368" s="961" t="n"/>
      <c r="P368" s="721" t="n"/>
      <c r="Q368" s="962" t="n"/>
      <c r="R368" s="718" t="n"/>
      <c r="S368" s="961" t="n"/>
      <c r="T368" s="721" t="n"/>
      <c r="U368" s="961" t="n"/>
      <c r="V368" s="721" t="n"/>
      <c r="W368" s="961" t="n"/>
      <c r="X368" s="721" t="n"/>
      <c r="Y368" s="962" t="n"/>
      <c r="Z368" s="718" t="n"/>
      <c r="AA368" s="961" t="n"/>
      <c r="AB368" s="721" t="n"/>
      <c r="AC368" s="961" t="n"/>
      <c r="AD368" s="721" t="n"/>
      <c r="AE368" s="961" t="n"/>
      <c r="AF368" s="721" t="n"/>
      <c r="AG368" s="962" t="n"/>
      <c r="AH368" s="718" t="n"/>
      <c r="AI368" s="961" t="n"/>
      <c r="AJ368" s="721" t="n"/>
      <c r="AK368" s="961" t="n"/>
      <c r="AL368" s="721" t="n"/>
      <c r="AM368" s="961" t="n"/>
      <c r="AN368" s="721" t="n"/>
      <c r="AO368" s="962" t="n"/>
      <c r="AP368" s="718" t="n"/>
      <c r="AQ368" s="961" t="n"/>
      <c r="AR368" s="721" t="n"/>
      <c r="AS368" s="961" t="n"/>
      <c r="AT368" s="721" t="n"/>
      <c r="AU368" s="961" t="n"/>
      <c r="AV368" s="721" t="n"/>
      <c r="AW368" s="962" t="n"/>
      <c r="AX368" s="718" t="n"/>
      <c r="AY368" s="961" t="n"/>
      <c r="AZ368" s="721" t="n"/>
      <c r="BA368" s="961" t="n"/>
      <c r="BB368" s="721" t="n"/>
      <c r="BC368" s="961" t="n"/>
      <c r="BD368" s="721" t="n"/>
      <c r="BE368" s="962" t="n"/>
      <c r="BF368" s="718" t="n"/>
      <c r="BG368" s="961" t="n"/>
      <c r="BH368" s="717" t="n"/>
      <c r="BI368" s="963" t="n"/>
      <c r="BJ368" s="721" t="n"/>
      <c r="BK368" s="961" t="n"/>
      <c r="BL368" s="721" t="n"/>
      <c r="BM368" s="962" t="n"/>
    </row>
    <row r="369" ht="15" customFormat="1" customHeight="1" s="18">
      <c r="A369" s="722" t="n"/>
      <c r="B369" s="721" t="n"/>
      <c r="C369" s="961" t="n"/>
      <c r="D369" s="721" t="n"/>
      <c r="E369" s="961" t="n"/>
      <c r="F369" s="721" t="n"/>
      <c r="G369" s="961" t="n"/>
      <c r="H369" s="721" t="n"/>
      <c r="I369" s="962" t="n"/>
      <c r="J369" s="718" t="n"/>
      <c r="K369" s="961" t="n"/>
      <c r="L369" s="721" t="n"/>
      <c r="M369" s="961" t="n"/>
      <c r="N369" s="721" t="n"/>
      <c r="O369" s="961" t="n"/>
      <c r="P369" s="721" t="n"/>
      <c r="Q369" s="962" t="n"/>
      <c r="R369" s="718" t="n"/>
      <c r="S369" s="961" t="n"/>
      <c r="T369" s="721" t="n"/>
      <c r="U369" s="961" t="n"/>
      <c r="V369" s="721" t="n"/>
      <c r="W369" s="961" t="n"/>
      <c r="X369" s="721" t="n"/>
      <c r="Y369" s="962" t="n"/>
      <c r="Z369" s="718" t="n"/>
      <c r="AA369" s="961" t="n"/>
      <c r="AB369" s="721" t="n"/>
      <c r="AC369" s="961" t="n"/>
      <c r="AD369" s="721" t="n"/>
      <c r="AE369" s="961" t="n"/>
      <c r="AF369" s="721" t="n"/>
      <c r="AG369" s="962" t="n"/>
      <c r="AH369" s="718" t="n"/>
      <c r="AI369" s="961" t="n"/>
      <c r="AJ369" s="721" t="n"/>
      <c r="AK369" s="961" t="n"/>
      <c r="AL369" s="721" t="n"/>
      <c r="AM369" s="961" t="n"/>
      <c r="AN369" s="721" t="n"/>
      <c r="AO369" s="962" t="n"/>
      <c r="AP369" s="718" t="n"/>
      <c r="AQ369" s="961" t="n"/>
      <c r="AR369" s="721" t="n"/>
      <c r="AS369" s="961" t="n"/>
      <c r="AT369" s="721" t="n"/>
      <c r="AU369" s="961" t="n"/>
      <c r="AV369" s="721" t="n"/>
      <c r="AW369" s="962" t="n"/>
      <c r="AX369" s="718" t="n"/>
      <c r="AY369" s="961" t="n"/>
      <c r="AZ369" s="721" t="n"/>
      <c r="BA369" s="961" t="n"/>
      <c r="BB369" s="721" t="n"/>
      <c r="BC369" s="961" t="n"/>
      <c r="BD369" s="721" t="n"/>
      <c r="BE369" s="962" t="n"/>
      <c r="BF369" s="718" t="n"/>
      <c r="BG369" s="961" t="n"/>
      <c r="BH369" s="717" t="n"/>
      <c r="BI369" s="963" t="n"/>
      <c r="BJ369" s="721" t="n"/>
      <c r="BK369" s="961" t="n"/>
      <c r="BL369" s="721" t="n"/>
      <c r="BM369" s="962" t="n"/>
    </row>
    <row r="370" ht="15" customFormat="1" customHeight="1" s="18">
      <c r="A370" s="722" t="n"/>
      <c r="B370" s="721" t="n"/>
      <c r="C370" s="961" t="n"/>
      <c r="D370" s="721" t="n"/>
      <c r="E370" s="961" t="n"/>
      <c r="F370" s="721" t="n"/>
      <c r="G370" s="961" t="n"/>
      <c r="H370" s="721" t="n"/>
      <c r="I370" s="962" t="n"/>
      <c r="J370" s="718" t="n"/>
      <c r="K370" s="961" t="n"/>
      <c r="L370" s="721" t="n"/>
      <c r="M370" s="961" t="n"/>
      <c r="N370" s="721" t="n"/>
      <c r="O370" s="961" t="n"/>
      <c r="P370" s="721" t="n"/>
      <c r="Q370" s="962" t="n"/>
      <c r="R370" s="718" t="n"/>
      <c r="S370" s="961" t="n"/>
      <c r="T370" s="721" t="n"/>
      <c r="U370" s="961" t="n"/>
      <c r="V370" s="721" t="n"/>
      <c r="W370" s="961" t="n"/>
      <c r="X370" s="721" t="n"/>
      <c r="Y370" s="962" t="n"/>
      <c r="Z370" s="718" t="n"/>
      <c r="AA370" s="961" t="n"/>
      <c r="AB370" s="721" t="n"/>
      <c r="AC370" s="961" t="n"/>
      <c r="AD370" s="721" t="n"/>
      <c r="AE370" s="961" t="n"/>
      <c r="AF370" s="721" t="n"/>
      <c r="AG370" s="962" t="n"/>
      <c r="AH370" s="718" t="n"/>
      <c r="AI370" s="961" t="n"/>
      <c r="AJ370" s="721" t="n"/>
      <c r="AK370" s="961" t="n"/>
      <c r="AL370" s="721" t="n"/>
      <c r="AM370" s="961" t="n"/>
      <c r="AN370" s="721" t="n"/>
      <c r="AO370" s="962" t="n"/>
      <c r="AP370" s="718" t="n"/>
      <c r="AQ370" s="961" t="n"/>
      <c r="AR370" s="721" t="n"/>
      <c r="AS370" s="961" t="n"/>
      <c r="AT370" s="721" t="n"/>
      <c r="AU370" s="961" t="n"/>
      <c r="AV370" s="721" t="n"/>
      <c r="AW370" s="962" t="n"/>
      <c r="AX370" s="718" t="n"/>
      <c r="AY370" s="961" t="n"/>
      <c r="AZ370" s="721" t="n"/>
      <c r="BA370" s="961" t="n"/>
      <c r="BB370" s="721" t="n"/>
      <c r="BC370" s="961" t="n"/>
      <c r="BD370" s="721" t="n"/>
      <c r="BE370" s="962" t="n"/>
      <c r="BF370" s="718" t="n"/>
      <c r="BG370" s="961" t="n"/>
      <c r="BH370" s="717" t="n"/>
      <c r="BI370" s="963" t="n"/>
      <c r="BJ370" s="721" t="n"/>
      <c r="BK370" s="961" t="n"/>
      <c r="BL370" s="721" t="n"/>
      <c r="BM370" s="962" t="n"/>
    </row>
    <row r="371" ht="15" customFormat="1" customHeight="1" s="18">
      <c r="A371" s="722" t="n"/>
      <c r="B371" s="721" t="n"/>
      <c r="C371" s="961" t="n"/>
      <c r="D371" s="721" t="n"/>
      <c r="E371" s="961" t="n"/>
      <c r="F371" s="721" t="n"/>
      <c r="G371" s="961" t="n"/>
      <c r="H371" s="721" t="n"/>
      <c r="I371" s="962" t="n"/>
      <c r="J371" s="718" t="n"/>
      <c r="K371" s="961" t="n"/>
      <c r="L371" s="721" t="n"/>
      <c r="M371" s="961" t="n"/>
      <c r="N371" s="721" t="n"/>
      <c r="O371" s="961" t="n"/>
      <c r="P371" s="721" t="n"/>
      <c r="Q371" s="962" t="n"/>
      <c r="R371" s="718" t="n"/>
      <c r="S371" s="961" t="n"/>
      <c r="T371" s="721" t="n"/>
      <c r="U371" s="961" t="n"/>
      <c r="V371" s="721" t="n"/>
      <c r="W371" s="961" t="n"/>
      <c r="X371" s="721" t="n"/>
      <c r="Y371" s="962" t="n"/>
      <c r="Z371" s="718" t="n"/>
      <c r="AA371" s="961" t="n"/>
      <c r="AB371" s="721" t="n"/>
      <c r="AC371" s="961" t="n"/>
      <c r="AD371" s="721" t="n"/>
      <c r="AE371" s="961" t="n"/>
      <c r="AF371" s="721" t="n"/>
      <c r="AG371" s="962" t="n"/>
      <c r="AH371" s="718" t="n"/>
      <c r="AI371" s="961" t="n"/>
      <c r="AJ371" s="721" t="n"/>
      <c r="AK371" s="961" t="n"/>
      <c r="AL371" s="721" t="n"/>
      <c r="AM371" s="961" t="n"/>
      <c r="AN371" s="721" t="n"/>
      <c r="AO371" s="962" t="n"/>
      <c r="AP371" s="718" t="n"/>
      <c r="AQ371" s="961" t="n"/>
      <c r="AR371" s="721" t="n"/>
      <c r="AS371" s="961" t="n"/>
      <c r="AT371" s="721" t="n"/>
      <c r="AU371" s="961" t="n"/>
      <c r="AV371" s="721" t="n"/>
      <c r="AW371" s="962" t="n"/>
      <c r="AX371" s="718" t="n"/>
      <c r="AY371" s="961" t="n"/>
      <c r="AZ371" s="721" t="n"/>
      <c r="BA371" s="961" t="n"/>
      <c r="BB371" s="721" t="n"/>
      <c r="BC371" s="961" t="n"/>
      <c r="BD371" s="721" t="n"/>
      <c r="BE371" s="962" t="n"/>
      <c r="BF371" s="718" t="n"/>
      <c r="BG371" s="961" t="n"/>
      <c r="BH371" s="717" t="n"/>
      <c r="BI371" s="963" t="n"/>
      <c r="BJ371" s="721" t="n"/>
      <c r="BK371" s="961" t="n"/>
      <c r="BL371" s="721" t="n"/>
      <c r="BM371" s="962" t="n"/>
    </row>
    <row r="372" ht="15" customFormat="1" customHeight="1" s="18">
      <c r="A372" s="722" t="n"/>
      <c r="B372" s="721" t="n"/>
      <c r="C372" s="961" t="n"/>
      <c r="D372" s="721" t="n"/>
      <c r="E372" s="961" t="n"/>
      <c r="F372" s="721" t="n"/>
      <c r="G372" s="961" t="n"/>
      <c r="H372" s="721" t="n"/>
      <c r="I372" s="962" t="n"/>
      <c r="J372" s="718" t="n"/>
      <c r="K372" s="961" t="n"/>
      <c r="L372" s="721" t="n"/>
      <c r="M372" s="961" t="n"/>
      <c r="N372" s="721" t="n"/>
      <c r="O372" s="961" t="n"/>
      <c r="P372" s="721" t="n"/>
      <c r="Q372" s="962" t="n"/>
      <c r="R372" s="718" t="n"/>
      <c r="S372" s="961" t="n"/>
      <c r="T372" s="721" t="n"/>
      <c r="U372" s="961" t="n"/>
      <c r="V372" s="721" t="n"/>
      <c r="W372" s="961" t="n"/>
      <c r="X372" s="721" t="n"/>
      <c r="Y372" s="962" t="n"/>
      <c r="Z372" s="718" t="n"/>
      <c r="AA372" s="961" t="n"/>
      <c r="AB372" s="721" t="n"/>
      <c r="AC372" s="961" t="n"/>
      <c r="AD372" s="721" t="n"/>
      <c r="AE372" s="961" t="n"/>
      <c r="AF372" s="721" t="n"/>
      <c r="AG372" s="962" t="n"/>
      <c r="AH372" s="718" t="n"/>
      <c r="AI372" s="961" t="n"/>
      <c r="AJ372" s="721" t="n"/>
      <c r="AK372" s="961" t="n"/>
      <c r="AL372" s="721" t="n"/>
      <c r="AM372" s="961" t="n"/>
      <c r="AN372" s="721" t="n"/>
      <c r="AO372" s="962" t="n"/>
      <c r="AP372" s="718" t="n"/>
      <c r="AQ372" s="961" t="n"/>
      <c r="AR372" s="721" t="n"/>
      <c r="AS372" s="961" t="n"/>
      <c r="AT372" s="721" t="n"/>
      <c r="AU372" s="961" t="n"/>
      <c r="AV372" s="721" t="n"/>
      <c r="AW372" s="962" t="n"/>
      <c r="AX372" s="718" t="n"/>
      <c r="AY372" s="961" t="n"/>
      <c r="AZ372" s="721" t="n"/>
      <c r="BA372" s="961" t="n"/>
      <c r="BB372" s="721" t="n"/>
      <c r="BC372" s="961" t="n"/>
      <c r="BD372" s="721" t="n"/>
      <c r="BE372" s="962" t="n"/>
      <c r="BF372" s="718" t="n"/>
      <c r="BG372" s="961" t="n"/>
      <c r="BH372" s="717" t="n"/>
      <c r="BI372" s="963" t="n"/>
      <c r="BJ372" s="721" t="n"/>
      <c r="BK372" s="961" t="n"/>
      <c r="BL372" s="721" t="n"/>
      <c r="BM372" s="962" t="n"/>
    </row>
    <row r="373" ht="15" customFormat="1" customHeight="1" s="18">
      <c r="A373" s="722" t="n"/>
      <c r="B373" s="721" t="n"/>
      <c r="C373" s="961" t="n"/>
      <c r="D373" s="721" t="n"/>
      <c r="E373" s="961" t="n"/>
      <c r="F373" s="721" t="n"/>
      <c r="G373" s="961" t="n"/>
      <c r="H373" s="721" t="n"/>
      <c r="I373" s="962" t="n"/>
      <c r="J373" s="718" t="n"/>
      <c r="K373" s="961" t="n"/>
      <c r="L373" s="721" t="n"/>
      <c r="M373" s="961" t="n"/>
      <c r="N373" s="721" t="n"/>
      <c r="O373" s="961" t="n"/>
      <c r="P373" s="721" t="n"/>
      <c r="Q373" s="962" t="n"/>
      <c r="R373" s="718" t="n"/>
      <c r="S373" s="961" t="n"/>
      <c r="T373" s="721" t="n"/>
      <c r="U373" s="961" t="n"/>
      <c r="V373" s="721" t="n"/>
      <c r="W373" s="961" t="n"/>
      <c r="X373" s="721" t="n"/>
      <c r="Y373" s="962" t="n"/>
      <c r="Z373" s="718" t="n"/>
      <c r="AA373" s="961" t="n"/>
      <c r="AB373" s="721" t="n"/>
      <c r="AC373" s="961" t="n"/>
      <c r="AD373" s="721" t="n"/>
      <c r="AE373" s="961" t="n"/>
      <c r="AF373" s="721" t="n"/>
      <c r="AG373" s="962" t="n"/>
      <c r="AH373" s="718" t="n"/>
      <c r="AI373" s="961" t="n"/>
      <c r="AJ373" s="721" t="n"/>
      <c r="AK373" s="961" t="n"/>
      <c r="AL373" s="721" t="n"/>
      <c r="AM373" s="961" t="n"/>
      <c r="AN373" s="721" t="n"/>
      <c r="AO373" s="962" t="n"/>
      <c r="AP373" s="718" t="n"/>
      <c r="AQ373" s="961" t="n"/>
      <c r="AR373" s="721" t="n"/>
      <c r="AS373" s="961" t="n"/>
      <c r="AT373" s="721" t="n"/>
      <c r="AU373" s="961" t="n"/>
      <c r="AV373" s="721" t="n"/>
      <c r="AW373" s="962" t="n"/>
      <c r="AX373" s="718" t="n"/>
      <c r="AY373" s="961" t="n"/>
      <c r="AZ373" s="721" t="n"/>
      <c r="BA373" s="961" t="n"/>
      <c r="BB373" s="721" t="n"/>
      <c r="BC373" s="961" t="n"/>
      <c r="BD373" s="721" t="n"/>
      <c r="BE373" s="962" t="n"/>
      <c r="BF373" s="718" t="n"/>
      <c r="BG373" s="961" t="n"/>
      <c r="BH373" s="717" t="n"/>
      <c r="BI373" s="963" t="n"/>
      <c r="BJ373" s="721" t="n"/>
      <c r="BK373" s="961" t="n"/>
      <c r="BL373" s="721" t="n"/>
      <c r="BM373" s="962" t="n"/>
    </row>
    <row r="374" ht="15" customFormat="1" customHeight="1" s="18">
      <c r="A374" s="722" t="n"/>
      <c r="B374" s="721" t="n"/>
      <c r="C374" s="961" t="n"/>
      <c r="D374" s="721" t="n"/>
      <c r="E374" s="961" t="n"/>
      <c r="F374" s="721" t="n"/>
      <c r="G374" s="961" t="n"/>
      <c r="H374" s="721" t="n"/>
      <c r="I374" s="962" t="n"/>
      <c r="J374" s="718" t="n"/>
      <c r="K374" s="961" t="n"/>
      <c r="L374" s="721" t="n"/>
      <c r="M374" s="961" t="n"/>
      <c r="N374" s="721" t="n"/>
      <c r="O374" s="961" t="n"/>
      <c r="P374" s="721" t="n"/>
      <c r="Q374" s="962" t="n"/>
      <c r="R374" s="718" t="n"/>
      <c r="S374" s="961" t="n"/>
      <c r="T374" s="721" t="n"/>
      <c r="U374" s="961" t="n"/>
      <c r="V374" s="721" t="n"/>
      <c r="W374" s="961" t="n"/>
      <c r="X374" s="721" t="n"/>
      <c r="Y374" s="962" t="n"/>
      <c r="Z374" s="718" t="n"/>
      <c r="AA374" s="961" t="n"/>
      <c r="AB374" s="721" t="n"/>
      <c r="AC374" s="961" t="n"/>
      <c r="AD374" s="721" t="n"/>
      <c r="AE374" s="961" t="n"/>
      <c r="AF374" s="721" t="n"/>
      <c r="AG374" s="962" t="n"/>
      <c r="AH374" s="718" t="n"/>
      <c r="AI374" s="961" t="n"/>
      <c r="AJ374" s="721" t="n"/>
      <c r="AK374" s="961" t="n"/>
      <c r="AL374" s="721" t="n"/>
      <c r="AM374" s="961" t="n"/>
      <c r="AN374" s="721" t="n"/>
      <c r="AO374" s="962" t="n"/>
      <c r="AP374" s="718" t="n"/>
      <c r="AQ374" s="961" t="n"/>
      <c r="AR374" s="721" t="n"/>
      <c r="AS374" s="961" t="n"/>
      <c r="AT374" s="721" t="n"/>
      <c r="AU374" s="961" t="n"/>
      <c r="AV374" s="721" t="n"/>
      <c r="AW374" s="962" t="n"/>
      <c r="AX374" s="718" t="n"/>
      <c r="AY374" s="961" t="n"/>
      <c r="AZ374" s="721" t="n"/>
      <c r="BA374" s="961" t="n"/>
      <c r="BB374" s="721" t="n"/>
      <c r="BC374" s="961" t="n"/>
      <c r="BD374" s="721" t="n"/>
      <c r="BE374" s="962" t="n"/>
      <c r="BF374" s="718" t="n"/>
      <c r="BG374" s="961" t="n"/>
      <c r="BH374" s="717" t="n"/>
      <c r="BI374" s="963" t="n"/>
      <c r="BJ374" s="721" t="n"/>
      <c r="BK374" s="961" t="n"/>
      <c r="BL374" s="721" t="n"/>
      <c r="BM374" s="962" t="n"/>
    </row>
    <row r="375" ht="15" customFormat="1" customHeight="1" s="18">
      <c r="A375" s="722" t="n"/>
      <c r="B375" s="721" t="n"/>
      <c r="C375" s="961" t="n"/>
      <c r="D375" s="721" t="n"/>
      <c r="E375" s="961" t="n"/>
      <c r="F375" s="721" t="n"/>
      <c r="G375" s="961" t="n"/>
      <c r="H375" s="721" t="n"/>
      <c r="I375" s="962" t="n"/>
      <c r="J375" s="718" t="n"/>
      <c r="K375" s="961" t="n"/>
      <c r="L375" s="721" t="n"/>
      <c r="M375" s="961" t="n"/>
      <c r="N375" s="721" t="n"/>
      <c r="O375" s="961" t="n"/>
      <c r="P375" s="721" t="n"/>
      <c r="Q375" s="962" t="n"/>
      <c r="R375" s="718" t="n"/>
      <c r="S375" s="961" t="n"/>
      <c r="T375" s="721" t="n"/>
      <c r="U375" s="961" t="n"/>
      <c r="V375" s="721" t="n"/>
      <c r="W375" s="961" t="n"/>
      <c r="X375" s="721" t="n"/>
      <c r="Y375" s="962" t="n"/>
      <c r="Z375" s="718" t="n"/>
      <c r="AA375" s="961" t="n"/>
      <c r="AB375" s="721" t="n"/>
      <c r="AC375" s="961" t="n"/>
      <c r="AD375" s="721" t="n"/>
      <c r="AE375" s="961" t="n"/>
      <c r="AF375" s="721" t="n"/>
      <c r="AG375" s="962" t="n"/>
      <c r="AH375" s="718" t="n"/>
      <c r="AI375" s="961" t="n"/>
      <c r="AJ375" s="721" t="n"/>
      <c r="AK375" s="961" t="n"/>
      <c r="AL375" s="721" t="n"/>
      <c r="AM375" s="961" t="n"/>
      <c r="AN375" s="721" t="n"/>
      <c r="AO375" s="962" t="n"/>
      <c r="AP375" s="718" t="n"/>
      <c r="AQ375" s="961" t="n"/>
      <c r="AR375" s="721" t="n"/>
      <c r="AS375" s="961" t="n"/>
      <c r="AT375" s="721" t="n"/>
      <c r="AU375" s="961" t="n"/>
      <c r="AV375" s="721" t="n"/>
      <c r="AW375" s="962" t="n"/>
      <c r="AX375" s="718" t="n"/>
      <c r="AY375" s="961" t="n"/>
      <c r="AZ375" s="721" t="n"/>
      <c r="BA375" s="961" t="n"/>
      <c r="BB375" s="721" t="n"/>
      <c r="BC375" s="961" t="n"/>
      <c r="BD375" s="721" t="n"/>
      <c r="BE375" s="962" t="n"/>
      <c r="BF375" s="718" t="n"/>
      <c r="BG375" s="961" t="n"/>
      <c r="BH375" s="717" t="n"/>
      <c r="BI375" s="963" t="n"/>
      <c r="BJ375" s="721" t="n"/>
      <c r="BK375" s="961" t="n"/>
      <c r="BL375" s="721" t="n"/>
      <c r="BM375" s="962" t="n"/>
    </row>
    <row r="376" ht="15" customFormat="1" customHeight="1" s="18">
      <c r="A376" s="722" t="n"/>
      <c r="B376" s="721" t="n"/>
      <c r="C376" s="961" t="n"/>
      <c r="D376" s="721" t="n"/>
      <c r="E376" s="961" t="n"/>
      <c r="F376" s="721" t="n"/>
      <c r="G376" s="961" t="n"/>
      <c r="H376" s="721" t="n"/>
      <c r="I376" s="962" t="n"/>
      <c r="J376" s="718" t="n"/>
      <c r="K376" s="961" t="n"/>
      <c r="L376" s="721" t="n"/>
      <c r="M376" s="961" t="n"/>
      <c r="N376" s="721" t="n"/>
      <c r="O376" s="961" t="n"/>
      <c r="P376" s="721" t="n"/>
      <c r="Q376" s="962" t="n"/>
      <c r="R376" s="718" t="n"/>
      <c r="S376" s="961" t="n"/>
      <c r="T376" s="721" t="n"/>
      <c r="U376" s="961" t="n"/>
      <c r="V376" s="721" t="n"/>
      <c r="W376" s="961" t="n"/>
      <c r="X376" s="721" t="n"/>
      <c r="Y376" s="962" t="n"/>
      <c r="Z376" s="718" t="n"/>
      <c r="AA376" s="961" t="n"/>
      <c r="AB376" s="721" t="n"/>
      <c r="AC376" s="961" t="n"/>
      <c r="AD376" s="721" t="n"/>
      <c r="AE376" s="961" t="n"/>
      <c r="AF376" s="721" t="n"/>
      <c r="AG376" s="962" t="n"/>
      <c r="AH376" s="718" t="n"/>
      <c r="AI376" s="961" t="n"/>
      <c r="AJ376" s="721" t="n"/>
      <c r="AK376" s="961" t="n"/>
      <c r="AL376" s="721" t="n"/>
      <c r="AM376" s="961" t="n"/>
      <c r="AN376" s="721" t="n"/>
      <c r="AO376" s="962" t="n"/>
      <c r="AP376" s="718" t="n"/>
      <c r="AQ376" s="961" t="n"/>
      <c r="AR376" s="721" t="n"/>
      <c r="AS376" s="961" t="n"/>
      <c r="AT376" s="721" t="n"/>
      <c r="AU376" s="961" t="n"/>
      <c r="AV376" s="721" t="n"/>
      <c r="AW376" s="962" t="n"/>
      <c r="AX376" s="718" t="n"/>
      <c r="AY376" s="961" t="n"/>
      <c r="AZ376" s="721" t="n"/>
      <c r="BA376" s="961" t="n"/>
      <c r="BB376" s="721" t="n"/>
      <c r="BC376" s="961" t="n"/>
      <c r="BD376" s="721" t="n"/>
      <c r="BE376" s="962" t="n"/>
      <c r="BF376" s="718" t="n"/>
      <c r="BG376" s="961" t="n"/>
      <c r="BH376" s="717" t="n"/>
      <c r="BI376" s="963" t="n"/>
      <c r="BJ376" s="721" t="n"/>
      <c r="BK376" s="961" t="n"/>
      <c r="BL376" s="721" t="n"/>
      <c r="BM376" s="962" t="n"/>
    </row>
    <row r="377" ht="15" customFormat="1" customHeight="1" s="18">
      <c r="A377" s="722" t="n"/>
      <c r="B377" s="721" t="n"/>
      <c r="C377" s="961" t="n"/>
      <c r="D377" s="721" t="n"/>
      <c r="E377" s="961" t="n"/>
      <c r="F377" s="721" t="n"/>
      <c r="G377" s="961" t="n"/>
      <c r="H377" s="721" t="n"/>
      <c r="I377" s="962" t="n"/>
      <c r="J377" s="718" t="n"/>
      <c r="K377" s="961" t="n"/>
      <c r="L377" s="721" t="n"/>
      <c r="M377" s="961" t="n"/>
      <c r="N377" s="721" t="n"/>
      <c r="O377" s="961" t="n"/>
      <c r="P377" s="721" t="n"/>
      <c r="Q377" s="962" t="n"/>
      <c r="R377" s="718" t="n"/>
      <c r="S377" s="961" t="n"/>
      <c r="T377" s="721" t="n"/>
      <c r="U377" s="961" t="n"/>
      <c r="V377" s="721" t="n"/>
      <c r="W377" s="961" t="n"/>
      <c r="X377" s="721" t="n"/>
      <c r="Y377" s="962" t="n"/>
      <c r="Z377" s="718" t="n"/>
      <c r="AA377" s="961" t="n"/>
      <c r="AB377" s="721" t="n"/>
      <c r="AC377" s="961" t="n"/>
      <c r="AD377" s="721" t="n"/>
      <c r="AE377" s="961" t="n"/>
      <c r="AF377" s="721" t="n"/>
      <c r="AG377" s="962" t="n"/>
      <c r="AH377" s="718" t="n"/>
      <c r="AI377" s="961" t="n"/>
      <c r="AJ377" s="721" t="n"/>
      <c r="AK377" s="961" t="n"/>
      <c r="AL377" s="721" t="n"/>
      <c r="AM377" s="961" t="n"/>
      <c r="AN377" s="721" t="n"/>
      <c r="AO377" s="962" t="n"/>
      <c r="AP377" s="718" t="n"/>
      <c r="AQ377" s="961" t="n"/>
      <c r="AR377" s="721" t="n"/>
      <c r="AS377" s="961" t="n"/>
      <c r="AT377" s="721" t="n"/>
      <c r="AU377" s="961" t="n"/>
      <c r="AV377" s="721" t="n"/>
      <c r="AW377" s="962" t="n"/>
      <c r="AX377" s="718" t="n"/>
      <c r="AY377" s="961" t="n"/>
      <c r="AZ377" s="721" t="n"/>
      <c r="BA377" s="961" t="n"/>
      <c r="BB377" s="721" t="n"/>
      <c r="BC377" s="961" t="n"/>
      <c r="BD377" s="721" t="n"/>
      <c r="BE377" s="962" t="n"/>
      <c r="BF377" s="718" t="n"/>
      <c r="BG377" s="961" t="n"/>
      <c r="BH377" s="717" t="n"/>
      <c r="BI377" s="963" t="n"/>
      <c r="BJ377" s="721" t="n"/>
      <c r="BK377" s="961" t="n"/>
      <c r="BL377" s="721" t="n"/>
      <c r="BM377" s="962" t="n"/>
    </row>
    <row r="378" ht="15" customFormat="1" customHeight="1" s="18">
      <c r="A378" s="722" t="n"/>
      <c r="B378" s="721" t="n"/>
      <c r="C378" s="961" t="n"/>
      <c r="D378" s="721" t="n"/>
      <c r="E378" s="961" t="n"/>
      <c r="F378" s="721" t="n"/>
      <c r="G378" s="961" t="n"/>
      <c r="H378" s="721" t="n"/>
      <c r="I378" s="962" t="n"/>
      <c r="J378" s="718" t="n"/>
      <c r="K378" s="961" t="n"/>
      <c r="L378" s="721" t="n"/>
      <c r="M378" s="961" t="n"/>
      <c r="N378" s="721" t="n"/>
      <c r="O378" s="961" t="n"/>
      <c r="P378" s="721" t="n"/>
      <c r="Q378" s="962" t="n"/>
      <c r="R378" s="718" t="n"/>
      <c r="S378" s="961" t="n"/>
      <c r="T378" s="721" t="n"/>
      <c r="U378" s="961" t="n"/>
      <c r="V378" s="721" t="n"/>
      <c r="W378" s="961" t="n"/>
      <c r="X378" s="721" t="n"/>
      <c r="Y378" s="962" t="n"/>
      <c r="Z378" s="718" t="n"/>
      <c r="AA378" s="961" t="n"/>
      <c r="AB378" s="721" t="n"/>
      <c r="AC378" s="961" t="n"/>
      <c r="AD378" s="721" t="n"/>
      <c r="AE378" s="961" t="n"/>
      <c r="AF378" s="721" t="n"/>
      <c r="AG378" s="962" t="n"/>
      <c r="AH378" s="718" t="n"/>
      <c r="AI378" s="961" t="n"/>
      <c r="AJ378" s="721" t="n"/>
      <c r="AK378" s="961" t="n"/>
      <c r="AL378" s="721" t="n"/>
      <c r="AM378" s="961" t="n"/>
      <c r="AN378" s="721" t="n"/>
      <c r="AO378" s="962" t="n"/>
      <c r="AP378" s="718" t="n"/>
      <c r="AQ378" s="961" t="n"/>
      <c r="AR378" s="721" t="n"/>
      <c r="AS378" s="961" t="n"/>
      <c r="AT378" s="721" t="n"/>
      <c r="AU378" s="961" t="n"/>
      <c r="AV378" s="721" t="n"/>
      <c r="AW378" s="962" t="n"/>
      <c r="AX378" s="718" t="n"/>
      <c r="AY378" s="961" t="n"/>
      <c r="AZ378" s="721" t="n"/>
      <c r="BA378" s="961" t="n"/>
      <c r="BB378" s="721" t="n"/>
      <c r="BC378" s="961" t="n"/>
      <c r="BD378" s="721" t="n"/>
      <c r="BE378" s="962" t="n"/>
      <c r="BF378" s="718" t="n"/>
      <c r="BG378" s="961" t="n"/>
      <c r="BH378" s="717" t="n"/>
      <c r="BI378" s="963" t="n"/>
      <c r="BJ378" s="721" t="n"/>
      <c r="BK378" s="961" t="n"/>
      <c r="BL378" s="721" t="n"/>
      <c r="BM378" s="962" t="n"/>
    </row>
    <row r="379" ht="15" customFormat="1" customHeight="1" s="18">
      <c r="A379" s="722" t="n"/>
      <c r="B379" s="721" t="n"/>
      <c r="C379" s="961" t="n"/>
      <c r="D379" s="721" t="n"/>
      <c r="E379" s="961" t="n"/>
      <c r="F379" s="721" t="n"/>
      <c r="G379" s="961" t="n"/>
      <c r="H379" s="721" t="n"/>
      <c r="I379" s="962" t="n"/>
      <c r="J379" s="718" t="n"/>
      <c r="K379" s="961" t="n"/>
      <c r="L379" s="721" t="n"/>
      <c r="M379" s="961" t="n"/>
      <c r="N379" s="721" t="n"/>
      <c r="O379" s="961" t="n"/>
      <c r="P379" s="721" t="n"/>
      <c r="Q379" s="962" t="n"/>
      <c r="R379" s="718" t="n"/>
      <c r="S379" s="961" t="n"/>
      <c r="T379" s="721" t="n"/>
      <c r="U379" s="961" t="n"/>
      <c r="V379" s="721" t="n"/>
      <c r="W379" s="961" t="n"/>
      <c r="X379" s="721" t="n"/>
      <c r="Y379" s="962" t="n"/>
      <c r="Z379" s="718" t="n"/>
      <c r="AA379" s="961" t="n"/>
      <c r="AB379" s="721" t="n"/>
      <c r="AC379" s="961" t="n"/>
      <c r="AD379" s="721" t="n"/>
      <c r="AE379" s="961" t="n"/>
      <c r="AF379" s="721" t="n"/>
      <c r="AG379" s="962" t="n"/>
      <c r="AH379" s="718" t="n"/>
      <c r="AI379" s="961" t="n"/>
      <c r="AJ379" s="721" t="n"/>
      <c r="AK379" s="961" t="n"/>
      <c r="AL379" s="721" t="n"/>
      <c r="AM379" s="961" t="n"/>
      <c r="AN379" s="721" t="n"/>
      <c r="AO379" s="962" t="n"/>
      <c r="AP379" s="718" t="n"/>
      <c r="AQ379" s="961" t="n"/>
      <c r="AR379" s="721" t="n"/>
      <c r="AS379" s="961" t="n"/>
      <c r="AT379" s="721" t="n"/>
      <c r="AU379" s="961" t="n"/>
      <c r="AV379" s="721" t="n"/>
      <c r="AW379" s="962" t="n"/>
      <c r="AX379" s="718" t="n"/>
      <c r="AY379" s="961" t="n"/>
      <c r="AZ379" s="721" t="n"/>
      <c r="BA379" s="961" t="n"/>
      <c r="BB379" s="721" t="n"/>
      <c r="BC379" s="961" t="n"/>
      <c r="BD379" s="721" t="n"/>
      <c r="BE379" s="962" t="n"/>
      <c r="BF379" s="718" t="n"/>
      <c r="BG379" s="961" t="n"/>
      <c r="BH379" s="717" t="n"/>
      <c r="BI379" s="963" t="n"/>
      <c r="BJ379" s="721" t="n"/>
      <c r="BK379" s="961" t="n"/>
      <c r="BL379" s="721" t="n"/>
      <c r="BM379" s="962" t="n"/>
    </row>
    <row r="380" ht="15" customFormat="1" customHeight="1" s="18">
      <c r="A380" s="722" t="n"/>
      <c r="B380" s="721" t="n"/>
      <c r="C380" s="961" t="n"/>
      <c r="D380" s="721" t="n"/>
      <c r="E380" s="961" t="n"/>
      <c r="F380" s="721" t="n"/>
      <c r="G380" s="961" t="n"/>
      <c r="H380" s="721" t="n"/>
      <c r="I380" s="962" t="n"/>
      <c r="J380" s="718" t="n"/>
      <c r="K380" s="961" t="n"/>
      <c r="L380" s="721" t="n"/>
      <c r="M380" s="961" t="n"/>
      <c r="N380" s="721" t="n"/>
      <c r="O380" s="961" t="n"/>
      <c r="P380" s="721" t="n"/>
      <c r="Q380" s="962" t="n"/>
      <c r="R380" s="718" t="n"/>
      <c r="S380" s="961" t="n"/>
      <c r="T380" s="721" t="n"/>
      <c r="U380" s="961" t="n"/>
      <c r="V380" s="721" t="n"/>
      <c r="W380" s="961" t="n"/>
      <c r="X380" s="721" t="n"/>
      <c r="Y380" s="962" t="n"/>
      <c r="Z380" s="718" t="n"/>
      <c r="AA380" s="961" t="n"/>
      <c r="AB380" s="721" t="n"/>
      <c r="AC380" s="961" t="n"/>
      <c r="AD380" s="721" t="n"/>
      <c r="AE380" s="961" t="n"/>
      <c r="AF380" s="721" t="n"/>
      <c r="AG380" s="962" t="n"/>
      <c r="AH380" s="718" t="n"/>
      <c r="AI380" s="961" t="n"/>
      <c r="AJ380" s="721" t="n"/>
      <c r="AK380" s="961" t="n"/>
      <c r="AL380" s="721" t="n"/>
      <c r="AM380" s="961" t="n"/>
      <c r="AN380" s="721" t="n"/>
      <c r="AO380" s="962" t="n"/>
      <c r="AP380" s="718" t="n"/>
      <c r="AQ380" s="961" t="n"/>
      <c r="AR380" s="721" t="n"/>
      <c r="AS380" s="961" t="n"/>
      <c r="AT380" s="721" t="n"/>
      <c r="AU380" s="961" t="n"/>
      <c r="AV380" s="721" t="n"/>
      <c r="AW380" s="962" t="n"/>
      <c r="AX380" s="718" t="n"/>
      <c r="AY380" s="961" t="n"/>
      <c r="AZ380" s="721" t="n"/>
      <c r="BA380" s="961" t="n"/>
      <c r="BB380" s="721" t="n"/>
      <c r="BC380" s="961" t="n"/>
      <c r="BD380" s="721" t="n"/>
      <c r="BE380" s="962" t="n"/>
      <c r="BF380" s="718" t="n"/>
      <c r="BG380" s="961" t="n"/>
      <c r="BH380" s="717" t="n"/>
      <c r="BI380" s="963" t="n"/>
      <c r="BJ380" s="721" t="n"/>
      <c r="BK380" s="961" t="n"/>
      <c r="BL380" s="721" t="n"/>
      <c r="BM380" s="962" t="n"/>
    </row>
    <row r="381" ht="15" customFormat="1" customHeight="1" s="18">
      <c r="A381" s="722" t="n"/>
      <c r="B381" s="721" t="n"/>
      <c r="C381" s="961" t="n"/>
      <c r="D381" s="721" t="n"/>
      <c r="E381" s="961" t="n"/>
      <c r="F381" s="721" t="n"/>
      <c r="G381" s="961" t="n"/>
      <c r="H381" s="721" t="n"/>
      <c r="I381" s="962" t="n"/>
      <c r="J381" s="718" t="n"/>
      <c r="K381" s="961" t="n"/>
      <c r="L381" s="721" t="n"/>
      <c r="M381" s="961" t="n"/>
      <c r="N381" s="721" t="n"/>
      <c r="O381" s="961" t="n"/>
      <c r="P381" s="721" t="n"/>
      <c r="Q381" s="962" t="n"/>
      <c r="R381" s="718" t="n"/>
      <c r="S381" s="961" t="n"/>
      <c r="T381" s="721" t="n"/>
      <c r="U381" s="961" t="n"/>
      <c r="V381" s="721" t="n"/>
      <c r="W381" s="961" t="n"/>
      <c r="X381" s="721" t="n"/>
      <c r="Y381" s="962" t="n"/>
      <c r="Z381" s="718" t="n"/>
      <c r="AA381" s="961" t="n"/>
      <c r="AB381" s="721" t="n"/>
      <c r="AC381" s="961" t="n"/>
      <c r="AD381" s="721" t="n"/>
      <c r="AE381" s="961" t="n"/>
      <c r="AF381" s="721" t="n"/>
      <c r="AG381" s="962" t="n"/>
      <c r="AH381" s="718" t="n"/>
      <c r="AI381" s="961" t="n"/>
      <c r="AJ381" s="721" t="n"/>
      <c r="AK381" s="961" t="n"/>
      <c r="AL381" s="721" t="n"/>
      <c r="AM381" s="961" t="n"/>
      <c r="AN381" s="721" t="n"/>
      <c r="AO381" s="962" t="n"/>
      <c r="AP381" s="718" t="n"/>
      <c r="AQ381" s="961" t="n"/>
      <c r="AR381" s="721" t="n"/>
      <c r="AS381" s="961" t="n"/>
      <c r="AT381" s="721" t="n"/>
      <c r="AU381" s="961" t="n"/>
      <c r="AV381" s="721" t="n"/>
      <c r="AW381" s="962" t="n"/>
      <c r="AX381" s="718" t="n"/>
      <c r="AY381" s="961" t="n"/>
      <c r="AZ381" s="721" t="n"/>
      <c r="BA381" s="961" t="n"/>
      <c r="BB381" s="721" t="n"/>
      <c r="BC381" s="961" t="n"/>
      <c r="BD381" s="721" t="n"/>
      <c r="BE381" s="962" t="n"/>
      <c r="BF381" s="718" t="n"/>
      <c r="BG381" s="961" t="n"/>
      <c r="BH381" s="717" t="n"/>
      <c r="BI381" s="963" t="n"/>
      <c r="BJ381" s="721" t="n"/>
      <c r="BK381" s="961" t="n"/>
      <c r="BL381" s="721" t="n"/>
      <c r="BM381" s="962" t="n"/>
    </row>
    <row r="382" ht="15" customFormat="1" customHeight="1" s="18">
      <c r="A382" s="722" t="n"/>
      <c r="B382" s="721" t="n"/>
      <c r="C382" s="961" t="n"/>
      <c r="D382" s="721" t="n"/>
      <c r="E382" s="961" t="n"/>
      <c r="F382" s="721" t="n"/>
      <c r="G382" s="961" t="n"/>
      <c r="H382" s="721" t="n"/>
      <c r="I382" s="962" t="n"/>
      <c r="J382" s="718" t="n"/>
      <c r="K382" s="961" t="n"/>
      <c r="L382" s="721" t="n"/>
      <c r="M382" s="961" t="n"/>
      <c r="N382" s="721" t="n"/>
      <c r="O382" s="961" t="n"/>
      <c r="P382" s="721" t="n"/>
      <c r="Q382" s="962" t="n"/>
      <c r="R382" s="718" t="n"/>
      <c r="S382" s="961" t="n"/>
      <c r="T382" s="721" t="n"/>
      <c r="U382" s="961" t="n"/>
      <c r="V382" s="721" t="n"/>
      <c r="W382" s="961" t="n"/>
      <c r="X382" s="721" t="n"/>
      <c r="Y382" s="962" t="n"/>
      <c r="Z382" s="718" t="n"/>
      <c r="AA382" s="961" t="n"/>
      <c r="AB382" s="721" t="n"/>
      <c r="AC382" s="961" t="n"/>
      <c r="AD382" s="721" t="n"/>
      <c r="AE382" s="961" t="n"/>
      <c r="AF382" s="721" t="n"/>
      <c r="AG382" s="962" t="n"/>
      <c r="AH382" s="718" t="n"/>
      <c r="AI382" s="961" t="n"/>
      <c r="AJ382" s="721" t="n"/>
      <c r="AK382" s="961" t="n"/>
      <c r="AL382" s="721" t="n"/>
      <c r="AM382" s="961" t="n"/>
      <c r="AN382" s="721" t="n"/>
      <c r="AO382" s="962" t="n"/>
      <c r="AP382" s="718" t="n"/>
      <c r="AQ382" s="961" t="n"/>
      <c r="AR382" s="721" t="n"/>
      <c r="AS382" s="961" t="n"/>
      <c r="AT382" s="721" t="n"/>
      <c r="AU382" s="961" t="n"/>
      <c r="AV382" s="721" t="n"/>
      <c r="AW382" s="962" t="n"/>
      <c r="AX382" s="718" t="n"/>
      <c r="AY382" s="961" t="n"/>
      <c r="AZ382" s="721" t="n"/>
      <c r="BA382" s="961" t="n"/>
      <c r="BB382" s="721" t="n"/>
      <c r="BC382" s="961" t="n"/>
      <c r="BD382" s="721" t="n"/>
      <c r="BE382" s="962" t="n"/>
      <c r="BF382" s="718" t="n"/>
      <c r="BG382" s="961" t="n"/>
      <c r="BH382" s="717" t="n"/>
      <c r="BI382" s="963" t="n"/>
      <c r="BJ382" s="721" t="n"/>
      <c r="BK382" s="961" t="n"/>
      <c r="BL382" s="721" t="n"/>
      <c r="BM382" s="962" t="n"/>
      <c r="BN382" s="138" t="n"/>
    </row>
    <row r="383" ht="15" customFormat="1" customHeight="1" s="18">
      <c r="A383" s="722" t="n"/>
      <c r="B383" s="721" t="n"/>
      <c r="C383" s="961" t="n"/>
      <c r="D383" s="721" t="n"/>
      <c r="E383" s="961" t="n"/>
      <c r="F383" s="721" t="n"/>
      <c r="G383" s="961" t="n"/>
      <c r="H383" s="721" t="n"/>
      <c r="I383" s="962" t="n"/>
      <c r="J383" s="718" t="n"/>
      <c r="K383" s="961" t="n"/>
      <c r="L383" s="721" t="n"/>
      <c r="M383" s="961" t="n"/>
      <c r="N383" s="721" t="n"/>
      <c r="O383" s="961" t="n"/>
      <c r="P383" s="721" t="n"/>
      <c r="Q383" s="962" t="n"/>
      <c r="R383" s="718" t="n"/>
      <c r="S383" s="961" t="n"/>
      <c r="T383" s="721" t="n"/>
      <c r="U383" s="961" t="n"/>
      <c r="V383" s="721" t="n"/>
      <c r="W383" s="961" t="n"/>
      <c r="X383" s="721" t="n"/>
      <c r="Y383" s="962" t="n"/>
      <c r="Z383" s="718" t="n"/>
      <c r="AA383" s="961" t="n"/>
      <c r="AB383" s="721" t="n"/>
      <c r="AC383" s="961" t="n"/>
      <c r="AD383" s="721" t="n"/>
      <c r="AE383" s="961" t="n"/>
      <c r="AF383" s="721" t="n"/>
      <c r="AG383" s="962" t="n"/>
      <c r="AH383" s="718" t="n"/>
      <c r="AI383" s="961" t="n"/>
      <c r="AJ383" s="721" t="n"/>
      <c r="AK383" s="961" t="n"/>
      <c r="AL383" s="721" t="n"/>
      <c r="AM383" s="961" t="n"/>
      <c r="AN383" s="721" t="n"/>
      <c r="AO383" s="962" t="n"/>
      <c r="AP383" s="718" t="n"/>
      <c r="AQ383" s="961" t="n"/>
      <c r="AR383" s="721" t="n"/>
      <c r="AS383" s="961" t="n"/>
      <c r="AT383" s="721" t="n"/>
      <c r="AU383" s="961" t="n"/>
      <c r="AV383" s="721" t="n"/>
      <c r="AW383" s="962" t="n"/>
      <c r="AX383" s="718" t="n"/>
      <c r="AY383" s="961" t="n"/>
      <c r="AZ383" s="721" t="n"/>
      <c r="BA383" s="961" t="n"/>
      <c r="BB383" s="721" t="n"/>
      <c r="BC383" s="961" t="n"/>
      <c r="BD383" s="721" t="n"/>
      <c r="BE383" s="962" t="n"/>
      <c r="BF383" s="718" t="n"/>
      <c r="BG383" s="961" t="n"/>
      <c r="BH383" s="717" t="n"/>
      <c r="BI383" s="963" t="n"/>
      <c r="BJ383" s="721" t="n"/>
      <c r="BK383" s="961" t="n"/>
      <c r="BL383" s="721" t="n"/>
      <c r="BM383" s="962" t="n"/>
    </row>
    <row r="384" ht="15" customFormat="1" customHeight="1" s="18">
      <c r="A384" s="722" t="n"/>
      <c r="B384" s="721" t="n"/>
      <c r="C384" s="961" t="n"/>
      <c r="D384" s="721" t="n"/>
      <c r="E384" s="961" t="n"/>
      <c r="F384" s="721" t="n"/>
      <c r="G384" s="961" t="n"/>
      <c r="H384" s="721" t="n"/>
      <c r="I384" s="962" t="n"/>
      <c r="J384" s="718" t="n"/>
      <c r="K384" s="961" t="n"/>
      <c r="L384" s="721" t="n"/>
      <c r="M384" s="961" t="n"/>
      <c r="N384" s="721" t="n"/>
      <c r="O384" s="961" t="n"/>
      <c r="P384" s="721" t="n"/>
      <c r="Q384" s="962" t="n"/>
      <c r="R384" s="718" t="n"/>
      <c r="S384" s="961" t="n"/>
      <c r="T384" s="721" t="n"/>
      <c r="U384" s="961" t="n"/>
      <c r="V384" s="721" t="n"/>
      <c r="W384" s="961" t="n"/>
      <c r="X384" s="721" t="n"/>
      <c r="Y384" s="962" t="n"/>
      <c r="Z384" s="718" t="n"/>
      <c r="AA384" s="961" t="n"/>
      <c r="AB384" s="721" t="n"/>
      <c r="AC384" s="961" t="n"/>
      <c r="AD384" s="721" t="n"/>
      <c r="AE384" s="961" t="n"/>
      <c r="AF384" s="721" t="n"/>
      <c r="AG384" s="962" t="n"/>
      <c r="AH384" s="718" t="n"/>
      <c r="AI384" s="961" t="n"/>
      <c r="AJ384" s="721" t="n"/>
      <c r="AK384" s="961" t="n"/>
      <c r="AL384" s="721" t="n"/>
      <c r="AM384" s="961" t="n"/>
      <c r="AN384" s="721" t="n"/>
      <c r="AO384" s="962" t="n"/>
      <c r="AP384" s="718" t="n"/>
      <c r="AQ384" s="961" t="n"/>
      <c r="AR384" s="721" t="n"/>
      <c r="AS384" s="961" t="n"/>
      <c r="AT384" s="721" t="n"/>
      <c r="AU384" s="961" t="n"/>
      <c r="AV384" s="721" t="n"/>
      <c r="AW384" s="962" t="n"/>
      <c r="AX384" s="718" t="n"/>
      <c r="AY384" s="961" t="n"/>
      <c r="AZ384" s="721" t="n"/>
      <c r="BA384" s="961" t="n"/>
      <c r="BB384" s="721" t="n"/>
      <c r="BC384" s="961" t="n"/>
      <c r="BD384" s="721" t="n"/>
      <c r="BE384" s="962" t="n"/>
      <c r="BF384" s="718" t="n"/>
      <c r="BG384" s="961" t="n"/>
      <c r="BH384" s="717" t="n"/>
      <c r="BI384" s="963" t="n"/>
      <c r="BJ384" s="721" t="n"/>
      <c r="BK384" s="961" t="n"/>
      <c r="BL384" s="721" t="n"/>
      <c r="BM384" s="962" t="n"/>
    </row>
    <row r="385" ht="15" customFormat="1" customHeight="1" s="18">
      <c r="A385" s="722" t="n"/>
      <c r="B385" s="721" t="n"/>
      <c r="C385" s="961" t="n"/>
      <c r="D385" s="721" t="n"/>
      <c r="E385" s="961" t="n"/>
      <c r="F385" s="721" t="n"/>
      <c r="G385" s="961" t="n"/>
      <c r="H385" s="721" t="n"/>
      <c r="I385" s="962" t="n"/>
      <c r="J385" s="718" t="n"/>
      <c r="K385" s="961" t="n"/>
      <c r="L385" s="721" t="n"/>
      <c r="M385" s="961" t="n"/>
      <c r="N385" s="721" t="n"/>
      <c r="O385" s="961" t="n"/>
      <c r="P385" s="721" t="n"/>
      <c r="Q385" s="962" t="n"/>
      <c r="R385" s="718" t="n"/>
      <c r="S385" s="961" t="n"/>
      <c r="T385" s="721" t="n"/>
      <c r="U385" s="961" t="n"/>
      <c r="V385" s="721" t="n"/>
      <c r="W385" s="961" t="n"/>
      <c r="X385" s="721" t="n"/>
      <c r="Y385" s="962" t="n"/>
      <c r="Z385" s="718" t="n"/>
      <c r="AA385" s="961" t="n"/>
      <c r="AB385" s="721" t="n"/>
      <c r="AC385" s="961" t="n"/>
      <c r="AD385" s="721" t="n"/>
      <c r="AE385" s="961" t="n"/>
      <c r="AF385" s="721" t="n"/>
      <c r="AG385" s="962" t="n"/>
      <c r="AH385" s="718" t="n"/>
      <c r="AI385" s="961" t="n"/>
      <c r="AJ385" s="721" t="n"/>
      <c r="AK385" s="961" t="n"/>
      <c r="AL385" s="721" t="n"/>
      <c r="AM385" s="961" t="n"/>
      <c r="AN385" s="721" t="n"/>
      <c r="AO385" s="962" t="n"/>
      <c r="AP385" s="718" t="n"/>
      <c r="AQ385" s="961" t="n"/>
      <c r="AR385" s="721" t="n"/>
      <c r="AS385" s="961" t="n"/>
      <c r="AT385" s="721" t="n"/>
      <c r="AU385" s="961" t="n"/>
      <c r="AV385" s="721" t="n"/>
      <c r="AW385" s="962" t="n"/>
      <c r="AX385" s="718" t="n"/>
      <c r="AY385" s="961" t="n"/>
      <c r="AZ385" s="721" t="n"/>
      <c r="BA385" s="961" t="n"/>
      <c r="BB385" s="721" t="n"/>
      <c r="BC385" s="961" t="n"/>
      <c r="BD385" s="721" t="n"/>
      <c r="BE385" s="962" t="n"/>
      <c r="BF385" s="718" t="n"/>
      <c r="BG385" s="961" t="n"/>
      <c r="BH385" s="717" t="n"/>
      <c r="BI385" s="963" t="n"/>
      <c r="BJ385" s="721" t="n"/>
      <c r="BK385" s="961" t="n"/>
      <c r="BL385" s="721" t="n"/>
      <c r="BM385" s="962" t="n"/>
    </row>
    <row r="386" ht="15" customFormat="1" customHeight="1" s="18">
      <c r="A386" s="722" t="n"/>
      <c r="B386" s="721" t="n"/>
      <c r="C386" s="961" t="n"/>
      <c r="D386" s="721" t="n"/>
      <c r="E386" s="961" t="n"/>
      <c r="F386" s="721" t="n"/>
      <c r="G386" s="961" t="n"/>
      <c r="H386" s="721" t="n"/>
      <c r="I386" s="962" t="n"/>
      <c r="J386" s="718" t="n"/>
      <c r="K386" s="961" t="n"/>
      <c r="L386" s="721" t="n"/>
      <c r="M386" s="961" t="n"/>
      <c r="N386" s="721" t="n"/>
      <c r="O386" s="961" t="n"/>
      <c r="P386" s="721" t="n"/>
      <c r="Q386" s="962" t="n"/>
      <c r="R386" s="718" t="n"/>
      <c r="S386" s="961" t="n"/>
      <c r="T386" s="721" t="n"/>
      <c r="U386" s="961" t="n"/>
      <c r="V386" s="721" t="n"/>
      <c r="W386" s="961" t="n"/>
      <c r="X386" s="721" t="n"/>
      <c r="Y386" s="962" t="n"/>
      <c r="Z386" s="718" t="n"/>
      <c r="AA386" s="961" t="n"/>
      <c r="AB386" s="721" t="n"/>
      <c r="AC386" s="961" t="n"/>
      <c r="AD386" s="721" t="n"/>
      <c r="AE386" s="961" t="n"/>
      <c r="AF386" s="721" t="n"/>
      <c r="AG386" s="962" t="n"/>
      <c r="AH386" s="718" t="n"/>
      <c r="AI386" s="961" t="n"/>
      <c r="AJ386" s="721" t="n"/>
      <c r="AK386" s="961" t="n"/>
      <c r="AL386" s="721" t="n"/>
      <c r="AM386" s="961" t="n"/>
      <c r="AN386" s="721" t="n"/>
      <c r="AO386" s="962" t="n"/>
      <c r="AP386" s="718" t="n"/>
      <c r="AQ386" s="961" t="n"/>
      <c r="AR386" s="721" t="n"/>
      <c r="AS386" s="961" t="n"/>
      <c r="AT386" s="721" t="n"/>
      <c r="AU386" s="961" t="n"/>
      <c r="AV386" s="721" t="n"/>
      <c r="AW386" s="962" t="n"/>
      <c r="AX386" s="718" t="n"/>
      <c r="AY386" s="961" t="n"/>
      <c r="AZ386" s="721" t="n"/>
      <c r="BA386" s="961" t="n"/>
      <c r="BB386" s="721" t="n"/>
      <c r="BC386" s="961" t="n"/>
      <c r="BD386" s="721" t="n"/>
      <c r="BE386" s="962" t="n"/>
      <c r="BF386" s="718" t="n"/>
      <c r="BG386" s="961" t="n"/>
      <c r="BH386" s="717" t="n"/>
      <c r="BI386" s="963" t="n"/>
      <c r="BJ386" s="721" t="n"/>
      <c r="BK386" s="961" t="n"/>
      <c r="BL386" s="721" t="n"/>
      <c r="BM386" s="962" t="n"/>
    </row>
    <row r="387" ht="15" customFormat="1" customHeight="1" s="18">
      <c r="A387" s="722" t="n"/>
      <c r="B387" s="721" t="n"/>
      <c r="C387" s="961" t="n"/>
      <c r="D387" s="721" t="n"/>
      <c r="E387" s="961" t="n"/>
      <c r="F387" s="721" t="n"/>
      <c r="G387" s="961" t="n"/>
      <c r="H387" s="721" t="n"/>
      <c r="I387" s="962" t="n"/>
      <c r="J387" s="718" t="n"/>
      <c r="K387" s="961" t="n"/>
      <c r="L387" s="721" t="n"/>
      <c r="M387" s="961" t="n"/>
      <c r="N387" s="721" t="n"/>
      <c r="O387" s="961" t="n"/>
      <c r="P387" s="721" t="n"/>
      <c r="Q387" s="962" t="n"/>
      <c r="R387" s="718" t="n"/>
      <c r="S387" s="961" t="n"/>
      <c r="T387" s="721" t="n"/>
      <c r="U387" s="961" t="n"/>
      <c r="V387" s="721" t="n"/>
      <c r="W387" s="961" t="n"/>
      <c r="X387" s="721" t="n"/>
      <c r="Y387" s="962" t="n"/>
      <c r="Z387" s="718" t="n"/>
      <c r="AA387" s="961" t="n"/>
      <c r="AB387" s="721" t="n"/>
      <c r="AC387" s="961" t="n"/>
      <c r="AD387" s="721" t="n"/>
      <c r="AE387" s="961" t="n"/>
      <c r="AF387" s="721" t="n"/>
      <c r="AG387" s="962" t="n"/>
      <c r="AH387" s="718" t="n"/>
      <c r="AI387" s="961" t="n"/>
      <c r="AJ387" s="721" t="n"/>
      <c r="AK387" s="961" t="n"/>
      <c r="AL387" s="721" t="n"/>
      <c r="AM387" s="961" t="n"/>
      <c r="AN387" s="721" t="n"/>
      <c r="AO387" s="962" t="n"/>
      <c r="AP387" s="718" t="n"/>
      <c r="AQ387" s="961" t="n"/>
      <c r="AR387" s="721" t="n"/>
      <c r="AS387" s="961" t="n"/>
      <c r="AT387" s="721" t="n"/>
      <c r="AU387" s="961" t="n"/>
      <c r="AV387" s="721" t="n"/>
      <c r="AW387" s="962" t="n"/>
      <c r="AX387" s="718" t="n"/>
      <c r="AY387" s="961" t="n"/>
      <c r="AZ387" s="721" t="n"/>
      <c r="BA387" s="961" t="n"/>
      <c r="BB387" s="721" t="n"/>
      <c r="BC387" s="961" t="n"/>
      <c r="BD387" s="721" t="n"/>
      <c r="BE387" s="962" t="n"/>
      <c r="BF387" s="718" t="n"/>
      <c r="BG387" s="961" t="n"/>
      <c r="BH387" s="717" t="n"/>
      <c r="BI387" s="963" t="n"/>
      <c r="BJ387" s="721" t="n"/>
      <c r="BK387" s="961" t="n"/>
      <c r="BL387" s="721" t="n"/>
      <c r="BM387" s="962" t="n"/>
    </row>
    <row r="388" ht="15" customFormat="1" customHeight="1" s="18">
      <c r="A388" s="722" t="n"/>
      <c r="B388" s="721" t="n"/>
      <c r="C388" s="961" t="n"/>
      <c r="D388" s="721" t="n"/>
      <c r="E388" s="961" t="n"/>
      <c r="F388" s="721" t="n"/>
      <c r="G388" s="961" t="n"/>
      <c r="H388" s="721" t="n"/>
      <c r="I388" s="962" t="n"/>
      <c r="J388" s="718" t="n"/>
      <c r="K388" s="961" t="n"/>
      <c r="L388" s="721" t="n"/>
      <c r="M388" s="961" t="n"/>
      <c r="N388" s="721" t="n"/>
      <c r="O388" s="961" t="n"/>
      <c r="P388" s="721" t="n"/>
      <c r="Q388" s="962" t="n"/>
      <c r="R388" s="718" t="n"/>
      <c r="S388" s="961" t="n"/>
      <c r="T388" s="721" t="n"/>
      <c r="U388" s="961" t="n"/>
      <c r="V388" s="721" t="n"/>
      <c r="W388" s="961" t="n"/>
      <c r="X388" s="721" t="n"/>
      <c r="Y388" s="962" t="n"/>
      <c r="Z388" s="718" t="n"/>
      <c r="AA388" s="961" t="n"/>
      <c r="AB388" s="721" t="n"/>
      <c r="AC388" s="961" t="n"/>
      <c r="AD388" s="721" t="n"/>
      <c r="AE388" s="961" t="n"/>
      <c r="AF388" s="721" t="n"/>
      <c r="AG388" s="962" t="n"/>
      <c r="AH388" s="718" t="n"/>
      <c r="AI388" s="961" t="n"/>
      <c r="AJ388" s="721" t="n"/>
      <c r="AK388" s="961" t="n"/>
      <c r="AL388" s="721" t="n"/>
      <c r="AM388" s="961" t="n"/>
      <c r="AN388" s="721" t="n"/>
      <c r="AO388" s="962" t="n"/>
      <c r="AP388" s="718" t="n"/>
      <c r="AQ388" s="961" t="n"/>
      <c r="AR388" s="721" t="n"/>
      <c r="AS388" s="961" t="n"/>
      <c r="AT388" s="721" t="n"/>
      <c r="AU388" s="961" t="n"/>
      <c r="AV388" s="721" t="n"/>
      <c r="AW388" s="962" t="n"/>
      <c r="AX388" s="718" t="n"/>
      <c r="AY388" s="961" t="n"/>
      <c r="AZ388" s="721" t="n"/>
      <c r="BA388" s="961" t="n"/>
      <c r="BB388" s="721" t="n"/>
      <c r="BC388" s="961" t="n"/>
      <c r="BD388" s="721" t="n"/>
      <c r="BE388" s="962" t="n"/>
      <c r="BF388" s="718" t="n"/>
      <c r="BG388" s="961" t="n"/>
      <c r="BH388" s="717" t="n"/>
      <c r="BI388" s="963" t="n"/>
      <c r="BJ388" s="721" t="n"/>
      <c r="BK388" s="961" t="n"/>
      <c r="BL388" s="721" t="n"/>
      <c r="BM388" s="962" t="n"/>
    </row>
    <row r="389" ht="15" customFormat="1" customHeight="1" s="18">
      <c r="A389" s="722" t="n"/>
      <c r="B389" s="721" t="n"/>
      <c r="C389" s="961" t="n"/>
      <c r="D389" s="721" t="n"/>
      <c r="E389" s="961" t="n"/>
      <c r="F389" s="721" t="n"/>
      <c r="G389" s="961" t="n"/>
      <c r="H389" s="721" t="n"/>
      <c r="I389" s="962" t="n"/>
      <c r="J389" s="718" t="n"/>
      <c r="K389" s="961" t="n"/>
      <c r="L389" s="721" t="n"/>
      <c r="M389" s="961" t="n"/>
      <c r="N389" s="721" t="n"/>
      <c r="O389" s="961" t="n"/>
      <c r="P389" s="721" t="n"/>
      <c r="Q389" s="962" t="n"/>
      <c r="R389" s="718" t="n"/>
      <c r="S389" s="961" t="n"/>
      <c r="T389" s="721" t="n"/>
      <c r="U389" s="961" t="n"/>
      <c r="V389" s="721" t="n"/>
      <c r="W389" s="961" t="n"/>
      <c r="X389" s="721" t="n"/>
      <c r="Y389" s="962" t="n"/>
      <c r="Z389" s="718" t="n"/>
      <c r="AA389" s="961" t="n"/>
      <c r="AB389" s="721" t="n"/>
      <c r="AC389" s="961" t="n"/>
      <c r="AD389" s="721" t="n"/>
      <c r="AE389" s="961" t="n"/>
      <c r="AF389" s="721" t="n"/>
      <c r="AG389" s="962" t="n"/>
      <c r="AH389" s="718" t="n"/>
      <c r="AI389" s="961" t="n"/>
      <c r="AJ389" s="721" t="n"/>
      <c r="AK389" s="961" t="n"/>
      <c r="AL389" s="721" t="n"/>
      <c r="AM389" s="961" t="n"/>
      <c r="AN389" s="721" t="n"/>
      <c r="AO389" s="962" t="n"/>
      <c r="AP389" s="718" t="n"/>
      <c r="AQ389" s="961" t="n"/>
      <c r="AR389" s="721" t="n"/>
      <c r="AS389" s="961" t="n"/>
      <c r="AT389" s="721" t="n"/>
      <c r="AU389" s="961" t="n"/>
      <c r="AV389" s="721" t="n"/>
      <c r="AW389" s="962" t="n"/>
      <c r="AX389" s="718" t="n"/>
      <c r="AY389" s="961" t="n"/>
      <c r="AZ389" s="721" t="n"/>
      <c r="BA389" s="961" t="n"/>
      <c r="BB389" s="721" t="n"/>
      <c r="BC389" s="961" t="n"/>
      <c r="BD389" s="721" t="n"/>
      <c r="BE389" s="962" t="n"/>
      <c r="BF389" s="718" t="n"/>
      <c r="BG389" s="961" t="n"/>
      <c r="BH389" s="717" t="n"/>
      <c r="BI389" s="963" t="n"/>
      <c r="BJ389" s="721" t="n"/>
      <c r="BK389" s="961" t="n"/>
      <c r="BL389" s="721" t="n"/>
      <c r="BM389" s="962" t="n"/>
    </row>
    <row r="390" ht="15" customFormat="1" customHeight="1" s="18">
      <c r="A390" s="722" t="n"/>
      <c r="B390" s="721" t="n"/>
      <c r="C390" s="961" t="n"/>
      <c r="D390" s="721" t="n"/>
      <c r="E390" s="961" t="n"/>
      <c r="F390" s="721" t="n"/>
      <c r="G390" s="961" t="n"/>
      <c r="H390" s="721" t="n"/>
      <c r="I390" s="962" t="n"/>
      <c r="J390" s="718" t="n"/>
      <c r="K390" s="961" t="n"/>
      <c r="L390" s="721" t="n"/>
      <c r="M390" s="961" t="n"/>
      <c r="N390" s="721" t="n"/>
      <c r="O390" s="961" t="n"/>
      <c r="P390" s="721" t="n"/>
      <c r="Q390" s="962" t="n"/>
      <c r="R390" s="718" t="n"/>
      <c r="S390" s="961" t="n"/>
      <c r="T390" s="721" t="n"/>
      <c r="U390" s="961" t="n"/>
      <c r="V390" s="721" t="n"/>
      <c r="W390" s="961" t="n"/>
      <c r="X390" s="721" t="n"/>
      <c r="Y390" s="962" t="n"/>
      <c r="Z390" s="718" t="n"/>
      <c r="AA390" s="961" t="n"/>
      <c r="AB390" s="721" t="n"/>
      <c r="AC390" s="961" t="n"/>
      <c r="AD390" s="721" t="n"/>
      <c r="AE390" s="961" t="n"/>
      <c r="AF390" s="721" t="n"/>
      <c r="AG390" s="962" t="n"/>
      <c r="AH390" s="718" t="n"/>
      <c r="AI390" s="961" t="n"/>
      <c r="AJ390" s="721" t="n"/>
      <c r="AK390" s="961" t="n"/>
      <c r="AL390" s="721" t="n"/>
      <c r="AM390" s="961" t="n"/>
      <c r="AN390" s="721" t="n"/>
      <c r="AO390" s="962" t="n"/>
      <c r="AP390" s="718" t="n"/>
      <c r="AQ390" s="961" t="n"/>
      <c r="AR390" s="721" t="n"/>
      <c r="AS390" s="961" t="n"/>
      <c r="AT390" s="721" t="n"/>
      <c r="AU390" s="961" t="n"/>
      <c r="AV390" s="721" t="n"/>
      <c r="AW390" s="962" t="n"/>
      <c r="AX390" s="718" t="n"/>
      <c r="AY390" s="961" t="n"/>
      <c r="AZ390" s="721" t="n"/>
      <c r="BA390" s="961" t="n"/>
      <c r="BB390" s="721" t="n"/>
      <c r="BC390" s="961" t="n"/>
      <c r="BD390" s="721" t="n"/>
      <c r="BE390" s="962" t="n"/>
      <c r="BF390" s="718" t="n"/>
      <c r="BG390" s="961" t="n"/>
      <c r="BH390" s="717" t="n"/>
      <c r="BI390" s="963" t="n"/>
      <c r="BJ390" s="721" t="n"/>
      <c r="BK390" s="961" t="n"/>
      <c r="BL390" s="721" t="n"/>
      <c r="BM390" s="962" t="n"/>
    </row>
    <row r="391" ht="15" customFormat="1" customHeight="1" s="18">
      <c r="A391" s="722" t="n"/>
      <c r="B391" s="721" t="n"/>
      <c r="C391" s="961" t="n"/>
      <c r="D391" s="721" t="n"/>
      <c r="E391" s="961" t="n"/>
      <c r="F391" s="721" t="n"/>
      <c r="G391" s="961" t="n"/>
      <c r="H391" s="721" t="n"/>
      <c r="I391" s="962" t="n"/>
      <c r="J391" s="718" t="n"/>
      <c r="K391" s="961" t="n"/>
      <c r="L391" s="721" t="n"/>
      <c r="M391" s="961" t="n"/>
      <c r="N391" s="721" t="n"/>
      <c r="O391" s="961" t="n"/>
      <c r="P391" s="721" t="n"/>
      <c r="Q391" s="962" t="n"/>
      <c r="R391" s="718" t="n"/>
      <c r="S391" s="961" t="n"/>
      <c r="T391" s="721" t="n"/>
      <c r="U391" s="961" t="n"/>
      <c r="V391" s="721" t="n"/>
      <c r="W391" s="961" t="n"/>
      <c r="X391" s="721" t="n"/>
      <c r="Y391" s="962" t="n"/>
      <c r="Z391" s="718" t="n"/>
      <c r="AA391" s="961" t="n"/>
      <c r="AB391" s="721" t="n"/>
      <c r="AC391" s="961" t="n"/>
      <c r="AD391" s="721" t="n"/>
      <c r="AE391" s="961" t="n"/>
      <c r="AF391" s="721" t="n"/>
      <c r="AG391" s="962" t="n"/>
      <c r="AH391" s="718" t="n"/>
      <c r="AI391" s="961" t="n"/>
      <c r="AJ391" s="721" t="n"/>
      <c r="AK391" s="961" t="n"/>
      <c r="AL391" s="721" t="n"/>
      <c r="AM391" s="961" t="n"/>
      <c r="AN391" s="721" t="n"/>
      <c r="AO391" s="962" t="n"/>
      <c r="AP391" s="718" t="n"/>
      <c r="AQ391" s="961" t="n"/>
      <c r="AR391" s="721" t="n"/>
      <c r="AS391" s="961" t="n"/>
      <c r="AT391" s="721" t="n"/>
      <c r="AU391" s="961" t="n"/>
      <c r="AV391" s="721" t="n"/>
      <c r="AW391" s="962" t="n"/>
      <c r="AX391" s="718" t="n"/>
      <c r="AY391" s="961" t="n"/>
      <c r="AZ391" s="721" t="n"/>
      <c r="BA391" s="961" t="n"/>
      <c r="BB391" s="721" t="n"/>
      <c r="BC391" s="961" t="n"/>
      <c r="BD391" s="721" t="n"/>
      <c r="BE391" s="962" t="n"/>
      <c r="BF391" s="718" t="n"/>
      <c r="BG391" s="961" t="n"/>
      <c r="BH391" s="717" t="n"/>
      <c r="BI391" s="963" t="n"/>
      <c r="BJ391" s="721" t="n"/>
      <c r="BK391" s="961" t="n"/>
      <c r="BL391" s="721" t="n"/>
      <c r="BM391" s="962" t="n"/>
    </row>
    <row r="392" ht="15" customFormat="1" customHeight="1" s="18">
      <c r="A392" s="722" t="n"/>
      <c r="B392" s="721" t="n"/>
      <c r="C392" s="961" t="n"/>
      <c r="D392" s="721" t="n"/>
      <c r="E392" s="961" t="n"/>
      <c r="F392" s="721" t="n"/>
      <c r="G392" s="961" t="n"/>
      <c r="H392" s="721" t="n"/>
      <c r="I392" s="962" t="n"/>
      <c r="J392" s="718" t="n"/>
      <c r="K392" s="961" t="n"/>
      <c r="L392" s="721" t="n"/>
      <c r="M392" s="961" t="n"/>
      <c r="N392" s="721" t="n"/>
      <c r="O392" s="961" t="n"/>
      <c r="P392" s="721" t="n"/>
      <c r="Q392" s="962" t="n"/>
      <c r="R392" s="718" t="n"/>
      <c r="S392" s="961" t="n"/>
      <c r="T392" s="721" t="n"/>
      <c r="U392" s="961" t="n"/>
      <c r="V392" s="721" t="n"/>
      <c r="W392" s="961" t="n"/>
      <c r="X392" s="721" t="n"/>
      <c r="Y392" s="962" t="n"/>
      <c r="Z392" s="718" t="n"/>
      <c r="AA392" s="961" t="n"/>
      <c r="AB392" s="721" t="n"/>
      <c r="AC392" s="961" t="n"/>
      <c r="AD392" s="721" t="n"/>
      <c r="AE392" s="961" t="n"/>
      <c r="AF392" s="721" t="n"/>
      <c r="AG392" s="962" t="n"/>
      <c r="AH392" s="718" t="n"/>
      <c r="AI392" s="961" t="n"/>
      <c r="AJ392" s="721" t="n"/>
      <c r="AK392" s="961" t="n"/>
      <c r="AL392" s="721" t="n"/>
      <c r="AM392" s="961" t="n"/>
      <c r="AN392" s="721" t="n"/>
      <c r="AO392" s="962" t="n"/>
      <c r="AP392" s="718" t="n"/>
      <c r="AQ392" s="961" t="n"/>
      <c r="AR392" s="721" t="n"/>
      <c r="AS392" s="961" t="n"/>
      <c r="AT392" s="721" t="n"/>
      <c r="AU392" s="961" t="n"/>
      <c r="AV392" s="721" t="n"/>
      <c r="AW392" s="962" t="n"/>
      <c r="AX392" s="718" t="n"/>
      <c r="AY392" s="961" t="n"/>
      <c r="AZ392" s="721" t="n"/>
      <c r="BA392" s="961" t="n"/>
      <c r="BB392" s="721" t="n"/>
      <c r="BC392" s="961" t="n"/>
      <c r="BD392" s="721" t="n"/>
      <c r="BE392" s="962" t="n"/>
      <c r="BF392" s="718" t="n"/>
      <c r="BG392" s="961" t="n"/>
      <c r="BH392" s="717" t="n"/>
      <c r="BI392" s="963" t="n"/>
      <c r="BJ392" s="721" t="n"/>
      <c r="BK392" s="961" t="n"/>
      <c r="BL392" s="721" t="n"/>
      <c r="BM392" s="962" t="n"/>
    </row>
    <row r="393" ht="15" customFormat="1" customHeight="1" s="18">
      <c r="A393" s="722" t="n"/>
      <c r="B393" s="721" t="n"/>
      <c r="C393" s="961" t="n"/>
      <c r="D393" s="721" t="n"/>
      <c r="E393" s="961" t="n"/>
      <c r="F393" s="721" t="n"/>
      <c r="G393" s="961" t="n"/>
      <c r="H393" s="721" t="n"/>
      <c r="I393" s="962" t="n"/>
      <c r="J393" s="718" t="n"/>
      <c r="K393" s="961" t="n"/>
      <c r="L393" s="721" t="n"/>
      <c r="M393" s="961" t="n"/>
      <c r="N393" s="721" t="n"/>
      <c r="O393" s="961" t="n"/>
      <c r="P393" s="721" t="n"/>
      <c r="Q393" s="962" t="n"/>
      <c r="R393" s="718" t="n"/>
      <c r="S393" s="961" t="n"/>
      <c r="T393" s="721" t="n"/>
      <c r="U393" s="961" t="n"/>
      <c r="V393" s="721" t="n"/>
      <c r="W393" s="961" t="n"/>
      <c r="X393" s="721" t="n"/>
      <c r="Y393" s="962" t="n"/>
      <c r="Z393" s="718" t="n"/>
      <c r="AA393" s="961" t="n"/>
      <c r="AB393" s="721" t="n"/>
      <c r="AC393" s="961" t="n"/>
      <c r="AD393" s="721" t="n"/>
      <c r="AE393" s="961" t="n"/>
      <c r="AF393" s="721" t="n"/>
      <c r="AG393" s="962" t="n"/>
      <c r="AH393" s="718" t="n"/>
      <c r="AI393" s="961" t="n"/>
      <c r="AJ393" s="721" t="n"/>
      <c r="AK393" s="961" t="n"/>
      <c r="AL393" s="721" t="n"/>
      <c r="AM393" s="961" t="n"/>
      <c r="AN393" s="721" t="n"/>
      <c r="AO393" s="962" t="n"/>
      <c r="AP393" s="718" t="n"/>
      <c r="AQ393" s="961" t="n"/>
      <c r="AR393" s="721" t="n"/>
      <c r="AS393" s="961" t="n"/>
      <c r="AT393" s="721" t="n"/>
      <c r="AU393" s="961" t="n"/>
      <c r="AV393" s="721" t="n"/>
      <c r="AW393" s="962" t="n"/>
      <c r="AX393" s="718" t="n"/>
      <c r="AY393" s="961" t="n"/>
      <c r="AZ393" s="721" t="n"/>
      <c r="BA393" s="961" t="n"/>
      <c r="BB393" s="721" t="n"/>
      <c r="BC393" s="961" t="n"/>
      <c r="BD393" s="721" t="n"/>
      <c r="BE393" s="962" t="n"/>
      <c r="BF393" s="718" t="n"/>
      <c r="BG393" s="961" t="n"/>
      <c r="BH393" s="717" t="n"/>
      <c r="BI393" s="963" t="n"/>
      <c r="BJ393" s="721" t="n"/>
      <c r="BK393" s="961" t="n"/>
      <c r="BL393" s="721" t="n"/>
      <c r="BM393" s="962" t="n"/>
    </row>
    <row r="394" ht="15" customFormat="1" customHeight="1" s="18">
      <c r="A394" s="722" t="n"/>
      <c r="B394" s="721" t="n"/>
      <c r="C394" s="961" t="n"/>
      <c r="D394" s="721" t="n"/>
      <c r="E394" s="961" t="n"/>
      <c r="F394" s="721" t="n"/>
      <c r="G394" s="961" t="n"/>
      <c r="H394" s="721" t="n"/>
      <c r="I394" s="962" t="n"/>
      <c r="J394" s="718" t="n"/>
      <c r="K394" s="961" t="n"/>
      <c r="L394" s="721" t="n"/>
      <c r="M394" s="961" t="n"/>
      <c r="N394" s="721" t="n"/>
      <c r="O394" s="961" t="n"/>
      <c r="P394" s="721" t="n"/>
      <c r="Q394" s="962" t="n"/>
      <c r="R394" s="718" t="n"/>
      <c r="S394" s="961" t="n"/>
      <c r="T394" s="721" t="n"/>
      <c r="U394" s="961" t="n"/>
      <c r="V394" s="721" t="n"/>
      <c r="W394" s="961" t="n"/>
      <c r="X394" s="721" t="n"/>
      <c r="Y394" s="962" t="n"/>
      <c r="Z394" s="718" t="n"/>
      <c r="AA394" s="961" t="n"/>
      <c r="AB394" s="721" t="n"/>
      <c r="AC394" s="961" t="n"/>
      <c r="AD394" s="721" t="n"/>
      <c r="AE394" s="961" t="n"/>
      <c r="AF394" s="721" t="n"/>
      <c r="AG394" s="962" t="n"/>
      <c r="AH394" s="718" t="n"/>
      <c r="AI394" s="961" t="n"/>
      <c r="AJ394" s="721" t="n"/>
      <c r="AK394" s="961" t="n"/>
      <c r="AL394" s="721" t="n"/>
      <c r="AM394" s="961" t="n"/>
      <c r="AN394" s="721" t="n"/>
      <c r="AO394" s="962" t="n"/>
      <c r="AP394" s="718" t="n"/>
      <c r="AQ394" s="961" t="n"/>
      <c r="AR394" s="721" t="n"/>
      <c r="AS394" s="961" t="n"/>
      <c r="AT394" s="721" t="n"/>
      <c r="AU394" s="961" t="n"/>
      <c r="AV394" s="721" t="n"/>
      <c r="AW394" s="962" t="n"/>
      <c r="AX394" s="718" t="n"/>
      <c r="AY394" s="961" t="n"/>
      <c r="AZ394" s="721" t="n"/>
      <c r="BA394" s="961" t="n"/>
      <c r="BB394" s="721" t="n"/>
      <c r="BC394" s="961" t="n"/>
      <c r="BD394" s="721" t="n"/>
      <c r="BE394" s="962" t="n"/>
      <c r="BF394" s="718" t="n"/>
      <c r="BG394" s="961" t="n"/>
      <c r="BH394" s="717" t="n"/>
      <c r="BI394" s="963" t="n"/>
      <c r="BJ394" s="721" t="n"/>
      <c r="BK394" s="961" t="n"/>
      <c r="BL394" s="721" t="n"/>
      <c r="BM394" s="962" t="n"/>
    </row>
    <row r="395" ht="15" customFormat="1" customHeight="1" s="18">
      <c r="A395" s="722" t="n"/>
      <c r="B395" s="721" t="n"/>
      <c r="C395" s="961" t="n"/>
      <c r="D395" s="721" t="n"/>
      <c r="E395" s="961" t="n"/>
      <c r="F395" s="721" t="n"/>
      <c r="G395" s="961" t="n"/>
      <c r="H395" s="721" t="n"/>
      <c r="I395" s="962" t="n"/>
      <c r="J395" s="718" t="n"/>
      <c r="K395" s="961" t="n"/>
      <c r="L395" s="721" t="n"/>
      <c r="M395" s="961" t="n"/>
      <c r="N395" s="721" t="n"/>
      <c r="O395" s="961" t="n"/>
      <c r="P395" s="721" t="n"/>
      <c r="Q395" s="962" t="n"/>
      <c r="R395" s="718" t="n"/>
      <c r="S395" s="961" t="n"/>
      <c r="T395" s="721" t="n"/>
      <c r="U395" s="961" t="n"/>
      <c r="V395" s="721" t="n"/>
      <c r="W395" s="961" t="n"/>
      <c r="X395" s="721" t="n"/>
      <c r="Y395" s="962" t="n"/>
      <c r="Z395" s="718" t="n"/>
      <c r="AA395" s="961" t="n"/>
      <c r="AB395" s="721" t="n"/>
      <c r="AC395" s="961" t="n"/>
      <c r="AD395" s="721" t="n"/>
      <c r="AE395" s="961" t="n"/>
      <c r="AF395" s="721" t="n"/>
      <c r="AG395" s="962" t="n"/>
      <c r="AH395" s="718" t="n"/>
      <c r="AI395" s="961" t="n"/>
      <c r="AJ395" s="721" t="n"/>
      <c r="AK395" s="961" t="n"/>
      <c r="AL395" s="721" t="n"/>
      <c r="AM395" s="961" t="n"/>
      <c r="AN395" s="721" t="n"/>
      <c r="AO395" s="962" t="n"/>
      <c r="AP395" s="718" t="n"/>
      <c r="AQ395" s="961" t="n"/>
      <c r="AR395" s="721" t="n"/>
      <c r="AS395" s="961" t="n"/>
      <c r="AT395" s="721" t="n"/>
      <c r="AU395" s="961" t="n"/>
      <c r="AV395" s="721" t="n"/>
      <c r="AW395" s="962" t="n"/>
      <c r="AX395" s="718" t="n"/>
      <c r="AY395" s="961" t="n"/>
      <c r="AZ395" s="721" t="n"/>
      <c r="BA395" s="961" t="n"/>
      <c r="BB395" s="721" t="n"/>
      <c r="BC395" s="961" t="n"/>
      <c r="BD395" s="721" t="n"/>
      <c r="BE395" s="962" t="n"/>
      <c r="BF395" s="718" t="n"/>
      <c r="BG395" s="961" t="n"/>
      <c r="BH395" s="717" t="n"/>
      <c r="BI395" s="963" t="n"/>
      <c r="BJ395" s="721" t="n"/>
      <c r="BK395" s="961" t="n"/>
      <c r="BL395" s="721" t="n"/>
      <c r="BM395" s="962" t="n"/>
    </row>
    <row r="396" ht="15" customFormat="1" customHeight="1" s="18">
      <c r="A396" s="722" t="n"/>
      <c r="B396" s="721" t="n"/>
      <c r="C396" s="961" t="n"/>
      <c r="D396" s="721" t="n"/>
      <c r="E396" s="961" t="n"/>
      <c r="F396" s="721" t="n"/>
      <c r="G396" s="961" t="n"/>
      <c r="H396" s="721" t="n"/>
      <c r="I396" s="962" t="n"/>
      <c r="J396" s="718" t="n"/>
      <c r="K396" s="961" t="n"/>
      <c r="L396" s="721" t="n"/>
      <c r="M396" s="961" t="n"/>
      <c r="N396" s="721" t="n"/>
      <c r="O396" s="961" t="n"/>
      <c r="P396" s="721" t="n"/>
      <c r="Q396" s="962" t="n"/>
      <c r="R396" s="718" t="n"/>
      <c r="S396" s="961" t="n"/>
      <c r="T396" s="721" t="n"/>
      <c r="U396" s="961" t="n"/>
      <c r="V396" s="721" t="n"/>
      <c r="W396" s="961" t="n"/>
      <c r="X396" s="721" t="n"/>
      <c r="Y396" s="962" t="n"/>
      <c r="Z396" s="718" t="n"/>
      <c r="AA396" s="961" t="n"/>
      <c r="AB396" s="721" t="n"/>
      <c r="AC396" s="961" t="n"/>
      <c r="AD396" s="721" t="n"/>
      <c r="AE396" s="961" t="n"/>
      <c r="AF396" s="721" t="n"/>
      <c r="AG396" s="962" t="n"/>
      <c r="AH396" s="718" t="n"/>
      <c r="AI396" s="961" t="n"/>
      <c r="AJ396" s="721" t="n"/>
      <c r="AK396" s="961" t="n"/>
      <c r="AL396" s="721" t="n"/>
      <c r="AM396" s="961" t="n"/>
      <c r="AN396" s="721" t="n"/>
      <c r="AO396" s="962" t="n"/>
      <c r="AP396" s="718" t="n"/>
      <c r="AQ396" s="961" t="n"/>
      <c r="AR396" s="721" t="n"/>
      <c r="AS396" s="961" t="n"/>
      <c r="AT396" s="721" t="n"/>
      <c r="AU396" s="961" t="n"/>
      <c r="AV396" s="721" t="n"/>
      <c r="AW396" s="962" t="n"/>
      <c r="AX396" s="718" t="n"/>
      <c r="AY396" s="961" t="n"/>
      <c r="AZ396" s="721" t="n"/>
      <c r="BA396" s="961" t="n"/>
      <c r="BB396" s="721" t="n"/>
      <c r="BC396" s="961" t="n"/>
      <c r="BD396" s="721" t="n"/>
      <c r="BE396" s="962" t="n"/>
      <c r="BF396" s="718" t="n"/>
      <c r="BG396" s="961" t="n"/>
      <c r="BH396" s="704" t="n"/>
      <c r="BI396" s="967" t="n"/>
      <c r="BJ396" s="721" t="n"/>
      <c r="BK396" s="961" t="n"/>
      <c r="BL396" s="721" t="n"/>
      <c r="BM396" s="962" t="n"/>
    </row>
    <row r="397" ht="15" customFormat="1" customHeight="1" s="18">
      <c r="A397" s="722" t="n"/>
      <c r="B397" s="721" t="n"/>
      <c r="C397" s="961" t="n"/>
      <c r="D397" s="721" t="n"/>
      <c r="E397" s="961" t="n"/>
      <c r="F397" s="721" t="n"/>
      <c r="G397" s="961" t="n"/>
      <c r="H397" s="721" t="n"/>
      <c r="I397" s="962" t="n"/>
      <c r="J397" s="718" t="n"/>
      <c r="K397" s="961" t="n"/>
      <c r="L397" s="721" t="n"/>
      <c r="M397" s="961" t="n"/>
      <c r="N397" s="721" t="n"/>
      <c r="O397" s="961" t="n"/>
      <c r="P397" s="721" t="n"/>
      <c r="Q397" s="962" t="n"/>
      <c r="R397" s="718" t="n"/>
      <c r="S397" s="961" t="n"/>
      <c r="T397" s="721" t="n"/>
      <c r="U397" s="961" t="n"/>
      <c r="V397" s="721" t="n"/>
      <c r="W397" s="961" t="n"/>
      <c r="X397" s="721" t="n"/>
      <c r="Y397" s="962" t="n"/>
      <c r="Z397" s="718" t="n"/>
      <c r="AA397" s="961" t="n"/>
      <c r="AB397" s="721" t="n"/>
      <c r="AC397" s="961" t="n"/>
      <c r="AD397" s="721" t="n"/>
      <c r="AE397" s="961" t="n"/>
      <c r="AF397" s="721" t="n"/>
      <c r="AG397" s="962" t="n"/>
      <c r="AH397" s="718" t="n"/>
      <c r="AI397" s="961" t="n"/>
      <c r="AJ397" s="721" t="n"/>
      <c r="AK397" s="961" t="n"/>
      <c r="AL397" s="721" t="n"/>
      <c r="AM397" s="961" t="n"/>
      <c r="AN397" s="721" t="n"/>
      <c r="AO397" s="962" t="n"/>
      <c r="AP397" s="718" t="n"/>
      <c r="AQ397" s="961" t="n"/>
      <c r="AR397" s="721" t="n"/>
      <c r="AS397" s="961" t="n"/>
      <c r="AT397" s="721" t="n"/>
      <c r="AU397" s="961" t="n"/>
      <c r="AV397" s="721" t="n"/>
      <c r="AW397" s="962" t="n"/>
      <c r="AX397" s="718" t="n"/>
      <c r="AY397" s="961" t="n"/>
      <c r="AZ397" s="721" t="n"/>
      <c r="BA397" s="961" t="n"/>
      <c r="BB397" s="721" t="n"/>
      <c r="BC397" s="961" t="n"/>
      <c r="BD397" s="721" t="n"/>
      <c r="BE397" s="962" t="n"/>
      <c r="BF397" s="718" t="n"/>
      <c r="BG397" s="961" t="n"/>
      <c r="BH397" s="704" t="n"/>
      <c r="BI397" s="967" t="n"/>
      <c r="BJ397" s="721" t="n"/>
      <c r="BK397" s="961" t="n"/>
      <c r="BL397" s="721" t="n"/>
      <c r="BM397" s="962" t="n"/>
    </row>
    <row r="398" ht="15" customFormat="1" customHeight="1" s="18">
      <c r="A398" s="722" t="n"/>
      <c r="B398" s="721" t="n"/>
      <c r="C398" s="961" t="n"/>
      <c r="D398" s="721" t="n"/>
      <c r="E398" s="961" t="n"/>
      <c r="F398" s="721" t="n"/>
      <c r="G398" s="961" t="n"/>
      <c r="H398" s="721" t="n"/>
      <c r="I398" s="962" t="n"/>
      <c r="J398" s="718" t="n"/>
      <c r="K398" s="961" t="n"/>
      <c r="L398" s="721" t="n"/>
      <c r="M398" s="961" t="n"/>
      <c r="N398" s="721" t="n"/>
      <c r="O398" s="961" t="n"/>
      <c r="P398" s="721" t="n"/>
      <c r="Q398" s="962" t="n"/>
      <c r="R398" s="718" t="n"/>
      <c r="S398" s="961" t="n"/>
      <c r="T398" s="721" t="n"/>
      <c r="U398" s="961" t="n"/>
      <c r="V398" s="721" t="n"/>
      <c r="W398" s="961" t="n"/>
      <c r="X398" s="721" t="n"/>
      <c r="Y398" s="962" t="n"/>
      <c r="Z398" s="718" t="n"/>
      <c r="AA398" s="961" t="n"/>
      <c r="AB398" s="721" t="n"/>
      <c r="AC398" s="961" t="n"/>
      <c r="AD398" s="721" t="n"/>
      <c r="AE398" s="961" t="n"/>
      <c r="AF398" s="721" t="n"/>
      <c r="AG398" s="962" t="n"/>
      <c r="AH398" s="718" t="n"/>
      <c r="AI398" s="961" t="n"/>
      <c r="AJ398" s="721" t="n"/>
      <c r="AK398" s="961" t="n"/>
      <c r="AL398" s="721" t="n"/>
      <c r="AM398" s="961" t="n"/>
      <c r="AN398" s="721" t="n"/>
      <c r="AO398" s="962" t="n"/>
      <c r="AP398" s="718" t="n"/>
      <c r="AQ398" s="961" t="n"/>
      <c r="AR398" s="721" t="n"/>
      <c r="AS398" s="961" t="n"/>
      <c r="AT398" s="721" t="n"/>
      <c r="AU398" s="961" t="n"/>
      <c r="AV398" s="721" t="n"/>
      <c r="AW398" s="962" t="n"/>
      <c r="AX398" s="718" t="n"/>
      <c r="AY398" s="961" t="n"/>
      <c r="AZ398" s="721" t="n"/>
      <c r="BA398" s="961" t="n"/>
      <c r="BB398" s="721" t="n"/>
      <c r="BC398" s="961" t="n"/>
      <c r="BD398" s="721" t="n"/>
      <c r="BE398" s="962" t="n"/>
      <c r="BF398" s="718" t="n"/>
      <c r="BG398" s="961" t="n"/>
      <c r="BH398" s="704" t="n"/>
      <c r="BI398" s="967" t="n"/>
      <c r="BJ398" s="721" t="n"/>
      <c r="BK398" s="961" t="n"/>
      <c r="BL398" s="721" t="n"/>
      <c r="BM398" s="962" t="n"/>
    </row>
    <row r="399" ht="15" customFormat="1" customHeight="1" s="18">
      <c r="A399" s="722" t="n"/>
      <c r="B399" s="721" t="n"/>
      <c r="C399" s="961" t="n"/>
      <c r="D399" s="721" t="n"/>
      <c r="E399" s="961" t="n"/>
      <c r="F399" s="721" t="n"/>
      <c r="G399" s="961" t="n"/>
      <c r="H399" s="721" t="n"/>
      <c r="I399" s="962" t="n"/>
      <c r="J399" s="718" t="n"/>
      <c r="K399" s="961" t="n"/>
      <c r="L399" s="721" t="n"/>
      <c r="M399" s="961" t="n"/>
      <c r="N399" s="721" t="n"/>
      <c r="O399" s="961" t="n"/>
      <c r="P399" s="721" t="n"/>
      <c r="Q399" s="962" t="n"/>
      <c r="R399" s="718" t="n"/>
      <c r="S399" s="961" t="n"/>
      <c r="T399" s="721" t="n"/>
      <c r="U399" s="961" t="n"/>
      <c r="V399" s="721" t="n"/>
      <c r="W399" s="961" t="n"/>
      <c r="X399" s="721" t="n"/>
      <c r="Y399" s="962" t="n"/>
      <c r="Z399" s="718" t="n"/>
      <c r="AA399" s="961" t="n"/>
      <c r="AB399" s="721" t="n"/>
      <c r="AC399" s="961" t="n"/>
      <c r="AD399" s="721" t="n"/>
      <c r="AE399" s="961" t="n"/>
      <c r="AF399" s="721" t="n"/>
      <c r="AG399" s="962" t="n"/>
      <c r="AH399" s="718" t="n"/>
      <c r="AI399" s="961" t="n"/>
      <c r="AJ399" s="721" t="n"/>
      <c r="AK399" s="961" t="n"/>
      <c r="AL399" s="721" t="n"/>
      <c r="AM399" s="961" t="n"/>
      <c r="AN399" s="721" t="n"/>
      <c r="AO399" s="962" t="n"/>
      <c r="AP399" s="718" t="n"/>
      <c r="AQ399" s="961" t="n"/>
      <c r="AR399" s="721" t="n"/>
      <c r="AS399" s="961" t="n"/>
      <c r="AT399" s="721" t="n"/>
      <c r="AU399" s="961" t="n"/>
      <c r="AV399" s="721" t="n"/>
      <c r="AW399" s="962" t="n"/>
      <c r="AX399" s="718" t="n"/>
      <c r="AY399" s="961" t="n"/>
      <c r="AZ399" s="721" t="n"/>
      <c r="BA399" s="961" t="n"/>
      <c r="BB399" s="721" t="n"/>
      <c r="BC399" s="961" t="n"/>
      <c r="BD399" s="721" t="n"/>
      <c r="BE399" s="962" t="n"/>
      <c r="BF399" s="718" t="n"/>
      <c r="BG399" s="961" t="n"/>
      <c r="BH399" s="704" t="n"/>
      <c r="BI399" s="967" t="n"/>
      <c r="BJ399" s="721" t="n"/>
      <c r="BK399" s="961" t="n"/>
      <c r="BL399" s="721" t="n"/>
      <c r="BM399" s="962" t="n"/>
    </row>
    <row r="400" ht="15" customFormat="1" customHeight="1" s="18">
      <c r="A400" s="722" t="n"/>
      <c r="B400" s="721" t="n"/>
      <c r="C400" s="961" t="n"/>
      <c r="D400" s="721" t="n"/>
      <c r="E400" s="961" t="n"/>
      <c r="F400" s="721" t="n"/>
      <c r="G400" s="961" t="n"/>
      <c r="H400" s="721" t="n"/>
      <c r="I400" s="962" t="n"/>
      <c r="J400" s="718" t="n"/>
      <c r="K400" s="961" t="n"/>
      <c r="L400" s="721" t="n"/>
      <c r="M400" s="961" t="n"/>
      <c r="N400" s="721" t="n"/>
      <c r="O400" s="961" t="n"/>
      <c r="P400" s="721" t="n"/>
      <c r="Q400" s="962" t="n"/>
      <c r="R400" s="718" t="n"/>
      <c r="S400" s="961" t="n"/>
      <c r="T400" s="721" t="n"/>
      <c r="U400" s="961" t="n"/>
      <c r="V400" s="721" t="n"/>
      <c r="W400" s="961" t="n"/>
      <c r="X400" s="721" t="n"/>
      <c r="Y400" s="962" t="n"/>
      <c r="Z400" s="718" t="n"/>
      <c r="AA400" s="961" t="n"/>
      <c r="AB400" s="721" t="n"/>
      <c r="AC400" s="961" t="n"/>
      <c r="AD400" s="721" t="n"/>
      <c r="AE400" s="961" t="n"/>
      <c r="AF400" s="721" t="n"/>
      <c r="AG400" s="962" t="n"/>
      <c r="AH400" s="718" t="n"/>
      <c r="AI400" s="961" t="n"/>
      <c r="AJ400" s="721" t="n"/>
      <c r="AK400" s="961" t="n"/>
      <c r="AL400" s="721" t="n"/>
      <c r="AM400" s="961" t="n"/>
      <c r="AN400" s="721" t="n"/>
      <c r="AO400" s="962" t="n"/>
      <c r="AP400" s="718" t="n"/>
      <c r="AQ400" s="961" t="n"/>
      <c r="AR400" s="721" t="n"/>
      <c r="AS400" s="961" t="n"/>
      <c r="AT400" s="721" t="n"/>
      <c r="AU400" s="961" t="n"/>
      <c r="AV400" s="721" t="n"/>
      <c r="AW400" s="962" t="n"/>
      <c r="AX400" s="718" t="n"/>
      <c r="AY400" s="961" t="n"/>
      <c r="AZ400" s="721" t="n"/>
      <c r="BA400" s="961" t="n"/>
      <c r="BB400" s="721" t="n"/>
      <c r="BC400" s="961" t="n"/>
      <c r="BD400" s="721" t="n"/>
      <c r="BE400" s="962" t="n"/>
      <c r="BF400" s="718" t="n"/>
      <c r="BG400" s="961" t="n"/>
      <c r="BH400" s="717" t="n"/>
      <c r="BI400" s="963" t="n"/>
      <c r="BJ400" s="721" t="n"/>
      <c r="BK400" s="961" t="n"/>
      <c r="BL400" s="721" t="n"/>
      <c r="BM400" s="962" t="n"/>
    </row>
    <row r="401" ht="15" customFormat="1" customHeight="1" s="18">
      <c r="A401" s="722" t="n"/>
      <c r="B401" s="721" t="n"/>
      <c r="C401" s="961" t="n"/>
      <c r="D401" s="721" t="n"/>
      <c r="E401" s="961" t="n"/>
      <c r="F401" s="721" t="n"/>
      <c r="G401" s="961" t="n"/>
      <c r="H401" s="721" t="n"/>
      <c r="I401" s="962" t="n"/>
      <c r="J401" s="718" t="n"/>
      <c r="K401" s="961" t="n"/>
      <c r="L401" s="721" t="n"/>
      <c r="M401" s="961" t="n"/>
      <c r="N401" s="721" t="n"/>
      <c r="O401" s="961" t="n"/>
      <c r="P401" s="721" t="n"/>
      <c r="Q401" s="962" t="n"/>
      <c r="R401" s="718" t="n"/>
      <c r="S401" s="961" t="n"/>
      <c r="T401" s="721" t="n"/>
      <c r="U401" s="961" t="n"/>
      <c r="V401" s="721" t="n"/>
      <c r="W401" s="961" t="n"/>
      <c r="X401" s="721" t="n"/>
      <c r="Y401" s="962" t="n"/>
      <c r="Z401" s="718" t="n"/>
      <c r="AA401" s="961" t="n"/>
      <c r="AB401" s="721" t="n"/>
      <c r="AC401" s="961" t="n"/>
      <c r="AD401" s="721" t="n"/>
      <c r="AE401" s="961" t="n"/>
      <c r="AF401" s="721" t="n"/>
      <c r="AG401" s="962" t="n"/>
      <c r="AH401" s="718" t="n"/>
      <c r="AI401" s="961" t="n"/>
      <c r="AJ401" s="721" t="n"/>
      <c r="AK401" s="961" t="n"/>
      <c r="AL401" s="721" t="n"/>
      <c r="AM401" s="961" t="n"/>
      <c r="AN401" s="721" t="n"/>
      <c r="AO401" s="962" t="n"/>
      <c r="AP401" s="718" t="n"/>
      <c r="AQ401" s="961" t="n"/>
      <c r="AR401" s="721" t="n"/>
      <c r="AS401" s="961" t="n"/>
      <c r="AT401" s="721" t="n"/>
      <c r="AU401" s="961" t="n"/>
      <c r="AV401" s="721" t="n"/>
      <c r="AW401" s="962" t="n"/>
      <c r="AX401" s="718" t="n"/>
      <c r="AY401" s="961" t="n"/>
      <c r="AZ401" s="721" t="n"/>
      <c r="BA401" s="961" t="n"/>
      <c r="BB401" s="721" t="n"/>
      <c r="BC401" s="961" t="n"/>
      <c r="BD401" s="721" t="n"/>
      <c r="BE401" s="962" t="n"/>
      <c r="BF401" s="718" t="n"/>
      <c r="BG401" s="961" t="n"/>
      <c r="BH401" s="717" t="n"/>
      <c r="BI401" s="963" t="n"/>
      <c r="BJ401" s="721" t="n"/>
      <c r="BK401" s="961" t="n"/>
      <c r="BL401" s="721" t="n"/>
      <c r="BM401" s="962" t="n"/>
    </row>
    <row r="402" ht="15" customFormat="1" customHeight="1" s="18">
      <c r="A402" s="722" t="n"/>
      <c r="B402" s="721" t="n"/>
      <c r="C402" s="961" t="n"/>
      <c r="D402" s="721" t="n"/>
      <c r="E402" s="961" t="n"/>
      <c r="F402" s="721" t="n"/>
      <c r="G402" s="961" t="n"/>
      <c r="H402" s="721" t="n"/>
      <c r="I402" s="962" t="n"/>
      <c r="J402" s="718" t="n"/>
      <c r="K402" s="961" t="n"/>
      <c r="L402" s="721" t="n"/>
      <c r="M402" s="961" t="n"/>
      <c r="N402" s="721" t="n"/>
      <c r="O402" s="961" t="n"/>
      <c r="P402" s="721" t="n"/>
      <c r="Q402" s="962" t="n"/>
      <c r="R402" s="718" t="n"/>
      <c r="S402" s="961" t="n"/>
      <c r="T402" s="721" t="n"/>
      <c r="U402" s="961" t="n"/>
      <c r="V402" s="721" t="n"/>
      <c r="W402" s="961" t="n"/>
      <c r="X402" s="721" t="n"/>
      <c r="Y402" s="962" t="n"/>
      <c r="Z402" s="718" t="n"/>
      <c r="AA402" s="961" t="n"/>
      <c r="AB402" s="721" t="n"/>
      <c r="AC402" s="961" t="n"/>
      <c r="AD402" s="721" t="n"/>
      <c r="AE402" s="961" t="n"/>
      <c r="AF402" s="721" t="n"/>
      <c r="AG402" s="962" t="n"/>
      <c r="AH402" s="718" t="n"/>
      <c r="AI402" s="961" t="n"/>
      <c r="AJ402" s="721" t="n"/>
      <c r="AK402" s="961" t="n"/>
      <c r="AL402" s="721" t="n"/>
      <c r="AM402" s="961" t="n"/>
      <c r="AN402" s="721" t="n"/>
      <c r="AO402" s="962" t="n"/>
      <c r="AP402" s="718" t="n"/>
      <c r="AQ402" s="961" t="n"/>
      <c r="AR402" s="721" t="n"/>
      <c r="AS402" s="961" t="n"/>
      <c r="AT402" s="721" t="n"/>
      <c r="AU402" s="961" t="n"/>
      <c r="AV402" s="721" t="n"/>
      <c r="AW402" s="962" t="n"/>
      <c r="AX402" s="718" t="n"/>
      <c r="AY402" s="961" t="n"/>
      <c r="AZ402" s="721" t="n"/>
      <c r="BA402" s="961" t="n"/>
      <c r="BB402" s="721" t="n"/>
      <c r="BC402" s="961" t="n"/>
      <c r="BD402" s="721" t="n"/>
      <c r="BE402" s="962" t="n"/>
      <c r="BF402" s="718" t="n"/>
      <c r="BG402" s="961" t="n"/>
      <c r="BH402" s="717" t="n"/>
      <c r="BI402" s="963" t="n"/>
      <c r="BJ402" s="721" t="n"/>
      <c r="BK402" s="961" t="n"/>
      <c r="BL402" s="721" t="n"/>
      <c r="BM402" s="962" t="n"/>
    </row>
    <row r="403" ht="15" customFormat="1" customHeight="1" s="18">
      <c r="A403" s="722" t="n"/>
      <c r="B403" s="721" t="n"/>
      <c r="C403" s="961" t="n"/>
      <c r="D403" s="721" t="n"/>
      <c r="E403" s="961" t="n"/>
      <c r="F403" s="721" t="n"/>
      <c r="G403" s="961" t="n"/>
      <c r="H403" s="721" t="n"/>
      <c r="I403" s="962" t="n"/>
      <c r="J403" s="718" t="n"/>
      <c r="K403" s="961" t="n"/>
      <c r="L403" s="721" t="n"/>
      <c r="M403" s="961" t="n"/>
      <c r="N403" s="721" t="n"/>
      <c r="O403" s="961" t="n"/>
      <c r="P403" s="721" t="n"/>
      <c r="Q403" s="962" t="n"/>
      <c r="R403" s="718" t="n"/>
      <c r="S403" s="961" t="n"/>
      <c r="T403" s="721" t="n"/>
      <c r="U403" s="961" t="n"/>
      <c r="V403" s="721" t="n"/>
      <c r="W403" s="961" t="n"/>
      <c r="X403" s="721" t="n"/>
      <c r="Y403" s="962" t="n"/>
      <c r="Z403" s="718" t="n"/>
      <c r="AA403" s="961" t="n"/>
      <c r="AB403" s="721" t="n"/>
      <c r="AC403" s="961" t="n"/>
      <c r="AD403" s="721" t="n"/>
      <c r="AE403" s="961" t="n"/>
      <c r="AF403" s="721" t="n"/>
      <c r="AG403" s="962" t="n"/>
      <c r="AH403" s="718" t="n"/>
      <c r="AI403" s="961" t="n"/>
      <c r="AJ403" s="721" t="n"/>
      <c r="AK403" s="961" t="n"/>
      <c r="AL403" s="721" t="n"/>
      <c r="AM403" s="961" t="n"/>
      <c r="AN403" s="721" t="n"/>
      <c r="AO403" s="962" t="n"/>
      <c r="AP403" s="718" t="n"/>
      <c r="AQ403" s="961" t="n"/>
      <c r="AR403" s="721" t="n"/>
      <c r="AS403" s="961" t="n"/>
      <c r="AT403" s="721" t="n"/>
      <c r="AU403" s="961" t="n"/>
      <c r="AV403" s="721" t="n"/>
      <c r="AW403" s="962" t="n"/>
      <c r="AX403" s="718" t="n"/>
      <c r="AY403" s="961" t="n"/>
      <c r="AZ403" s="721" t="n"/>
      <c r="BA403" s="961" t="n"/>
      <c r="BB403" s="721" t="n"/>
      <c r="BC403" s="961" t="n"/>
      <c r="BD403" s="721" t="n"/>
      <c r="BE403" s="962" t="n"/>
      <c r="BF403" s="718" t="n"/>
      <c r="BG403" s="961" t="n"/>
      <c r="BH403" s="717" t="n"/>
      <c r="BI403" s="963" t="n"/>
      <c r="BJ403" s="721" t="n"/>
      <c r="BK403" s="961" t="n"/>
      <c r="BL403" s="721" t="n"/>
      <c r="BM403" s="962" t="n"/>
    </row>
    <row r="404" ht="15" customFormat="1" customHeight="1" s="18">
      <c r="A404" s="722" t="n"/>
      <c r="B404" s="721" t="n"/>
      <c r="C404" s="961" t="n"/>
      <c r="D404" s="721" t="n"/>
      <c r="E404" s="961" t="n"/>
      <c r="F404" s="721" t="n"/>
      <c r="G404" s="961" t="n"/>
      <c r="H404" s="721" t="n"/>
      <c r="I404" s="962" t="n"/>
      <c r="J404" s="718" t="n"/>
      <c r="K404" s="961" t="n"/>
      <c r="L404" s="721" t="n"/>
      <c r="M404" s="961" t="n"/>
      <c r="N404" s="721" t="n"/>
      <c r="O404" s="961" t="n"/>
      <c r="P404" s="721" t="n"/>
      <c r="Q404" s="962" t="n"/>
      <c r="R404" s="718" t="n"/>
      <c r="S404" s="961" t="n"/>
      <c r="T404" s="721" t="n"/>
      <c r="U404" s="961" t="n"/>
      <c r="V404" s="721" t="n"/>
      <c r="W404" s="961" t="n"/>
      <c r="X404" s="721" t="n"/>
      <c r="Y404" s="962" t="n"/>
      <c r="Z404" s="718" t="n"/>
      <c r="AA404" s="961" t="n"/>
      <c r="AB404" s="721" t="n"/>
      <c r="AC404" s="961" t="n"/>
      <c r="AD404" s="721" t="n"/>
      <c r="AE404" s="961" t="n"/>
      <c r="AF404" s="721" t="n"/>
      <c r="AG404" s="962" t="n"/>
      <c r="AH404" s="718" t="n"/>
      <c r="AI404" s="961" t="n"/>
      <c r="AJ404" s="721" t="n"/>
      <c r="AK404" s="961" t="n"/>
      <c r="AL404" s="721" t="n"/>
      <c r="AM404" s="961" t="n"/>
      <c r="AN404" s="721" t="n"/>
      <c r="AO404" s="962" t="n"/>
      <c r="AP404" s="718" t="n"/>
      <c r="AQ404" s="961" t="n"/>
      <c r="AR404" s="721" t="n"/>
      <c r="AS404" s="961" t="n"/>
      <c r="AT404" s="721" t="n"/>
      <c r="AU404" s="961" t="n"/>
      <c r="AV404" s="721" t="n"/>
      <c r="AW404" s="962" t="n"/>
      <c r="AX404" s="718" t="n"/>
      <c r="AY404" s="961" t="n"/>
      <c r="AZ404" s="721" t="n"/>
      <c r="BA404" s="961" t="n"/>
      <c r="BB404" s="721" t="n"/>
      <c r="BC404" s="961" t="n"/>
      <c r="BD404" s="721" t="n"/>
      <c r="BE404" s="962" t="n"/>
      <c r="BF404" s="718" t="n"/>
      <c r="BG404" s="961" t="n"/>
      <c r="BH404" s="717" t="n"/>
      <c r="BI404" s="963" t="n"/>
      <c r="BJ404" s="721" t="n"/>
      <c r="BK404" s="961" t="n"/>
      <c r="BL404" s="721" t="n"/>
      <c r="BM404" s="962" t="n"/>
    </row>
    <row r="405" ht="15" customFormat="1" customHeight="1" s="18">
      <c r="A405" s="722" t="n"/>
      <c r="B405" s="721" t="n"/>
      <c r="C405" s="961" t="n"/>
      <c r="D405" s="721" t="n"/>
      <c r="E405" s="961" t="n"/>
      <c r="F405" s="721" t="n"/>
      <c r="G405" s="961" t="n"/>
      <c r="H405" s="721" t="n"/>
      <c r="I405" s="962" t="n"/>
      <c r="J405" s="718" t="n"/>
      <c r="K405" s="961" t="n"/>
      <c r="L405" s="721" t="n"/>
      <c r="M405" s="961" t="n"/>
      <c r="N405" s="721" t="n"/>
      <c r="O405" s="961" t="n"/>
      <c r="P405" s="721" t="n"/>
      <c r="Q405" s="962" t="n"/>
      <c r="R405" s="718" t="n"/>
      <c r="S405" s="961" t="n"/>
      <c r="T405" s="721" t="n"/>
      <c r="U405" s="961" t="n"/>
      <c r="V405" s="721" t="n"/>
      <c r="W405" s="961" t="n"/>
      <c r="X405" s="721" t="n"/>
      <c r="Y405" s="962" t="n"/>
      <c r="Z405" s="718" t="n"/>
      <c r="AA405" s="961" t="n"/>
      <c r="AB405" s="721" t="n"/>
      <c r="AC405" s="961" t="n"/>
      <c r="AD405" s="721" t="n"/>
      <c r="AE405" s="961" t="n"/>
      <c r="AF405" s="721" t="n"/>
      <c r="AG405" s="962" t="n"/>
      <c r="AH405" s="718" t="n"/>
      <c r="AI405" s="961" t="n"/>
      <c r="AJ405" s="721" t="n"/>
      <c r="AK405" s="961" t="n"/>
      <c r="AL405" s="721" t="n"/>
      <c r="AM405" s="961" t="n"/>
      <c r="AN405" s="721" t="n"/>
      <c r="AO405" s="962" t="n"/>
      <c r="AP405" s="718" t="n"/>
      <c r="AQ405" s="961" t="n"/>
      <c r="AR405" s="721" t="n"/>
      <c r="AS405" s="961" t="n"/>
      <c r="AT405" s="721" t="n"/>
      <c r="AU405" s="961" t="n"/>
      <c r="AV405" s="721" t="n"/>
      <c r="AW405" s="962" t="n"/>
      <c r="AX405" s="718" t="n"/>
      <c r="AY405" s="961" t="n"/>
      <c r="AZ405" s="721" t="n"/>
      <c r="BA405" s="961" t="n"/>
      <c r="BB405" s="721" t="n"/>
      <c r="BC405" s="961" t="n"/>
      <c r="BD405" s="721" t="n"/>
      <c r="BE405" s="962" t="n"/>
      <c r="BF405" s="718" t="n"/>
      <c r="BG405" s="961" t="n"/>
      <c r="BH405" s="717" t="n"/>
      <c r="BI405" s="963" t="n"/>
      <c r="BJ405" s="721" t="n"/>
      <c r="BK405" s="961" t="n"/>
      <c r="BL405" s="721" t="n"/>
      <c r="BM405" s="962" t="n"/>
    </row>
    <row r="406" ht="15" customFormat="1" customHeight="1" s="18">
      <c r="A406" s="722" t="n"/>
      <c r="B406" s="721" t="n"/>
      <c r="C406" s="961" t="n"/>
      <c r="D406" s="721" t="n"/>
      <c r="E406" s="961" t="n"/>
      <c r="F406" s="721" t="n"/>
      <c r="G406" s="961" t="n"/>
      <c r="H406" s="721" t="n"/>
      <c r="I406" s="962" t="n"/>
      <c r="J406" s="718" t="n"/>
      <c r="K406" s="961" t="n"/>
      <c r="L406" s="721" t="n"/>
      <c r="M406" s="961" t="n"/>
      <c r="N406" s="721" t="n"/>
      <c r="O406" s="961" t="n"/>
      <c r="P406" s="721" t="n"/>
      <c r="Q406" s="962" t="n"/>
      <c r="R406" s="718" t="n"/>
      <c r="S406" s="961" t="n"/>
      <c r="T406" s="721" t="n"/>
      <c r="U406" s="961" t="n"/>
      <c r="V406" s="721" t="n"/>
      <c r="W406" s="961" t="n"/>
      <c r="X406" s="721" t="n"/>
      <c r="Y406" s="962" t="n"/>
      <c r="Z406" s="718" t="n"/>
      <c r="AA406" s="961" t="n"/>
      <c r="AB406" s="721" t="n"/>
      <c r="AC406" s="961" t="n"/>
      <c r="AD406" s="721" t="n"/>
      <c r="AE406" s="961" t="n"/>
      <c r="AF406" s="721" t="n"/>
      <c r="AG406" s="962" t="n"/>
      <c r="AH406" s="718" t="n"/>
      <c r="AI406" s="961" t="n"/>
      <c r="AJ406" s="721" t="n"/>
      <c r="AK406" s="961" t="n"/>
      <c r="AL406" s="721" t="n"/>
      <c r="AM406" s="961" t="n"/>
      <c r="AN406" s="721" t="n"/>
      <c r="AO406" s="962" t="n"/>
      <c r="AP406" s="718" t="n"/>
      <c r="AQ406" s="961" t="n"/>
      <c r="AR406" s="721" t="n"/>
      <c r="AS406" s="961" t="n"/>
      <c r="AT406" s="721" t="n"/>
      <c r="AU406" s="961" t="n"/>
      <c r="AV406" s="721" t="n"/>
      <c r="AW406" s="962" t="n"/>
      <c r="AX406" s="718" t="n"/>
      <c r="AY406" s="961" t="n"/>
      <c r="AZ406" s="721" t="n"/>
      <c r="BA406" s="961" t="n"/>
      <c r="BB406" s="721" t="n"/>
      <c r="BC406" s="961" t="n"/>
      <c r="BD406" s="721" t="n"/>
      <c r="BE406" s="962" t="n"/>
      <c r="BF406" s="718" t="n"/>
      <c r="BG406" s="961" t="n"/>
      <c r="BH406" s="717" t="n"/>
      <c r="BI406" s="963" t="n"/>
      <c r="BJ406" s="721" t="n"/>
      <c r="BK406" s="961" t="n"/>
      <c r="BL406" s="721" t="n"/>
      <c r="BM406" s="962" t="n"/>
    </row>
    <row r="407" ht="15" customFormat="1" customHeight="1" s="18">
      <c r="A407" s="722" t="n"/>
      <c r="B407" s="721" t="n"/>
      <c r="C407" s="961" t="n"/>
      <c r="D407" s="721" t="n"/>
      <c r="E407" s="961" t="n"/>
      <c r="F407" s="721" t="n"/>
      <c r="G407" s="961" t="n"/>
      <c r="H407" s="721" t="n"/>
      <c r="I407" s="962" t="n"/>
      <c r="J407" s="718" t="n"/>
      <c r="K407" s="961" t="n"/>
      <c r="L407" s="721" t="n"/>
      <c r="M407" s="961" t="n"/>
      <c r="N407" s="721" t="n"/>
      <c r="O407" s="961" t="n"/>
      <c r="P407" s="721" t="n"/>
      <c r="Q407" s="962" t="n"/>
      <c r="R407" s="718" t="n"/>
      <c r="S407" s="961" t="n"/>
      <c r="T407" s="721" t="n"/>
      <c r="U407" s="961" t="n"/>
      <c r="V407" s="721" t="n"/>
      <c r="W407" s="961" t="n"/>
      <c r="X407" s="721" t="n"/>
      <c r="Y407" s="962" t="n"/>
      <c r="Z407" s="718" t="n"/>
      <c r="AA407" s="961" t="n"/>
      <c r="AB407" s="721" t="n"/>
      <c r="AC407" s="961" t="n"/>
      <c r="AD407" s="721" t="n"/>
      <c r="AE407" s="961" t="n"/>
      <c r="AF407" s="721" t="n"/>
      <c r="AG407" s="962" t="n"/>
      <c r="AH407" s="718" t="n"/>
      <c r="AI407" s="961" t="n"/>
      <c r="AJ407" s="721" t="n"/>
      <c r="AK407" s="961" t="n"/>
      <c r="AL407" s="721" t="n"/>
      <c r="AM407" s="961" t="n"/>
      <c r="AN407" s="721" t="n"/>
      <c r="AO407" s="962" t="n"/>
      <c r="AP407" s="718" t="n"/>
      <c r="AQ407" s="961" t="n"/>
      <c r="AR407" s="721" t="n"/>
      <c r="AS407" s="961" t="n"/>
      <c r="AT407" s="721" t="n"/>
      <c r="AU407" s="961" t="n"/>
      <c r="AV407" s="721" t="n"/>
      <c r="AW407" s="962" t="n"/>
      <c r="AX407" s="718" t="n"/>
      <c r="AY407" s="961" t="n"/>
      <c r="AZ407" s="721" t="n"/>
      <c r="BA407" s="961" t="n"/>
      <c r="BB407" s="721" t="n"/>
      <c r="BC407" s="961" t="n"/>
      <c r="BD407" s="721" t="n"/>
      <c r="BE407" s="962" t="n"/>
      <c r="BF407" s="718" t="n"/>
      <c r="BG407" s="961" t="n"/>
      <c r="BH407" s="717" t="n"/>
      <c r="BI407" s="963" t="n"/>
      <c r="BJ407" s="721" t="n"/>
      <c r="BK407" s="961" t="n"/>
      <c r="BL407" s="721" t="n"/>
      <c r="BM407" s="962" t="n"/>
    </row>
    <row r="408" ht="15" customFormat="1" customHeight="1" s="203">
      <c r="A408" s="722" t="n"/>
      <c r="B408" s="721" t="n"/>
      <c r="C408" s="961" t="n"/>
      <c r="D408" s="721" t="n"/>
      <c r="E408" s="961" t="n"/>
      <c r="F408" s="721" t="n"/>
      <c r="G408" s="961" t="n"/>
      <c r="H408" s="721" t="n"/>
      <c r="I408" s="962" t="n"/>
      <c r="J408" s="718" t="n"/>
      <c r="K408" s="961" t="n"/>
      <c r="L408" s="721" t="n"/>
      <c r="M408" s="961" t="n"/>
      <c r="N408" s="721" t="n"/>
      <c r="O408" s="961" t="n"/>
      <c r="P408" s="721" t="n"/>
      <c r="Q408" s="962" t="n"/>
      <c r="R408" s="718" t="n"/>
      <c r="S408" s="961" t="n"/>
      <c r="T408" s="721" t="n"/>
      <c r="U408" s="961" t="n"/>
      <c r="V408" s="721" t="n"/>
      <c r="W408" s="961" t="n"/>
      <c r="X408" s="721" t="n"/>
      <c r="Y408" s="962" t="n"/>
      <c r="Z408" s="718" t="n"/>
      <c r="AA408" s="961" t="n"/>
      <c r="AB408" s="721" t="n"/>
      <c r="AC408" s="961" t="n"/>
      <c r="AD408" s="721" t="n"/>
      <c r="AE408" s="961" t="n"/>
      <c r="AF408" s="721" t="n"/>
      <c r="AG408" s="962" t="n"/>
      <c r="AH408" s="718" t="n"/>
      <c r="AI408" s="961" t="n"/>
      <c r="AJ408" s="721" t="n"/>
      <c r="AK408" s="961" t="n"/>
      <c r="AL408" s="721" t="n"/>
      <c r="AM408" s="961" t="n"/>
      <c r="AN408" s="721" t="n"/>
      <c r="AO408" s="962" t="n"/>
      <c r="AP408" s="718" t="n"/>
      <c r="AQ408" s="961" t="n"/>
      <c r="AR408" s="721" t="n"/>
      <c r="AS408" s="961" t="n"/>
      <c r="AT408" s="721" t="n"/>
      <c r="AU408" s="961" t="n"/>
      <c r="AV408" s="721" t="n"/>
      <c r="AW408" s="962" t="n"/>
      <c r="AX408" s="718" t="n"/>
      <c r="AY408" s="961" t="n"/>
      <c r="AZ408" s="721" t="n"/>
      <c r="BA408" s="961" t="n"/>
      <c r="BB408" s="721" t="n"/>
      <c r="BC408" s="961" t="n"/>
      <c r="BD408" s="721" t="n"/>
      <c r="BE408" s="962" t="n"/>
      <c r="BF408" s="718" t="n"/>
      <c r="BG408" s="961" t="n"/>
      <c r="BH408" s="717" t="n"/>
      <c r="BI408" s="963" t="n"/>
      <c r="BJ408" s="721" t="n"/>
      <c r="BK408" s="961" t="n"/>
      <c r="BL408" s="721" t="n"/>
      <c r="BM408" s="962" t="n"/>
    </row>
    <row r="409" ht="15" customFormat="1" customHeight="1" s="18">
      <c r="A409" s="722" t="n"/>
      <c r="B409" s="721" t="n"/>
      <c r="C409" s="961" t="n"/>
      <c r="D409" s="721" t="n"/>
      <c r="E409" s="961" t="n"/>
      <c r="F409" s="721" t="n"/>
      <c r="G409" s="961" t="n"/>
      <c r="H409" s="721" t="n"/>
      <c r="I409" s="962" t="n"/>
      <c r="J409" s="718" t="n"/>
      <c r="K409" s="961" t="n"/>
      <c r="L409" s="721" t="n"/>
      <c r="M409" s="961" t="n"/>
      <c r="N409" s="721" t="n"/>
      <c r="O409" s="961" t="n"/>
      <c r="P409" s="721" t="n"/>
      <c r="Q409" s="962" t="n"/>
      <c r="R409" s="718" t="n"/>
      <c r="S409" s="961" t="n"/>
      <c r="T409" s="721" t="n"/>
      <c r="U409" s="961" t="n"/>
      <c r="V409" s="721" t="n"/>
      <c r="W409" s="961" t="n"/>
      <c r="X409" s="721" t="n"/>
      <c r="Y409" s="962" t="n"/>
      <c r="Z409" s="718" t="n"/>
      <c r="AA409" s="961" t="n"/>
      <c r="AB409" s="721" t="n"/>
      <c r="AC409" s="961" t="n"/>
      <c r="AD409" s="721" t="n"/>
      <c r="AE409" s="961" t="n"/>
      <c r="AF409" s="721" t="n"/>
      <c r="AG409" s="962" t="n"/>
      <c r="AH409" s="718" t="n"/>
      <c r="AI409" s="961" t="n"/>
      <c r="AJ409" s="721" t="n"/>
      <c r="AK409" s="961" t="n"/>
      <c r="AL409" s="721" t="n"/>
      <c r="AM409" s="961" t="n"/>
      <c r="AN409" s="721" t="n"/>
      <c r="AO409" s="962" t="n"/>
      <c r="AP409" s="718" t="n"/>
      <c r="AQ409" s="961" t="n"/>
      <c r="AR409" s="721" t="n"/>
      <c r="AS409" s="961" t="n"/>
      <c r="AT409" s="721" t="n"/>
      <c r="AU409" s="961" t="n"/>
      <c r="AV409" s="721" t="n"/>
      <c r="AW409" s="962" t="n"/>
      <c r="AX409" s="718" t="n"/>
      <c r="AY409" s="961" t="n"/>
      <c r="AZ409" s="721" t="n"/>
      <c r="BA409" s="961" t="n"/>
      <c r="BB409" s="721" t="n"/>
      <c r="BC409" s="961" t="n"/>
      <c r="BD409" s="721" t="n"/>
      <c r="BE409" s="962" t="n"/>
      <c r="BF409" s="718" t="n"/>
      <c r="BG409" s="961" t="n"/>
      <c r="BH409" s="717" t="n"/>
      <c r="BI409" s="963" t="n"/>
      <c r="BJ409" s="721" t="n"/>
      <c r="BK409" s="961" t="n"/>
      <c r="BL409" s="721" t="n"/>
      <c r="BM409" s="962" t="n"/>
    </row>
    <row r="410" ht="15" customFormat="1" customHeight="1" s="18">
      <c r="A410" s="722" t="n"/>
      <c r="B410" s="721" t="n"/>
      <c r="C410" s="961" t="n"/>
      <c r="D410" s="721" t="n"/>
      <c r="E410" s="961" t="n"/>
      <c r="F410" s="721" t="n"/>
      <c r="G410" s="961" t="n"/>
      <c r="H410" s="721" t="n"/>
      <c r="I410" s="962" t="n"/>
      <c r="J410" s="718" t="n"/>
      <c r="K410" s="961" t="n"/>
      <c r="L410" s="721" t="n"/>
      <c r="M410" s="961" t="n"/>
      <c r="N410" s="721" t="n"/>
      <c r="O410" s="961" t="n"/>
      <c r="P410" s="721" t="n"/>
      <c r="Q410" s="962" t="n"/>
      <c r="R410" s="718" t="n"/>
      <c r="S410" s="961" t="n"/>
      <c r="T410" s="721" t="n"/>
      <c r="U410" s="961" t="n"/>
      <c r="V410" s="721" t="n"/>
      <c r="W410" s="961" t="n"/>
      <c r="X410" s="721" t="n"/>
      <c r="Y410" s="962" t="n"/>
      <c r="Z410" s="718" t="n"/>
      <c r="AA410" s="961" t="n"/>
      <c r="AB410" s="721" t="n"/>
      <c r="AC410" s="961" t="n"/>
      <c r="AD410" s="721" t="n"/>
      <c r="AE410" s="961" t="n"/>
      <c r="AF410" s="721" t="n"/>
      <c r="AG410" s="962" t="n"/>
      <c r="AH410" s="718" t="n"/>
      <c r="AI410" s="961" t="n"/>
      <c r="AJ410" s="721" t="n"/>
      <c r="AK410" s="961" t="n"/>
      <c r="AL410" s="721" t="n"/>
      <c r="AM410" s="961" t="n"/>
      <c r="AN410" s="721" t="n"/>
      <c r="AO410" s="962" t="n"/>
      <c r="AP410" s="718" t="n"/>
      <c r="AQ410" s="961" t="n"/>
      <c r="AR410" s="721" t="n"/>
      <c r="AS410" s="961" t="n"/>
      <c r="AT410" s="721" t="n"/>
      <c r="AU410" s="961" t="n"/>
      <c r="AV410" s="721" t="n"/>
      <c r="AW410" s="962" t="n"/>
      <c r="AX410" s="718" t="n"/>
      <c r="AY410" s="961" t="n"/>
      <c r="AZ410" s="721" t="n"/>
      <c r="BA410" s="961" t="n"/>
      <c r="BB410" s="721" t="n"/>
      <c r="BC410" s="961" t="n"/>
      <c r="BD410" s="721" t="n"/>
      <c r="BE410" s="962" t="n"/>
      <c r="BF410" s="718" t="n"/>
      <c r="BG410" s="961" t="n"/>
      <c r="BH410" s="717" t="n"/>
      <c r="BI410" s="963" t="n"/>
      <c r="BJ410" s="721" t="n"/>
      <c r="BK410" s="961" t="n"/>
      <c r="BL410" s="721" t="n"/>
      <c r="BM410" s="962" t="n"/>
    </row>
    <row r="411" ht="15" customFormat="1" customHeight="1" s="18">
      <c r="A411" s="722" t="n"/>
      <c r="B411" s="721" t="n"/>
      <c r="C411" s="961" t="n"/>
      <c r="D411" s="721" t="n"/>
      <c r="E411" s="961" t="n"/>
      <c r="F411" s="721" t="n"/>
      <c r="G411" s="961" t="n"/>
      <c r="H411" s="721" t="n"/>
      <c r="I411" s="962" t="n"/>
      <c r="J411" s="718" t="n"/>
      <c r="K411" s="961" t="n"/>
      <c r="L411" s="721" t="n"/>
      <c r="M411" s="961" t="n"/>
      <c r="N411" s="721" t="n"/>
      <c r="O411" s="961" t="n"/>
      <c r="P411" s="721" t="n"/>
      <c r="Q411" s="962" t="n"/>
      <c r="R411" s="718" t="n"/>
      <c r="S411" s="961" t="n"/>
      <c r="T411" s="721" t="n"/>
      <c r="U411" s="961" t="n"/>
      <c r="V411" s="721" t="n"/>
      <c r="W411" s="961" t="n"/>
      <c r="X411" s="721" t="n"/>
      <c r="Y411" s="962" t="n"/>
      <c r="Z411" s="718" t="n"/>
      <c r="AA411" s="961" t="n"/>
      <c r="AB411" s="721" t="n"/>
      <c r="AC411" s="961" t="n"/>
      <c r="AD411" s="721" t="n"/>
      <c r="AE411" s="961" t="n"/>
      <c r="AF411" s="721" t="n"/>
      <c r="AG411" s="962" t="n"/>
      <c r="AH411" s="718" t="n"/>
      <c r="AI411" s="961" t="n"/>
      <c r="AJ411" s="721" t="n"/>
      <c r="AK411" s="961" t="n"/>
      <c r="AL411" s="721" t="n"/>
      <c r="AM411" s="961" t="n"/>
      <c r="AN411" s="721" t="n"/>
      <c r="AO411" s="962" t="n"/>
      <c r="AP411" s="718" t="n"/>
      <c r="AQ411" s="961" t="n"/>
      <c r="AR411" s="721" t="n"/>
      <c r="AS411" s="961" t="n"/>
      <c r="AT411" s="721" t="n"/>
      <c r="AU411" s="961" t="n"/>
      <c r="AV411" s="721" t="n"/>
      <c r="AW411" s="962" t="n"/>
      <c r="AX411" s="718" t="n"/>
      <c r="AY411" s="961" t="n"/>
      <c r="AZ411" s="721" t="n"/>
      <c r="BA411" s="961" t="n"/>
      <c r="BB411" s="721" t="n"/>
      <c r="BC411" s="961" t="n"/>
      <c r="BD411" s="721" t="n"/>
      <c r="BE411" s="962" t="n"/>
      <c r="BF411" s="718" t="n"/>
      <c r="BG411" s="961" t="n"/>
      <c r="BH411" s="717" t="n"/>
      <c r="BI411" s="963" t="n"/>
      <c r="BJ411" s="721" t="n"/>
      <c r="BK411" s="961" t="n"/>
      <c r="BL411" s="721" t="n"/>
      <c r="BM411" s="962" t="n"/>
    </row>
    <row r="412" ht="15" customFormat="1" customHeight="1" s="18">
      <c r="A412" s="722" t="n"/>
      <c r="B412" s="721" t="n"/>
      <c r="C412" s="961" t="n"/>
      <c r="D412" s="721" t="n"/>
      <c r="E412" s="961" t="n"/>
      <c r="F412" s="721" t="n"/>
      <c r="G412" s="961" t="n"/>
      <c r="H412" s="721" t="n"/>
      <c r="I412" s="962" t="n"/>
      <c r="J412" s="718" t="n"/>
      <c r="K412" s="961" t="n"/>
      <c r="L412" s="721" t="n"/>
      <c r="M412" s="961" t="n"/>
      <c r="N412" s="721" t="n"/>
      <c r="O412" s="961" t="n"/>
      <c r="P412" s="721" t="n"/>
      <c r="Q412" s="962" t="n"/>
      <c r="R412" s="718" t="n"/>
      <c r="S412" s="961" t="n"/>
      <c r="T412" s="721" t="n"/>
      <c r="U412" s="961" t="n"/>
      <c r="V412" s="721" t="n"/>
      <c r="W412" s="961" t="n"/>
      <c r="X412" s="721" t="n"/>
      <c r="Y412" s="962" t="n"/>
      <c r="Z412" s="718" t="n"/>
      <c r="AA412" s="961" t="n"/>
      <c r="AB412" s="721" t="n"/>
      <c r="AC412" s="961" t="n"/>
      <c r="AD412" s="721" t="n"/>
      <c r="AE412" s="961" t="n"/>
      <c r="AF412" s="721" t="n"/>
      <c r="AG412" s="962" t="n"/>
      <c r="AH412" s="718" t="n"/>
      <c r="AI412" s="961" t="n"/>
      <c r="AJ412" s="721" t="n"/>
      <c r="AK412" s="961" t="n"/>
      <c r="AL412" s="721" t="n"/>
      <c r="AM412" s="961" t="n"/>
      <c r="AN412" s="721" t="n"/>
      <c r="AO412" s="962" t="n"/>
      <c r="AP412" s="718" t="n"/>
      <c r="AQ412" s="961" t="n"/>
      <c r="AR412" s="721" t="n"/>
      <c r="AS412" s="961" t="n"/>
      <c r="AT412" s="721" t="n"/>
      <c r="AU412" s="961" t="n"/>
      <c r="AV412" s="721" t="n"/>
      <c r="AW412" s="962" t="n"/>
      <c r="AX412" s="718" t="n"/>
      <c r="AY412" s="961" t="n"/>
      <c r="AZ412" s="721" t="n"/>
      <c r="BA412" s="961" t="n"/>
      <c r="BB412" s="721" t="n"/>
      <c r="BC412" s="961" t="n"/>
      <c r="BD412" s="721" t="n"/>
      <c r="BE412" s="962" t="n"/>
      <c r="BF412" s="718" t="n"/>
      <c r="BG412" s="961" t="n"/>
      <c r="BH412" s="717" t="n"/>
      <c r="BI412" s="963" t="n"/>
      <c r="BJ412" s="721" t="n"/>
      <c r="BK412" s="961" t="n"/>
      <c r="BL412" s="721" t="n"/>
      <c r="BM412" s="962" t="n"/>
    </row>
    <row r="413" ht="15" customFormat="1" customHeight="1" s="18">
      <c r="A413" s="722" t="n"/>
      <c r="B413" s="721" t="n"/>
      <c r="C413" s="961" t="n"/>
      <c r="D413" s="721" t="n"/>
      <c r="E413" s="961" t="n"/>
      <c r="F413" s="721" t="n"/>
      <c r="G413" s="961" t="n"/>
      <c r="H413" s="721" t="n"/>
      <c r="I413" s="962" t="n"/>
      <c r="J413" s="718" t="n"/>
      <c r="K413" s="961" t="n"/>
      <c r="L413" s="721" t="n"/>
      <c r="M413" s="961" t="n"/>
      <c r="N413" s="721" t="n"/>
      <c r="O413" s="961" t="n"/>
      <c r="P413" s="721" t="n"/>
      <c r="Q413" s="962" t="n"/>
      <c r="R413" s="718" t="n"/>
      <c r="S413" s="961" t="n"/>
      <c r="T413" s="721" t="n"/>
      <c r="U413" s="961" t="n"/>
      <c r="V413" s="721" t="n"/>
      <c r="W413" s="961" t="n"/>
      <c r="X413" s="721" t="n"/>
      <c r="Y413" s="962" t="n"/>
      <c r="Z413" s="718" t="n"/>
      <c r="AA413" s="961" t="n"/>
      <c r="AB413" s="721" t="n"/>
      <c r="AC413" s="961" t="n"/>
      <c r="AD413" s="721" t="n"/>
      <c r="AE413" s="961" t="n"/>
      <c r="AF413" s="721" t="n"/>
      <c r="AG413" s="962" t="n"/>
      <c r="AH413" s="718" t="n"/>
      <c r="AI413" s="961" t="n"/>
      <c r="AJ413" s="721" t="n"/>
      <c r="AK413" s="961" t="n"/>
      <c r="AL413" s="721" t="n"/>
      <c r="AM413" s="961" t="n"/>
      <c r="AN413" s="721" t="n"/>
      <c r="AO413" s="962" t="n"/>
      <c r="AP413" s="718" t="n"/>
      <c r="AQ413" s="961" t="n"/>
      <c r="AR413" s="721" t="n"/>
      <c r="AS413" s="961" t="n"/>
      <c r="AT413" s="721" t="n"/>
      <c r="AU413" s="961" t="n"/>
      <c r="AV413" s="721" t="n"/>
      <c r="AW413" s="962" t="n"/>
      <c r="AX413" s="718" t="n"/>
      <c r="AY413" s="961" t="n"/>
      <c r="AZ413" s="721" t="n"/>
      <c r="BA413" s="961" t="n"/>
      <c r="BB413" s="721" t="n"/>
      <c r="BC413" s="961" t="n"/>
      <c r="BD413" s="721" t="n"/>
      <c r="BE413" s="962" t="n"/>
      <c r="BF413" s="718" t="n"/>
      <c r="BG413" s="961" t="n"/>
      <c r="BH413" s="717" t="n"/>
      <c r="BI413" s="963" t="n"/>
      <c r="BJ413" s="721" t="n"/>
      <c r="BK413" s="961" t="n"/>
      <c r="BL413" s="721" t="n"/>
      <c r="BM413" s="962" t="n"/>
    </row>
    <row r="414" ht="15" customFormat="1" customHeight="1" s="18">
      <c r="A414" s="722" t="n"/>
      <c r="B414" s="721" t="n"/>
      <c r="C414" s="961" t="n"/>
      <c r="D414" s="721" t="n"/>
      <c r="E414" s="961" t="n"/>
      <c r="F414" s="721" t="n"/>
      <c r="G414" s="961" t="n"/>
      <c r="H414" s="721" t="n"/>
      <c r="I414" s="962" t="n"/>
      <c r="J414" s="718" t="n"/>
      <c r="K414" s="961" t="n"/>
      <c r="L414" s="721" t="n"/>
      <c r="M414" s="961" t="n"/>
      <c r="N414" s="721" t="n"/>
      <c r="O414" s="961" t="n"/>
      <c r="P414" s="721" t="n"/>
      <c r="Q414" s="962" t="n"/>
      <c r="R414" s="718" t="n"/>
      <c r="S414" s="961" t="n"/>
      <c r="T414" s="721" t="n"/>
      <c r="U414" s="961" t="n"/>
      <c r="V414" s="721" t="n"/>
      <c r="W414" s="961" t="n"/>
      <c r="X414" s="721" t="n"/>
      <c r="Y414" s="962" t="n"/>
      <c r="Z414" s="718" t="n"/>
      <c r="AA414" s="961" t="n"/>
      <c r="AB414" s="721" t="n"/>
      <c r="AC414" s="961" t="n"/>
      <c r="AD414" s="721" t="n"/>
      <c r="AE414" s="961" t="n"/>
      <c r="AF414" s="721" t="n"/>
      <c r="AG414" s="962" t="n"/>
      <c r="AH414" s="718" t="n"/>
      <c r="AI414" s="961" t="n"/>
      <c r="AJ414" s="721" t="n"/>
      <c r="AK414" s="961" t="n"/>
      <c r="AL414" s="721" t="n"/>
      <c r="AM414" s="961" t="n"/>
      <c r="AN414" s="721" t="n"/>
      <c r="AO414" s="962" t="n"/>
      <c r="AP414" s="718" t="n"/>
      <c r="AQ414" s="961" t="n"/>
      <c r="AR414" s="721" t="n"/>
      <c r="AS414" s="961" t="n"/>
      <c r="AT414" s="721" t="n"/>
      <c r="AU414" s="961" t="n"/>
      <c r="AV414" s="721" t="n"/>
      <c r="AW414" s="962" t="n"/>
      <c r="AX414" s="718" t="n"/>
      <c r="AY414" s="961" t="n"/>
      <c r="AZ414" s="721" t="n"/>
      <c r="BA414" s="961" t="n"/>
      <c r="BB414" s="721" t="n"/>
      <c r="BC414" s="961" t="n"/>
      <c r="BD414" s="721" t="n"/>
      <c r="BE414" s="962" t="n"/>
      <c r="BF414" s="718" t="n"/>
      <c r="BG414" s="961" t="n"/>
      <c r="BH414" s="717" t="n"/>
      <c r="BI414" s="963" t="n"/>
      <c r="BJ414" s="721" t="n"/>
      <c r="BK414" s="961" t="n"/>
      <c r="BL414" s="721" t="n"/>
      <c r="BM414" s="962" t="n"/>
    </row>
    <row r="415" ht="15" customFormat="1" customHeight="1" s="18">
      <c r="A415" s="722" t="n"/>
      <c r="B415" s="721" t="n"/>
      <c r="C415" s="961" t="n"/>
      <c r="D415" s="721" t="n"/>
      <c r="E415" s="961" t="n"/>
      <c r="F415" s="721" t="n"/>
      <c r="G415" s="961" t="n"/>
      <c r="H415" s="721" t="n"/>
      <c r="I415" s="962" t="n"/>
      <c r="J415" s="718" t="n"/>
      <c r="K415" s="961" t="n"/>
      <c r="L415" s="721" t="n"/>
      <c r="M415" s="961" t="n"/>
      <c r="N415" s="721" t="n"/>
      <c r="O415" s="961" t="n"/>
      <c r="P415" s="721" t="n"/>
      <c r="Q415" s="962" t="n"/>
      <c r="R415" s="718" t="n"/>
      <c r="S415" s="961" t="n"/>
      <c r="T415" s="721" t="n"/>
      <c r="U415" s="961" t="n"/>
      <c r="V415" s="721" t="n"/>
      <c r="W415" s="961" t="n"/>
      <c r="X415" s="721" t="n"/>
      <c r="Y415" s="962" t="n"/>
      <c r="Z415" s="718" t="n"/>
      <c r="AA415" s="961" t="n"/>
      <c r="AB415" s="721" t="n"/>
      <c r="AC415" s="961" t="n"/>
      <c r="AD415" s="721" t="n"/>
      <c r="AE415" s="961" t="n"/>
      <c r="AF415" s="721" t="n"/>
      <c r="AG415" s="962" t="n"/>
      <c r="AH415" s="718" t="n"/>
      <c r="AI415" s="961" t="n"/>
      <c r="AJ415" s="721" t="n"/>
      <c r="AK415" s="961" t="n"/>
      <c r="AL415" s="721" t="n"/>
      <c r="AM415" s="961" t="n"/>
      <c r="AN415" s="721" t="n"/>
      <c r="AO415" s="962" t="n"/>
      <c r="AP415" s="718" t="n"/>
      <c r="AQ415" s="961" t="n"/>
      <c r="AR415" s="721" t="n"/>
      <c r="AS415" s="961" t="n"/>
      <c r="AT415" s="721" t="n"/>
      <c r="AU415" s="961" t="n"/>
      <c r="AV415" s="721" t="n"/>
      <c r="AW415" s="962" t="n"/>
      <c r="AX415" s="718" t="n"/>
      <c r="AY415" s="961" t="n"/>
      <c r="AZ415" s="721" t="n"/>
      <c r="BA415" s="961" t="n"/>
      <c r="BB415" s="721" t="n"/>
      <c r="BC415" s="961" t="n"/>
      <c r="BD415" s="721" t="n"/>
      <c r="BE415" s="962" t="n"/>
      <c r="BF415" s="718" t="n"/>
      <c r="BG415" s="961" t="n"/>
      <c r="BH415" s="717" t="n"/>
      <c r="BI415" s="963" t="n"/>
      <c r="BJ415" s="721" t="n"/>
      <c r="BK415" s="961" t="n"/>
      <c r="BL415" s="721" t="n"/>
      <c r="BM415" s="962" t="n"/>
    </row>
    <row r="416" ht="15" customFormat="1" customHeight="1" s="20">
      <c r="A416" s="722" t="n"/>
      <c r="B416" s="721" t="n"/>
      <c r="C416" s="961" t="n"/>
      <c r="D416" s="721" t="n"/>
      <c r="E416" s="961" t="n"/>
      <c r="F416" s="721" t="n"/>
      <c r="G416" s="961" t="n"/>
      <c r="H416" s="721" t="n"/>
      <c r="I416" s="962" t="n"/>
      <c r="J416" s="718" t="n"/>
      <c r="K416" s="961" t="n"/>
      <c r="L416" s="721" t="n"/>
      <c r="M416" s="961" t="n"/>
      <c r="N416" s="721" t="n"/>
      <c r="O416" s="961" t="n"/>
      <c r="P416" s="721" t="n"/>
      <c r="Q416" s="962" t="n"/>
      <c r="R416" s="718" t="n"/>
      <c r="S416" s="961" t="n"/>
      <c r="T416" s="721" t="n"/>
      <c r="U416" s="961" t="n"/>
      <c r="V416" s="721" t="n"/>
      <c r="W416" s="961" t="n"/>
      <c r="X416" s="721" t="n"/>
      <c r="Y416" s="962" t="n"/>
      <c r="Z416" s="718" t="n"/>
      <c r="AA416" s="961" t="n"/>
      <c r="AB416" s="721" t="n"/>
      <c r="AC416" s="961" t="n"/>
      <c r="AD416" s="721" t="n"/>
      <c r="AE416" s="961" t="n"/>
      <c r="AF416" s="721" t="n"/>
      <c r="AG416" s="962" t="n"/>
      <c r="AH416" s="718" t="n"/>
      <c r="AI416" s="961" t="n"/>
      <c r="AJ416" s="721" t="n"/>
      <c r="AK416" s="961" t="n"/>
      <c r="AL416" s="721" t="n"/>
      <c r="AM416" s="961" t="n"/>
      <c r="AN416" s="721" t="n"/>
      <c r="AO416" s="962" t="n"/>
      <c r="AP416" s="718" t="n"/>
      <c r="AQ416" s="961" t="n"/>
      <c r="AR416" s="721" t="n"/>
      <c r="AS416" s="961" t="n"/>
      <c r="AT416" s="721" t="n"/>
      <c r="AU416" s="961" t="n"/>
      <c r="AV416" s="721" t="n"/>
      <c r="AW416" s="962" t="n"/>
      <c r="AX416" s="718" t="n"/>
      <c r="AY416" s="961" t="n"/>
      <c r="AZ416" s="721" t="n"/>
      <c r="BA416" s="961" t="n"/>
      <c r="BB416" s="721" t="n"/>
      <c r="BC416" s="961" t="n"/>
      <c r="BD416" s="721" t="n"/>
      <c r="BE416" s="962" t="n"/>
      <c r="BF416" s="718" t="n"/>
      <c r="BG416" s="961" t="n"/>
      <c r="BH416" s="717" t="n"/>
      <c r="BI416" s="963" t="n"/>
      <c r="BJ416" s="721" t="n"/>
      <c r="BK416" s="961" t="n"/>
      <c r="BL416" s="721" t="n"/>
      <c r="BM416" s="962" t="n"/>
    </row>
    <row r="417" ht="15" customFormat="1" customHeight="1" s="20">
      <c r="A417" s="722" t="n"/>
      <c r="B417" s="721" t="n"/>
      <c r="C417" s="961" t="n"/>
      <c r="D417" s="721" t="n"/>
      <c r="E417" s="961" t="n"/>
      <c r="F417" s="721" t="n"/>
      <c r="G417" s="961" t="n"/>
      <c r="H417" s="721" t="n"/>
      <c r="I417" s="962" t="n"/>
      <c r="J417" s="718" t="n"/>
      <c r="K417" s="961" t="n"/>
      <c r="L417" s="721" t="n"/>
      <c r="M417" s="961" t="n"/>
      <c r="N417" s="721" t="n"/>
      <c r="O417" s="961" t="n"/>
      <c r="P417" s="721" t="n"/>
      <c r="Q417" s="962" t="n"/>
      <c r="R417" s="718" t="n"/>
      <c r="S417" s="961" t="n"/>
      <c r="T417" s="721" t="n"/>
      <c r="U417" s="961" t="n"/>
      <c r="V417" s="721" t="n"/>
      <c r="W417" s="961" t="n"/>
      <c r="X417" s="721" t="n"/>
      <c r="Y417" s="962" t="n"/>
      <c r="Z417" s="718" t="n"/>
      <c r="AA417" s="961" t="n"/>
      <c r="AB417" s="721" t="n"/>
      <c r="AC417" s="961" t="n"/>
      <c r="AD417" s="721" t="n"/>
      <c r="AE417" s="961" t="n"/>
      <c r="AF417" s="721" t="n"/>
      <c r="AG417" s="962" t="n"/>
      <c r="AH417" s="718" t="n"/>
      <c r="AI417" s="961" t="n"/>
      <c r="AJ417" s="721" t="n"/>
      <c r="AK417" s="961" t="n"/>
      <c r="AL417" s="721" t="n"/>
      <c r="AM417" s="961" t="n"/>
      <c r="AN417" s="721" t="n"/>
      <c r="AO417" s="962" t="n"/>
      <c r="AP417" s="718" t="n"/>
      <c r="AQ417" s="961" t="n"/>
      <c r="AR417" s="721" t="n"/>
      <c r="AS417" s="961" t="n"/>
      <c r="AT417" s="721" t="n"/>
      <c r="AU417" s="961" t="n"/>
      <c r="AV417" s="721" t="n"/>
      <c r="AW417" s="962" t="n"/>
      <c r="AX417" s="718" t="n"/>
      <c r="AY417" s="961" t="n"/>
      <c r="AZ417" s="721" t="n"/>
      <c r="BA417" s="961" t="n"/>
      <c r="BB417" s="721" t="n"/>
      <c r="BC417" s="961" t="n"/>
      <c r="BD417" s="721" t="n"/>
      <c r="BE417" s="962" t="n"/>
      <c r="BF417" s="718" t="n"/>
      <c r="BG417" s="961" t="n"/>
      <c r="BH417" s="717" t="n"/>
      <c r="BI417" s="963" t="n"/>
      <c r="BJ417" s="721" t="n"/>
      <c r="BK417" s="961" t="n"/>
      <c r="BL417" s="721" t="n"/>
      <c r="BM417" s="962" t="n"/>
    </row>
    <row r="418" ht="15" customFormat="1" customHeight="1" s="20">
      <c r="A418" s="722" t="n"/>
      <c r="B418" s="721" t="n"/>
      <c r="C418" s="961" t="n"/>
      <c r="D418" s="721" t="n"/>
      <c r="E418" s="961" t="n"/>
      <c r="F418" s="721" t="n"/>
      <c r="G418" s="961" t="n"/>
      <c r="H418" s="721" t="n"/>
      <c r="I418" s="962" t="n"/>
      <c r="J418" s="718" t="n"/>
      <c r="K418" s="961" t="n"/>
      <c r="L418" s="721" t="n"/>
      <c r="M418" s="961" t="n"/>
      <c r="N418" s="721" t="n"/>
      <c r="O418" s="961" t="n"/>
      <c r="P418" s="721" t="n"/>
      <c r="Q418" s="962" t="n"/>
      <c r="R418" s="718" t="n"/>
      <c r="S418" s="961" t="n"/>
      <c r="T418" s="721" t="n"/>
      <c r="U418" s="961" t="n"/>
      <c r="V418" s="721" t="n"/>
      <c r="W418" s="961" t="n"/>
      <c r="X418" s="721" t="n"/>
      <c r="Y418" s="962" t="n"/>
      <c r="Z418" s="718" t="n"/>
      <c r="AA418" s="961" t="n"/>
      <c r="AB418" s="721" t="n"/>
      <c r="AC418" s="961" t="n"/>
      <c r="AD418" s="721" t="n"/>
      <c r="AE418" s="961" t="n"/>
      <c r="AF418" s="721" t="n"/>
      <c r="AG418" s="962" t="n"/>
      <c r="AH418" s="718" t="n"/>
      <c r="AI418" s="961" t="n"/>
      <c r="AJ418" s="721" t="n"/>
      <c r="AK418" s="961" t="n"/>
      <c r="AL418" s="721" t="n"/>
      <c r="AM418" s="961" t="n"/>
      <c r="AN418" s="721" t="n"/>
      <c r="AO418" s="962" t="n"/>
      <c r="AP418" s="718" t="n"/>
      <c r="AQ418" s="961" t="n"/>
      <c r="AR418" s="721" t="n"/>
      <c r="AS418" s="961" t="n"/>
      <c r="AT418" s="721" t="n"/>
      <c r="AU418" s="961" t="n"/>
      <c r="AV418" s="721" t="n"/>
      <c r="AW418" s="962" t="n"/>
      <c r="AX418" s="718" t="n"/>
      <c r="AY418" s="961" t="n"/>
      <c r="AZ418" s="721" t="n"/>
      <c r="BA418" s="961" t="n"/>
      <c r="BB418" s="721" t="n"/>
      <c r="BC418" s="961" t="n"/>
      <c r="BD418" s="721" t="n"/>
      <c r="BE418" s="962" t="n"/>
      <c r="BF418" s="718" t="n"/>
      <c r="BG418" s="961" t="n"/>
      <c r="BH418" s="717" t="n"/>
      <c r="BI418" s="963" t="n"/>
      <c r="BJ418" s="721" t="n"/>
      <c r="BK418" s="961" t="n"/>
      <c r="BL418" s="721" t="n"/>
      <c r="BM418" s="962" t="n"/>
    </row>
    <row r="419" ht="15" customFormat="1" customHeight="1" s="20">
      <c r="A419" s="714" t="n"/>
      <c r="B419" s="713" t="n"/>
      <c r="C419" s="964" t="n"/>
      <c r="D419" s="713" t="n"/>
      <c r="E419" s="789" t="n"/>
      <c r="F419" s="713" t="n"/>
      <c r="G419" s="964" t="n"/>
      <c r="H419" s="713" t="n"/>
      <c r="I419" s="965" t="n"/>
      <c r="J419" s="710" t="n"/>
      <c r="K419" s="964" t="n"/>
      <c r="L419" s="713" t="n"/>
      <c r="M419" s="964" t="n"/>
      <c r="N419" s="713" t="n"/>
      <c r="O419" s="964" t="n"/>
      <c r="P419" s="713" t="n"/>
      <c r="Q419" s="965" t="n"/>
      <c r="R419" s="710" t="n"/>
      <c r="S419" s="964" t="n"/>
      <c r="T419" s="713" t="n"/>
      <c r="U419" s="964" t="n"/>
      <c r="V419" s="713" t="n"/>
      <c r="W419" s="964" t="n"/>
      <c r="X419" s="713" t="n"/>
      <c r="Y419" s="965" t="n"/>
      <c r="Z419" s="710" t="n"/>
      <c r="AA419" s="964" t="n"/>
      <c r="AB419" s="713" t="n"/>
      <c r="AC419" s="964" t="n"/>
      <c r="AD419" s="713" t="n"/>
      <c r="AE419" s="964" t="n"/>
      <c r="AF419" s="713" t="n"/>
      <c r="AG419" s="965" t="n"/>
      <c r="AH419" s="710" t="n"/>
      <c r="AI419" s="964" t="n"/>
      <c r="AJ419" s="713" t="n"/>
      <c r="AK419" s="964" t="n"/>
      <c r="AL419" s="713" t="n"/>
      <c r="AM419" s="964" t="n"/>
      <c r="AN419" s="713" t="n"/>
      <c r="AO419" s="965" t="n"/>
      <c r="AP419" s="710" t="n"/>
      <c r="AQ419" s="964" t="n"/>
      <c r="AR419" s="713" t="n"/>
      <c r="AS419" s="964" t="n"/>
      <c r="AT419" s="713" t="n"/>
      <c r="AU419" s="964" t="n"/>
      <c r="AV419" s="713" t="n"/>
      <c r="AW419" s="965" t="n"/>
      <c r="AX419" s="710" t="n"/>
      <c r="AY419" s="964" t="n"/>
      <c r="AZ419" s="713" t="n"/>
      <c r="BA419" s="964" t="n"/>
      <c r="BB419" s="713" t="n"/>
      <c r="BC419" s="964" t="n"/>
      <c r="BD419" s="713" t="n"/>
      <c r="BE419" s="965" t="n"/>
      <c r="BF419" s="710" t="n"/>
      <c r="BG419" s="964" t="n"/>
      <c r="BH419" s="709" t="n"/>
      <c r="BI419" s="966" t="n"/>
      <c r="BJ419" s="713" t="n"/>
      <c r="BK419" s="964" t="n"/>
      <c r="BL419" s="713" t="n"/>
      <c r="BM419" s="965" t="n"/>
    </row>
    <row r="420" ht="15" customFormat="1" customHeight="1" s="20">
      <c r="A420" s="23" t="n"/>
      <c r="B420" s="24" t="n"/>
      <c r="C420" s="18" t="n"/>
      <c r="D420" s="18" t="n"/>
      <c r="E420" s="18" t="n"/>
      <c r="F420" s="18" t="n"/>
      <c r="G420" s="18" t="n"/>
      <c r="H420" s="18" t="n"/>
      <c r="I420" s="23" t="n"/>
      <c r="J420" s="23" t="n"/>
      <c r="K420" s="968" t="n"/>
      <c r="L420" s="18" t="n"/>
      <c r="M420" s="18" t="n"/>
      <c r="N420" s="18" t="n"/>
      <c r="O420" s="968" t="n"/>
      <c r="P420" s="18" t="n"/>
      <c r="Q420" s="18" t="n"/>
      <c r="R420" s="18" t="n"/>
      <c r="S420" s="18" t="n"/>
      <c r="T420" s="18" t="n"/>
      <c r="U420" s="18" t="n"/>
      <c r="V420" s="18" t="n"/>
      <c r="W420" s="18" t="n"/>
      <c r="X420" s="206" t="n"/>
      <c r="Y420" s="18" t="n"/>
      <c r="Z420" s="18" t="n"/>
      <c r="AA420" s="18" t="n"/>
      <c r="AB420" s="18" t="n"/>
      <c r="AC420" s="968" t="n"/>
      <c r="AD420" s="18" t="n"/>
      <c r="AE420" s="18" t="n"/>
      <c r="AF420" s="206" t="n"/>
      <c r="AG420" s="18" t="n"/>
      <c r="AH420" s="18" t="n"/>
      <c r="AI420" s="18" t="n"/>
      <c r="AJ420" s="18" t="n"/>
      <c r="AK420" s="18" t="n"/>
      <c r="AL420" s="18" t="n"/>
      <c r="AM420" s="18" t="n"/>
      <c r="AN420" s="206" t="n"/>
      <c r="AO420" s="18" t="n"/>
      <c r="AP420" s="18" t="n"/>
      <c r="AQ420" s="18" t="n"/>
      <c r="AR420" s="18" t="n"/>
      <c r="AS420" s="18" t="n"/>
      <c r="AT420" s="18" t="n"/>
      <c r="AU420" s="18" t="n"/>
      <c r="AV420" s="206" t="n"/>
      <c r="AW420" s="18" t="n"/>
      <c r="AX420" s="18" t="n"/>
      <c r="AY420" s="18" t="n"/>
      <c r="AZ420" s="18" t="n"/>
      <c r="BA420" s="18" t="n"/>
      <c r="BB420" s="18" t="n"/>
      <c r="BC420" s="18" t="n"/>
      <c r="BD420" s="206" t="n"/>
      <c r="BE420" s="18" t="n"/>
      <c r="BF420" s="18" t="n"/>
      <c r="BG420" s="18" t="n"/>
      <c r="BH420" s="18" t="n"/>
      <c r="BI420" s="18" t="n"/>
      <c r="BJ420" s="18" t="n"/>
      <c r="BK420" s="18" t="n"/>
      <c r="BL420" s="206" t="n"/>
      <c r="BM420" s="18" t="n"/>
    </row>
    <row r="421" ht="15" customFormat="1" customHeight="1" s="20">
      <c r="A421" s="141" t="n"/>
      <c r="B421" s="18" t="n"/>
      <c r="C421" s="18" t="n"/>
      <c r="D421" s="18" t="n"/>
      <c r="E421" s="18" t="n"/>
      <c r="F421" s="18"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638" t="n"/>
      <c r="AA421" s="18" t="n"/>
      <c r="AB421" s="18" t="n"/>
      <c r="AC421" s="968" t="n"/>
      <c r="AD421" s="18" t="n"/>
      <c r="AE421" s="18" t="n"/>
      <c r="AF421" s="18" t="n"/>
      <c r="AG421" s="18" t="n"/>
      <c r="AH421" s="18" t="n"/>
      <c r="AI421" s="18" t="n"/>
      <c r="AJ421" s="18" t="n"/>
      <c r="AK421" s="18" t="n"/>
      <c r="AL421" s="18" t="n"/>
      <c r="AM421" s="18" t="n"/>
      <c r="AN421" s="18" t="n"/>
      <c r="AO421" s="18" t="n"/>
      <c r="AP421" s="18" t="n"/>
      <c r="AQ421" s="18" t="n"/>
      <c r="AR421" s="18" t="n"/>
      <c r="AS421" s="18" t="n"/>
      <c r="AT421" s="18" t="n"/>
      <c r="AU421" s="18" t="n"/>
      <c r="AV421" s="18" t="n"/>
      <c r="AW421" s="18" t="n"/>
      <c r="AX421" s="18" t="n"/>
      <c r="AY421" s="18" t="n"/>
      <c r="AZ421" s="18" t="n"/>
      <c r="BA421" s="18" t="n"/>
      <c r="BB421" s="18" t="n"/>
      <c r="BC421" s="18" t="n"/>
      <c r="BD421" s="18" t="n"/>
      <c r="BE421" s="18" t="n"/>
      <c r="BF421" s="18" t="n"/>
      <c r="BG421" s="18" t="n"/>
      <c r="BH421" s="18" t="n"/>
      <c r="BI421" s="18" t="n"/>
      <c r="BJ421" s="18" t="n"/>
      <c r="BK421" s="18" t="n"/>
      <c r="BL421" s="18" t="n"/>
      <c r="BM421" s="18" t="n"/>
    </row>
    <row r="422" ht="15" customFormat="1" customHeight="1" s="20">
      <c r="A422" s="142" t="n"/>
      <c r="B422" s="18" t="n"/>
      <c r="C422" s="18" t="n"/>
      <c r="D422" s="18" t="n"/>
      <c r="E422" s="18" t="n"/>
      <c r="F422" s="18"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638" t="n"/>
      <c r="AA422" s="638" t="n"/>
      <c r="AB422" s="18" t="n"/>
      <c r="AC422" s="18" t="n"/>
      <c r="AD422" s="18" t="n"/>
      <c r="AE422" s="18" t="n"/>
      <c r="AF422" s="18" t="n"/>
      <c r="AG422" s="18" t="n"/>
      <c r="AH422" s="18" t="n"/>
      <c r="AI422" s="18" t="n"/>
      <c r="AJ422" s="18" t="n"/>
      <c r="AK422" s="18" t="n"/>
      <c r="AL422" s="18" t="n"/>
      <c r="AM422" s="18" t="n"/>
      <c r="AN422" s="18" t="n"/>
      <c r="AO422" s="18" t="n"/>
      <c r="AP422" s="18" t="n"/>
      <c r="AQ422" s="18" t="n"/>
      <c r="AR422" s="18" t="n"/>
      <c r="AS422" s="18" t="n"/>
      <c r="AT422" s="18" t="n"/>
      <c r="AU422" s="18" t="n"/>
      <c r="AV422" s="18" t="n"/>
      <c r="AW422" s="18" t="n"/>
      <c r="AX422" s="18" t="n"/>
      <c r="AY422" s="18" t="n"/>
      <c r="AZ422" s="18" t="n"/>
      <c r="BA422" s="18" t="n"/>
      <c r="BB422" s="18" t="n"/>
      <c r="BC422" s="18" t="n"/>
      <c r="BD422" s="18" t="n"/>
      <c r="BE422" s="18" t="n"/>
      <c r="BF422" s="18" t="n"/>
      <c r="BG422" s="18" t="n"/>
      <c r="BH422" s="18" t="n"/>
      <c r="BI422" s="18" t="n"/>
      <c r="BJ422" s="18" t="n"/>
      <c r="BK422" s="18" t="n"/>
      <c r="BL422" s="18" t="n"/>
      <c r="BM422" s="18" t="n"/>
    </row>
    <row r="423" ht="15" customFormat="1" customHeight="1" s="20">
      <c r="A423" s="143" t="n"/>
      <c r="B423" s="18" t="n"/>
      <c r="C423" s="18" t="n"/>
      <c r="D423" s="18" t="n"/>
      <c r="E423" s="18" t="n"/>
      <c r="F423" s="18"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638" t="n"/>
      <c r="AA423" s="638" t="n"/>
      <c r="AB423" s="18" t="n"/>
      <c r="AC423" s="18" t="n"/>
      <c r="AD423" s="18" t="n"/>
      <c r="AE423" s="18" t="n"/>
      <c r="AF423" s="18" t="n"/>
      <c r="AG423" s="18" t="n"/>
      <c r="AH423" s="18" t="n"/>
      <c r="AI423" s="18" t="n"/>
      <c r="AJ423" s="18" t="n"/>
      <c r="AK423" s="18" t="n"/>
      <c r="AL423" s="18" t="n"/>
      <c r="AM423" s="18" t="n"/>
      <c r="AN423" s="18" t="n"/>
      <c r="AO423" s="18" t="n"/>
      <c r="AP423" s="18" t="n"/>
      <c r="AQ423" s="18" t="n"/>
      <c r="AR423" s="18" t="n"/>
      <c r="AS423" s="18" t="n"/>
      <c r="AT423" s="18" t="n"/>
      <c r="AU423" s="18" t="n"/>
      <c r="AV423" s="18" t="n"/>
      <c r="AW423" s="18" t="n"/>
      <c r="AX423" s="18" t="n"/>
      <c r="AY423" s="18" t="n"/>
      <c r="AZ423" s="18" t="n"/>
      <c r="BA423" s="18" t="n"/>
      <c r="BB423" s="18" t="n"/>
      <c r="BC423" s="18" t="n"/>
      <c r="BD423" s="18" t="n"/>
      <c r="BE423" s="18" t="n"/>
      <c r="BF423" s="18" t="n"/>
      <c r="BG423" s="18" t="n"/>
      <c r="BH423" s="18" t="n"/>
      <c r="BI423" s="18" t="n"/>
      <c r="BJ423" s="18" t="n"/>
      <c r="BK423" s="18" t="n"/>
      <c r="BL423" s="18" t="n"/>
      <c r="BM423" s="18" t="n"/>
    </row>
    <row r="424" ht="15" customFormat="1" customHeight="1" s="20">
      <c r="A424" s="144" t="n"/>
      <c r="B424" s="18" t="n"/>
      <c r="C424" s="18" t="n"/>
      <c r="D424" s="18" t="n"/>
      <c r="E424" s="18" t="n"/>
      <c r="F424" s="18"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18" t="n"/>
      <c r="AA424" s="18" t="n"/>
      <c r="AB424" s="18" t="n"/>
      <c r="AC424" s="18" t="n"/>
      <c r="AD424" s="18" t="n"/>
      <c r="AE424" s="18" t="n"/>
      <c r="AF424" s="18" t="n"/>
      <c r="AG424" s="18" t="n"/>
      <c r="AH424" s="18" t="n"/>
      <c r="AI424" s="18" t="n"/>
      <c r="AJ424" s="18" t="n"/>
      <c r="AK424" s="18" t="n"/>
      <c r="AL424" s="18" t="n"/>
      <c r="AM424" s="18" t="n"/>
      <c r="AN424" s="18" t="n"/>
      <c r="AO424" s="18" t="n"/>
      <c r="AP424" s="18" t="n"/>
      <c r="AQ424" s="18" t="n"/>
      <c r="AR424" s="18" t="n"/>
      <c r="AS424" s="18" t="n"/>
      <c r="AT424" s="18" t="n"/>
      <c r="AU424" s="18" t="n"/>
      <c r="AV424" s="18" t="n"/>
      <c r="AW424" s="18" t="n"/>
      <c r="AX424" s="18" t="n"/>
      <c r="AY424" s="18" t="n"/>
      <c r="AZ424" s="18" t="n"/>
      <c r="BA424" s="18" t="n"/>
      <c r="BB424" s="18" t="n"/>
      <c r="BC424" s="18" t="n"/>
      <c r="BD424" s="18" t="n"/>
      <c r="BE424" s="18" t="n"/>
      <c r="BF424" s="18" t="n"/>
      <c r="BG424" s="18" t="n"/>
      <c r="BH424" s="18" t="n"/>
      <c r="BI424" s="18" t="n"/>
      <c r="BJ424" s="18" t="n"/>
      <c r="BK424" s="18" t="n"/>
      <c r="BL424" s="18" t="n"/>
      <c r="BM424" s="18" t="n"/>
    </row>
    <row r="425" ht="15" customFormat="1" customHeight="1" s="20">
      <c r="A425" s="18" t="n"/>
      <c r="B425" s="18" t="n"/>
      <c r="C425" s="18" t="n"/>
      <c r="D425" s="18" t="n"/>
      <c r="E425" s="18" t="n"/>
      <c r="F425" s="18"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18" t="n"/>
      <c r="AA425" s="18" t="n"/>
      <c r="AB425" s="18" t="n"/>
      <c r="AC425" s="18" t="n"/>
      <c r="AD425" s="18" t="n"/>
      <c r="AE425" s="18" t="n"/>
      <c r="AF425" s="18" t="n"/>
      <c r="AG425" s="18" t="n"/>
      <c r="AH425" s="18" t="n"/>
      <c r="AI425" s="18" t="n"/>
      <c r="AJ425" s="18" t="n"/>
      <c r="AK425" s="18" t="n"/>
      <c r="AL425" s="18" t="n"/>
      <c r="AM425" s="18" t="n"/>
      <c r="AN425" s="18" t="n"/>
      <c r="AO425" s="18" t="n"/>
      <c r="AP425" s="18" t="n"/>
      <c r="AQ425" s="18" t="n"/>
      <c r="AR425" s="18" t="n"/>
      <c r="AS425" s="18" t="n"/>
      <c r="AT425" s="18" t="n"/>
      <c r="AU425" s="18" t="n"/>
      <c r="AV425" s="18" t="n"/>
      <c r="AW425" s="18" t="n"/>
      <c r="AX425" s="18" t="n"/>
      <c r="AY425" s="18" t="n"/>
      <c r="AZ425" s="18" t="n"/>
      <c r="BA425" s="18" t="n"/>
      <c r="BB425" s="18" t="n"/>
      <c r="BC425" s="18" t="n"/>
      <c r="BD425" s="18" t="n"/>
      <c r="BE425" s="18" t="n"/>
      <c r="BF425" s="18" t="n"/>
      <c r="BG425" s="18" t="n"/>
      <c r="BH425" s="18" t="n"/>
      <c r="BI425" s="18" t="n"/>
      <c r="BJ425" s="18" t="n"/>
      <c r="BK425" s="18" t="n"/>
      <c r="BL425" s="18" t="n"/>
      <c r="BM425" s="18" t="n"/>
    </row>
    <row r="426"/>
    <row r="427"/>
    <row r="428"/>
    <row r="429"/>
    <row r="430"/>
    <row r="431"/>
    <row r="432"/>
    <row r="433">
      <c r="F433" s="126" t="n"/>
    </row>
  </sheetData>
  <autoFilter ref="A11:BM397">
    <filterColumn colId="0" hiddenButton="0" showButton="0"/>
    <filterColumn colId="1" hiddenButton="0" showButton="0"/>
    <filterColumn colId="2" hiddenButton="0" showButton="0"/>
    <filterColumn colId="3" hiddenButton="0" showButton="0"/>
    <filterColumn colId="4" hiddenButton="0" showButton="0"/>
    <filterColumn colId="5" hiddenButton="0" showButton="0"/>
    <filterColumn colId="6" hiddenButton="0" showButton="0"/>
    <filterColumn colId="7" hiddenButton="0" showButton="0"/>
    <filterColumn colId="8" hiddenButton="0" showButton="0"/>
    <filterColumn colId="9" hiddenButton="0" showButton="0"/>
    <filterColumn colId="10" hiddenButton="0" showButton="0"/>
    <filterColumn colId="11" hiddenButton="0" showButton="0"/>
    <filterColumn colId="12" hiddenButton="0" showButton="0"/>
    <filterColumn colId="13" hiddenButton="0" showButton="0"/>
    <filterColumn colId="14" hiddenButton="0" showButton="0"/>
    <filterColumn colId="15" hiddenButton="0" showButton="0"/>
    <filterColumn colId="16" hiddenButton="0" showButton="0"/>
    <filterColumn colId="17" hiddenButton="0" showButton="0"/>
    <filterColumn colId="18" hiddenButton="0" showButton="0"/>
    <filterColumn colId="19" hiddenButton="0" showButton="0"/>
    <filterColumn colId="20" hiddenButton="0" showButton="0"/>
    <filterColumn colId="21" hiddenButton="0" showButton="0"/>
    <filterColumn colId="22" hiddenButton="0" showButton="0"/>
    <filterColumn colId="23" hiddenButton="0" showButton="0"/>
    <filterColumn colId="24" hiddenButton="0" showButton="0"/>
    <filterColumn colId="25" hiddenButton="0" showButton="0"/>
    <filterColumn colId="26" hiddenButton="0" showButton="0"/>
    <filterColumn colId="27" hiddenButton="0" showButton="0"/>
    <filterColumn colId="28" hiddenButton="0" showButton="0"/>
    <filterColumn colId="29" hiddenButton="0" showButton="0"/>
    <filterColumn colId="30" hiddenButton="0" showButton="0"/>
    <filterColumn colId="31" hiddenButton="0" showButton="0"/>
    <filterColumn colId="32" hiddenButton="0" showButton="0"/>
    <filterColumn colId="33" hiddenButton="0" showButton="0"/>
    <filterColumn colId="34" hiddenButton="0" showButton="0"/>
    <filterColumn colId="35" hiddenButton="0" showButton="0"/>
    <filterColumn colId="36" hiddenButton="0" showButton="0"/>
    <filterColumn colId="37" hiddenButton="0" showButton="0"/>
    <filterColumn colId="38" hiddenButton="0" showButton="0"/>
    <filterColumn colId="39" hiddenButton="0" showButton="0"/>
    <filterColumn colId="40" hiddenButton="0" showButton="0"/>
    <filterColumn colId="41" hiddenButton="0" showButton="0"/>
    <filterColumn colId="42" hiddenButton="0" showButton="0"/>
    <filterColumn colId="43" hiddenButton="0" showButton="0"/>
    <filterColumn colId="44" hiddenButton="0" showButton="0"/>
    <filterColumn colId="45" hiddenButton="0" showButton="0"/>
    <filterColumn colId="46" hiddenButton="0" showButton="0"/>
    <filterColumn colId="47" hiddenButton="0" showButton="0"/>
    <filterColumn colId="48" hiddenButton="0" showButton="0"/>
    <filterColumn colId="49" hiddenButton="0" showButton="0"/>
    <filterColumn colId="50" hiddenButton="0" showButton="0"/>
    <filterColumn colId="51" hiddenButton="0" showButton="0"/>
    <filterColumn colId="52" hiddenButton="0" showButton="0"/>
    <filterColumn colId="53" hiddenButton="0" showButton="0"/>
    <filterColumn colId="54" hiddenButton="0" showButton="0"/>
    <filterColumn colId="55" hiddenButton="0" showButton="0"/>
    <filterColumn colId="56" hiddenButton="0" showButton="0"/>
    <filterColumn colId="57" hiddenButton="0" showButton="0"/>
    <filterColumn colId="58" hiddenButton="0" showButton="0"/>
    <filterColumn colId="59" hiddenButton="0" showButton="0"/>
    <filterColumn colId="60" hiddenButton="0" showButton="0"/>
    <filterColumn colId="61" hiddenButton="0" showButton="0"/>
    <filterColumn colId="62" hiddenButton="0" showButton="0"/>
    <filterColumn colId="63" hiddenButton="0" showButton="0"/>
  </autoFilter>
  <mergeCells count="84">
    <mergeCell ref="AD3:AE3"/>
    <mergeCell ref="AN3:AO3"/>
    <mergeCell ref="F16:G16"/>
    <mergeCell ref="AP3:AQ3"/>
    <mergeCell ref="BF16:BG16"/>
    <mergeCell ref="BH16:BI16"/>
    <mergeCell ref="B12:C12"/>
    <mergeCell ref="L3:M3"/>
    <mergeCell ref="AT3:AU3"/>
    <mergeCell ref="BD3:BE3"/>
    <mergeCell ref="N3:O3"/>
    <mergeCell ref="AV3:AW3"/>
    <mergeCell ref="J15:Q15"/>
    <mergeCell ref="AD16:AE16"/>
    <mergeCell ref="AH2:AO2"/>
    <mergeCell ref="R2:Y2"/>
    <mergeCell ref="J2:Q2"/>
    <mergeCell ref="B16:C16"/>
    <mergeCell ref="BB16:BC16"/>
    <mergeCell ref="L16:M16"/>
    <mergeCell ref="AT16:AU16"/>
    <mergeCell ref="B3:C3"/>
    <mergeCell ref="N16:O16"/>
    <mergeCell ref="AV16:AW16"/>
    <mergeCell ref="R16:S16"/>
    <mergeCell ref="AF16:AG16"/>
    <mergeCell ref="R15:Y15"/>
    <mergeCell ref="X3:Y3"/>
    <mergeCell ref="Z3:AA3"/>
    <mergeCell ref="AJ3:AK3"/>
    <mergeCell ref="AL3:AM3"/>
    <mergeCell ref="BD16:BE16"/>
    <mergeCell ref="AP15:AW15"/>
    <mergeCell ref="AH15:AO15"/>
    <mergeCell ref="BF15:BM15"/>
    <mergeCell ref="H3:I3"/>
    <mergeCell ref="J3:K3"/>
    <mergeCell ref="BJ3:BK3"/>
    <mergeCell ref="J12:K12"/>
    <mergeCell ref="BL3:BM3"/>
    <mergeCell ref="X16:Y16"/>
    <mergeCell ref="Z16:AA16"/>
    <mergeCell ref="AB16:AC16"/>
    <mergeCell ref="AL16:AM16"/>
    <mergeCell ref="AX2:BE2"/>
    <mergeCell ref="AN16:AO16"/>
    <mergeCell ref="H16:I16"/>
    <mergeCell ref="AR16:AS16"/>
    <mergeCell ref="J16:K16"/>
    <mergeCell ref="BJ16:BK16"/>
    <mergeCell ref="BL16:BM16"/>
    <mergeCell ref="D3:E3"/>
    <mergeCell ref="P3:Q3"/>
    <mergeCell ref="AX3:AY3"/>
    <mergeCell ref="AZ3:BA3"/>
    <mergeCell ref="B15:I15"/>
    <mergeCell ref="AX15:BE15"/>
    <mergeCell ref="M12:P12"/>
    <mergeCell ref="Z15:AG15"/>
    <mergeCell ref="T3:U3"/>
    <mergeCell ref="V3:W3"/>
    <mergeCell ref="AF3:AG3"/>
    <mergeCell ref="AH3:AI3"/>
    <mergeCell ref="BB3:BC3"/>
    <mergeCell ref="F3:G3"/>
    <mergeCell ref="BF3:BG3"/>
    <mergeCell ref="BH3:BI3"/>
    <mergeCell ref="B2:I2"/>
    <mergeCell ref="D16:E16"/>
    <mergeCell ref="Z2:AG2"/>
    <mergeCell ref="P16:Q16"/>
    <mergeCell ref="AX16:AY16"/>
    <mergeCell ref="AZ16:BA16"/>
    <mergeCell ref="R3:S3"/>
    <mergeCell ref="AP2:AW2"/>
    <mergeCell ref="T16:U16"/>
    <mergeCell ref="V16:W16"/>
    <mergeCell ref="AP16:AQ16"/>
    <mergeCell ref="AH16:AI16"/>
    <mergeCell ref="AJ16:AK16"/>
    <mergeCell ref="AR3:AS3"/>
    <mergeCell ref="BF2:BM2"/>
    <mergeCell ref="A14:BM14"/>
    <mergeCell ref="AB3:AC3"/>
  </mergeCells>
  <hyperlinks>
    <hyperlink xmlns:r="http://schemas.openxmlformats.org/officeDocument/2006/relationships" ref="B13" r:id="rId1"/>
  </hyperlinks>
  <pageMargins left="0.7" right="0.7" top="0.75" bottom="0.75" header="0.3" footer="0.3"/>
  <pageSetup orientation="portrait" paperSize="9" horizontalDpi="1200" verticalDpi="1200"/>
  <legacyDrawing xmlns:r="http://schemas.openxmlformats.org/officeDocument/2006/relationships" r:id="anysvml"/>
</worksheet>
</file>

<file path=xl/worksheets/sheet7.xml><?xml version="1.0" encoding="utf-8"?>
<worksheet xmlns="http://schemas.openxmlformats.org/spreadsheetml/2006/main">
  <sheetPr>
    <tabColor rgb="FF00B0F0"/>
    <outlinePr summaryBelow="1" summaryRight="1"/>
    <pageSetUpPr/>
  </sheetPr>
  <dimension ref="A2:R291"/>
  <sheetViews>
    <sheetView workbookViewId="0">
      <selection activeCell="A1" sqref="A1"/>
    </sheetView>
  </sheetViews>
  <sheetFormatPr baseColWidth="8" defaultColWidth="9.453125" defaultRowHeight="13"/>
  <cols>
    <col width="16.1796875" customWidth="1" style="835" min="1" max="1"/>
    <col width="17.54296875" bestFit="1" customWidth="1" style="835" min="2" max="2"/>
    <col width="19.81640625" customWidth="1" style="835" min="3" max="3"/>
    <col width="18.54296875" customWidth="1" style="835" min="4" max="4"/>
    <col width="22.453125" customWidth="1" style="835" min="5" max="5"/>
    <col width="23.453125" customWidth="1" style="835" min="6" max="6"/>
    <col width="14.453125" customWidth="1" style="835" min="7" max="7"/>
    <col width="11.54296875" customWidth="1" style="835" min="8" max="8"/>
    <col width="10.54296875" customWidth="1" style="835" min="9" max="24"/>
    <col width="9.453125" customWidth="1" style="835" min="25" max="256"/>
    <col width="13.54296875" customWidth="1" style="835" min="257" max="257"/>
    <col width="12.1796875" customWidth="1" style="835" min="258" max="258"/>
    <col width="17.453125" customWidth="1" style="835" min="259" max="259"/>
    <col width="18.54296875" customWidth="1" style="835" min="260" max="260"/>
    <col width="22.453125" customWidth="1" style="835" min="261" max="261"/>
    <col width="23.453125" customWidth="1" style="835" min="262" max="262"/>
    <col width="10.54296875" customWidth="1" style="835" min="263" max="263"/>
    <col width="11.54296875" customWidth="1" style="835" min="264" max="264"/>
    <col width="10.54296875" customWidth="1" style="835" min="265" max="280"/>
    <col width="9.453125" customWidth="1" style="835" min="281" max="512"/>
    <col width="13.54296875" customWidth="1" style="835" min="513" max="513"/>
    <col width="12.1796875" customWidth="1" style="835" min="514" max="514"/>
    <col width="17.453125" customWidth="1" style="835" min="515" max="515"/>
    <col width="18.54296875" customWidth="1" style="835" min="516" max="516"/>
    <col width="22.453125" customWidth="1" style="835" min="517" max="517"/>
    <col width="23.453125" customWidth="1" style="835" min="518" max="518"/>
    <col width="10.54296875" customWidth="1" style="835" min="519" max="519"/>
    <col width="11.54296875" customWidth="1" style="835" min="520" max="520"/>
    <col width="10.54296875" customWidth="1" style="835" min="521" max="536"/>
    <col width="9.453125" customWidth="1" style="835" min="537" max="768"/>
    <col width="13.54296875" customWidth="1" style="835" min="769" max="769"/>
    <col width="12.1796875" customWidth="1" style="835" min="770" max="770"/>
    <col width="17.453125" customWidth="1" style="835" min="771" max="771"/>
    <col width="18.54296875" customWidth="1" style="835" min="772" max="772"/>
    <col width="22.453125" customWidth="1" style="835" min="773" max="773"/>
    <col width="23.453125" customWidth="1" style="835" min="774" max="774"/>
    <col width="10.54296875" customWidth="1" style="835" min="775" max="775"/>
    <col width="11.54296875" customWidth="1" style="835" min="776" max="776"/>
    <col width="10.54296875" customWidth="1" style="835" min="777" max="792"/>
    <col width="9.453125" customWidth="1" style="835" min="793" max="1024"/>
    <col width="13.54296875" customWidth="1" style="835" min="1025" max="1025"/>
    <col width="12.1796875" customWidth="1" style="835" min="1026" max="1026"/>
    <col width="17.453125" customWidth="1" style="835" min="1027" max="1027"/>
    <col width="18.54296875" customWidth="1" style="835" min="1028" max="1028"/>
    <col width="22.453125" customWidth="1" style="835" min="1029" max="1029"/>
    <col width="23.453125" customWidth="1" style="835" min="1030" max="1030"/>
    <col width="10.54296875" customWidth="1" style="835" min="1031" max="1031"/>
    <col width="11.54296875" customWidth="1" style="835" min="1032" max="1032"/>
    <col width="10.54296875" customWidth="1" style="835" min="1033" max="1048"/>
    <col width="9.453125" customWidth="1" style="835" min="1049" max="1280"/>
    <col width="13.54296875" customWidth="1" style="835" min="1281" max="1281"/>
    <col width="12.1796875" customWidth="1" style="835" min="1282" max="1282"/>
    <col width="17.453125" customWidth="1" style="835" min="1283" max="1283"/>
    <col width="18.54296875" customWidth="1" style="835" min="1284" max="1284"/>
    <col width="22.453125" customWidth="1" style="835" min="1285" max="1285"/>
    <col width="23.453125" customWidth="1" style="835" min="1286" max="1286"/>
    <col width="10.54296875" customWidth="1" style="835" min="1287" max="1287"/>
    <col width="11.54296875" customWidth="1" style="835" min="1288" max="1288"/>
    <col width="10.54296875" customWidth="1" style="835" min="1289" max="1304"/>
    <col width="9.453125" customWidth="1" style="835" min="1305" max="1536"/>
    <col width="13.54296875" customWidth="1" style="835" min="1537" max="1537"/>
    <col width="12.1796875" customWidth="1" style="835" min="1538" max="1538"/>
    <col width="17.453125" customWidth="1" style="835" min="1539" max="1539"/>
    <col width="18.54296875" customWidth="1" style="835" min="1540" max="1540"/>
    <col width="22.453125" customWidth="1" style="835" min="1541" max="1541"/>
    <col width="23.453125" customWidth="1" style="835" min="1542" max="1542"/>
    <col width="10.54296875" customWidth="1" style="835" min="1543" max="1543"/>
    <col width="11.54296875" customWidth="1" style="835" min="1544" max="1544"/>
    <col width="10.54296875" customWidth="1" style="835" min="1545" max="1560"/>
    <col width="9.453125" customWidth="1" style="835" min="1561" max="1792"/>
    <col width="13.54296875" customWidth="1" style="835" min="1793" max="1793"/>
    <col width="12.1796875" customWidth="1" style="835" min="1794" max="1794"/>
    <col width="17.453125" customWidth="1" style="835" min="1795" max="1795"/>
    <col width="18.54296875" customWidth="1" style="835" min="1796" max="1796"/>
    <col width="22.453125" customWidth="1" style="835" min="1797" max="1797"/>
    <col width="23.453125" customWidth="1" style="835" min="1798" max="1798"/>
    <col width="10.54296875" customWidth="1" style="835" min="1799" max="1799"/>
    <col width="11.54296875" customWidth="1" style="835" min="1800" max="1800"/>
    <col width="10.54296875" customWidth="1" style="835" min="1801" max="1816"/>
    <col width="9.453125" customWidth="1" style="835" min="1817" max="2048"/>
    <col width="13.54296875" customWidth="1" style="835" min="2049" max="2049"/>
    <col width="12.1796875" customWidth="1" style="835" min="2050" max="2050"/>
    <col width="17.453125" customWidth="1" style="835" min="2051" max="2051"/>
    <col width="18.54296875" customWidth="1" style="835" min="2052" max="2052"/>
    <col width="22.453125" customWidth="1" style="835" min="2053" max="2053"/>
    <col width="23.453125" customWidth="1" style="835" min="2054" max="2054"/>
    <col width="10.54296875" customWidth="1" style="835" min="2055" max="2055"/>
    <col width="11.54296875" customWidth="1" style="835" min="2056" max="2056"/>
    <col width="10.54296875" customWidth="1" style="835" min="2057" max="2072"/>
    <col width="9.453125" customWidth="1" style="835" min="2073" max="2304"/>
    <col width="13.54296875" customWidth="1" style="835" min="2305" max="2305"/>
    <col width="12.1796875" customWidth="1" style="835" min="2306" max="2306"/>
    <col width="17.453125" customWidth="1" style="835" min="2307" max="2307"/>
    <col width="18.54296875" customWidth="1" style="835" min="2308" max="2308"/>
    <col width="22.453125" customWidth="1" style="835" min="2309" max="2309"/>
    <col width="23.453125" customWidth="1" style="835" min="2310" max="2310"/>
    <col width="10.54296875" customWidth="1" style="835" min="2311" max="2311"/>
    <col width="11.54296875" customWidth="1" style="835" min="2312" max="2312"/>
    <col width="10.54296875" customWidth="1" style="835" min="2313" max="2328"/>
    <col width="9.453125" customWidth="1" style="835" min="2329" max="2560"/>
    <col width="13.54296875" customWidth="1" style="835" min="2561" max="2561"/>
    <col width="12.1796875" customWidth="1" style="835" min="2562" max="2562"/>
    <col width="17.453125" customWidth="1" style="835" min="2563" max="2563"/>
    <col width="18.54296875" customWidth="1" style="835" min="2564" max="2564"/>
    <col width="22.453125" customWidth="1" style="835" min="2565" max="2565"/>
    <col width="23.453125" customWidth="1" style="835" min="2566" max="2566"/>
    <col width="10.54296875" customWidth="1" style="835" min="2567" max="2567"/>
    <col width="11.54296875" customWidth="1" style="835" min="2568" max="2568"/>
    <col width="10.54296875" customWidth="1" style="835" min="2569" max="2584"/>
    <col width="9.453125" customWidth="1" style="835" min="2585" max="2816"/>
    <col width="13.54296875" customWidth="1" style="835" min="2817" max="2817"/>
    <col width="12.1796875" customWidth="1" style="835" min="2818" max="2818"/>
    <col width="17.453125" customWidth="1" style="835" min="2819" max="2819"/>
    <col width="18.54296875" customWidth="1" style="835" min="2820" max="2820"/>
    <col width="22.453125" customWidth="1" style="835" min="2821" max="2821"/>
    <col width="23.453125" customWidth="1" style="835" min="2822" max="2822"/>
    <col width="10.54296875" customWidth="1" style="835" min="2823" max="2823"/>
    <col width="11.54296875" customWidth="1" style="835" min="2824" max="2824"/>
    <col width="10.54296875" customWidth="1" style="835" min="2825" max="2840"/>
    <col width="9.453125" customWidth="1" style="835" min="2841" max="3072"/>
    <col width="13.54296875" customWidth="1" style="835" min="3073" max="3073"/>
    <col width="12.1796875" customWidth="1" style="835" min="3074" max="3074"/>
    <col width="17.453125" customWidth="1" style="835" min="3075" max="3075"/>
    <col width="18.54296875" customWidth="1" style="835" min="3076" max="3076"/>
    <col width="22.453125" customWidth="1" style="835" min="3077" max="3077"/>
    <col width="23.453125" customWidth="1" style="835" min="3078" max="3078"/>
    <col width="10.54296875" customWidth="1" style="835" min="3079" max="3079"/>
    <col width="11.54296875" customWidth="1" style="835" min="3080" max="3080"/>
    <col width="10.54296875" customWidth="1" style="835" min="3081" max="3096"/>
    <col width="9.453125" customWidth="1" style="835" min="3097" max="3328"/>
    <col width="13.54296875" customWidth="1" style="835" min="3329" max="3329"/>
    <col width="12.1796875" customWidth="1" style="835" min="3330" max="3330"/>
    <col width="17.453125" customWidth="1" style="835" min="3331" max="3331"/>
    <col width="18.54296875" customWidth="1" style="835" min="3332" max="3332"/>
    <col width="22.453125" customWidth="1" style="835" min="3333" max="3333"/>
    <col width="23.453125" customWidth="1" style="835" min="3334" max="3334"/>
    <col width="10.54296875" customWidth="1" style="835" min="3335" max="3335"/>
    <col width="11.54296875" customWidth="1" style="835" min="3336" max="3336"/>
    <col width="10.54296875" customWidth="1" style="835" min="3337" max="3352"/>
    <col width="9.453125" customWidth="1" style="835" min="3353" max="3584"/>
    <col width="13.54296875" customWidth="1" style="835" min="3585" max="3585"/>
    <col width="12.1796875" customWidth="1" style="835" min="3586" max="3586"/>
    <col width="17.453125" customWidth="1" style="835" min="3587" max="3587"/>
    <col width="18.54296875" customWidth="1" style="835" min="3588" max="3588"/>
    <col width="22.453125" customWidth="1" style="835" min="3589" max="3589"/>
    <col width="23.453125" customWidth="1" style="835" min="3590" max="3590"/>
    <col width="10.54296875" customWidth="1" style="835" min="3591" max="3591"/>
    <col width="11.54296875" customWidth="1" style="835" min="3592" max="3592"/>
    <col width="10.54296875" customWidth="1" style="835" min="3593" max="3608"/>
    <col width="9.453125" customWidth="1" style="835" min="3609" max="3840"/>
    <col width="13.54296875" customWidth="1" style="835" min="3841" max="3841"/>
    <col width="12.1796875" customWidth="1" style="835" min="3842" max="3842"/>
    <col width="17.453125" customWidth="1" style="835" min="3843" max="3843"/>
    <col width="18.54296875" customWidth="1" style="835" min="3844" max="3844"/>
    <col width="22.453125" customWidth="1" style="835" min="3845" max="3845"/>
    <col width="23.453125" customWidth="1" style="835" min="3846" max="3846"/>
    <col width="10.54296875" customWidth="1" style="835" min="3847" max="3847"/>
    <col width="11.54296875" customWidth="1" style="835" min="3848" max="3848"/>
    <col width="10.54296875" customWidth="1" style="835" min="3849" max="3864"/>
    <col width="9.453125" customWidth="1" style="835" min="3865" max="4096"/>
    <col width="13.54296875" customWidth="1" style="835" min="4097" max="4097"/>
    <col width="12.1796875" customWidth="1" style="835" min="4098" max="4098"/>
    <col width="17.453125" customWidth="1" style="835" min="4099" max="4099"/>
    <col width="18.54296875" customWidth="1" style="835" min="4100" max="4100"/>
    <col width="22.453125" customWidth="1" style="835" min="4101" max="4101"/>
    <col width="23.453125" customWidth="1" style="835" min="4102" max="4102"/>
    <col width="10.54296875" customWidth="1" style="835" min="4103" max="4103"/>
    <col width="11.54296875" customWidth="1" style="835" min="4104" max="4104"/>
    <col width="10.54296875" customWidth="1" style="835" min="4105" max="4120"/>
    <col width="9.453125" customWidth="1" style="835" min="4121" max="4352"/>
    <col width="13.54296875" customWidth="1" style="835" min="4353" max="4353"/>
    <col width="12.1796875" customWidth="1" style="835" min="4354" max="4354"/>
    <col width="17.453125" customWidth="1" style="835" min="4355" max="4355"/>
    <col width="18.54296875" customWidth="1" style="835" min="4356" max="4356"/>
    <col width="22.453125" customWidth="1" style="835" min="4357" max="4357"/>
    <col width="23.453125" customWidth="1" style="835" min="4358" max="4358"/>
    <col width="10.54296875" customWidth="1" style="835" min="4359" max="4359"/>
    <col width="11.54296875" customWidth="1" style="835" min="4360" max="4360"/>
    <col width="10.54296875" customWidth="1" style="835" min="4361" max="4376"/>
    <col width="9.453125" customWidth="1" style="835" min="4377" max="4608"/>
    <col width="13.54296875" customWidth="1" style="835" min="4609" max="4609"/>
    <col width="12.1796875" customWidth="1" style="835" min="4610" max="4610"/>
    <col width="17.453125" customWidth="1" style="835" min="4611" max="4611"/>
    <col width="18.54296875" customWidth="1" style="835" min="4612" max="4612"/>
    <col width="22.453125" customWidth="1" style="835" min="4613" max="4613"/>
    <col width="23.453125" customWidth="1" style="835" min="4614" max="4614"/>
    <col width="10.54296875" customWidth="1" style="835" min="4615" max="4615"/>
    <col width="11.54296875" customWidth="1" style="835" min="4616" max="4616"/>
    <col width="10.54296875" customWidth="1" style="835" min="4617" max="4632"/>
    <col width="9.453125" customWidth="1" style="835" min="4633" max="4864"/>
    <col width="13.54296875" customWidth="1" style="835" min="4865" max="4865"/>
    <col width="12.1796875" customWidth="1" style="835" min="4866" max="4866"/>
    <col width="17.453125" customWidth="1" style="835" min="4867" max="4867"/>
    <col width="18.54296875" customWidth="1" style="835" min="4868" max="4868"/>
    <col width="22.453125" customWidth="1" style="835" min="4869" max="4869"/>
    <col width="23.453125" customWidth="1" style="835" min="4870" max="4870"/>
    <col width="10.54296875" customWidth="1" style="835" min="4871" max="4871"/>
    <col width="11.54296875" customWidth="1" style="835" min="4872" max="4872"/>
    <col width="10.54296875" customWidth="1" style="835" min="4873" max="4888"/>
    <col width="9.453125" customWidth="1" style="835" min="4889" max="5120"/>
    <col width="13.54296875" customWidth="1" style="835" min="5121" max="5121"/>
    <col width="12.1796875" customWidth="1" style="835" min="5122" max="5122"/>
    <col width="17.453125" customWidth="1" style="835" min="5123" max="5123"/>
    <col width="18.54296875" customWidth="1" style="835" min="5124" max="5124"/>
    <col width="22.453125" customWidth="1" style="835" min="5125" max="5125"/>
    <col width="23.453125" customWidth="1" style="835" min="5126" max="5126"/>
    <col width="10.54296875" customWidth="1" style="835" min="5127" max="5127"/>
    <col width="11.54296875" customWidth="1" style="835" min="5128" max="5128"/>
    <col width="10.54296875" customWidth="1" style="835" min="5129" max="5144"/>
    <col width="9.453125" customWidth="1" style="835" min="5145" max="5376"/>
    <col width="13.54296875" customWidth="1" style="835" min="5377" max="5377"/>
    <col width="12.1796875" customWidth="1" style="835" min="5378" max="5378"/>
    <col width="17.453125" customWidth="1" style="835" min="5379" max="5379"/>
    <col width="18.54296875" customWidth="1" style="835" min="5380" max="5380"/>
    <col width="22.453125" customWidth="1" style="835" min="5381" max="5381"/>
    <col width="23.453125" customWidth="1" style="835" min="5382" max="5382"/>
    <col width="10.54296875" customWidth="1" style="835" min="5383" max="5383"/>
    <col width="11.54296875" customWidth="1" style="835" min="5384" max="5384"/>
    <col width="10.54296875" customWidth="1" style="835" min="5385" max="5400"/>
    <col width="9.453125" customWidth="1" style="835" min="5401" max="5632"/>
    <col width="13.54296875" customWidth="1" style="835" min="5633" max="5633"/>
    <col width="12.1796875" customWidth="1" style="835" min="5634" max="5634"/>
    <col width="17.453125" customWidth="1" style="835" min="5635" max="5635"/>
    <col width="18.54296875" customWidth="1" style="835" min="5636" max="5636"/>
    <col width="22.453125" customWidth="1" style="835" min="5637" max="5637"/>
    <col width="23.453125" customWidth="1" style="835" min="5638" max="5638"/>
    <col width="10.54296875" customWidth="1" style="835" min="5639" max="5639"/>
    <col width="11.54296875" customWidth="1" style="835" min="5640" max="5640"/>
    <col width="10.54296875" customWidth="1" style="835" min="5641" max="5656"/>
    <col width="9.453125" customWidth="1" style="835" min="5657" max="5888"/>
    <col width="13.54296875" customWidth="1" style="835" min="5889" max="5889"/>
    <col width="12.1796875" customWidth="1" style="835" min="5890" max="5890"/>
    <col width="17.453125" customWidth="1" style="835" min="5891" max="5891"/>
    <col width="18.54296875" customWidth="1" style="835" min="5892" max="5892"/>
    <col width="22.453125" customWidth="1" style="835" min="5893" max="5893"/>
    <col width="23.453125" customWidth="1" style="835" min="5894" max="5894"/>
    <col width="10.54296875" customWidth="1" style="835" min="5895" max="5895"/>
    <col width="11.54296875" customWidth="1" style="835" min="5896" max="5896"/>
    <col width="10.54296875" customWidth="1" style="835" min="5897" max="5912"/>
    <col width="9.453125" customWidth="1" style="835" min="5913" max="6144"/>
    <col width="13.54296875" customWidth="1" style="835" min="6145" max="6145"/>
    <col width="12.1796875" customWidth="1" style="835" min="6146" max="6146"/>
    <col width="17.453125" customWidth="1" style="835" min="6147" max="6147"/>
    <col width="18.54296875" customWidth="1" style="835" min="6148" max="6148"/>
    <col width="22.453125" customWidth="1" style="835" min="6149" max="6149"/>
    <col width="23.453125" customWidth="1" style="835" min="6150" max="6150"/>
    <col width="10.54296875" customWidth="1" style="835" min="6151" max="6151"/>
    <col width="11.54296875" customWidth="1" style="835" min="6152" max="6152"/>
    <col width="10.54296875" customWidth="1" style="835" min="6153" max="6168"/>
    <col width="9.453125" customWidth="1" style="835" min="6169" max="6400"/>
    <col width="13.54296875" customWidth="1" style="835" min="6401" max="6401"/>
    <col width="12.1796875" customWidth="1" style="835" min="6402" max="6402"/>
    <col width="17.453125" customWidth="1" style="835" min="6403" max="6403"/>
    <col width="18.54296875" customWidth="1" style="835" min="6404" max="6404"/>
    <col width="22.453125" customWidth="1" style="835" min="6405" max="6405"/>
    <col width="23.453125" customWidth="1" style="835" min="6406" max="6406"/>
    <col width="10.54296875" customWidth="1" style="835" min="6407" max="6407"/>
    <col width="11.54296875" customWidth="1" style="835" min="6408" max="6408"/>
    <col width="10.54296875" customWidth="1" style="835" min="6409" max="6424"/>
    <col width="9.453125" customWidth="1" style="835" min="6425" max="6656"/>
    <col width="13.54296875" customWidth="1" style="835" min="6657" max="6657"/>
    <col width="12.1796875" customWidth="1" style="835" min="6658" max="6658"/>
    <col width="17.453125" customWidth="1" style="835" min="6659" max="6659"/>
    <col width="18.54296875" customWidth="1" style="835" min="6660" max="6660"/>
    <col width="22.453125" customWidth="1" style="835" min="6661" max="6661"/>
    <col width="23.453125" customWidth="1" style="835" min="6662" max="6662"/>
    <col width="10.54296875" customWidth="1" style="835" min="6663" max="6663"/>
    <col width="11.54296875" customWidth="1" style="835" min="6664" max="6664"/>
    <col width="10.54296875" customWidth="1" style="835" min="6665" max="6680"/>
    <col width="9.453125" customWidth="1" style="835" min="6681" max="6912"/>
    <col width="13.54296875" customWidth="1" style="835" min="6913" max="6913"/>
    <col width="12.1796875" customWidth="1" style="835" min="6914" max="6914"/>
    <col width="17.453125" customWidth="1" style="835" min="6915" max="6915"/>
    <col width="18.54296875" customWidth="1" style="835" min="6916" max="6916"/>
    <col width="22.453125" customWidth="1" style="835" min="6917" max="6917"/>
    <col width="23.453125" customWidth="1" style="835" min="6918" max="6918"/>
    <col width="10.54296875" customWidth="1" style="835" min="6919" max="6919"/>
    <col width="11.54296875" customWidth="1" style="835" min="6920" max="6920"/>
    <col width="10.54296875" customWidth="1" style="835" min="6921" max="6936"/>
    <col width="9.453125" customWidth="1" style="835" min="6937" max="7168"/>
    <col width="13.54296875" customWidth="1" style="835" min="7169" max="7169"/>
    <col width="12.1796875" customWidth="1" style="835" min="7170" max="7170"/>
    <col width="17.453125" customWidth="1" style="835" min="7171" max="7171"/>
    <col width="18.54296875" customWidth="1" style="835" min="7172" max="7172"/>
    <col width="22.453125" customWidth="1" style="835" min="7173" max="7173"/>
    <col width="23.453125" customWidth="1" style="835" min="7174" max="7174"/>
    <col width="10.54296875" customWidth="1" style="835" min="7175" max="7175"/>
    <col width="11.54296875" customWidth="1" style="835" min="7176" max="7176"/>
    <col width="10.54296875" customWidth="1" style="835" min="7177" max="7192"/>
    <col width="9.453125" customWidth="1" style="835" min="7193" max="7424"/>
    <col width="13.54296875" customWidth="1" style="835" min="7425" max="7425"/>
    <col width="12.1796875" customWidth="1" style="835" min="7426" max="7426"/>
    <col width="17.453125" customWidth="1" style="835" min="7427" max="7427"/>
    <col width="18.54296875" customWidth="1" style="835" min="7428" max="7428"/>
    <col width="22.453125" customWidth="1" style="835" min="7429" max="7429"/>
    <col width="23.453125" customWidth="1" style="835" min="7430" max="7430"/>
    <col width="10.54296875" customWidth="1" style="835" min="7431" max="7431"/>
    <col width="11.54296875" customWidth="1" style="835" min="7432" max="7432"/>
    <col width="10.54296875" customWidth="1" style="835" min="7433" max="7448"/>
    <col width="9.453125" customWidth="1" style="835" min="7449" max="7680"/>
    <col width="13.54296875" customWidth="1" style="835" min="7681" max="7681"/>
    <col width="12.1796875" customWidth="1" style="835" min="7682" max="7682"/>
    <col width="17.453125" customWidth="1" style="835" min="7683" max="7683"/>
    <col width="18.54296875" customWidth="1" style="835" min="7684" max="7684"/>
    <col width="22.453125" customWidth="1" style="835" min="7685" max="7685"/>
    <col width="23.453125" customWidth="1" style="835" min="7686" max="7686"/>
    <col width="10.54296875" customWidth="1" style="835" min="7687" max="7687"/>
    <col width="11.54296875" customWidth="1" style="835" min="7688" max="7688"/>
    <col width="10.54296875" customWidth="1" style="835" min="7689" max="7704"/>
    <col width="9.453125" customWidth="1" style="835" min="7705" max="7936"/>
    <col width="13.54296875" customWidth="1" style="835" min="7937" max="7937"/>
    <col width="12.1796875" customWidth="1" style="835" min="7938" max="7938"/>
    <col width="17.453125" customWidth="1" style="835" min="7939" max="7939"/>
    <col width="18.54296875" customWidth="1" style="835" min="7940" max="7940"/>
    <col width="22.453125" customWidth="1" style="835" min="7941" max="7941"/>
    <col width="23.453125" customWidth="1" style="835" min="7942" max="7942"/>
    <col width="10.54296875" customWidth="1" style="835" min="7943" max="7943"/>
    <col width="11.54296875" customWidth="1" style="835" min="7944" max="7944"/>
    <col width="10.54296875" customWidth="1" style="835" min="7945" max="7960"/>
    <col width="9.453125" customWidth="1" style="835" min="7961" max="8192"/>
    <col width="13.54296875" customWidth="1" style="835" min="8193" max="8193"/>
    <col width="12.1796875" customWidth="1" style="835" min="8194" max="8194"/>
    <col width="17.453125" customWidth="1" style="835" min="8195" max="8195"/>
    <col width="18.54296875" customWidth="1" style="835" min="8196" max="8196"/>
    <col width="22.453125" customWidth="1" style="835" min="8197" max="8197"/>
    <col width="23.453125" customWidth="1" style="835" min="8198" max="8198"/>
    <col width="10.54296875" customWidth="1" style="835" min="8199" max="8199"/>
    <col width="11.54296875" customWidth="1" style="835" min="8200" max="8200"/>
    <col width="10.54296875" customWidth="1" style="835" min="8201" max="8216"/>
    <col width="9.453125" customWidth="1" style="835" min="8217" max="8448"/>
    <col width="13.54296875" customWidth="1" style="835" min="8449" max="8449"/>
    <col width="12.1796875" customWidth="1" style="835" min="8450" max="8450"/>
    <col width="17.453125" customWidth="1" style="835" min="8451" max="8451"/>
    <col width="18.54296875" customWidth="1" style="835" min="8452" max="8452"/>
    <col width="22.453125" customWidth="1" style="835" min="8453" max="8453"/>
    <col width="23.453125" customWidth="1" style="835" min="8454" max="8454"/>
    <col width="10.54296875" customWidth="1" style="835" min="8455" max="8455"/>
    <col width="11.54296875" customWidth="1" style="835" min="8456" max="8456"/>
    <col width="10.54296875" customWidth="1" style="835" min="8457" max="8472"/>
    <col width="9.453125" customWidth="1" style="835" min="8473" max="8704"/>
    <col width="13.54296875" customWidth="1" style="835" min="8705" max="8705"/>
    <col width="12.1796875" customWidth="1" style="835" min="8706" max="8706"/>
    <col width="17.453125" customWidth="1" style="835" min="8707" max="8707"/>
    <col width="18.54296875" customWidth="1" style="835" min="8708" max="8708"/>
    <col width="22.453125" customWidth="1" style="835" min="8709" max="8709"/>
    <col width="23.453125" customWidth="1" style="835" min="8710" max="8710"/>
    <col width="10.54296875" customWidth="1" style="835" min="8711" max="8711"/>
    <col width="11.54296875" customWidth="1" style="835" min="8712" max="8712"/>
    <col width="10.54296875" customWidth="1" style="835" min="8713" max="8728"/>
    <col width="9.453125" customWidth="1" style="835" min="8729" max="8960"/>
    <col width="13.54296875" customWidth="1" style="835" min="8961" max="8961"/>
    <col width="12.1796875" customWidth="1" style="835" min="8962" max="8962"/>
    <col width="17.453125" customWidth="1" style="835" min="8963" max="8963"/>
    <col width="18.54296875" customWidth="1" style="835" min="8964" max="8964"/>
    <col width="22.453125" customWidth="1" style="835" min="8965" max="8965"/>
    <col width="23.453125" customWidth="1" style="835" min="8966" max="8966"/>
    <col width="10.54296875" customWidth="1" style="835" min="8967" max="8967"/>
    <col width="11.54296875" customWidth="1" style="835" min="8968" max="8968"/>
    <col width="10.54296875" customWidth="1" style="835" min="8969" max="8984"/>
    <col width="9.453125" customWidth="1" style="835" min="8985" max="9216"/>
    <col width="13.54296875" customWidth="1" style="835" min="9217" max="9217"/>
    <col width="12.1796875" customWidth="1" style="835" min="9218" max="9218"/>
    <col width="17.453125" customWidth="1" style="835" min="9219" max="9219"/>
    <col width="18.54296875" customWidth="1" style="835" min="9220" max="9220"/>
    <col width="22.453125" customWidth="1" style="835" min="9221" max="9221"/>
    <col width="23.453125" customWidth="1" style="835" min="9222" max="9222"/>
    <col width="10.54296875" customWidth="1" style="835" min="9223" max="9223"/>
    <col width="11.54296875" customWidth="1" style="835" min="9224" max="9224"/>
    <col width="10.54296875" customWidth="1" style="835" min="9225" max="9240"/>
    <col width="9.453125" customWidth="1" style="835" min="9241" max="9472"/>
    <col width="13.54296875" customWidth="1" style="835" min="9473" max="9473"/>
    <col width="12.1796875" customWidth="1" style="835" min="9474" max="9474"/>
    <col width="17.453125" customWidth="1" style="835" min="9475" max="9475"/>
    <col width="18.54296875" customWidth="1" style="835" min="9476" max="9476"/>
    <col width="22.453125" customWidth="1" style="835" min="9477" max="9477"/>
    <col width="23.453125" customWidth="1" style="835" min="9478" max="9478"/>
    <col width="10.54296875" customWidth="1" style="835" min="9479" max="9479"/>
    <col width="11.54296875" customWidth="1" style="835" min="9480" max="9480"/>
    <col width="10.54296875" customWidth="1" style="835" min="9481" max="9496"/>
    <col width="9.453125" customWidth="1" style="835" min="9497" max="9728"/>
    <col width="13.54296875" customWidth="1" style="835" min="9729" max="9729"/>
    <col width="12.1796875" customWidth="1" style="835" min="9730" max="9730"/>
    <col width="17.453125" customWidth="1" style="835" min="9731" max="9731"/>
    <col width="18.54296875" customWidth="1" style="835" min="9732" max="9732"/>
    <col width="22.453125" customWidth="1" style="835" min="9733" max="9733"/>
    <col width="23.453125" customWidth="1" style="835" min="9734" max="9734"/>
    <col width="10.54296875" customWidth="1" style="835" min="9735" max="9735"/>
    <col width="11.54296875" customWidth="1" style="835" min="9736" max="9736"/>
    <col width="10.54296875" customWidth="1" style="835" min="9737" max="9752"/>
    <col width="9.453125" customWidth="1" style="835" min="9753" max="9984"/>
    <col width="13.54296875" customWidth="1" style="835" min="9985" max="9985"/>
    <col width="12.1796875" customWidth="1" style="835" min="9986" max="9986"/>
    <col width="17.453125" customWidth="1" style="835" min="9987" max="9987"/>
    <col width="18.54296875" customWidth="1" style="835" min="9988" max="9988"/>
    <col width="22.453125" customWidth="1" style="835" min="9989" max="9989"/>
    <col width="23.453125" customWidth="1" style="835" min="9990" max="9990"/>
    <col width="10.54296875" customWidth="1" style="835" min="9991" max="9991"/>
    <col width="11.54296875" customWidth="1" style="835" min="9992" max="9992"/>
    <col width="10.54296875" customWidth="1" style="835" min="9993" max="10008"/>
    <col width="9.453125" customWidth="1" style="835" min="10009" max="10240"/>
    <col width="13.54296875" customWidth="1" style="835" min="10241" max="10241"/>
    <col width="12.1796875" customWidth="1" style="835" min="10242" max="10242"/>
    <col width="17.453125" customWidth="1" style="835" min="10243" max="10243"/>
    <col width="18.54296875" customWidth="1" style="835" min="10244" max="10244"/>
    <col width="22.453125" customWidth="1" style="835" min="10245" max="10245"/>
    <col width="23.453125" customWidth="1" style="835" min="10246" max="10246"/>
    <col width="10.54296875" customWidth="1" style="835" min="10247" max="10247"/>
    <col width="11.54296875" customWidth="1" style="835" min="10248" max="10248"/>
    <col width="10.54296875" customWidth="1" style="835" min="10249" max="10264"/>
    <col width="9.453125" customWidth="1" style="835" min="10265" max="10496"/>
    <col width="13.54296875" customWidth="1" style="835" min="10497" max="10497"/>
    <col width="12.1796875" customWidth="1" style="835" min="10498" max="10498"/>
    <col width="17.453125" customWidth="1" style="835" min="10499" max="10499"/>
    <col width="18.54296875" customWidth="1" style="835" min="10500" max="10500"/>
    <col width="22.453125" customWidth="1" style="835" min="10501" max="10501"/>
    <col width="23.453125" customWidth="1" style="835" min="10502" max="10502"/>
    <col width="10.54296875" customWidth="1" style="835" min="10503" max="10503"/>
    <col width="11.54296875" customWidth="1" style="835" min="10504" max="10504"/>
    <col width="10.54296875" customWidth="1" style="835" min="10505" max="10520"/>
    <col width="9.453125" customWidth="1" style="835" min="10521" max="10752"/>
    <col width="13.54296875" customWidth="1" style="835" min="10753" max="10753"/>
    <col width="12.1796875" customWidth="1" style="835" min="10754" max="10754"/>
    <col width="17.453125" customWidth="1" style="835" min="10755" max="10755"/>
    <col width="18.54296875" customWidth="1" style="835" min="10756" max="10756"/>
    <col width="22.453125" customWidth="1" style="835" min="10757" max="10757"/>
    <col width="23.453125" customWidth="1" style="835" min="10758" max="10758"/>
    <col width="10.54296875" customWidth="1" style="835" min="10759" max="10759"/>
    <col width="11.54296875" customWidth="1" style="835" min="10760" max="10760"/>
    <col width="10.54296875" customWidth="1" style="835" min="10761" max="10776"/>
    <col width="9.453125" customWidth="1" style="835" min="10777" max="11008"/>
    <col width="13.54296875" customWidth="1" style="835" min="11009" max="11009"/>
    <col width="12.1796875" customWidth="1" style="835" min="11010" max="11010"/>
    <col width="17.453125" customWidth="1" style="835" min="11011" max="11011"/>
    <col width="18.54296875" customWidth="1" style="835" min="11012" max="11012"/>
    <col width="22.453125" customWidth="1" style="835" min="11013" max="11013"/>
    <col width="23.453125" customWidth="1" style="835" min="11014" max="11014"/>
    <col width="10.54296875" customWidth="1" style="835" min="11015" max="11015"/>
    <col width="11.54296875" customWidth="1" style="835" min="11016" max="11016"/>
    <col width="10.54296875" customWidth="1" style="835" min="11017" max="11032"/>
    <col width="9.453125" customWidth="1" style="835" min="11033" max="11264"/>
    <col width="13.54296875" customWidth="1" style="835" min="11265" max="11265"/>
    <col width="12.1796875" customWidth="1" style="835" min="11266" max="11266"/>
    <col width="17.453125" customWidth="1" style="835" min="11267" max="11267"/>
    <col width="18.54296875" customWidth="1" style="835" min="11268" max="11268"/>
    <col width="22.453125" customWidth="1" style="835" min="11269" max="11269"/>
    <col width="23.453125" customWidth="1" style="835" min="11270" max="11270"/>
    <col width="10.54296875" customWidth="1" style="835" min="11271" max="11271"/>
    <col width="11.54296875" customWidth="1" style="835" min="11272" max="11272"/>
    <col width="10.54296875" customWidth="1" style="835" min="11273" max="11288"/>
    <col width="9.453125" customWidth="1" style="835" min="11289" max="11520"/>
    <col width="13.54296875" customWidth="1" style="835" min="11521" max="11521"/>
    <col width="12.1796875" customWidth="1" style="835" min="11522" max="11522"/>
    <col width="17.453125" customWidth="1" style="835" min="11523" max="11523"/>
    <col width="18.54296875" customWidth="1" style="835" min="11524" max="11524"/>
    <col width="22.453125" customWidth="1" style="835" min="11525" max="11525"/>
    <col width="23.453125" customWidth="1" style="835" min="11526" max="11526"/>
    <col width="10.54296875" customWidth="1" style="835" min="11527" max="11527"/>
    <col width="11.54296875" customWidth="1" style="835" min="11528" max="11528"/>
    <col width="10.54296875" customWidth="1" style="835" min="11529" max="11544"/>
    <col width="9.453125" customWidth="1" style="835" min="11545" max="11776"/>
    <col width="13.54296875" customWidth="1" style="835" min="11777" max="11777"/>
    <col width="12.1796875" customWidth="1" style="835" min="11778" max="11778"/>
    <col width="17.453125" customWidth="1" style="835" min="11779" max="11779"/>
    <col width="18.54296875" customWidth="1" style="835" min="11780" max="11780"/>
    <col width="22.453125" customWidth="1" style="835" min="11781" max="11781"/>
    <col width="23.453125" customWidth="1" style="835" min="11782" max="11782"/>
    <col width="10.54296875" customWidth="1" style="835" min="11783" max="11783"/>
    <col width="11.54296875" customWidth="1" style="835" min="11784" max="11784"/>
    <col width="10.54296875" customWidth="1" style="835" min="11785" max="11800"/>
    <col width="9.453125" customWidth="1" style="835" min="11801" max="12032"/>
    <col width="13.54296875" customWidth="1" style="835" min="12033" max="12033"/>
    <col width="12.1796875" customWidth="1" style="835" min="12034" max="12034"/>
    <col width="17.453125" customWidth="1" style="835" min="12035" max="12035"/>
    <col width="18.54296875" customWidth="1" style="835" min="12036" max="12036"/>
    <col width="22.453125" customWidth="1" style="835" min="12037" max="12037"/>
    <col width="23.453125" customWidth="1" style="835" min="12038" max="12038"/>
    <col width="10.54296875" customWidth="1" style="835" min="12039" max="12039"/>
    <col width="11.54296875" customWidth="1" style="835" min="12040" max="12040"/>
    <col width="10.54296875" customWidth="1" style="835" min="12041" max="12056"/>
    <col width="9.453125" customWidth="1" style="835" min="12057" max="12288"/>
    <col width="13.54296875" customWidth="1" style="835" min="12289" max="12289"/>
    <col width="12.1796875" customWidth="1" style="835" min="12290" max="12290"/>
    <col width="17.453125" customWidth="1" style="835" min="12291" max="12291"/>
    <col width="18.54296875" customWidth="1" style="835" min="12292" max="12292"/>
    <col width="22.453125" customWidth="1" style="835" min="12293" max="12293"/>
    <col width="23.453125" customWidth="1" style="835" min="12294" max="12294"/>
    <col width="10.54296875" customWidth="1" style="835" min="12295" max="12295"/>
    <col width="11.54296875" customWidth="1" style="835" min="12296" max="12296"/>
    <col width="10.54296875" customWidth="1" style="835" min="12297" max="12312"/>
    <col width="9.453125" customWidth="1" style="835" min="12313" max="12544"/>
    <col width="13.54296875" customWidth="1" style="835" min="12545" max="12545"/>
    <col width="12.1796875" customWidth="1" style="835" min="12546" max="12546"/>
    <col width="17.453125" customWidth="1" style="835" min="12547" max="12547"/>
    <col width="18.54296875" customWidth="1" style="835" min="12548" max="12548"/>
    <col width="22.453125" customWidth="1" style="835" min="12549" max="12549"/>
    <col width="23.453125" customWidth="1" style="835" min="12550" max="12550"/>
    <col width="10.54296875" customWidth="1" style="835" min="12551" max="12551"/>
    <col width="11.54296875" customWidth="1" style="835" min="12552" max="12552"/>
    <col width="10.54296875" customWidth="1" style="835" min="12553" max="12568"/>
    <col width="9.453125" customWidth="1" style="835" min="12569" max="12800"/>
    <col width="13.54296875" customWidth="1" style="835" min="12801" max="12801"/>
    <col width="12.1796875" customWidth="1" style="835" min="12802" max="12802"/>
    <col width="17.453125" customWidth="1" style="835" min="12803" max="12803"/>
    <col width="18.54296875" customWidth="1" style="835" min="12804" max="12804"/>
    <col width="22.453125" customWidth="1" style="835" min="12805" max="12805"/>
    <col width="23.453125" customWidth="1" style="835" min="12806" max="12806"/>
    <col width="10.54296875" customWidth="1" style="835" min="12807" max="12807"/>
    <col width="11.54296875" customWidth="1" style="835" min="12808" max="12808"/>
    <col width="10.54296875" customWidth="1" style="835" min="12809" max="12824"/>
    <col width="9.453125" customWidth="1" style="835" min="12825" max="13056"/>
    <col width="13.54296875" customWidth="1" style="835" min="13057" max="13057"/>
    <col width="12.1796875" customWidth="1" style="835" min="13058" max="13058"/>
    <col width="17.453125" customWidth="1" style="835" min="13059" max="13059"/>
    <col width="18.54296875" customWidth="1" style="835" min="13060" max="13060"/>
    <col width="22.453125" customWidth="1" style="835" min="13061" max="13061"/>
    <col width="23.453125" customWidth="1" style="835" min="13062" max="13062"/>
    <col width="10.54296875" customWidth="1" style="835" min="13063" max="13063"/>
    <col width="11.54296875" customWidth="1" style="835" min="13064" max="13064"/>
    <col width="10.54296875" customWidth="1" style="835" min="13065" max="13080"/>
    <col width="9.453125" customWidth="1" style="835" min="13081" max="13312"/>
    <col width="13.54296875" customWidth="1" style="835" min="13313" max="13313"/>
    <col width="12.1796875" customWidth="1" style="835" min="13314" max="13314"/>
    <col width="17.453125" customWidth="1" style="835" min="13315" max="13315"/>
    <col width="18.54296875" customWidth="1" style="835" min="13316" max="13316"/>
    <col width="22.453125" customWidth="1" style="835" min="13317" max="13317"/>
    <col width="23.453125" customWidth="1" style="835" min="13318" max="13318"/>
    <col width="10.54296875" customWidth="1" style="835" min="13319" max="13319"/>
    <col width="11.54296875" customWidth="1" style="835" min="13320" max="13320"/>
    <col width="10.54296875" customWidth="1" style="835" min="13321" max="13336"/>
    <col width="9.453125" customWidth="1" style="835" min="13337" max="13568"/>
    <col width="13.54296875" customWidth="1" style="835" min="13569" max="13569"/>
    <col width="12.1796875" customWidth="1" style="835" min="13570" max="13570"/>
    <col width="17.453125" customWidth="1" style="835" min="13571" max="13571"/>
    <col width="18.54296875" customWidth="1" style="835" min="13572" max="13572"/>
    <col width="22.453125" customWidth="1" style="835" min="13573" max="13573"/>
    <col width="23.453125" customWidth="1" style="835" min="13574" max="13574"/>
    <col width="10.54296875" customWidth="1" style="835" min="13575" max="13575"/>
    <col width="11.54296875" customWidth="1" style="835" min="13576" max="13576"/>
    <col width="10.54296875" customWidth="1" style="835" min="13577" max="13592"/>
    <col width="9.453125" customWidth="1" style="835" min="13593" max="13824"/>
    <col width="13.54296875" customWidth="1" style="835" min="13825" max="13825"/>
    <col width="12.1796875" customWidth="1" style="835" min="13826" max="13826"/>
    <col width="17.453125" customWidth="1" style="835" min="13827" max="13827"/>
    <col width="18.54296875" customWidth="1" style="835" min="13828" max="13828"/>
    <col width="22.453125" customWidth="1" style="835" min="13829" max="13829"/>
    <col width="23.453125" customWidth="1" style="835" min="13830" max="13830"/>
    <col width="10.54296875" customWidth="1" style="835" min="13831" max="13831"/>
    <col width="11.54296875" customWidth="1" style="835" min="13832" max="13832"/>
    <col width="10.54296875" customWidth="1" style="835" min="13833" max="13848"/>
    <col width="9.453125" customWidth="1" style="835" min="13849" max="14080"/>
    <col width="13.54296875" customWidth="1" style="835" min="14081" max="14081"/>
    <col width="12.1796875" customWidth="1" style="835" min="14082" max="14082"/>
    <col width="17.453125" customWidth="1" style="835" min="14083" max="14083"/>
    <col width="18.54296875" customWidth="1" style="835" min="14084" max="14084"/>
    <col width="22.453125" customWidth="1" style="835" min="14085" max="14085"/>
    <col width="23.453125" customWidth="1" style="835" min="14086" max="14086"/>
    <col width="10.54296875" customWidth="1" style="835" min="14087" max="14087"/>
    <col width="11.54296875" customWidth="1" style="835" min="14088" max="14088"/>
    <col width="10.54296875" customWidth="1" style="835" min="14089" max="14104"/>
    <col width="9.453125" customWidth="1" style="835" min="14105" max="14336"/>
    <col width="13.54296875" customWidth="1" style="835" min="14337" max="14337"/>
    <col width="12.1796875" customWidth="1" style="835" min="14338" max="14338"/>
    <col width="17.453125" customWidth="1" style="835" min="14339" max="14339"/>
    <col width="18.54296875" customWidth="1" style="835" min="14340" max="14340"/>
    <col width="22.453125" customWidth="1" style="835" min="14341" max="14341"/>
    <col width="23.453125" customWidth="1" style="835" min="14342" max="14342"/>
    <col width="10.54296875" customWidth="1" style="835" min="14343" max="14343"/>
    <col width="11.54296875" customWidth="1" style="835" min="14344" max="14344"/>
    <col width="10.54296875" customWidth="1" style="835" min="14345" max="14360"/>
    <col width="9.453125" customWidth="1" style="835" min="14361" max="14592"/>
    <col width="13.54296875" customWidth="1" style="835" min="14593" max="14593"/>
    <col width="12.1796875" customWidth="1" style="835" min="14594" max="14594"/>
    <col width="17.453125" customWidth="1" style="835" min="14595" max="14595"/>
    <col width="18.54296875" customWidth="1" style="835" min="14596" max="14596"/>
    <col width="22.453125" customWidth="1" style="835" min="14597" max="14597"/>
    <col width="23.453125" customWidth="1" style="835" min="14598" max="14598"/>
    <col width="10.54296875" customWidth="1" style="835" min="14599" max="14599"/>
    <col width="11.54296875" customWidth="1" style="835" min="14600" max="14600"/>
    <col width="10.54296875" customWidth="1" style="835" min="14601" max="14616"/>
    <col width="9.453125" customWidth="1" style="835" min="14617" max="14848"/>
    <col width="13.54296875" customWidth="1" style="835" min="14849" max="14849"/>
    <col width="12.1796875" customWidth="1" style="835" min="14850" max="14850"/>
    <col width="17.453125" customWidth="1" style="835" min="14851" max="14851"/>
    <col width="18.54296875" customWidth="1" style="835" min="14852" max="14852"/>
    <col width="22.453125" customWidth="1" style="835" min="14853" max="14853"/>
    <col width="23.453125" customWidth="1" style="835" min="14854" max="14854"/>
    <col width="10.54296875" customWidth="1" style="835" min="14855" max="14855"/>
    <col width="11.54296875" customWidth="1" style="835" min="14856" max="14856"/>
    <col width="10.54296875" customWidth="1" style="835" min="14857" max="14872"/>
    <col width="9.453125" customWidth="1" style="835" min="14873" max="15104"/>
    <col width="13.54296875" customWidth="1" style="835" min="15105" max="15105"/>
    <col width="12.1796875" customWidth="1" style="835" min="15106" max="15106"/>
    <col width="17.453125" customWidth="1" style="835" min="15107" max="15107"/>
    <col width="18.54296875" customWidth="1" style="835" min="15108" max="15108"/>
    <col width="22.453125" customWidth="1" style="835" min="15109" max="15109"/>
    <col width="23.453125" customWidth="1" style="835" min="15110" max="15110"/>
    <col width="10.54296875" customWidth="1" style="835" min="15111" max="15111"/>
    <col width="11.54296875" customWidth="1" style="835" min="15112" max="15112"/>
    <col width="10.54296875" customWidth="1" style="835" min="15113" max="15128"/>
    <col width="9.453125" customWidth="1" style="835" min="15129" max="15360"/>
    <col width="13.54296875" customWidth="1" style="835" min="15361" max="15361"/>
    <col width="12.1796875" customWidth="1" style="835" min="15362" max="15362"/>
    <col width="17.453125" customWidth="1" style="835" min="15363" max="15363"/>
    <col width="18.54296875" customWidth="1" style="835" min="15364" max="15364"/>
    <col width="22.453125" customWidth="1" style="835" min="15365" max="15365"/>
    <col width="23.453125" customWidth="1" style="835" min="15366" max="15366"/>
    <col width="10.54296875" customWidth="1" style="835" min="15367" max="15367"/>
    <col width="11.54296875" customWidth="1" style="835" min="15368" max="15368"/>
    <col width="10.54296875" customWidth="1" style="835" min="15369" max="15384"/>
    <col width="9.453125" customWidth="1" style="835" min="15385" max="15616"/>
    <col width="13.54296875" customWidth="1" style="835" min="15617" max="15617"/>
    <col width="12.1796875" customWidth="1" style="835" min="15618" max="15618"/>
    <col width="17.453125" customWidth="1" style="835" min="15619" max="15619"/>
    <col width="18.54296875" customWidth="1" style="835" min="15620" max="15620"/>
    <col width="22.453125" customWidth="1" style="835" min="15621" max="15621"/>
    <col width="23.453125" customWidth="1" style="835" min="15622" max="15622"/>
    <col width="10.54296875" customWidth="1" style="835" min="15623" max="15623"/>
    <col width="11.54296875" customWidth="1" style="835" min="15624" max="15624"/>
    <col width="10.54296875" customWidth="1" style="835" min="15625" max="15640"/>
    <col width="9.453125" customWidth="1" style="835" min="15641" max="15872"/>
    <col width="13.54296875" customWidth="1" style="835" min="15873" max="15873"/>
    <col width="12.1796875" customWidth="1" style="835" min="15874" max="15874"/>
    <col width="17.453125" customWidth="1" style="835" min="15875" max="15875"/>
    <col width="18.54296875" customWidth="1" style="835" min="15876" max="15876"/>
    <col width="22.453125" customWidth="1" style="835" min="15877" max="15877"/>
    <col width="23.453125" customWidth="1" style="835" min="15878" max="15878"/>
    <col width="10.54296875" customWidth="1" style="835" min="15879" max="15879"/>
    <col width="11.54296875" customWidth="1" style="835" min="15880" max="15880"/>
    <col width="10.54296875" customWidth="1" style="835" min="15881" max="15896"/>
    <col width="9.453125" customWidth="1" style="835" min="15897" max="16128"/>
    <col width="13.54296875" customWidth="1" style="835" min="16129" max="16129"/>
    <col width="12.1796875" customWidth="1" style="835" min="16130" max="16130"/>
    <col width="17.453125" customWidth="1" style="835" min="16131" max="16131"/>
    <col width="18.54296875" customWidth="1" style="835" min="16132" max="16132"/>
    <col width="22.453125" customWidth="1" style="835" min="16133" max="16133"/>
    <col width="23.453125" customWidth="1" style="835" min="16134" max="16134"/>
    <col width="10.54296875" customWidth="1" style="835" min="16135" max="16135"/>
    <col width="11.54296875" customWidth="1" style="835" min="16136" max="16136"/>
    <col width="10.54296875" customWidth="1" style="835" min="16137" max="16152"/>
    <col width="9.453125" customWidth="1" style="835" min="16153" max="16384"/>
  </cols>
  <sheetData>
    <row r="2">
      <c r="B2" s="407" t="inlineStr">
        <is>
          <t>Workforce jobs</t>
        </is>
      </c>
      <c r="C2" s="407" t="inlineStr">
        <is>
          <t>Employee jobs</t>
        </is>
      </c>
      <c r="D2" s="407" t="inlineStr">
        <is>
          <t>Self-employment jobs</t>
        </is>
      </c>
      <c r="E2" s="407" t="inlineStr">
        <is>
          <t>HM Forces</t>
        </is>
      </c>
      <c r="F2" s="407" t="inlineStr">
        <is>
          <t>Government- supported trainees</t>
        </is>
      </c>
    </row>
    <row r="3">
      <c r="A3" s="407" t="inlineStr">
        <is>
          <t>Current</t>
        </is>
      </c>
      <c r="B3" s="409">
        <f t="array" ref="B3">INDEX(B$16:B$1048576,COUNTA(B$16:B$1048576))</f>
        <v/>
      </c>
      <c r="C3" s="409">
        <f t="array" ref="C3">INDEX(C$16:C$1048576,COUNTA(C$16:C$1048576))</f>
        <v/>
      </c>
      <c r="D3" s="409">
        <f t="array" ref="D3">INDEX(D$16:D$1048576,COUNTA(D$16:D$1048576))</f>
        <v/>
      </c>
      <c r="E3" s="409">
        <f t="array" ref="E3">INDEX(E$16:E$1048576,COUNTA(E$16:E$1048576))</f>
        <v/>
      </c>
      <c r="F3" s="409">
        <f t="array" ref="F3">INDEX(F$16:F$1048576,COUNTA(F$16:F$1048576))</f>
        <v/>
      </c>
    </row>
    <row r="4">
      <c r="A4" s="407" t="inlineStr">
        <is>
          <t>Quarterly change</t>
        </is>
      </c>
      <c r="B4" s="409">
        <f t="array" ref="B4">INDEX(B$16:B$1048576,COUNTA(B$16:B$1048576))-INDEX(B$16:B$1048576,COUNTA(B$16:B$1048576)-1)</f>
        <v/>
      </c>
      <c r="C4" s="409">
        <f t="array" ref="C4">INDEX(C$16:C$1048576,COUNTA(C$16:C$1048576))-INDEX(C$16:C$1048576,COUNTA(C$16:C$1048576)-1)</f>
        <v/>
      </c>
      <c r="D4" s="409">
        <f t="array" ref="D4">INDEX(D$16:D$1048576,COUNTA(D$16:D$1048576))-INDEX(D$16:D$1048576,COUNTA(D$16:D$1048576)-1)</f>
        <v/>
      </c>
      <c r="E4" s="409">
        <f t="array" ref="E4">INDEX(E$16:E$1048576,COUNTA(E$16:E$1048576))-INDEX(E$16:E$1048576,COUNTA(E$16:E$1048576)-1)</f>
        <v/>
      </c>
      <c r="F4" s="409">
        <f t="array" ref="F4">INDEX(F$16:F$1048576,COUNTA(F$16:F$1048576))-INDEX(F$16:F$1048576,COUNTA(F$16:F$1048576)-1)</f>
        <v/>
      </c>
    </row>
    <row r="5">
      <c r="A5" s="407" t="inlineStr">
        <is>
          <t>Max</t>
        </is>
      </c>
      <c r="B5" s="409">
        <f>MAX(B$16:B$1048576)</f>
        <v/>
      </c>
      <c r="C5" s="409">
        <f>MAX(C$16:C$1048576)</f>
        <v/>
      </c>
      <c r="D5" s="409">
        <f>MAX(D$16:D$1048576)</f>
        <v/>
      </c>
      <c r="E5" s="409">
        <f>MAX(E$16:E$1048576)</f>
        <v/>
      </c>
      <c r="F5" s="409">
        <f>MAX(F$16:F$1048576)</f>
        <v/>
      </c>
    </row>
    <row r="6" ht="26" customHeight="1" s="828">
      <c r="A6" s="408" t="inlineStr">
        <is>
          <t>Jobs created since new gov</t>
        </is>
      </c>
      <c r="B6" s="409">
        <f t="array" ref="B6">INDEX(B$16:B$1048576,COUNTA(B$16:B$1048576))-B$276</f>
        <v/>
      </c>
      <c r="C6" s="409">
        <f t="array" ref="C6">INDEX(C$16:C$1048576,COUNTA(C$16:C$1048576))-C$276</f>
        <v/>
      </c>
      <c r="D6" s="409">
        <f t="array" ref="D6">INDEX(D$16:D$1048576,COUNTA(D$16:D$1048576))-D$276</f>
        <v/>
      </c>
      <c r="E6" s="409">
        <f t="array" ref="E6">INDEX(E$16:E$1048576,COUNTA(E$16:E$1048576))-E$276</f>
        <v/>
      </c>
      <c r="F6" s="409">
        <f t="array" ref="F6">INDEX(F$16:F$1048576,COUNTA(F$16:F$1048576))-F$276</f>
        <v/>
      </c>
    </row>
    <row r="8" ht="21.65" customFormat="1" customHeight="1" s="252">
      <c r="A8" s="251" t="inlineStr">
        <is>
          <t>Table 5:  Workforce jobs (seasonally adjusted)1</t>
        </is>
      </c>
      <c r="B8" s="516" t="n"/>
      <c r="C8" s="516" t="n"/>
      <c r="D8" s="512" t="n"/>
      <c r="E8" s="512" t="n"/>
    </row>
    <row r="9" ht="21.65" customFormat="1" customHeight="1" s="252">
      <c r="A9" s="279" t="inlineStr">
        <is>
          <t>Date of publication:</t>
        </is>
      </c>
      <c r="C9" s="969" t="n">
        <v>45916</v>
      </c>
      <c r="D9" s="253" t="n"/>
      <c r="E9" s="280" t="inlineStr">
        <is>
          <t>Date of next publication:</t>
        </is>
      </c>
      <c r="F9" s="970" t="n">
        <v>46007</v>
      </c>
      <c r="G9" s="971" t="n"/>
      <c r="H9" s="253" t="n"/>
    </row>
    <row r="10" ht="21.65" customFormat="1" customHeight="1" s="252">
      <c r="A10" s="514" t="inlineStr">
        <is>
          <t xml:space="preserve">Inquiries: Email: </t>
        </is>
      </c>
      <c r="C10" s="282" t="inlineStr">
        <is>
          <t>workforce.jobs@ons.gov.uk</t>
        </is>
      </c>
      <c r="D10" s="281" t="n"/>
      <c r="E10" s="280" t="inlineStr">
        <is>
          <t>Telephone:</t>
        </is>
      </c>
      <c r="F10" s="280" t="inlineStr">
        <is>
          <t>01633 455400</t>
        </is>
      </c>
      <c r="G10" s="972" t="n"/>
      <c r="J10" s="251" t="n"/>
    </row>
    <row r="11" ht="21.65" customFormat="1" customHeight="1" s="252">
      <c r="A11" s="251" t="n"/>
      <c r="B11" s="516" t="n"/>
      <c r="C11" s="516" t="n"/>
      <c r="D11" s="516" t="n"/>
      <c r="E11" s="516" t="n"/>
      <c r="F11" s="513" t="inlineStr">
        <is>
          <t>Sources: Employer surveys, Labour Force Survey and administrative sources</t>
        </is>
      </c>
    </row>
    <row r="12" ht="30" customHeight="1" s="828" thickBot="1">
      <c r="A12" s="832" t="inlineStr">
        <is>
          <t>United Kingdom (thousands) seasonally adjusted</t>
        </is>
      </c>
      <c r="B12" s="956" t="n"/>
      <c r="C12" s="956" t="n"/>
      <c r="D12" s="956" t="n"/>
      <c r="E12" s="956" t="n"/>
      <c r="F12" s="956" t="n"/>
    </row>
    <row r="13" ht="42.65" customFormat="1" customHeight="1" s="259">
      <c r="A13" s="833" t="n"/>
      <c r="B13" s="258" t="inlineStr">
        <is>
          <t>Workforce jobs1</t>
        </is>
      </c>
      <c r="C13" s="258" t="inlineStr">
        <is>
          <t>Employee jobs1</t>
        </is>
      </c>
      <c r="D13" s="258" t="inlineStr">
        <is>
          <t>Self-employment jobs2</t>
        </is>
      </c>
      <c r="E13" s="258" t="inlineStr">
        <is>
          <t>HM Forces</t>
        </is>
      </c>
      <c r="F13" s="258" t="inlineStr">
        <is>
          <t>Government- supported trainees2 3</t>
        </is>
      </c>
      <c r="I13" s="973" t="n"/>
    </row>
    <row r="14" ht="15" customHeight="1" s="828">
      <c r="A14" s="221" t="n"/>
      <c r="B14" s="221" t="n">
        <v>1</v>
      </c>
      <c r="C14" s="221" t="n">
        <v>2</v>
      </c>
      <c r="D14" s="221" t="n">
        <v>3</v>
      </c>
      <c r="E14" s="221" t="n">
        <v>4</v>
      </c>
      <c r="F14" s="221" t="n">
        <v>5</v>
      </c>
    </row>
    <row r="15" ht="15" customHeight="1" s="828">
      <c r="A15" s="517" t="n"/>
      <c r="B15" s="515" t="inlineStr">
        <is>
          <t>DYDC</t>
        </is>
      </c>
      <c r="C15" s="515" t="inlineStr">
        <is>
          <t>BCAJ</t>
        </is>
      </c>
      <c r="D15" s="515" t="inlineStr">
        <is>
          <t>DYZN</t>
        </is>
      </c>
      <c r="E15" s="515" t="inlineStr">
        <is>
          <t>LOJX</t>
        </is>
      </c>
      <c r="F15" s="515" t="inlineStr">
        <is>
          <t>LOJU</t>
        </is>
      </c>
    </row>
    <row r="16" ht="15" customHeight="1" s="828">
      <c r="A16" s="974" t="n"/>
      <c r="B16" s="699" t="n"/>
      <c r="C16" s="699" t="n"/>
      <c r="D16" s="699" t="n"/>
      <c r="E16" s="699" t="n"/>
      <c r="F16" s="699" t="n"/>
      <c r="G16" s="260" t="n"/>
    </row>
    <row r="17" ht="15" customHeight="1" s="828">
      <c r="A17" s="974" t="n"/>
      <c r="B17" s="699" t="n"/>
      <c r="C17" s="699" t="n"/>
      <c r="D17" s="699" t="n"/>
      <c r="E17" s="699" t="n"/>
      <c r="F17" s="699" t="n"/>
      <c r="G17" s="260" t="n"/>
    </row>
    <row r="18" ht="15" customHeight="1" s="828">
      <c r="A18" s="974" t="n"/>
      <c r="B18" s="699" t="n"/>
      <c r="C18" s="699" t="n"/>
      <c r="D18" s="699" t="n"/>
      <c r="E18" s="699" t="n"/>
      <c r="F18" s="699" t="n"/>
      <c r="G18" s="260" t="n"/>
    </row>
    <row r="19" ht="15" customHeight="1" s="828">
      <c r="A19" s="974" t="n"/>
      <c r="B19" s="699" t="n"/>
      <c r="C19" s="699" t="n"/>
      <c r="D19" s="699" t="n"/>
      <c r="E19" s="699" t="n"/>
      <c r="F19" s="699" t="n"/>
      <c r="G19" s="260" t="n"/>
    </row>
    <row r="20" ht="15" customHeight="1" s="828">
      <c r="A20" s="974" t="n"/>
      <c r="B20" s="699" t="n"/>
      <c r="C20" s="699" t="n"/>
      <c r="D20" s="699" t="n"/>
      <c r="E20" s="699" t="n"/>
      <c r="F20" s="699" t="n"/>
      <c r="G20" s="260" t="n"/>
    </row>
    <row r="21" ht="15" customHeight="1" s="828">
      <c r="A21" s="974" t="n"/>
      <c r="B21" s="699" t="n"/>
      <c r="C21" s="699" t="n"/>
      <c r="D21" s="699" t="n"/>
      <c r="E21" s="699" t="n"/>
      <c r="F21" s="699" t="n"/>
      <c r="G21" s="260" t="n"/>
    </row>
    <row r="22" ht="15" customHeight="1" s="828">
      <c r="A22" s="974" t="n"/>
      <c r="B22" s="699" t="n"/>
      <c r="C22" s="699" t="n"/>
      <c r="D22" s="699" t="n"/>
      <c r="E22" s="699" t="n"/>
      <c r="F22" s="699" t="n"/>
      <c r="G22" s="260" t="n"/>
      <c r="H22" s="261" t="n"/>
      <c r="I22" s="261" t="n"/>
      <c r="J22" s="261" t="n"/>
      <c r="K22" s="261" t="n"/>
      <c r="L22" s="261" t="n"/>
      <c r="N22" s="262" t="n"/>
      <c r="O22" s="262" t="n"/>
      <c r="P22" s="262" t="n"/>
      <c r="Q22" s="262" t="n"/>
      <c r="R22" s="262" t="n"/>
    </row>
    <row r="23" ht="15" customHeight="1" s="828">
      <c r="A23" s="974" t="n"/>
      <c r="B23" s="699" t="n"/>
      <c r="C23" s="699" t="n"/>
      <c r="D23" s="699" t="n"/>
      <c r="E23" s="699" t="n"/>
      <c r="F23" s="699" t="n"/>
      <c r="G23" s="260" t="n"/>
      <c r="H23" s="261" t="n"/>
      <c r="I23" s="261" t="n"/>
      <c r="J23" s="261" t="n"/>
      <c r="K23" s="261" t="n"/>
      <c r="L23" s="261" t="n"/>
      <c r="N23" s="262" t="n"/>
      <c r="O23" s="262" t="n"/>
      <c r="P23" s="262" t="n"/>
      <c r="Q23" s="262" t="n"/>
      <c r="R23" s="262" t="n"/>
    </row>
    <row r="24" ht="15" customHeight="1" s="828">
      <c r="A24" s="974" t="n"/>
      <c r="B24" s="699" t="n"/>
      <c r="C24" s="699" t="n"/>
      <c r="D24" s="699" t="n"/>
      <c r="E24" s="699" t="n"/>
      <c r="F24" s="699" t="n"/>
      <c r="G24" s="260" t="n"/>
      <c r="H24" s="261" t="n"/>
      <c r="I24" s="261" t="n"/>
      <c r="J24" s="261" t="n"/>
      <c r="K24" s="261" t="n"/>
      <c r="L24" s="261" t="n"/>
      <c r="N24" s="262" t="n"/>
      <c r="O24" s="262" t="n"/>
      <c r="P24" s="262" t="n"/>
      <c r="Q24" s="262" t="n"/>
      <c r="R24" s="262" t="n"/>
    </row>
    <row r="25" ht="15" customHeight="1" s="828">
      <c r="A25" s="974" t="n"/>
      <c r="B25" s="699" t="n"/>
      <c r="C25" s="699" t="n"/>
      <c r="D25" s="699" t="n"/>
      <c r="E25" s="699" t="n"/>
      <c r="F25" s="699" t="n"/>
      <c r="G25" s="260" t="n"/>
      <c r="H25" s="261" t="n"/>
      <c r="I25" s="261" t="n"/>
      <c r="J25" s="261" t="n"/>
      <c r="K25" s="261" t="n"/>
      <c r="L25" s="261" t="n"/>
      <c r="N25" s="262" t="n"/>
      <c r="O25" s="262" t="n"/>
      <c r="P25" s="262" t="n"/>
      <c r="Q25" s="262" t="n"/>
      <c r="R25" s="262" t="n"/>
    </row>
    <row r="26" ht="15" customHeight="1" s="828">
      <c r="A26" s="974" t="n"/>
      <c r="B26" s="699" t="n"/>
      <c r="C26" s="699" t="n"/>
      <c r="D26" s="699" t="n"/>
      <c r="E26" s="699" t="n"/>
      <c r="F26" s="699" t="n"/>
      <c r="G26" s="260" t="n"/>
      <c r="H26" s="261" t="n"/>
      <c r="I26" s="261" t="n"/>
      <c r="J26" s="261" t="n"/>
      <c r="K26" s="261" t="n"/>
      <c r="L26" s="261" t="n"/>
      <c r="N26" s="262" t="n"/>
      <c r="O26" s="262" t="n"/>
      <c r="P26" s="262" t="n"/>
      <c r="Q26" s="262" t="n"/>
      <c r="R26" s="262" t="n"/>
    </row>
    <row r="27" ht="15" customHeight="1" s="828">
      <c r="A27" s="974" t="n"/>
      <c r="B27" s="699" t="n"/>
      <c r="C27" s="699" t="n"/>
      <c r="D27" s="699" t="n"/>
      <c r="E27" s="699" t="n"/>
      <c r="F27" s="699" t="n"/>
      <c r="G27" s="260" t="n"/>
      <c r="H27" s="261" t="n"/>
      <c r="I27" s="261" t="n"/>
      <c r="J27" s="261" t="n"/>
      <c r="K27" s="261" t="n"/>
      <c r="L27" s="261" t="n"/>
      <c r="N27" s="262" t="n"/>
      <c r="O27" s="262" t="n"/>
      <c r="P27" s="262" t="n"/>
      <c r="Q27" s="262" t="n"/>
      <c r="R27" s="262" t="n"/>
    </row>
    <row r="28" ht="15" customHeight="1" s="828">
      <c r="A28" s="974" t="n"/>
      <c r="B28" s="699" t="n"/>
      <c r="C28" s="699" t="n"/>
      <c r="D28" s="699" t="n"/>
      <c r="E28" s="699" t="n"/>
      <c r="F28" s="699" t="n"/>
      <c r="G28" s="260" t="n"/>
      <c r="H28" s="261" t="n"/>
      <c r="I28" s="261" t="n"/>
      <c r="J28" s="261" t="n"/>
      <c r="K28" s="261" t="n"/>
      <c r="L28" s="261" t="n"/>
      <c r="N28" s="262" t="n"/>
      <c r="O28" s="262" t="n"/>
      <c r="P28" s="262" t="n"/>
      <c r="Q28" s="262" t="n"/>
      <c r="R28" s="262" t="n"/>
    </row>
    <row r="29" ht="15" customHeight="1" s="828">
      <c r="A29" s="974" t="n"/>
      <c r="B29" s="699" t="n"/>
      <c r="C29" s="699" t="n"/>
      <c r="D29" s="699" t="n"/>
      <c r="E29" s="699" t="n"/>
      <c r="F29" s="699" t="n"/>
      <c r="G29" s="260" t="n"/>
      <c r="H29" s="261" t="n"/>
      <c r="I29" s="261" t="n"/>
      <c r="J29" s="261" t="n"/>
      <c r="K29" s="261" t="n"/>
      <c r="L29" s="261" t="n"/>
      <c r="N29" s="262" t="n"/>
      <c r="O29" s="262" t="n"/>
      <c r="P29" s="262" t="n"/>
      <c r="Q29" s="262" t="n"/>
      <c r="R29" s="262" t="n"/>
    </row>
    <row r="30" ht="15" customHeight="1" s="828">
      <c r="A30" s="974" t="n"/>
      <c r="B30" s="699" t="n"/>
      <c r="C30" s="699" t="n"/>
      <c r="D30" s="699" t="n"/>
      <c r="E30" s="699" t="n"/>
      <c r="F30" s="699" t="n"/>
      <c r="G30" s="260" t="n"/>
      <c r="H30" s="261" t="n"/>
      <c r="I30" s="261" t="n"/>
      <c r="J30" s="261" t="n"/>
      <c r="K30" s="261" t="n"/>
      <c r="L30" s="261" t="n"/>
      <c r="N30" s="262" t="n"/>
      <c r="O30" s="262" t="n"/>
      <c r="P30" s="262" t="n"/>
      <c r="Q30" s="262" t="n"/>
      <c r="R30" s="262" t="n"/>
    </row>
    <row r="31" ht="15" customHeight="1" s="828">
      <c r="A31" s="974" t="n"/>
      <c r="B31" s="699" t="n"/>
      <c r="C31" s="699" t="n"/>
      <c r="D31" s="699" t="n"/>
      <c r="E31" s="699" t="n"/>
      <c r="F31" s="699" t="n"/>
      <c r="G31" s="260" t="n"/>
      <c r="H31" s="261" t="n"/>
      <c r="I31" s="261" t="n"/>
      <c r="J31" s="261" t="n"/>
      <c r="K31" s="261" t="n"/>
      <c r="L31" s="261" t="n"/>
      <c r="N31" s="262" t="n"/>
      <c r="O31" s="262" t="n"/>
      <c r="P31" s="262" t="n"/>
      <c r="Q31" s="262" t="n"/>
      <c r="R31" s="262" t="n"/>
    </row>
    <row r="32" ht="15" customHeight="1" s="828">
      <c r="A32" s="974" t="n"/>
      <c r="B32" s="699" t="n"/>
      <c r="C32" s="699" t="n"/>
      <c r="D32" s="699" t="n"/>
      <c r="E32" s="699" t="n"/>
      <c r="F32" s="699" t="n"/>
      <c r="G32" s="260" t="n"/>
      <c r="H32" s="261" t="n"/>
      <c r="I32" s="261" t="n"/>
      <c r="J32" s="261" t="n"/>
      <c r="K32" s="261" t="n"/>
      <c r="L32" s="261" t="n"/>
      <c r="N32" s="262" t="n"/>
      <c r="O32" s="262" t="n"/>
      <c r="P32" s="262" t="n"/>
      <c r="Q32" s="262" t="n"/>
      <c r="R32" s="262" t="n"/>
    </row>
    <row r="33" ht="15" customHeight="1" s="828">
      <c r="A33" s="974" t="n"/>
      <c r="B33" s="699" t="n"/>
      <c r="C33" s="699" t="n"/>
      <c r="D33" s="699" t="n"/>
      <c r="E33" s="699" t="n"/>
      <c r="F33" s="699" t="n"/>
      <c r="G33" s="260" t="n"/>
      <c r="H33" s="261" t="n"/>
      <c r="I33" s="261" t="n"/>
      <c r="J33" s="261" t="n"/>
      <c r="K33" s="261" t="n"/>
      <c r="L33" s="261" t="n"/>
      <c r="N33" s="262" t="n"/>
      <c r="O33" s="262" t="n"/>
      <c r="P33" s="262" t="n"/>
      <c r="Q33" s="262" t="n"/>
      <c r="R33" s="262" t="n"/>
    </row>
    <row r="34" ht="15" customHeight="1" s="828">
      <c r="A34" s="974" t="n"/>
      <c r="B34" s="699" t="n"/>
      <c r="C34" s="699" t="n"/>
      <c r="D34" s="699" t="n"/>
      <c r="E34" s="699" t="n"/>
      <c r="F34" s="699" t="n"/>
      <c r="G34" s="260" t="n"/>
      <c r="H34" s="261" t="n"/>
      <c r="I34" s="261" t="n"/>
      <c r="J34" s="261" t="n"/>
      <c r="K34" s="261" t="n"/>
      <c r="L34" s="261" t="n"/>
      <c r="N34" s="262" t="n"/>
      <c r="O34" s="262" t="n"/>
      <c r="P34" s="262" t="n"/>
      <c r="Q34" s="262" t="n"/>
      <c r="R34" s="262" t="n"/>
    </row>
    <row r="35" ht="15" customHeight="1" s="828">
      <c r="A35" s="974" t="n"/>
      <c r="B35" s="699" t="n"/>
      <c r="C35" s="699" t="n"/>
      <c r="D35" s="699" t="n"/>
      <c r="E35" s="699" t="n"/>
      <c r="F35" s="699" t="n"/>
      <c r="G35" s="260" t="n"/>
      <c r="H35" s="261" t="n"/>
      <c r="I35" s="261" t="n"/>
      <c r="J35" s="261" t="n"/>
      <c r="K35" s="261" t="n"/>
      <c r="L35" s="261" t="n"/>
      <c r="N35" s="262" t="n"/>
      <c r="O35" s="262" t="n"/>
      <c r="P35" s="262" t="n"/>
      <c r="Q35" s="262" t="n"/>
      <c r="R35" s="262" t="n"/>
    </row>
    <row r="36" ht="15" customHeight="1" s="828">
      <c r="A36" s="974" t="n"/>
      <c r="B36" s="699" t="n"/>
      <c r="C36" s="699" t="n"/>
      <c r="D36" s="699" t="n"/>
      <c r="E36" s="699" t="n"/>
      <c r="F36" s="699" t="n"/>
      <c r="G36" s="260" t="n"/>
      <c r="H36" s="261" t="n"/>
      <c r="I36" s="261" t="n"/>
      <c r="J36" s="261" t="n"/>
      <c r="K36" s="261" t="n"/>
      <c r="L36" s="261" t="n"/>
      <c r="N36" s="262" t="n"/>
      <c r="O36" s="262" t="n"/>
      <c r="P36" s="262" t="n"/>
      <c r="Q36" s="262" t="n"/>
      <c r="R36" s="262" t="n"/>
    </row>
    <row r="37" ht="15" customHeight="1" s="828">
      <c r="A37" s="974" t="n"/>
      <c r="B37" s="699" t="n"/>
      <c r="C37" s="699" t="n"/>
      <c r="D37" s="699" t="n"/>
      <c r="E37" s="699" t="n"/>
      <c r="F37" s="699" t="n"/>
      <c r="G37" s="260" t="n"/>
      <c r="H37" s="261" t="n"/>
      <c r="I37" s="261" t="n"/>
      <c r="J37" s="261" t="n"/>
      <c r="K37" s="261" t="n"/>
      <c r="L37" s="261" t="n"/>
      <c r="N37" s="262" t="n"/>
      <c r="O37" s="262" t="n"/>
      <c r="P37" s="262" t="n"/>
      <c r="Q37" s="262" t="n"/>
      <c r="R37" s="262" t="n"/>
    </row>
    <row r="38" ht="15" customHeight="1" s="828">
      <c r="A38" s="974" t="n"/>
      <c r="B38" s="699" t="n"/>
      <c r="C38" s="699" t="n"/>
      <c r="D38" s="699" t="n"/>
      <c r="E38" s="699" t="n"/>
      <c r="F38" s="699" t="n"/>
      <c r="G38" s="260" t="n"/>
      <c r="H38" s="261" t="n"/>
      <c r="I38" s="261" t="n"/>
      <c r="J38" s="261" t="n"/>
      <c r="K38" s="261" t="n"/>
      <c r="L38" s="261" t="n"/>
      <c r="N38" s="262" t="n"/>
      <c r="O38" s="262" t="n"/>
      <c r="P38" s="262" t="n"/>
      <c r="Q38" s="262" t="n"/>
      <c r="R38" s="262" t="n"/>
    </row>
    <row r="39" ht="15" customHeight="1" s="828">
      <c r="A39" s="974" t="n"/>
      <c r="B39" s="699" t="n"/>
      <c r="C39" s="699" t="n"/>
      <c r="D39" s="699" t="n"/>
      <c r="E39" s="699" t="n"/>
      <c r="F39" s="699" t="n"/>
      <c r="G39" s="260" t="n"/>
      <c r="H39" s="261" t="n"/>
      <c r="I39" s="261" t="n"/>
      <c r="J39" s="261" t="n"/>
      <c r="K39" s="261" t="n"/>
      <c r="L39" s="261" t="n"/>
      <c r="N39" s="262" t="n"/>
      <c r="O39" s="262" t="n"/>
      <c r="P39" s="262" t="n"/>
      <c r="Q39" s="262" t="n"/>
      <c r="R39" s="262" t="n"/>
    </row>
    <row r="40" ht="15" customHeight="1" s="828">
      <c r="A40" s="974" t="n"/>
      <c r="B40" s="699" t="n"/>
      <c r="C40" s="699" t="n"/>
      <c r="D40" s="699" t="n"/>
      <c r="E40" s="699" t="n"/>
      <c r="F40" s="699" t="n"/>
      <c r="G40" s="260" t="n"/>
      <c r="H40" s="261" t="n"/>
      <c r="I40" s="261" t="n"/>
      <c r="J40" s="261" t="n"/>
      <c r="K40" s="261" t="n"/>
      <c r="L40" s="261" t="n"/>
      <c r="N40" s="262" t="n"/>
      <c r="O40" s="262" t="n"/>
      <c r="P40" s="262" t="n"/>
      <c r="Q40" s="262" t="n"/>
      <c r="R40" s="262" t="n"/>
    </row>
    <row r="41" ht="15" customHeight="1" s="828">
      <c r="A41" s="974" t="n"/>
      <c r="B41" s="699" t="n"/>
      <c r="C41" s="699" t="n"/>
      <c r="D41" s="699" t="n"/>
      <c r="E41" s="699" t="n"/>
      <c r="F41" s="699" t="n"/>
      <c r="G41" s="260" t="n"/>
      <c r="H41" s="261" t="n"/>
      <c r="I41" s="261" t="n"/>
      <c r="J41" s="261" t="n"/>
      <c r="K41" s="261" t="n"/>
      <c r="L41" s="261" t="n"/>
      <c r="N41" s="262" t="n"/>
      <c r="O41" s="262" t="n"/>
      <c r="P41" s="262" t="n"/>
      <c r="Q41" s="262" t="n"/>
      <c r="R41" s="262" t="n"/>
    </row>
    <row r="42" ht="15" customHeight="1" s="828">
      <c r="A42" s="974" t="n"/>
      <c r="B42" s="699" t="n"/>
      <c r="C42" s="699" t="n"/>
      <c r="D42" s="699" t="n"/>
      <c r="E42" s="699" t="n"/>
      <c r="F42" s="699" t="n"/>
      <c r="G42" s="260" t="n"/>
      <c r="H42" s="261" t="n"/>
      <c r="I42" s="261" t="n"/>
      <c r="J42" s="261" t="n"/>
      <c r="K42" s="261" t="n"/>
      <c r="L42" s="261" t="n"/>
      <c r="N42" s="262" t="n"/>
      <c r="O42" s="262" t="n"/>
      <c r="P42" s="262" t="n"/>
      <c r="Q42" s="262" t="n"/>
      <c r="R42" s="262" t="n"/>
    </row>
    <row r="43" ht="15" customHeight="1" s="828">
      <c r="A43" s="974" t="n"/>
      <c r="B43" s="699" t="n"/>
      <c r="C43" s="699" t="n"/>
      <c r="D43" s="699" t="n"/>
      <c r="E43" s="699" t="n"/>
      <c r="F43" s="699" t="n"/>
      <c r="G43" s="260" t="n"/>
      <c r="H43" s="261" t="n"/>
      <c r="I43" s="261" t="n"/>
      <c r="J43" s="261" t="n"/>
      <c r="K43" s="261" t="n"/>
      <c r="L43" s="261" t="n"/>
      <c r="N43" s="262" t="n"/>
      <c r="O43" s="262" t="n"/>
      <c r="P43" s="262" t="n"/>
      <c r="Q43" s="262" t="n"/>
      <c r="R43" s="262" t="n"/>
    </row>
    <row r="44" ht="15" customHeight="1" s="828">
      <c r="A44" s="974" t="n"/>
      <c r="B44" s="699" t="n"/>
      <c r="C44" s="699" t="n"/>
      <c r="D44" s="699" t="n"/>
      <c r="E44" s="699" t="n"/>
      <c r="F44" s="699" t="n"/>
      <c r="G44" s="260" t="n"/>
      <c r="H44" s="261" t="n"/>
      <c r="I44" s="261" t="n"/>
      <c r="J44" s="261" t="n"/>
      <c r="K44" s="261" t="n"/>
      <c r="L44" s="261" t="n"/>
      <c r="N44" s="262" t="n"/>
      <c r="O44" s="262" t="n"/>
      <c r="P44" s="262" t="n"/>
      <c r="Q44" s="262" t="n"/>
      <c r="R44" s="262" t="n"/>
    </row>
    <row r="45" ht="15" customHeight="1" s="828">
      <c r="A45" s="974" t="n"/>
      <c r="B45" s="699" t="n"/>
      <c r="C45" s="699" t="n"/>
      <c r="D45" s="699" t="n"/>
      <c r="E45" s="699" t="n"/>
      <c r="F45" s="699" t="n"/>
      <c r="G45" s="260" t="n"/>
      <c r="H45" s="261" t="n"/>
      <c r="I45" s="261" t="n"/>
      <c r="J45" s="261" t="n"/>
      <c r="K45" s="261" t="n"/>
      <c r="L45" s="261" t="n"/>
      <c r="N45" s="262" t="n"/>
      <c r="O45" s="262" t="n"/>
      <c r="P45" s="262" t="n"/>
      <c r="Q45" s="262" t="n"/>
      <c r="R45" s="262" t="n"/>
    </row>
    <row r="46" ht="15" customHeight="1" s="828">
      <c r="A46" s="974" t="n"/>
      <c r="B46" s="699" t="n"/>
      <c r="C46" s="699" t="n"/>
      <c r="D46" s="699" t="n"/>
      <c r="E46" s="699" t="n"/>
      <c r="F46" s="699" t="n"/>
      <c r="G46" s="260" t="n"/>
      <c r="H46" s="261" t="n"/>
      <c r="I46" s="261" t="n"/>
      <c r="J46" s="261" t="n"/>
      <c r="K46" s="261" t="n"/>
      <c r="L46" s="261" t="n"/>
      <c r="N46" s="262" t="n"/>
      <c r="O46" s="262" t="n"/>
      <c r="P46" s="262" t="n"/>
      <c r="Q46" s="262" t="n"/>
      <c r="R46" s="262" t="n"/>
    </row>
    <row r="47" ht="15" customHeight="1" s="828">
      <c r="A47" s="974" t="n"/>
      <c r="B47" s="699" t="n"/>
      <c r="C47" s="699" t="n"/>
      <c r="D47" s="699" t="n"/>
      <c r="E47" s="699" t="n"/>
      <c r="F47" s="699" t="n"/>
      <c r="G47" s="260" t="n"/>
      <c r="H47" s="261" t="n"/>
      <c r="I47" s="261" t="n"/>
      <c r="J47" s="261" t="n"/>
      <c r="K47" s="261" t="n"/>
      <c r="L47" s="261" t="n"/>
      <c r="N47" s="262" t="n"/>
      <c r="O47" s="262" t="n"/>
      <c r="P47" s="262" t="n"/>
      <c r="Q47" s="262" t="n"/>
      <c r="R47" s="262" t="n"/>
    </row>
    <row r="48" ht="15" customHeight="1" s="828">
      <c r="A48" s="974" t="n"/>
      <c r="B48" s="699" t="n"/>
      <c r="C48" s="699" t="n"/>
      <c r="D48" s="699" t="n"/>
      <c r="E48" s="699" t="n"/>
      <c r="F48" s="699" t="n"/>
      <c r="G48" s="260" t="n"/>
      <c r="H48" s="261" t="n"/>
      <c r="I48" s="261" t="n"/>
      <c r="J48" s="261" t="n"/>
      <c r="K48" s="261" t="n"/>
      <c r="L48" s="261" t="n"/>
      <c r="N48" s="262" t="n"/>
      <c r="O48" s="262" t="n"/>
      <c r="P48" s="262" t="n"/>
      <c r="Q48" s="262" t="n"/>
      <c r="R48" s="262" t="n"/>
    </row>
    <row r="49" ht="15" customHeight="1" s="828">
      <c r="A49" s="974" t="n"/>
      <c r="B49" s="699" t="n"/>
      <c r="C49" s="699" t="n"/>
      <c r="D49" s="699" t="n"/>
      <c r="E49" s="699" t="n"/>
      <c r="F49" s="699" t="n"/>
      <c r="G49" s="260" t="n"/>
      <c r="H49" s="261" t="n"/>
      <c r="I49" s="261" t="n"/>
      <c r="J49" s="261" t="n"/>
      <c r="K49" s="261" t="n"/>
      <c r="L49" s="261" t="n"/>
      <c r="N49" s="262" t="n"/>
      <c r="O49" s="262" t="n"/>
      <c r="P49" s="262" t="n"/>
      <c r="Q49" s="262" t="n"/>
      <c r="R49" s="262" t="n"/>
    </row>
    <row r="50" ht="15" customHeight="1" s="828">
      <c r="A50" s="974" t="n"/>
      <c r="B50" s="699" t="n"/>
      <c r="C50" s="699" t="n"/>
      <c r="D50" s="699" t="n"/>
      <c r="E50" s="699" t="n"/>
      <c r="F50" s="699" t="n"/>
      <c r="G50" s="260" t="n"/>
      <c r="H50" s="261" t="n"/>
      <c r="I50" s="261" t="n"/>
      <c r="J50" s="261" t="n"/>
      <c r="K50" s="261" t="n"/>
      <c r="L50" s="261" t="n"/>
      <c r="N50" s="262" t="n"/>
      <c r="O50" s="262" t="n"/>
      <c r="P50" s="262" t="n"/>
      <c r="Q50" s="262" t="n"/>
      <c r="R50" s="262" t="n"/>
    </row>
    <row r="51" ht="15" customHeight="1" s="828">
      <c r="A51" s="974" t="n"/>
      <c r="B51" s="699" t="n"/>
      <c r="C51" s="699" t="n"/>
      <c r="D51" s="699" t="n"/>
      <c r="E51" s="699" t="n"/>
      <c r="F51" s="699" t="n"/>
      <c r="G51" s="260" t="n"/>
      <c r="H51" s="261" t="n"/>
      <c r="I51" s="261" t="n"/>
      <c r="J51" s="261" t="n"/>
      <c r="K51" s="261" t="n"/>
      <c r="L51" s="261" t="n"/>
      <c r="N51" s="262" t="n"/>
      <c r="O51" s="262" t="n"/>
      <c r="P51" s="262" t="n"/>
      <c r="Q51" s="262" t="n"/>
      <c r="R51" s="262" t="n"/>
    </row>
    <row r="52" ht="15" customHeight="1" s="828">
      <c r="A52" s="974" t="n"/>
      <c r="B52" s="699" t="n"/>
      <c r="C52" s="699" t="n"/>
      <c r="D52" s="699" t="n"/>
      <c r="E52" s="699" t="n"/>
      <c r="F52" s="699" t="n"/>
      <c r="G52" s="260" t="n"/>
      <c r="H52" s="261" t="n"/>
      <c r="I52" s="261" t="n"/>
      <c r="J52" s="261" t="n"/>
      <c r="K52" s="261" t="n"/>
      <c r="L52" s="261" t="n"/>
      <c r="N52" s="262" t="n"/>
      <c r="O52" s="262" t="n"/>
      <c r="P52" s="262" t="n"/>
      <c r="Q52" s="262" t="n"/>
      <c r="R52" s="262" t="n"/>
    </row>
    <row r="53" ht="15" customHeight="1" s="828">
      <c r="A53" s="974" t="n"/>
      <c r="B53" s="699" t="n"/>
      <c r="C53" s="699" t="n"/>
      <c r="D53" s="699" t="n"/>
      <c r="E53" s="699" t="n"/>
      <c r="F53" s="699" t="n"/>
      <c r="G53" s="260" t="n"/>
      <c r="H53" s="261" t="n"/>
      <c r="I53" s="261" t="n"/>
      <c r="J53" s="261" t="n"/>
      <c r="K53" s="261" t="n"/>
      <c r="L53" s="261" t="n"/>
      <c r="N53" s="262" t="n"/>
      <c r="O53" s="262" t="n"/>
      <c r="P53" s="262" t="n"/>
      <c r="Q53" s="262" t="n"/>
      <c r="R53" s="262" t="n"/>
    </row>
    <row r="54" ht="15" customHeight="1" s="828">
      <c r="A54" s="974" t="n"/>
      <c r="B54" s="699" t="n"/>
      <c r="C54" s="699" t="n"/>
      <c r="D54" s="699" t="n"/>
      <c r="E54" s="699" t="n"/>
      <c r="F54" s="699" t="n"/>
      <c r="G54" s="260" t="n"/>
      <c r="H54" s="261" t="n"/>
      <c r="I54" s="261" t="n"/>
      <c r="J54" s="261" t="n"/>
      <c r="K54" s="261" t="n"/>
      <c r="L54" s="261" t="n"/>
      <c r="N54" s="262" t="n"/>
      <c r="O54" s="262" t="n"/>
      <c r="P54" s="262" t="n"/>
      <c r="Q54" s="262" t="n"/>
      <c r="R54" s="262" t="n"/>
    </row>
    <row r="55" ht="15" customHeight="1" s="828">
      <c r="A55" s="974" t="n"/>
      <c r="B55" s="699" t="n"/>
      <c r="C55" s="699" t="n"/>
      <c r="D55" s="699" t="n"/>
      <c r="E55" s="699" t="n"/>
      <c r="F55" s="699" t="n"/>
      <c r="G55" s="260" t="n"/>
      <c r="H55" s="261" t="n"/>
      <c r="I55" s="261" t="n"/>
      <c r="J55" s="261" t="n"/>
      <c r="K55" s="261" t="n"/>
      <c r="L55" s="261" t="n"/>
      <c r="N55" s="262" t="n"/>
      <c r="O55" s="262" t="n"/>
      <c r="P55" s="262" t="n"/>
      <c r="Q55" s="262" t="n"/>
      <c r="R55" s="262" t="n"/>
    </row>
    <row r="56" ht="15" customHeight="1" s="828">
      <c r="A56" s="974" t="n"/>
      <c r="B56" s="699" t="n"/>
      <c r="C56" s="699" t="n"/>
      <c r="D56" s="699" t="n"/>
      <c r="E56" s="699" t="n"/>
      <c r="F56" s="699" t="n"/>
      <c r="G56" s="260" t="n"/>
      <c r="H56" s="261" t="n"/>
      <c r="I56" s="261" t="n"/>
      <c r="J56" s="261" t="n"/>
      <c r="K56" s="261" t="n"/>
      <c r="L56" s="261" t="n"/>
      <c r="N56" s="262" t="n"/>
      <c r="O56" s="262" t="n"/>
      <c r="P56" s="262" t="n"/>
      <c r="Q56" s="262" t="n"/>
      <c r="R56" s="262" t="n"/>
    </row>
    <row r="57" ht="15" customHeight="1" s="828">
      <c r="A57" s="974" t="n"/>
      <c r="B57" s="699" t="n"/>
      <c r="C57" s="699" t="n"/>
      <c r="D57" s="699" t="n"/>
      <c r="E57" s="699" t="n"/>
      <c r="F57" s="699" t="n"/>
      <c r="G57" s="260" t="n"/>
      <c r="H57" s="261" t="n"/>
      <c r="I57" s="261" t="n"/>
      <c r="J57" s="261" t="n"/>
      <c r="K57" s="261" t="n"/>
      <c r="L57" s="261" t="n"/>
      <c r="N57" s="262" t="n"/>
      <c r="O57" s="262" t="n"/>
      <c r="P57" s="262" t="n"/>
      <c r="Q57" s="262" t="n"/>
      <c r="R57" s="262" t="n"/>
    </row>
    <row r="58" ht="15" customHeight="1" s="828">
      <c r="A58" s="974" t="n"/>
      <c r="B58" s="699" t="n"/>
      <c r="C58" s="699" t="n"/>
      <c r="D58" s="699" t="n"/>
      <c r="E58" s="699" t="n"/>
      <c r="F58" s="699" t="n"/>
      <c r="G58" s="260" t="n"/>
      <c r="H58" s="261" t="n"/>
      <c r="I58" s="261" t="n"/>
      <c r="J58" s="261" t="n"/>
      <c r="K58" s="261" t="n"/>
      <c r="L58" s="261" t="n"/>
      <c r="N58" s="262" t="n"/>
      <c r="O58" s="262" t="n"/>
      <c r="P58" s="262" t="n"/>
      <c r="Q58" s="262" t="n"/>
      <c r="R58" s="262" t="n"/>
    </row>
    <row r="59" ht="15" customHeight="1" s="828">
      <c r="A59" s="974" t="n"/>
      <c r="B59" s="699" t="n"/>
      <c r="C59" s="699" t="n"/>
      <c r="D59" s="699" t="n"/>
      <c r="E59" s="699" t="n"/>
      <c r="F59" s="699" t="n"/>
      <c r="G59" s="260" t="n"/>
      <c r="H59" s="261" t="n"/>
      <c r="I59" s="261" t="n"/>
      <c r="J59" s="261" t="n"/>
      <c r="K59" s="261" t="n"/>
      <c r="L59" s="261" t="n"/>
      <c r="N59" s="262" t="n"/>
      <c r="O59" s="262" t="n"/>
      <c r="P59" s="262" t="n"/>
      <c r="Q59" s="262" t="n"/>
      <c r="R59" s="262" t="n"/>
    </row>
    <row r="60" ht="15" customHeight="1" s="828">
      <c r="A60" s="974" t="n"/>
      <c r="B60" s="699" t="n"/>
      <c r="C60" s="699" t="n"/>
      <c r="D60" s="699" t="n"/>
      <c r="E60" s="699" t="n"/>
      <c r="F60" s="699" t="n"/>
      <c r="G60" s="260" t="n"/>
      <c r="H60" s="261" t="n"/>
      <c r="I60" s="261" t="n"/>
      <c r="J60" s="261" t="n"/>
      <c r="K60" s="261" t="n"/>
      <c r="L60" s="261" t="n"/>
      <c r="N60" s="262" t="n"/>
      <c r="O60" s="262" t="n"/>
      <c r="P60" s="262" t="n"/>
      <c r="Q60" s="262" t="n"/>
      <c r="R60" s="262" t="n"/>
    </row>
    <row r="61" ht="15" customHeight="1" s="828">
      <c r="A61" s="974" t="n"/>
      <c r="B61" s="699" t="n"/>
      <c r="C61" s="699" t="n"/>
      <c r="D61" s="699" t="n"/>
      <c r="E61" s="699" t="n"/>
      <c r="F61" s="699" t="n"/>
      <c r="G61" s="260" t="n"/>
      <c r="H61" s="261" t="n"/>
      <c r="I61" s="261" t="n"/>
      <c r="J61" s="261" t="n"/>
      <c r="K61" s="261" t="n"/>
      <c r="L61" s="261" t="n"/>
      <c r="N61" s="262" t="n"/>
      <c r="O61" s="262" t="n"/>
      <c r="P61" s="262" t="n"/>
      <c r="Q61" s="262" t="n"/>
      <c r="R61" s="262" t="n"/>
    </row>
    <row r="62" ht="15" customHeight="1" s="828">
      <c r="A62" s="974" t="n"/>
      <c r="B62" s="699" t="n"/>
      <c r="C62" s="699" t="n"/>
      <c r="D62" s="699" t="n"/>
      <c r="E62" s="699" t="n"/>
      <c r="F62" s="699" t="n"/>
      <c r="G62" s="260" t="n"/>
      <c r="H62" s="261" t="n"/>
      <c r="I62" s="261" t="n"/>
      <c r="J62" s="261" t="n"/>
      <c r="K62" s="261" t="n"/>
      <c r="L62" s="261" t="n"/>
      <c r="N62" s="262" t="n"/>
      <c r="O62" s="262" t="n"/>
      <c r="P62" s="262" t="n"/>
      <c r="Q62" s="262" t="n"/>
      <c r="R62" s="262" t="n"/>
    </row>
    <row r="63" ht="15" customHeight="1" s="828">
      <c r="A63" s="974" t="n"/>
      <c r="B63" s="699" t="n"/>
      <c r="C63" s="699" t="n"/>
      <c r="D63" s="699" t="n"/>
      <c r="E63" s="699" t="n"/>
      <c r="F63" s="699" t="n"/>
      <c r="G63" s="260" t="n"/>
      <c r="H63" s="261" t="n"/>
      <c r="I63" s="261" t="n"/>
      <c r="J63" s="261" t="n"/>
      <c r="K63" s="261" t="n"/>
      <c r="L63" s="261" t="n"/>
      <c r="N63" s="262" t="n"/>
      <c r="O63" s="262" t="n"/>
      <c r="P63" s="262" t="n"/>
      <c r="Q63" s="262" t="n"/>
      <c r="R63" s="262" t="n"/>
    </row>
    <row r="64" ht="15" customHeight="1" s="828">
      <c r="A64" s="974" t="n"/>
      <c r="B64" s="699" t="n"/>
      <c r="C64" s="699" t="n"/>
      <c r="D64" s="699" t="n"/>
      <c r="E64" s="699" t="n"/>
      <c r="F64" s="699" t="n"/>
      <c r="G64" s="260" t="n"/>
      <c r="H64" s="261" t="n"/>
      <c r="I64" s="261" t="n"/>
      <c r="J64" s="261" t="n"/>
      <c r="K64" s="261" t="n"/>
      <c r="L64" s="261" t="n"/>
      <c r="N64" s="262" t="n"/>
      <c r="O64" s="262" t="n"/>
      <c r="P64" s="262" t="n"/>
      <c r="Q64" s="262" t="n"/>
      <c r="R64" s="262" t="n"/>
    </row>
    <row r="65" ht="15" customHeight="1" s="828">
      <c r="A65" s="974" t="n"/>
      <c r="B65" s="699" t="n"/>
      <c r="C65" s="699" t="n"/>
      <c r="D65" s="699" t="n"/>
      <c r="E65" s="699" t="n"/>
      <c r="F65" s="699" t="n"/>
      <c r="G65" s="260" t="n"/>
      <c r="H65" s="261" t="n"/>
      <c r="I65" s="261" t="n"/>
      <c r="J65" s="261" t="n"/>
      <c r="K65" s="261" t="n"/>
      <c r="L65" s="261" t="n"/>
      <c r="N65" s="262" t="n"/>
      <c r="O65" s="262" t="n"/>
      <c r="P65" s="262" t="n"/>
      <c r="Q65" s="262" t="n"/>
      <c r="R65" s="262" t="n"/>
    </row>
    <row r="66" ht="15" customHeight="1" s="828">
      <c r="A66" s="974" t="n"/>
      <c r="B66" s="699" t="n"/>
      <c r="C66" s="699" t="n"/>
      <c r="D66" s="699" t="n"/>
      <c r="E66" s="699" t="n"/>
      <c r="F66" s="699" t="n"/>
      <c r="G66" s="260" t="n"/>
      <c r="H66" s="261" t="n"/>
      <c r="I66" s="261" t="n"/>
      <c r="J66" s="261" t="n"/>
      <c r="K66" s="261" t="n"/>
      <c r="L66" s="261" t="n"/>
      <c r="N66" s="262" t="n"/>
      <c r="O66" s="262" t="n"/>
      <c r="P66" s="262" t="n"/>
      <c r="Q66" s="262" t="n"/>
      <c r="R66" s="262" t="n"/>
    </row>
    <row r="67" ht="15" customHeight="1" s="828">
      <c r="A67" s="974" t="n"/>
      <c r="B67" s="699" t="n"/>
      <c r="C67" s="699" t="n"/>
      <c r="D67" s="699" t="n"/>
      <c r="E67" s="699" t="n"/>
      <c r="F67" s="699" t="n"/>
      <c r="G67" s="260" t="n"/>
      <c r="H67" s="261" t="n"/>
      <c r="I67" s="261" t="n"/>
      <c r="J67" s="261" t="n"/>
      <c r="K67" s="261" t="n"/>
      <c r="L67" s="261" t="n"/>
      <c r="N67" s="262" t="n"/>
      <c r="O67" s="262" t="n"/>
      <c r="P67" s="262" t="n"/>
      <c r="Q67" s="262" t="n"/>
      <c r="R67" s="262" t="n"/>
    </row>
    <row r="68" ht="15" customHeight="1" s="828">
      <c r="A68" s="974" t="n"/>
      <c r="B68" s="699" t="n"/>
      <c r="C68" s="699" t="n"/>
      <c r="D68" s="699" t="n"/>
      <c r="E68" s="699" t="n"/>
      <c r="F68" s="699" t="n"/>
      <c r="G68" s="260" t="n"/>
      <c r="H68" s="261" t="n"/>
      <c r="I68" s="261" t="n"/>
      <c r="J68" s="261" t="n"/>
      <c r="K68" s="261" t="n"/>
      <c r="L68" s="261" t="n"/>
      <c r="N68" s="262" t="n"/>
      <c r="O68" s="262" t="n"/>
      <c r="P68" s="262" t="n"/>
      <c r="Q68" s="262" t="n"/>
      <c r="R68" s="262" t="n"/>
    </row>
    <row r="69" ht="15" customHeight="1" s="828">
      <c r="A69" s="974" t="n"/>
      <c r="B69" s="699" t="n"/>
      <c r="C69" s="699" t="n"/>
      <c r="D69" s="699" t="n"/>
      <c r="E69" s="699" t="n"/>
      <c r="F69" s="699" t="n"/>
      <c r="G69" s="260" t="n"/>
      <c r="H69" s="261" t="n"/>
      <c r="I69" s="261" t="n"/>
      <c r="J69" s="261" t="n"/>
      <c r="K69" s="261" t="n"/>
      <c r="L69" s="261" t="n"/>
      <c r="N69" s="262" t="n"/>
      <c r="O69" s="262" t="n"/>
      <c r="P69" s="262" t="n"/>
      <c r="Q69" s="262" t="n"/>
      <c r="R69" s="262" t="n"/>
    </row>
    <row r="70" ht="15" customHeight="1" s="828">
      <c r="A70" s="974" t="n"/>
      <c r="B70" s="699" t="n"/>
      <c r="C70" s="699" t="n"/>
      <c r="D70" s="699" t="n"/>
      <c r="E70" s="699" t="n"/>
      <c r="F70" s="699" t="n"/>
      <c r="G70" s="260" t="n"/>
      <c r="H70" s="261" t="n"/>
      <c r="I70" s="261" t="n"/>
      <c r="J70" s="261" t="n"/>
      <c r="K70" s="261" t="n"/>
      <c r="L70" s="261" t="n"/>
      <c r="N70" s="262" t="n"/>
      <c r="O70" s="262" t="n"/>
      <c r="P70" s="262" t="n"/>
      <c r="Q70" s="262" t="n"/>
      <c r="R70" s="262" t="n"/>
    </row>
    <row r="71" ht="15" customHeight="1" s="828">
      <c r="A71" s="974" t="n"/>
      <c r="B71" s="699" t="n"/>
      <c r="C71" s="699" t="n"/>
      <c r="D71" s="699" t="n"/>
      <c r="E71" s="699" t="n"/>
      <c r="F71" s="699" t="n"/>
      <c r="G71" s="260" t="n"/>
      <c r="H71" s="261" t="n"/>
      <c r="I71" s="261" t="n"/>
      <c r="J71" s="261" t="n"/>
      <c r="K71" s="261" t="n"/>
      <c r="L71" s="261" t="n"/>
      <c r="N71" s="262" t="n"/>
      <c r="O71" s="262" t="n"/>
      <c r="P71" s="262" t="n"/>
      <c r="Q71" s="262" t="n"/>
      <c r="R71" s="262" t="n"/>
    </row>
    <row r="72" ht="15" customHeight="1" s="828">
      <c r="A72" s="974" t="n"/>
      <c r="B72" s="699" t="n"/>
      <c r="C72" s="699" t="n"/>
      <c r="D72" s="699" t="n"/>
      <c r="E72" s="699" t="n"/>
      <c r="F72" s="699" t="n"/>
      <c r="G72" s="260" t="n"/>
      <c r="H72" s="261" t="n"/>
      <c r="I72" s="261" t="n"/>
      <c r="J72" s="261" t="n"/>
      <c r="K72" s="261" t="n"/>
      <c r="L72" s="261" t="n"/>
      <c r="N72" s="262" t="n"/>
      <c r="O72" s="262" t="n"/>
      <c r="P72" s="262" t="n"/>
      <c r="Q72" s="262" t="n"/>
      <c r="R72" s="262" t="n"/>
    </row>
    <row r="73" ht="15" customHeight="1" s="828">
      <c r="A73" s="974" t="n"/>
      <c r="B73" s="699" t="n"/>
      <c r="C73" s="699" t="n"/>
      <c r="D73" s="699" t="n"/>
      <c r="E73" s="699" t="n"/>
      <c r="F73" s="699" t="n"/>
      <c r="G73" s="260" t="n"/>
      <c r="H73" s="261" t="n"/>
      <c r="I73" s="261" t="n"/>
      <c r="J73" s="261" t="n"/>
      <c r="K73" s="261" t="n"/>
      <c r="L73" s="261" t="n"/>
      <c r="N73" s="262" t="n"/>
      <c r="O73" s="262" t="n"/>
      <c r="P73" s="262" t="n"/>
      <c r="Q73" s="262" t="n"/>
      <c r="R73" s="262" t="n"/>
    </row>
    <row r="74" ht="15" customHeight="1" s="828">
      <c r="A74" s="974" t="n"/>
      <c r="B74" s="699" t="n"/>
      <c r="C74" s="699" t="n"/>
      <c r="D74" s="699" t="n"/>
      <c r="E74" s="699" t="n"/>
      <c r="F74" s="699" t="n"/>
      <c r="G74" s="260" t="n"/>
      <c r="H74" s="261" t="n"/>
      <c r="I74" s="261" t="n"/>
      <c r="J74" s="261" t="n"/>
      <c r="K74" s="261" t="n"/>
      <c r="L74" s="261" t="n"/>
      <c r="N74" s="262" t="n"/>
      <c r="O74" s="262" t="n"/>
      <c r="P74" s="262" t="n"/>
      <c r="Q74" s="262" t="n"/>
      <c r="R74" s="262" t="n"/>
    </row>
    <row r="75" ht="15" customHeight="1" s="828">
      <c r="A75" s="974" t="n"/>
      <c r="B75" s="699" t="n"/>
      <c r="C75" s="699" t="n"/>
      <c r="D75" s="699" t="n"/>
      <c r="E75" s="699" t="n"/>
      <c r="F75" s="699" t="n"/>
      <c r="G75" s="260" t="n"/>
      <c r="H75" s="261" t="n"/>
      <c r="I75" s="261" t="n"/>
      <c r="J75" s="261" t="n"/>
      <c r="K75" s="261" t="n"/>
      <c r="L75" s="261" t="n"/>
      <c r="N75" s="262" t="n"/>
      <c r="O75" s="262" t="n"/>
      <c r="P75" s="262" t="n"/>
      <c r="Q75" s="262" t="n"/>
      <c r="R75" s="262" t="n"/>
    </row>
    <row r="76" ht="15" customHeight="1" s="828">
      <c r="A76" s="974" t="n"/>
      <c r="B76" s="699" t="n"/>
      <c r="C76" s="699" t="n"/>
      <c r="D76" s="699" t="n"/>
      <c r="E76" s="699" t="n"/>
      <c r="F76" s="699" t="n"/>
      <c r="G76" s="260" t="n"/>
      <c r="H76" s="261" t="n"/>
      <c r="I76" s="261" t="n"/>
      <c r="J76" s="261" t="n"/>
      <c r="K76" s="261" t="n"/>
      <c r="L76" s="261" t="n"/>
      <c r="N76" s="262" t="n"/>
      <c r="O76" s="262" t="n"/>
      <c r="P76" s="262" t="n"/>
      <c r="Q76" s="262" t="n"/>
      <c r="R76" s="262" t="n"/>
    </row>
    <row r="77" ht="15" customHeight="1" s="828">
      <c r="A77" s="974" t="n"/>
      <c r="B77" s="699" t="n"/>
      <c r="C77" s="699" t="n"/>
      <c r="D77" s="699" t="n"/>
      <c r="E77" s="699" t="n"/>
      <c r="F77" s="699" t="n"/>
      <c r="G77" s="260" t="n"/>
      <c r="H77" s="261" t="n"/>
      <c r="I77" s="261" t="n"/>
      <c r="J77" s="261" t="n"/>
      <c r="K77" s="261" t="n"/>
      <c r="L77" s="261" t="n"/>
      <c r="N77" s="262" t="n"/>
      <c r="O77" s="262" t="n"/>
      <c r="P77" s="262" t="n"/>
      <c r="Q77" s="262" t="n"/>
      <c r="R77" s="262" t="n"/>
    </row>
    <row r="78" ht="15" customHeight="1" s="828">
      <c r="A78" s="974" t="n"/>
      <c r="B78" s="699" t="n"/>
      <c r="C78" s="699" t="n"/>
      <c r="D78" s="699" t="n"/>
      <c r="E78" s="699" t="n"/>
      <c r="F78" s="699" t="n"/>
      <c r="G78" s="260" t="n"/>
      <c r="H78" s="261" t="n"/>
      <c r="I78" s="261" t="n"/>
      <c r="J78" s="261" t="n"/>
      <c r="K78" s="261" t="n"/>
      <c r="L78" s="261" t="n"/>
      <c r="N78" s="262" t="n"/>
      <c r="O78" s="262" t="n"/>
      <c r="P78" s="262" t="n"/>
      <c r="Q78" s="262" t="n"/>
      <c r="R78" s="262" t="n"/>
    </row>
    <row r="79" ht="15" customHeight="1" s="828">
      <c r="A79" s="974" t="n"/>
      <c r="B79" s="699" t="n"/>
      <c r="C79" s="699" t="n"/>
      <c r="D79" s="699" t="n"/>
      <c r="E79" s="699" t="n"/>
      <c r="F79" s="699" t="n"/>
      <c r="G79" s="260" t="n"/>
      <c r="H79" s="261" t="n"/>
      <c r="I79" s="261" t="n"/>
      <c r="J79" s="261" t="n"/>
      <c r="K79" s="261" t="n"/>
      <c r="L79" s="261" t="n"/>
      <c r="N79" s="262" t="n"/>
      <c r="O79" s="262" t="n"/>
      <c r="P79" s="262" t="n"/>
      <c r="Q79" s="262" t="n"/>
      <c r="R79" s="262" t="n"/>
    </row>
    <row r="80" ht="15" customHeight="1" s="828">
      <c r="A80" s="974" t="n"/>
      <c r="B80" s="699" t="n"/>
      <c r="C80" s="699" t="n"/>
      <c r="D80" s="699" t="n"/>
      <c r="E80" s="699" t="n"/>
      <c r="F80" s="699" t="n"/>
      <c r="G80" s="260" t="n"/>
      <c r="H80" s="261" t="n"/>
      <c r="I80" s="261" t="n"/>
      <c r="J80" s="261" t="n"/>
      <c r="K80" s="261" t="n"/>
      <c r="L80" s="261" t="n"/>
      <c r="N80" s="262" t="n"/>
      <c r="O80" s="262" t="n"/>
      <c r="P80" s="262" t="n"/>
      <c r="Q80" s="262" t="n"/>
      <c r="R80" s="262" t="n"/>
    </row>
    <row r="81" ht="15" customHeight="1" s="828">
      <c r="A81" s="974" t="n"/>
      <c r="B81" s="699" t="n"/>
      <c r="C81" s="699" t="n"/>
      <c r="D81" s="699" t="n"/>
      <c r="E81" s="699" t="n"/>
      <c r="F81" s="699" t="n"/>
      <c r="G81" s="260" t="n"/>
      <c r="H81" s="261" t="n"/>
      <c r="I81" s="261" t="n"/>
      <c r="J81" s="261" t="n"/>
      <c r="K81" s="261" t="n"/>
      <c r="L81" s="261" t="n"/>
      <c r="N81" s="262" t="n"/>
      <c r="O81" s="262" t="n"/>
      <c r="P81" s="262" t="n"/>
      <c r="Q81" s="262" t="n"/>
      <c r="R81" s="262" t="n"/>
    </row>
    <row r="82" ht="15" customHeight="1" s="828">
      <c r="A82" s="974" t="n"/>
      <c r="B82" s="699" t="n"/>
      <c r="C82" s="699" t="n"/>
      <c r="D82" s="699" t="n"/>
      <c r="E82" s="699" t="n"/>
      <c r="F82" s="699" t="n"/>
      <c r="G82" s="260" t="n"/>
      <c r="H82" s="261" t="n"/>
      <c r="I82" s="261" t="n"/>
      <c r="J82" s="261" t="n"/>
      <c r="K82" s="261" t="n"/>
      <c r="L82" s="261" t="n"/>
      <c r="N82" s="262" t="n"/>
      <c r="O82" s="262" t="n"/>
      <c r="P82" s="262" t="n"/>
      <c r="Q82" s="262" t="n"/>
      <c r="R82" s="262" t="n"/>
    </row>
    <row r="83" ht="15" customHeight="1" s="828">
      <c r="A83" s="974" t="n"/>
      <c r="B83" s="699" t="n"/>
      <c r="C83" s="699" t="n"/>
      <c r="D83" s="699" t="n"/>
      <c r="E83" s="699" t="n"/>
      <c r="F83" s="699" t="n"/>
      <c r="G83" s="260" t="n"/>
      <c r="H83" s="261" t="n"/>
      <c r="I83" s="261" t="n"/>
      <c r="J83" s="261" t="n"/>
      <c r="K83" s="261" t="n"/>
      <c r="L83" s="261" t="n"/>
      <c r="N83" s="262" t="n"/>
      <c r="O83" s="262" t="n"/>
      <c r="P83" s="262" t="n"/>
      <c r="Q83" s="262" t="n"/>
      <c r="R83" s="262" t="n"/>
    </row>
    <row r="84" ht="15" customHeight="1" s="828">
      <c r="A84" s="974" t="n"/>
      <c r="B84" s="699" t="n"/>
      <c r="C84" s="699" t="n"/>
      <c r="D84" s="699" t="n"/>
      <c r="E84" s="699" t="n"/>
      <c r="F84" s="699" t="n"/>
      <c r="G84" s="260" t="n"/>
      <c r="H84" s="261" t="n"/>
      <c r="I84" s="261" t="n"/>
      <c r="J84" s="261" t="n"/>
      <c r="K84" s="261" t="n"/>
      <c r="L84" s="261" t="n"/>
      <c r="N84" s="262" t="n"/>
      <c r="O84" s="262" t="n"/>
      <c r="P84" s="262" t="n"/>
      <c r="Q84" s="262" t="n"/>
      <c r="R84" s="262" t="n"/>
    </row>
    <row r="85" ht="15" customHeight="1" s="828">
      <c r="A85" s="974" t="n"/>
      <c r="B85" s="699" t="n"/>
      <c r="C85" s="699" t="n"/>
      <c r="D85" s="699" t="n"/>
      <c r="E85" s="699" t="n"/>
      <c r="F85" s="699" t="n"/>
      <c r="G85" s="260" t="n"/>
      <c r="H85" s="261" t="n"/>
      <c r="I85" s="261" t="n"/>
      <c r="J85" s="261" t="n"/>
      <c r="K85" s="261" t="n"/>
      <c r="L85" s="261" t="n"/>
      <c r="N85" s="262" t="n"/>
      <c r="O85" s="262" t="n"/>
      <c r="P85" s="262" t="n"/>
      <c r="Q85" s="262" t="n"/>
      <c r="R85" s="262" t="n"/>
    </row>
    <row r="86" ht="15" customHeight="1" s="828">
      <c r="A86" s="974" t="n"/>
      <c r="B86" s="699" t="n"/>
      <c r="C86" s="699" t="n"/>
      <c r="D86" s="699" t="n"/>
      <c r="E86" s="699" t="n"/>
      <c r="F86" s="699" t="n"/>
      <c r="G86" s="260" t="n"/>
      <c r="H86" s="261" t="n"/>
      <c r="I86" s="261" t="n"/>
      <c r="J86" s="261" t="n"/>
      <c r="K86" s="261" t="n"/>
      <c r="L86" s="261" t="n"/>
      <c r="N86" s="262" t="n"/>
      <c r="O86" s="262" t="n"/>
      <c r="P86" s="262" t="n"/>
      <c r="Q86" s="262" t="n"/>
      <c r="R86" s="262" t="n"/>
    </row>
    <row r="87" ht="15" customHeight="1" s="828">
      <c r="A87" s="974" t="n"/>
      <c r="B87" s="699" t="n"/>
      <c r="C87" s="699" t="n"/>
      <c r="D87" s="699" t="n"/>
      <c r="E87" s="699" t="n"/>
      <c r="F87" s="699" t="n"/>
      <c r="G87" s="260" t="n"/>
      <c r="H87" s="261" t="n"/>
      <c r="I87" s="261" t="n"/>
      <c r="J87" s="261" t="n"/>
      <c r="K87" s="261" t="n"/>
      <c r="L87" s="261" t="n"/>
      <c r="N87" s="262" t="n"/>
      <c r="O87" s="262" t="n"/>
      <c r="P87" s="262" t="n"/>
      <c r="Q87" s="262" t="n"/>
      <c r="R87" s="262" t="n"/>
    </row>
    <row r="88" ht="15" customHeight="1" s="828">
      <c r="A88" s="974" t="n"/>
      <c r="B88" s="699" t="n"/>
      <c r="C88" s="699" t="n"/>
      <c r="D88" s="699" t="n"/>
      <c r="E88" s="699" t="n"/>
      <c r="F88" s="699" t="n"/>
      <c r="G88" s="260" t="n"/>
      <c r="H88" s="261" t="n"/>
      <c r="I88" s="261" t="n"/>
      <c r="J88" s="261" t="n"/>
      <c r="K88" s="261" t="n"/>
      <c r="L88" s="261" t="n"/>
      <c r="N88" s="262" t="n"/>
      <c r="O88" s="262" t="n"/>
      <c r="P88" s="262" t="n"/>
      <c r="Q88" s="262" t="n"/>
      <c r="R88" s="262" t="n"/>
    </row>
    <row r="89" ht="15" customHeight="1" s="828">
      <c r="A89" s="974" t="n"/>
      <c r="B89" s="699" t="n"/>
      <c r="C89" s="699" t="n"/>
      <c r="D89" s="699" t="n"/>
      <c r="E89" s="699" t="n"/>
      <c r="F89" s="699" t="n"/>
      <c r="G89" s="260" t="n"/>
      <c r="H89" s="261" t="n"/>
      <c r="I89" s="261" t="n"/>
      <c r="J89" s="261" t="n"/>
      <c r="K89" s="261" t="n"/>
      <c r="L89" s="261" t="n"/>
      <c r="N89" s="262" t="n"/>
      <c r="O89" s="262" t="n"/>
      <c r="P89" s="262" t="n"/>
      <c r="Q89" s="262" t="n"/>
      <c r="R89" s="262" t="n"/>
    </row>
    <row r="90" ht="15" customHeight="1" s="828">
      <c r="A90" s="974" t="n"/>
      <c r="B90" s="699" t="n"/>
      <c r="C90" s="699" t="n"/>
      <c r="D90" s="699" t="n"/>
      <c r="E90" s="699" t="n"/>
      <c r="F90" s="699" t="n"/>
      <c r="G90" s="260" t="n"/>
      <c r="H90" s="261" t="n"/>
      <c r="I90" s="261" t="n"/>
      <c r="J90" s="261" t="n"/>
      <c r="K90" s="261" t="n"/>
      <c r="L90" s="261" t="n"/>
      <c r="N90" s="262" t="n"/>
      <c r="O90" s="262" t="n"/>
      <c r="P90" s="262" t="n"/>
      <c r="Q90" s="262" t="n"/>
      <c r="R90" s="262" t="n"/>
    </row>
    <row r="91" ht="15" customHeight="1" s="828">
      <c r="A91" s="974" t="n"/>
      <c r="B91" s="699" t="n"/>
      <c r="C91" s="699" t="n"/>
      <c r="D91" s="699" t="n"/>
      <c r="E91" s="699" t="n"/>
      <c r="F91" s="699" t="n"/>
      <c r="G91" s="260" t="n"/>
      <c r="H91" s="261" t="n"/>
      <c r="I91" s="261" t="n"/>
      <c r="J91" s="261" t="n"/>
      <c r="K91" s="261" t="n"/>
      <c r="L91" s="261" t="n"/>
      <c r="N91" s="262" t="n"/>
      <c r="O91" s="262" t="n"/>
      <c r="P91" s="262" t="n"/>
      <c r="Q91" s="262" t="n"/>
      <c r="R91" s="262" t="n"/>
    </row>
    <row r="92" ht="15" customHeight="1" s="828">
      <c r="A92" s="974" t="n"/>
      <c r="B92" s="699" t="n"/>
      <c r="C92" s="699" t="n"/>
      <c r="D92" s="699" t="n"/>
      <c r="E92" s="699" t="n"/>
      <c r="F92" s="699" t="n"/>
      <c r="G92" s="260" t="n"/>
      <c r="H92" s="261" t="n"/>
      <c r="I92" s="261" t="n"/>
      <c r="J92" s="261" t="n"/>
      <c r="K92" s="261" t="n"/>
      <c r="L92" s="261" t="n"/>
      <c r="N92" s="262" t="n"/>
      <c r="O92" s="262" t="n"/>
      <c r="P92" s="262" t="n"/>
      <c r="Q92" s="262" t="n"/>
      <c r="R92" s="262" t="n"/>
    </row>
    <row r="93" ht="15" customHeight="1" s="828">
      <c r="A93" s="974" t="n"/>
      <c r="B93" s="699" t="n"/>
      <c r="C93" s="699" t="n"/>
      <c r="D93" s="699" t="n"/>
      <c r="E93" s="699" t="n"/>
      <c r="F93" s="699" t="n"/>
      <c r="G93" s="260" t="n"/>
      <c r="H93" s="261" t="n"/>
      <c r="I93" s="261" t="n"/>
      <c r="J93" s="261" t="n"/>
      <c r="K93" s="261" t="n"/>
      <c r="L93" s="261" t="n"/>
      <c r="N93" s="262" t="n"/>
      <c r="O93" s="262" t="n"/>
      <c r="P93" s="262" t="n"/>
      <c r="Q93" s="262" t="n"/>
      <c r="R93" s="262" t="n"/>
    </row>
    <row r="94" ht="15" customHeight="1" s="828">
      <c r="A94" s="974" t="n"/>
      <c r="B94" s="699" t="n"/>
      <c r="C94" s="699" t="n"/>
      <c r="D94" s="699" t="n"/>
      <c r="E94" s="699" t="n"/>
      <c r="F94" s="699" t="n"/>
      <c r="G94" s="260" t="n"/>
      <c r="H94" s="261" t="n"/>
      <c r="I94" s="261" t="n"/>
      <c r="J94" s="261" t="n"/>
      <c r="K94" s="261" t="n"/>
      <c r="L94" s="261" t="n"/>
      <c r="N94" s="262" t="n"/>
      <c r="O94" s="262" t="n"/>
      <c r="P94" s="262" t="n"/>
      <c r="Q94" s="262" t="n"/>
      <c r="R94" s="262" t="n"/>
    </row>
    <row r="95" ht="15" customHeight="1" s="828">
      <c r="A95" s="974" t="n"/>
      <c r="B95" s="699" t="n"/>
      <c r="C95" s="699" t="n"/>
      <c r="D95" s="699" t="n"/>
      <c r="E95" s="699" t="n"/>
      <c r="F95" s="699" t="n"/>
      <c r="G95" s="260" t="n"/>
      <c r="H95" s="261" t="n"/>
      <c r="I95" s="261" t="n"/>
      <c r="J95" s="261" t="n"/>
      <c r="K95" s="261" t="n"/>
      <c r="L95" s="261" t="n"/>
      <c r="N95" s="262" t="n"/>
      <c r="O95" s="262" t="n"/>
      <c r="P95" s="262" t="n"/>
      <c r="Q95" s="262" t="n"/>
      <c r="R95" s="262" t="n"/>
    </row>
    <row r="96" ht="15" customHeight="1" s="828">
      <c r="A96" s="974" t="n"/>
      <c r="B96" s="699" t="n"/>
      <c r="C96" s="699" t="n"/>
      <c r="D96" s="699" t="n"/>
      <c r="E96" s="699" t="n"/>
      <c r="F96" s="699" t="n"/>
      <c r="G96" s="260" t="n"/>
      <c r="H96" s="261" t="n"/>
      <c r="I96" s="261" t="n"/>
      <c r="J96" s="261" t="n"/>
      <c r="K96" s="261" t="n"/>
      <c r="L96" s="261" t="n"/>
      <c r="N96" s="262" t="n"/>
      <c r="O96" s="262" t="n"/>
      <c r="P96" s="262" t="n"/>
      <c r="Q96" s="262" t="n"/>
      <c r="R96" s="262" t="n"/>
    </row>
    <row r="97" ht="15" customHeight="1" s="828">
      <c r="A97" s="974" t="n"/>
      <c r="B97" s="699" t="n"/>
      <c r="C97" s="699" t="n"/>
      <c r="D97" s="699" t="n"/>
      <c r="E97" s="699" t="n"/>
      <c r="F97" s="699" t="n"/>
      <c r="G97" s="260" t="n"/>
      <c r="H97" s="261" t="n"/>
      <c r="I97" s="261" t="n"/>
      <c r="J97" s="261" t="n"/>
      <c r="K97" s="261" t="n"/>
      <c r="L97" s="261" t="n"/>
      <c r="N97" s="262" t="n"/>
      <c r="O97" s="262" t="n"/>
      <c r="P97" s="262" t="n"/>
      <c r="Q97" s="262" t="n"/>
      <c r="R97" s="262" t="n"/>
    </row>
    <row r="98" ht="15" customHeight="1" s="828">
      <c r="A98" s="974" t="n"/>
      <c r="B98" s="699" t="n"/>
      <c r="C98" s="699" t="n"/>
      <c r="D98" s="699" t="n"/>
      <c r="E98" s="699" t="n"/>
      <c r="F98" s="699" t="n"/>
      <c r="G98" s="260" t="n"/>
      <c r="H98" s="261" t="n"/>
      <c r="I98" s="261" t="n"/>
      <c r="J98" s="261" t="n"/>
      <c r="K98" s="261" t="n"/>
      <c r="L98" s="261" t="n"/>
      <c r="N98" s="262" t="n"/>
      <c r="O98" s="262" t="n"/>
      <c r="P98" s="262" t="n"/>
      <c r="Q98" s="262" t="n"/>
      <c r="R98" s="262" t="n"/>
    </row>
    <row r="99" ht="15" customHeight="1" s="828">
      <c r="A99" s="974" t="n"/>
      <c r="B99" s="699" t="n"/>
      <c r="C99" s="699" t="n"/>
      <c r="D99" s="699" t="n"/>
      <c r="E99" s="699" t="n"/>
      <c r="F99" s="699" t="n"/>
      <c r="G99" s="260" t="n"/>
      <c r="H99" s="261" t="n"/>
      <c r="I99" s="261" t="n"/>
      <c r="J99" s="261" t="n"/>
      <c r="K99" s="261" t="n"/>
      <c r="L99" s="261" t="n"/>
      <c r="N99" s="262" t="n"/>
      <c r="O99" s="262" t="n"/>
      <c r="P99" s="262" t="n"/>
      <c r="Q99" s="262" t="n"/>
      <c r="R99" s="262" t="n"/>
    </row>
    <row r="100" ht="15" customHeight="1" s="828">
      <c r="A100" s="974" t="n"/>
      <c r="B100" s="699" t="n"/>
      <c r="C100" s="699" t="n"/>
      <c r="D100" s="699" t="n"/>
      <c r="E100" s="699" t="n"/>
      <c r="F100" s="699" t="n"/>
      <c r="G100" s="260" t="n"/>
      <c r="H100" s="261" t="n"/>
      <c r="I100" s="261" t="n"/>
      <c r="J100" s="261" t="n"/>
      <c r="K100" s="261" t="n"/>
      <c r="L100" s="261" t="n"/>
      <c r="N100" s="262" t="n"/>
      <c r="O100" s="262" t="n"/>
      <c r="P100" s="262" t="n"/>
      <c r="Q100" s="262" t="n"/>
      <c r="R100" s="262" t="n"/>
    </row>
    <row r="101" ht="15" customHeight="1" s="828">
      <c r="A101" s="974" t="n"/>
      <c r="B101" s="699" t="n"/>
      <c r="C101" s="699" t="n"/>
      <c r="D101" s="699" t="n"/>
      <c r="E101" s="699" t="n"/>
      <c r="F101" s="699" t="n"/>
      <c r="G101" s="260" t="n"/>
      <c r="H101" s="261" t="n"/>
      <c r="I101" s="261" t="n"/>
      <c r="J101" s="261" t="n"/>
      <c r="K101" s="261" t="n"/>
      <c r="L101" s="261" t="n"/>
      <c r="N101" s="262" t="n"/>
      <c r="O101" s="262" t="n"/>
      <c r="P101" s="262" t="n"/>
      <c r="Q101" s="262" t="n"/>
      <c r="R101" s="262" t="n"/>
    </row>
    <row r="102" ht="15" customHeight="1" s="828">
      <c r="A102" s="974" t="n"/>
      <c r="B102" s="699" t="n"/>
      <c r="C102" s="699" t="n"/>
      <c r="D102" s="699" t="n"/>
      <c r="E102" s="699" t="n"/>
      <c r="F102" s="699" t="n"/>
      <c r="G102" s="260" t="n"/>
      <c r="H102" s="261" t="n"/>
      <c r="I102" s="261" t="n"/>
      <c r="J102" s="261" t="n"/>
      <c r="K102" s="261" t="n"/>
      <c r="L102" s="261" t="n"/>
      <c r="N102" s="262" t="n"/>
      <c r="O102" s="262" t="n"/>
      <c r="P102" s="262" t="n"/>
      <c r="Q102" s="262" t="n"/>
      <c r="R102" s="262" t="n"/>
    </row>
    <row r="103" ht="15" customHeight="1" s="828">
      <c r="A103" s="974" t="n"/>
      <c r="B103" s="699" t="n"/>
      <c r="C103" s="699" t="n"/>
      <c r="D103" s="699" t="n"/>
      <c r="E103" s="699" t="n"/>
      <c r="F103" s="699" t="n"/>
      <c r="G103" s="260" t="n"/>
      <c r="H103" s="261" t="n"/>
      <c r="I103" s="261" t="n"/>
      <c r="J103" s="261" t="n"/>
      <c r="K103" s="261" t="n"/>
      <c r="L103" s="261" t="n"/>
      <c r="N103" s="262" t="n"/>
      <c r="O103" s="262" t="n"/>
      <c r="P103" s="262" t="n"/>
      <c r="Q103" s="262" t="n"/>
      <c r="R103" s="262" t="n"/>
    </row>
    <row r="104" ht="15" customHeight="1" s="828">
      <c r="A104" s="974" t="n"/>
      <c r="B104" s="699" t="n"/>
      <c r="C104" s="699" t="n"/>
      <c r="D104" s="699" t="n"/>
      <c r="E104" s="699" t="n"/>
      <c r="F104" s="699" t="n"/>
      <c r="G104" s="260" t="n"/>
      <c r="H104" s="261" t="n"/>
      <c r="I104" s="261" t="n"/>
      <c r="J104" s="261" t="n"/>
      <c r="K104" s="261" t="n"/>
      <c r="L104" s="261" t="n"/>
      <c r="N104" s="262" t="n"/>
      <c r="O104" s="262" t="n"/>
      <c r="P104" s="262" t="n"/>
      <c r="Q104" s="262" t="n"/>
      <c r="R104" s="262" t="n"/>
    </row>
    <row r="105" ht="15" customHeight="1" s="828">
      <c r="A105" s="974" t="n"/>
      <c r="B105" s="699" t="n"/>
      <c r="C105" s="699" t="n"/>
      <c r="D105" s="699" t="n"/>
      <c r="E105" s="699" t="n"/>
      <c r="F105" s="699" t="n"/>
      <c r="G105" s="260" t="n"/>
      <c r="H105" s="261" t="n"/>
      <c r="I105" s="261" t="n"/>
      <c r="J105" s="261" t="n"/>
      <c r="K105" s="261" t="n"/>
      <c r="L105" s="261" t="n"/>
      <c r="N105" s="262" t="n"/>
      <c r="O105" s="262" t="n"/>
      <c r="P105" s="262" t="n"/>
      <c r="Q105" s="262" t="n"/>
      <c r="R105" s="262" t="n"/>
    </row>
    <row r="106" ht="15" customHeight="1" s="828">
      <c r="A106" s="974" t="n"/>
      <c r="B106" s="699" t="n"/>
      <c r="C106" s="699" t="n"/>
      <c r="D106" s="699" t="n"/>
      <c r="E106" s="699" t="n"/>
      <c r="F106" s="699" t="n"/>
      <c r="G106" s="260" t="n"/>
      <c r="H106" s="261" t="n"/>
      <c r="I106" s="261" t="n"/>
      <c r="J106" s="261" t="n"/>
      <c r="K106" s="261" t="n"/>
      <c r="L106" s="261" t="n"/>
      <c r="N106" s="262" t="n"/>
      <c r="O106" s="262" t="n"/>
      <c r="P106" s="262" t="n"/>
      <c r="Q106" s="262" t="n"/>
      <c r="R106" s="262" t="n"/>
    </row>
    <row r="107" ht="15" customHeight="1" s="828">
      <c r="A107" s="974" t="n"/>
      <c r="B107" s="699" t="n"/>
      <c r="C107" s="699" t="n"/>
      <c r="D107" s="699" t="n"/>
      <c r="E107" s="699" t="n"/>
      <c r="F107" s="699" t="n"/>
      <c r="G107" s="260" t="n"/>
      <c r="H107" s="261" t="n"/>
      <c r="I107" s="261" t="n"/>
      <c r="J107" s="261" t="n"/>
      <c r="K107" s="261" t="n"/>
      <c r="L107" s="261" t="n"/>
      <c r="N107" s="262" t="n"/>
      <c r="O107" s="262" t="n"/>
      <c r="P107" s="262" t="n"/>
      <c r="Q107" s="262" t="n"/>
      <c r="R107" s="262" t="n"/>
    </row>
    <row r="108" ht="15" customHeight="1" s="828">
      <c r="A108" s="974" t="n"/>
      <c r="B108" s="699" t="n"/>
      <c r="C108" s="699" t="n"/>
      <c r="D108" s="699" t="n"/>
      <c r="E108" s="699" t="n"/>
      <c r="F108" s="699" t="n"/>
      <c r="G108" s="260" t="n"/>
      <c r="H108" s="261" t="n"/>
      <c r="I108" s="261" t="n"/>
      <c r="J108" s="261" t="n"/>
      <c r="K108" s="261" t="n"/>
      <c r="L108" s="261" t="n"/>
      <c r="N108" s="262" t="n"/>
      <c r="O108" s="262" t="n"/>
      <c r="P108" s="262" t="n"/>
      <c r="Q108" s="262" t="n"/>
      <c r="R108" s="262" t="n"/>
    </row>
    <row r="109" ht="15" customHeight="1" s="828">
      <c r="A109" s="974" t="n"/>
      <c r="B109" s="699" t="n"/>
      <c r="C109" s="699" t="n"/>
      <c r="D109" s="699" t="n"/>
      <c r="E109" s="699" t="n"/>
      <c r="F109" s="699" t="n"/>
      <c r="G109" s="260" t="n"/>
      <c r="H109" s="261" t="n"/>
      <c r="I109" s="261" t="n"/>
      <c r="J109" s="261" t="n"/>
      <c r="K109" s="261" t="n"/>
      <c r="L109" s="261" t="n"/>
      <c r="N109" s="262" t="n"/>
      <c r="O109" s="262" t="n"/>
      <c r="P109" s="262" t="n"/>
      <c r="Q109" s="262" t="n"/>
      <c r="R109" s="262" t="n"/>
    </row>
    <row r="110" ht="15" customHeight="1" s="828">
      <c r="A110" s="974" t="n"/>
      <c r="B110" s="699" t="n"/>
      <c r="C110" s="699" t="n"/>
      <c r="D110" s="699" t="n"/>
      <c r="E110" s="699" t="n"/>
      <c r="F110" s="699" t="n"/>
      <c r="G110" s="260" t="n"/>
      <c r="H110" s="261" t="n"/>
      <c r="I110" s="261" t="n"/>
      <c r="J110" s="261" t="n"/>
      <c r="K110" s="261" t="n"/>
      <c r="L110" s="261" t="n"/>
      <c r="N110" s="262" t="n"/>
      <c r="O110" s="262" t="n"/>
      <c r="P110" s="262" t="n"/>
      <c r="Q110" s="262" t="n"/>
      <c r="R110" s="262" t="n"/>
    </row>
    <row r="111" ht="15" customHeight="1" s="828">
      <c r="A111" s="974" t="n"/>
      <c r="B111" s="699" t="n"/>
      <c r="C111" s="699" t="n"/>
      <c r="D111" s="699" t="n"/>
      <c r="E111" s="699" t="n"/>
      <c r="F111" s="699" t="n"/>
      <c r="G111" s="260" t="n"/>
      <c r="H111" s="261" t="n"/>
      <c r="I111" s="261" t="n"/>
      <c r="J111" s="261" t="n"/>
      <c r="K111" s="261" t="n"/>
      <c r="L111" s="261" t="n"/>
      <c r="N111" s="262" t="n"/>
      <c r="O111" s="262" t="n"/>
      <c r="P111" s="262" t="n"/>
      <c r="Q111" s="262" t="n"/>
      <c r="R111" s="262" t="n"/>
    </row>
    <row r="112" ht="15" customHeight="1" s="828">
      <c r="A112" s="974" t="n"/>
      <c r="B112" s="699" t="n"/>
      <c r="C112" s="699" t="n"/>
      <c r="D112" s="699" t="n"/>
      <c r="E112" s="699" t="n"/>
      <c r="F112" s="699" t="n"/>
      <c r="G112" s="260" t="n"/>
      <c r="H112" s="261" t="n"/>
      <c r="I112" s="261" t="n"/>
      <c r="J112" s="261" t="n"/>
      <c r="K112" s="261" t="n"/>
      <c r="L112" s="261" t="n"/>
      <c r="N112" s="262" t="n"/>
      <c r="O112" s="262" t="n"/>
      <c r="P112" s="262" t="n"/>
      <c r="Q112" s="262" t="n"/>
      <c r="R112" s="262" t="n"/>
    </row>
    <row r="113" ht="15" customHeight="1" s="828">
      <c r="A113" s="974" t="n"/>
      <c r="B113" s="699" t="n"/>
      <c r="C113" s="699" t="n"/>
      <c r="D113" s="699" t="n"/>
      <c r="E113" s="699" t="n"/>
      <c r="F113" s="699" t="n"/>
      <c r="G113" s="260" t="n"/>
      <c r="H113" s="261" t="n"/>
      <c r="I113" s="261" t="n"/>
      <c r="J113" s="261" t="n"/>
      <c r="K113" s="261" t="n"/>
      <c r="L113" s="261" t="n"/>
      <c r="N113" s="262" t="n"/>
      <c r="O113" s="262" t="n"/>
      <c r="P113" s="262" t="n"/>
      <c r="Q113" s="262" t="n"/>
      <c r="R113" s="262" t="n"/>
    </row>
    <row r="114" ht="15" customHeight="1" s="828">
      <c r="A114" s="974" t="n"/>
      <c r="B114" s="699" t="n"/>
      <c r="C114" s="699" t="n"/>
      <c r="D114" s="699" t="n"/>
      <c r="E114" s="699" t="n"/>
      <c r="F114" s="699" t="n"/>
      <c r="G114" s="260" t="n"/>
      <c r="H114" s="261" t="n"/>
      <c r="I114" s="261" t="n"/>
      <c r="J114" s="261" t="n"/>
      <c r="K114" s="261" t="n"/>
      <c r="L114" s="261" t="n"/>
      <c r="N114" s="262" t="n"/>
      <c r="O114" s="262" t="n"/>
      <c r="P114" s="262" t="n"/>
      <c r="Q114" s="262" t="n"/>
      <c r="R114" s="262" t="n"/>
    </row>
    <row r="115" ht="15" customHeight="1" s="828">
      <c r="A115" s="974" t="n"/>
      <c r="B115" s="699" t="n"/>
      <c r="C115" s="699" t="n"/>
      <c r="D115" s="699" t="n"/>
      <c r="E115" s="699" t="n"/>
      <c r="F115" s="699" t="n"/>
      <c r="G115" s="260" t="n"/>
      <c r="H115" s="261" t="n"/>
      <c r="I115" s="261" t="n"/>
      <c r="J115" s="261" t="n"/>
      <c r="K115" s="261" t="n"/>
      <c r="L115" s="261" t="n"/>
      <c r="N115" s="262" t="n"/>
      <c r="O115" s="262" t="n"/>
      <c r="P115" s="262" t="n"/>
      <c r="Q115" s="262" t="n"/>
      <c r="R115" s="262" t="n"/>
    </row>
    <row r="116" ht="15" customHeight="1" s="828">
      <c r="A116" s="974" t="n"/>
      <c r="B116" s="699" t="n"/>
      <c r="C116" s="699" t="n"/>
      <c r="D116" s="699" t="n"/>
      <c r="E116" s="699" t="n"/>
      <c r="F116" s="699" t="n"/>
      <c r="G116" s="260" t="n"/>
      <c r="H116" s="261" t="n"/>
      <c r="I116" s="261" t="n"/>
      <c r="J116" s="261" t="n"/>
      <c r="K116" s="261" t="n"/>
      <c r="L116" s="261" t="n"/>
      <c r="N116" s="262" t="n"/>
      <c r="O116" s="262" t="n"/>
      <c r="P116" s="262" t="n"/>
      <c r="Q116" s="262" t="n"/>
      <c r="R116" s="262" t="n"/>
    </row>
    <row r="117" ht="15" customHeight="1" s="828">
      <c r="A117" s="974" t="n"/>
      <c r="B117" s="699" t="n"/>
      <c r="C117" s="699" t="n"/>
      <c r="D117" s="699" t="n"/>
      <c r="E117" s="699" t="n"/>
      <c r="F117" s="699" t="n"/>
      <c r="G117" s="260" t="n"/>
      <c r="H117" s="261" t="n"/>
      <c r="I117" s="261" t="n"/>
      <c r="J117" s="261" t="n"/>
      <c r="K117" s="261" t="n"/>
      <c r="L117" s="261" t="n"/>
      <c r="N117" s="262" t="n"/>
      <c r="O117" s="262" t="n"/>
      <c r="P117" s="262" t="n"/>
      <c r="Q117" s="262" t="n"/>
      <c r="R117" s="262" t="n"/>
    </row>
    <row r="118" ht="15" customHeight="1" s="828">
      <c r="A118" s="974" t="n"/>
      <c r="B118" s="699" t="n"/>
      <c r="C118" s="699" t="n"/>
      <c r="D118" s="699" t="n"/>
      <c r="E118" s="699" t="n"/>
      <c r="F118" s="699" t="n"/>
      <c r="G118" s="260" t="n"/>
      <c r="H118" s="261" t="n"/>
      <c r="I118" s="261" t="n"/>
      <c r="J118" s="261" t="n"/>
      <c r="K118" s="261" t="n"/>
      <c r="L118" s="261" t="n"/>
      <c r="N118" s="262" t="n"/>
      <c r="O118" s="262" t="n"/>
      <c r="P118" s="262" t="n"/>
      <c r="Q118" s="262" t="n"/>
      <c r="R118" s="262" t="n"/>
    </row>
    <row r="119" ht="15" customHeight="1" s="828">
      <c r="A119" s="974" t="n"/>
      <c r="B119" s="699" t="n"/>
      <c r="C119" s="699" t="n"/>
      <c r="D119" s="699" t="n"/>
      <c r="E119" s="699" t="n"/>
      <c r="F119" s="699" t="n"/>
      <c r="G119" s="260" t="n"/>
      <c r="H119" s="261" t="n"/>
      <c r="I119" s="261" t="n"/>
      <c r="J119" s="261" t="n"/>
      <c r="K119" s="261" t="n"/>
      <c r="L119" s="261" t="n"/>
      <c r="N119" s="262" t="n"/>
      <c r="O119" s="262" t="n"/>
      <c r="P119" s="262" t="n"/>
      <c r="Q119" s="262" t="n"/>
      <c r="R119" s="262" t="n"/>
    </row>
    <row r="120" ht="15" customHeight="1" s="828">
      <c r="A120" s="974" t="n"/>
      <c r="B120" s="699" t="n"/>
      <c r="C120" s="699" t="n"/>
      <c r="D120" s="699" t="n"/>
      <c r="E120" s="699" t="n"/>
      <c r="F120" s="699" t="n"/>
      <c r="G120" s="260" t="n"/>
      <c r="H120" s="261" t="n"/>
      <c r="I120" s="261" t="n"/>
      <c r="J120" s="261" t="n"/>
      <c r="K120" s="261" t="n"/>
      <c r="L120" s="261" t="n"/>
      <c r="N120" s="262" t="n"/>
      <c r="O120" s="262" t="n"/>
      <c r="P120" s="262" t="n"/>
      <c r="Q120" s="262" t="n"/>
      <c r="R120" s="262" t="n"/>
    </row>
    <row r="121" ht="15" customHeight="1" s="828">
      <c r="A121" s="974" t="n"/>
      <c r="B121" s="699" t="n"/>
      <c r="C121" s="699" t="n"/>
      <c r="D121" s="699" t="n"/>
      <c r="E121" s="699" t="n"/>
      <c r="F121" s="699" t="n"/>
      <c r="G121" s="260" t="n"/>
      <c r="H121" s="261" t="n"/>
      <c r="I121" s="261" t="n"/>
      <c r="J121" s="261" t="n"/>
      <c r="K121" s="261" t="n"/>
      <c r="L121" s="261" t="n"/>
      <c r="N121" s="262" t="n"/>
      <c r="O121" s="262" t="n"/>
      <c r="P121" s="262" t="n"/>
      <c r="Q121" s="262" t="n"/>
      <c r="R121" s="262" t="n"/>
    </row>
    <row r="122" ht="15" customHeight="1" s="828">
      <c r="A122" s="974" t="n"/>
      <c r="B122" s="699" t="n"/>
      <c r="C122" s="699" t="n"/>
      <c r="D122" s="699" t="n"/>
      <c r="E122" s="699" t="n"/>
      <c r="F122" s="699" t="n"/>
      <c r="G122" s="260" t="n"/>
      <c r="H122" s="261" t="n"/>
      <c r="I122" s="261" t="n"/>
      <c r="J122" s="261" t="n"/>
      <c r="K122" s="261" t="n"/>
      <c r="L122" s="261" t="n"/>
      <c r="N122" s="262" t="n"/>
      <c r="O122" s="262" t="n"/>
      <c r="P122" s="262" t="n"/>
      <c r="Q122" s="262" t="n"/>
      <c r="R122" s="262" t="n"/>
    </row>
    <row r="123" ht="15" customHeight="1" s="828">
      <c r="A123" s="974" t="n"/>
      <c r="B123" s="699" t="n"/>
      <c r="C123" s="699" t="n"/>
      <c r="D123" s="699" t="n"/>
      <c r="E123" s="699" t="n"/>
      <c r="F123" s="699" t="n"/>
      <c r="G123" s="260" t="n"/>
      <c r="H123" s="261" t="n"/>
      <c r="I123" s="261" t="n"/>
      <c r="J123" s="261" t="n"/>
      <c r="K123" s="261" t="n"/>
      <c r="L123" s="261" t="n"/>
      <c r="N123" s="262" t="n"/>
      <c r="O123" s="262" t="n"/>
      <c r="P123" s="262" t="n"/>
      <c r="Q123" s="262" t="n"/>
      <c r="R123" s="262" t="n"/>
    </row>
    <row r="124" ht="15" customHeight="1" s="828">
      <c r="A124" s="974" t="n"/>
      <c r="B124" s="699" t="n"/>
      <c r="C124" s="699" t="n"/>
      <c r="D124" s="699" t="n"/>
      <c r="E124" s="699" t="n"/>
      <c r="F124" s="699" t="n"/>
      <c r="G124" s="260" t="n"/>
      <c r="H124" s="261" t="n"/>
      <c r="I124" s="261" t="n"/>
      <c r="J124" s="261" t="n"/>
      <c r="K124" s="261" t="n"/>
      <c r="L124" s="261" t="n"/>
      <c r="N124" s="262" t="n"/>
      <c r="O124" s="262" t="n"/>
      <c r="P124" s="262" t="n"/>
      <c r="Q124" s="262" t="n"/>
      <c r="R124" s="262" t="n"/>
    </row>
    <row r="125" ht="15" customHeight="1" s="828">
      <c r="A125" s="974" t="n"/>
      <c r="B125" s="699" t="n"/>
      <c r="C125" s="699" t="n"/>
      <c r="D125" s="699" t="n"/>
      <c r="E125" s="699" t="n"/>
      <c r="F125" s="699" t="n"/>
      <c r="G125" s="260" t="n"/>
      <c r="H125" s="261" t="n"/>
      <c r="I125" s="261" t="n"/>
      <c r="J125" s="261" t="n"/>
      <c r="K125" s="261" t="n"/>
      <c r="L125" s="261" t="n"/>
      <c r="N125" s="262" t="n"/>
      <c r="O125" s="262" t="n"/>
      <c r="P125" s="262" t="n"/>
      <c r="Q125" s="262" t="n"/>
      <c r="R125" s="262" t="n"/>
    </row>
    <row r="126" ht="15" customHeight="1" s="828">
      <c r="A126" s="974" t="n"/>
      <c r="B126" s="699" t="n"/>
      <c r="C126" s="699" t="n"/>
      <c r="D126" s="699" t="n"/>
      <c r="E126" s="699" t="n"/>
      <c r="F126" s="699" t="n"/>
      <c r="G126" s="260" t="n"/>
      <c r="H126" s="261" t="n"/>
      <c r="I126" s="261" t="n"/>
      <c r="J126" s="261" t="n"/>
      <c r="K126" s="261" t="n"/>
      <c r="L126" s="261" t="n"/>
      <c r="N126" s="262" t="n"/>
      <c r="O126" s="262" t="n"/>
      <c r="P126" s="262" t="n"/>
      <c r="Q126" s="262" t="n"/>
      <c r="R126" s="262" t="n"/>
    </row>
    <row r="127" ht="15" customHeight="1" s="828">
      <c r="A127" s="974" t="n"/>
      <c r="B127" s="699" t="n"/>
      <c r="C127" s="699" t="n"/>
      <c r="D127" s="699" t="n"/>
      <c r="E127" s="699" t="n"/>
      <c r="F127" s="699" t="n"/>
      <c r="G127" s="260" t="n"/>
      <c r="H127" s="261" t="n"/>
      <c r="I127" s="261" t="n"/>
      <c r="J127" s="261" t="n"/>
      <c r="K127" s="261" t="n"/>
      <c r="L127" s="261" t="n"/>
      <c r="N127" s="262" t="n"/>
      <c r="O127" s="262" t="n"/>
      <c r="P127" s="262" t="n"/>
      <c r="Q127" s="262" t="n"/>
      <c r="R127" s="262" t="n"/>
    </row>
    <row r="128" ht="15" customHeight="1" s="828">
      <c r="A128" s="974" t="n"/>
      <c r="B128" s="699" t="n"/>
      <c r="C128" s="699" t="n"/>
      <c r="D128" s="699" t="n"/>
      <c r="E128" s="699" t="n"/>
      <c r="F128" s="699" t="n"/>
      <c r="G128" s="260" t="n"/>
      <c r="H128" s="261" t="n"/>
      <c r="I128" s="261" t="n"/>
      <c r="J128" s="261" t="n"/>
      <c r="K128" s="261" t="n"/>
      <c r="L128" s="261" t="n"/>
      <c r="N128" s="262" t="n"/>
      <c r="O128" s="262" t="n"/>
      <c r="P128" s="262" t="n"/>
      <c r="Q128" s="262" t="n"/>
      <c r="R128" s="262" t="n"/>
    </row>
    <row r="129" ht="15" customHeight="1" s="828">
      <c r="A129" s="974" t="n"/>
      <c r="B129" s="699" t="n"/>
      <c r="C129" s="699" t="n"/>
      <c r="D129" s="699" t="n"/>
      <c r="E129" s="699" t="n"/>
      <c r="F129" s="699" t="n"/>
      <c r="G129" s="260" t="n"/>
      <c r="H129" s="261" t="n"/>
      <c r="I129" s="261" t="n"/>
      <c r="J129" s="261" t="n"/>
      <c r="K129" s="261" t="n"/>
      <c r="L129" s="261" t="n"/>
      <c r="N129" s="262" t="n"/>
      <c r="O129" s="262" t="n"/>
      <c r="P129" s="262" t="n"/>
      <c r="Q129" s="262" t="n"/>
      <c r="R129" s="262" t="n"/>
    </row>
    <row r="130" ht="15" customHeight="1" s="828">
      <c r="A130" s="974" t="n"/>
      <c r="B130" s="699" t="n"/>
      <c r="C130" s="699" t="n"/>
      <c r="D130" s="699" t="n"/>
      <c r="E130" s="699" t="n"/>
      <c r="F130" s="699" t="n"/>
      <c r="G130" s="260" t="n"/>
      <c r="H130" s="261" t="n"/>
      <c r="I130" s="261" t="n"/>
      <c r="J130" s="261" t="n"/>
      <c r="K130" s="261" t="n"/>
      <c r="L130" s="261" t="n"/>
      <c r="N130" s="262" t="n"/>
      <c r="O130" s="262" t="n"/>
      <c r="P130" s="262" t="n"/>
      <c r="Q130" s="262" t="n"/>
      <c r="R130" s="262" t="n"/>
    </row>
    <row r="131" ht="15" customHeight="1" s="828">
      <c r="A131" s="974" t="n"/>
      <c r="B131" s="699" t="n"/>
      <c r="C131" s="699" t="n"/>
      <c r="D131" s="699" t="n"/>
      <c r="E131" s="699" t="n"/>
      <c r="F131" s="699" t="n"/>
      <c r="G131" s="260" t="n"/>
      <c r="H131" s="261" t="n"/>
      <c r="I131" s="261" t="n"/>
      <c r="J131" s="261" t="n"/>
      <c r="K131" s="261" t="n"/>
      <c r="L131" s="261" t="n"/>
      <c r="N131" s="262" t="n"/>
      <c r="O131" s="262" t="n"/>
      <c r="P131" s="262" t="n"/>
      <c r="Q131" s="262" t="n"/>
      <c r="R131" s="262" t="n"/>
    </row>
    <row r="132" ht="15" customHeight="1" s="828">
      <c r="A132" s="974" t="n"/>
      <c r="B132" s="699" t="n"/>
      <c r="C132" s="699" t="n"/>
      <c r="D132" s="699" t="n"/>
      <c r="E132" s="699" t="n"/>
      <c r="F132" s="699" t="n"/>
      <c r="G132" s="260" t="n"/>
      <c r="H132" s="261" t="n"/>
      <c r="I132" s="261" t="n"/>
      <c r="J132" s="261" t="n"/>
      <c r="K132" s="261" t="n"/>
      <c r="L132" s="261" t="n"/>
      <c r="N132" s="262" t="n"/>
      <c r="O132" s="262" t="n"/>
      <c r="P132" s="262" t="n"/>
      <c r="Q132" s="262" t="n"/>
      <c r="R132" s="262" t="n"/>
    </row>
    <row r="133" ht="15" customHeight="1" s="828">
      <c r="A133" s="974" t="n"/>
      <c r="B133" s="699" t="n"/>
      <c r="C133" s="699" t="n"/>
      <c r="D133" s="699" t="n"/>
      <c r="E133" s="699" t="n"/>
      <c r="F133" s="699" t="n"/>
      <c r="G133" s="260" t="n"/>
      <c r="H133" s="261" t="n"/>
      <c r="I133" s="261" t="n"/>
      <c r="J133" s="261" t="n"/>
      <c r="K133" s="261" t="n"/>
      <c r="L133" s="261" t="n"/>
      <c r="N133" s="262" t="n"/>
      <c r="O133" s="262" t="n"/>
      <c r="P133" s="262" t="n"/>
      <c r="Q133" s="262" t="n"/>
      <c r="R133" s="262" t="n"/>
    </row>
    <row r="134" ht="15" customHeight="1" s="828">
      <c r="A134" s="974" t="n"/>
      <c r="B134" s="699" t="n"/>
      <c r="C134" s="699" t="n"/>
      <c r="D134" s="699" t="n"/>
      <c r="E134" s="699" t="n"/>
      <c r="F134" s="699" t="n"/>
      <c r="G134" s="260" t="n"/>
      <c r="H134" s="261" t="n"/>
      <c r="I134" s="261" t="n"/>
      <c r="J134" s="261" t="n"/>
      <c r="K134" s="261" t="n"/>
      <c r="L134" s="261" t="n"/>
      <c r="N134" s="262" t="n"/>
      <c r="O134" s="262" t="n"/>
      <c r="P134" s="262" t="n"/>
      <c r="Q134" s="262" t="n"/>
      <c r="R134" s="262" t="n"/>
    </row>
    <row r="135" ht="15" customHeight="1" s="828">
      <c r="A135" s="974" t="n"/>
      <c r="B135" s="699" t="n"/>
      <c r="C135" s="699" t="n"/>
      <c r="D135" s="699" t="n"/>
      <c r="E135" s="699" t="n"/>
      <c r="F135" s="699" t="n"/>
      <c r="G135" s="260" t="n"/>
      <c r="H135" s="261" t="n"/>
      <c r="I135" s="261" t="n"/>
      <c r="J135" s="261" t="n"/>
      <c r="K135" s="261" t="n"/>
      <c r="L135" s="261" t="n"/>
      <c r="N135" s="262" t="n"/>
      <c r="O135" s="262" t="n"/>
      <c r="P135" s="262" t="n"/>
      <c r="Q135" s="262" t="n"/>
      <c r="R135" s="262" t="n"/>
    </row>
    <row r="136" ht="15" customHeight="1" s="828">
      <c r="A136" s="974" t="n"/>
      <c r="B136" s="699" t="n"/>
      <c r="C136" s="699" t="n"/>
      <c r="D136" s="699" t="n"/>
      <c r="E136" s="699" t="n"/>
      <c r="F136" s="699" t="n"/>
      <c r="G136" s="260" t="n"/>
      <c r="H136" s="261" t="n"/>
      <c r="I136" s="261" t="n"/>
      <c r="J136" s="261" t="n"/>
      <c r="K136" s="261" t="n"/>
      <c r="L136" s="261" t="n"/>
      <c r="N136" s="262" t="n"/>
      <c r="O136" s="262" t="n"/>
      <c r="P136" s="262" t="n"/>
      <c r="Q136" s="262" t="n"/>
      <c r="R136" s="262" t="n"/>
    </row>
    <row r="137" ht="15" customHeight="1" s="828">
      <c r="A137" s="974" t="n"/>
      <c r="B137" s="699" t="n"/>
      <c r="C137" s="699" t="n"/>
      <c r="D137" s="699" t="n"/>
      <c r="E137" s="699" t="n"/>
      <c r="F137" s="699" t="n"/>
      <c r="G137" s="260" t="n"/>
      <c r="H137" s="261" t="n"/>
      <c r="I137" s="261" t="n"/>
      <c r="J137" s="261" t="n"/>
      <c r="K137" s="261" t="n"/>
      <c r="L137" s="261" t="n"/>
      <c r="N137" s="262" t="n"/>
      <c r="O137" s="262" t="n"/>
      <c r="P137" s="262" t="n"/>
      <c r="Q137" s="262" t="n"/>
      <c r="R137" s="262" t="n"/>
    </row>
    <row r="138" ht="15" customHeight="1" s="828">
      <c r="A138" s="974" t="n"/>
      <c r="B138" s="699" t="n"/>
      <c r="C138" s="699" t="n"/>
      <c r="D138" s="699" t="n"/>
      <c r="E138" s="699" t="n"/>
      <c r="F138" s="699" t="n"/>
      <c r="G138" s="260" t="n"/>
      <c r="H138" s="261" t="n"/>
      <c r="I138" s="261" t="n"/>
      <c r="J138" s="261" t="n"/>
      <c r="K138" s="261" t="n"/>
      <c r="L138" s="261" t="n"/>
      <c r="N138" s="262" t="n"/>
      <c r="O138" s="262" t="n"/>
      <c r="P138" s="262" t="n"/>
      <c r="Q138" s="262" t="n"/>
      <c r="R138" s="262" t="n"/>
    </row>
    <row r="139" ht="15" customHeight="1" s="828">
      <c r="A139" s="974" t="n"/>
      <c r="B139" s="699" t="n"/>
      <c r="C139" s="699" t="n"/>
      <c r="D139" s="699" t="n"/>
      <c r="E139" s="699" t="n"/>
      <c r="F139" s="699" t="n"/>
      <c r="G139" s="260" t="n"/>
      <c r="H139" s="261" t="n"/>
      <c r="I139" s="261" t="n"/>
      <c r="J139" s="261" t="n"/>
      <c r="K139" s="261" t="n"/>
      <c r="L139" s="261" t="n"/>
      <c r="N139" s="262" t="n"/>
      <c r="O139" s="262" t="n"/>
      <c r="P139" s="262" t="n"/>
      <c r="Q139" s="262" t="n"/>
      <c r="R139" s="262" t="n"/>
    </row>
    <row r="140" ht="15" customHeight="1" s="828">
      <c r="A140" s="974" t="n"/>
      <c r="B140" s="699" t="n"/>
      <c r="C140" s="699" t="n"/>
      <c r="D140" s="699" t="n"/>
      <c r="E140" s="699" t="n"/>
      <c r="F140" s="699" t="n"/>
      <c r="G140" s="260" t="n"/>
      <c r="H140" s="261" t="n"/>
      <c r="I140" s="261" t="n"/>
      <c r="J140" s="261" t="n"/>
      <c r="K140" s="261" t="n"/>
      <c r="L140" s="261" t="n"/>
      <c r="N140" s="262" t="n"/>
      <c r="O140" s="262" t="n"/>
      <c r="P140" s="262" t="n"/>
      <c r="Q140" s="262" t="n"/>
      <c r="R140" s="262" t="n"/>
    </row>
    <row r="141" ht="15" customHeight="1" s="828">
      <c r="A141" s="974" t="n"/>
      <c r="B141" s="699" t="n"/>
      <c r="C141" s="699" t="n"/>
      <c r="D141" s="699" t="n"/>
      <c r="E141" s="699" t="n"/>
      <c r="F141" s="699" t="n"/>
      <c r="G141" s="260" t="n"/>
      <c r="H141" s="261" t="n"/>
      <c r="I141" s="261" t="n"/>
      <c r="J141" s="261" t="n"/>
      <c r="K141" s="261" t="n"/>
      <c r="L141" s="261" t="n"/>
      <c r="N141" s="262" t="n"/>
      <c r="O141" s="262" t="n"/>
      <c r="P141" s="262" t="n"/>
      <c r="Q141" s="262" t="n"/>
      <c r="R141" s="262" t="n"/>
    </row>
    <row r="142" ht="15" customHeight="1" s="828">
      <c r="A142" s="974" t="n"/>
      <c r="B142" s="699" t="n"/>
      <c r="C142" s="699" t="n"/>
      <c r="D142" s="699" t="n"/>
      <c r="E142" s="699" t="n"/>
      <c r="F142" s="699" t="n"/>
      <c r="G142" s="260" t="n"/>
      <c r="H142" s="261" t="n"/>
      <c r="I142" s="261" t="n"/>
      <c r="J142" s="261" t="n"/>
      <c r="K142" s="261" t="n"/>
      <c r="L142" s="261" t="n"/>
      <c r="N142" s="262" t="n"/>
      <c r="O142" s="262" t="n"/>
      <c r="P142" s="262" t="n"/>
      <c r="Q142" s="262" t="n"/>
      <c r="R142" s="262" t="n"/>
    </row>
    <row r="143" ht="15" customHeight="1" s="828">
      <c r="A143" s="974" t="n"/>
      <c r="B143" s="699" t="n"/>
      <c r="C143" s="699" t="n"/>
      <c r="D143" s="699" t="n"/>
      <c r="E143" s="699" t="n"/>
      <c r="F143" s="699" t="n"/>
      <c r="G143" s="260" t="n"/>
      <c r="H143" s="261" t="n"/>
      <c r="I143" s="261" t="n"/>
      <c r="J143" s="261" t="n"/>
      <c r="K143" s="261" t="n"/>
      <c r="L143" s="261" t="n"/>
      <c r="N143" s="262" t="n"/>
      <c r="O143" s="262" t="n"/>
      <c r="P143" s="262" t="n"/>
      <c r="Q143" s="262" t="n"/>
      <c r="R143" s="262" t="n"/>
    </row>
    <row r="144" ht="15" customHeight="1" s="828">
      <c r="A144" s="974" t="n"/>
      <c r="B144" s="699" t="n"/>
      <c r="C144" s="699" t="n"/>
      <c r="D144" s="699" t="n"/>
      <c r="E144" s="699" t="n"/>
      <c r="F144" s="699" t="n"/>
      <c r="G144" s="260" t="n"/>
      <c r="H144" s="261" t="n"/>
      <c r="I144" s="261" t="n"/>
      <c r="J144" s="261" t="n"/>
      <c r="K144" s="261" t="n"/>
      <c r="L144" s="261" t="n"/>
      <c r="N144" s="262" t="n"/>
      <c r="O144" s="262" t="n"/>
      <c r="P144" s="262" t="n"/>
      <c r="Q144" s="262" t="n"/>
      <c r="R144" s="262" t="n"/>
    </row>
    <row r="145" ht="15" customHeight="1" s="828">
      <c r="A145" s="974" t="n"/>
      <c r="B145" s="699" t="n"/>
      <c r="C145" s="699" t="n"/>
      <c r="D145" s="699" t="n"/>
      <c r="E145" s="699" t="n"/>
      <c r="F145" s="699" t="n"/>
      <c r="G145" s="260" t="n"/>
      <c r="H145" s="261" t="n"/>
      <c r="I145" s="261" t="n"/>
      <c r="J145" s="261" t="n"/>
      <c r="K145" s="261" t="n"/>
      <c r="L145" s="261" t="n"/>
      <c r="N145" s="262" t="n"/>
      <c r="O145" s="262" t="n"/>
      <c r="P145" s="262" t="n"/>
      <c r="Q145" s="262" t="n"/>
      <c r="R145" s="262" t="n"/>
    </row>
    <row r="146" ht="15" customHeight="1" s="828">
      <c r="A146" s="974" t="n"/>
      <c r="B146" s="699" t="n"/>
      <c r="C146" s="699" t="n"/>
      <c r="D146" s="699" t="n"/>
      <c r="E146" s="699" t="n"/>
      <c r="F146" s="699" t="n"/>
      <c r="G146" s="260" t="n"/>
      <c r="H146" s="261" t="n"/>
      <c r="I146" s="261" t="n"/>
      <c r="J146" s="261" t="n"/>
      <c r="K146" s="261" t="n"/>
      <c r="L146" s="261" t="n"/>
      <c r="N146" s="262" t="n"/>
      <c r="O146" s="262" t="n"/>
      <c r="P146" s="262" t="n"/>
      <c r="Q146" s="262" t="n"/>
      <c r="R146" s="262" t="n"/>
    </row>
    <row r="147" ht="15" customHeight="1" s="828">
      <c r="A147" s="974" t="n"/>
      <c r="B147" s="699" t="n"/>
      <c r="C147" s="699" t="n"/>
      <c r="D147" s="699" t="n"/>
      <c r="E147" s="699" t="n"/>
      <c r="F147" s="699" t="n"/>
      <c r="G147" s="260" t="n"/>
      <c r="H147" s="261" t="n"/>
      <c r="I147" s="261" t="n"/>
      <c r="J147" s="261" t="n"/>
      <c r="K147" s="261" t="n"/>
      <c r="L147" s="261" t="n"/>
      <c r="N147" s="262" t="n"/>
      <c r="O147" s="262" t="n"/>
      <c r="P147" s="262" t="n"/>
      <c r="Q147" s="262" t="n"/>
      <c r="R147" s="262" t="n"/>
    </row>
    <row r="148" ht="15" customHeight="1" s="828">
      <c r="A148" s="974" t="n"/>
      <c r="B148" s="699" t="n"/>
      <c r="C148" s="699" t="n"/>
      <c r="D148" s="699" t="n"/>
      <c r="E148" s="699" t="n"/>
      <c r="F148" s="699" t="n"/>
      <c r="G148" s="260" t="n"/>
      <c r="H148" s="261" t="n"/>
      <c r="I148" s="261" t="n"/>
      <c r="J148" s="261" t="n"/>
      <c r="K148" s="261" t="n"/>
      <c r="L148" s="261" t="n"/>
      <c r="N148" s="262" t="n"/>
      <c r="O148" s="262" t="n"/>
      <c r="P148" s="262" t="n"/>
      <c r="Q148" s="262" t="n"/>
      <c r="R148" s="262" t="n"/>
    </row>
    <row r="149" ht="15" customHeight="1" s="828">
      <c r="A149" s="974" t="n"/>
      <c r="B149" s="699" t="n"/>
      <c r="C149" s="699" t="n"/>
      <c r="D149" s="699" t="n"/>
      <c r="E149" s="699" t="n"/>
      <c r="F149" s="699" t="n"/>
      <c r="G149" s="260" t="n"/>
      <c r="H149" s="261" t="n"/>
      <c r="I149" s="261" t="n"/>
      <c r="J149" s="261" t="n"/>
      <c r="K149" s="261" t="n"/>
      <c r="L149" s="261" t="n"/>
      <c r="N149" s="262" t="n"/>
      <c r="O149" s="262" t="n"/>
      <c r="P149" s="262" t="n"/>
      <c r="Q149" s="262" t="n"/>
      <c r="R149" s="262" t="n"/>
    </row>
    <row r="150" ht="15" customHeight="1" s="828">
      <c r="A150" s="974" t="n"/>
      <c r="B150" s="699" t="n"/>
      <c r="C150" s="699" t="n"/>
      <c r="D150" s="699" t="n"/>
      <c r="E150" s="699" t="n"/>
      <c r="F150" s="699" t="n"/>
      <c r="G150" s="260" t="n"/>
      <c r="H150" s="261" t="n"/>
      <c r="I150" s="261" t="n"/>
      <c r="J150" s="261" t="n"/>
      <c r="K150" s="261" t="n"/>
      <c r="L150" s="261" t="n"/>
      <c r="N150" s="262" t="n"/>
      <c r="O150" s="262" t="n"/>
      <c r="P150" s="262" t="n"/>
      <c r="Q150" s="262" t="n"/>
      <c r="R150" s="262" t="n"/>
    </row>
    <row r="151" ht="15" customHeight="1" s="828">
      <c r="A151" s="974" t="n"/>
      <c r="B151" s="699" t="n"/>
      <c r="C151" s="699" t="n"/>
      <c r="D151" s="699" t="n"/>
      <c r="E151" s="699" t="n"/>
      <c r="F151" s="699" t="n"/>
      <c r="G151" s="260" t="n"/>
      <c r="H151" s="261" t="n"/>
      <c r="I151" s="261" t="n"/>
      <c r="J151" s="261" t="n"/>
      <c r="K151" s="261" t="n"/>
      <c r="L151" s="261" t="n"/>
      <c r="N151" s="262" t="n"/>
      <c r="O151" s="262" t="n"/>
      <c r="P151" s="262" t="n"/>
      <c r="Q151" s="262" t="n"/>
      <c r="R151" s="262" t="n"/>
    </row>
    <row r="152" ht="15" customHeight="1" s="828">
      <c r="A152" s="974" t="n"/>
      <c r="B152" s="699" t="n"/>
      <c r="C152" s="699" t="n"/>
      <c r="D152" s="699" t="n"/>
      <c r="E152" s="699" t="n"/>
      <c r="F152" s="699" t="n"/>
      <c r="G152" s="260" t="n"/>
      <c r="H152" s="261" t="n"/>
      <c r="I152" s="261" t="n"/>
      <c r="J152" s="261" t="n"/>
      <c r="K152" s="261" t="n"/>
      <c r="L152" s="261" t="n"/>
      <c r="N152" s="262" t="n"/>
      <c r="O152" s="262" t="n"/>
      <c r="P152" s="262" t="n"/>
      <c r="Q152" s="262" t="n"/>
      <c r="R152" s="262" t="n"/>
    </row>
    <row r="153" ht="15" customHeight="1" s="828">
      <c r="A153" s="974" t="n"/>
      <c r="B153" s="699" t="n"/>
      <c r="C153" s="699" t="n"/>
      <c r="D153" s="699" t="n"/>
      <c r="E153" s="699" t="n"/>
      <c r="F153" s="699" t="n"/>
      <c r="G153" s="260" t="n"/>
      <c r="H153" s="261" t="n"/>
      <c r="I153" s="261" t="n"/>
      <c r="J153" s="261" t="n"/>
      <c r="K153" s="261" t="n"/>
      <c r="L153" s="261" t="n"/>
      <c r="N153" s="262" t="n"/>
      <c r="O153" s="262" t="n"/>
      <c r="P153" s="262" t="n"/>
      <c r="Q153" s="262" t="n"/>
      <c r="R153" s="262" t="n"/>
    </row>
    <row r="154" ht="15" customHeight="1" s="828">
      <c r="A154" s="974" t="n"/>
      <c r="B154" s="699" t="n"/>
      <c r="C154" s="699" t="n"/>
      <c r="D154" s="699" t="n"/>
      <c r="E154" s="699" t="n"/>
      <c r="F154" s="699" t="n"/>
      <c r="G154" s="260" t="n"/>
      <c r="H154" s="261" t="n"/>
      <c r="I154" s="261" t="n"/>
      <c r="J154" s="261" t="n"/>
      <c r="K154" s="261" t="n"/>
      <c r="L154" s="261" t="n"/>
      <c r="N154" s="262" t="n"/>
      <c r="O154" s="262" t="n"/>
      <c r="P154" s="262" t="n"/>
      <c r="Q154" s="262" t="n"/>
      <c r="R154" s="262" t="n"/>
    </row>
    <row r="155" ht="15" customHeight="1" s="828">
      <c r="A155" s="974" t="n"/>
      <c r="B155" s="699" t="n"/>
      <c r="C155" s="699" t="n"/>
      <c r="D155" s="699" t="n"/>
      <c r="E155" s="699" t="n"/>
      <c r="F155" s="699" t="n"/>
      <c r="G155" s="260" t="n"/>
      <c r="H155" s="261" t="n"/>
      <c r="I155" s="261" t="n"/>
      <c r="J155" s="261" t="n"/>
      <c r="K155" s="261" t="n"/>
      <c r="L155" s="261" t="n"/>
      <c r="N155" s="262" t="n"/>
      <c r="O155" s="262" t="n"/>
      <c r="P155" s="262" t="n"/>
      <c r="Q155" s="262" t="n"/>
      <c r="R155" s="262" t="n"/>
    </row>
    <row r="156" ht="15" customHeight="1" s="828">
      <c r="A156" s="974" t="n"/>
      <c r="B156" s="699" t="n"/>
      <c r="C156" s="699" t="n"/>
      <c r="D156" s="699" t="n"/>
      <c r="E156" s="699" t="n"/>
      <c r="F156" s="699" t="n"/>
      <c r="G156" s="260" t="n"/>
      <c r="H156" s="261" t="n"/>
      <c r="I156" s="261" t="n"/>
      <c r="J156" s="261" t="n"/>
      <c r="K156" s="261" t="n"/>
      <c r="L156" s="261" t="n"/>
      <c r="N156" s="262" t="n"/>
      <c r="O156" s="262" t="n"/>
      <c r="P156" s="262" t="n"/>
      <c r="Q156" s="262" t="n"/>
      <c r="R156" s="262" t="n"/>
    </row>
    <row r="157" ht="15" customHeight="1" s="828">
      <c r="A157" s="974" t="n"/>
      <c r="B157" s="699" t="n"/>
      <c r="C157" s="699" t="n"/>
      <c r="D157" s="699" t="n"/>
      <c r="E157" s="699" t="n"/>
      <c r="F157" s="699" t="n"/>
      <c r="G157" s="260" t="n"/>
      <c r="H157" s="261" t="n"/>
      <c r="I157" s="261" t="n"/>
      <c r="J157" s="261" t="n"/>
      <c r="K157" s="261" t="n"/>
      <c r="L157" s="261" t="n"/>
      <c r="N157" s="262" t="n"/>
      <c r="O157" s="262" t="n"/>
      <c r="P157" s="262" t="n"/>
      <c r="Q157" s="262" t="n"/>
      <c r="R157" s="262" t="n"/>
    </row>
    <row r="158" ht="15" customHeight="1" s="828">
      <c r="A158" s="974" t="n"/>
      <c r="B158" s="699" t="n"/>
      <c r="C158" s="699" t="n"/>
      <c r="D158" s="699" t="n"/>
      <c r="E158" s="699" t="n"/>
      <c r="F158" s="699" t="n"/>
      <c r="G158" s="260" t="n"/>
      <c r="H158" s="261" t="n"/>
      <c r="I158" s="261" t="n"/>
      <c r="J158" s="261" t="n"/>
      <c r="K158" s="261" t="n"/>
      <c r="L158" s="261" t="n"/>
      <c r="N158" s="262" t="n"/>
      <c r="O158" s="262" t="n"/>
      <c r="P158" s="262" t="n"/>
      <c r="Q158" s="262" t="n"/>
      <c r="R158" s="262" t="n"/>
    </row>
    <row r="159" ht="15" customHeight="1" s="828">
      <c r="A159" s="974" t="n"/>
      <c r="B159" s="699" t="n"/>
      <c r="C159" s="699" t="n"/>
      <c r="D159" s="699" t="n"/>
      <c r="E159" s="699" t="n"/>
      <c r="F159" s="699" t="n"/>
      <c r="G159" s="260" t="n"/>
      <c r="H159" s="261" t="n"/>
      <c r="I159" s="261" t="n"/>
      <c r="J159" s="261" t="n"/>
      <c r="K159" s="261" t="n"/>
      <c r="L159" s="261" t="n"/>
      <c r="N159" s="262" t="n"/>
      <c r="O159" s="262" t="n"/>
      <c r="P159" s="262" t="n"/>
      <c r="Q159" s="262" t="n"/>
      <c r="R159" s="262" t="n"/>
    </row>
    <row r="160" ht="15" customHeight="1" s="828">
      <c r="A160" s="974" t="n"/>
      <c r="B160" s="699" t="n"/>
      <c r="C160" s="699" t="n"/>
      <c r="D160" s="699" t="n"/>
      <c r="E160" s="699" t="n"/>
      <c r="F160" s="699" t="n"/>
      <c r="G160" s="260" t="n"/>
      <c r="H160" s="261" t="n"/>
      <c r="I160" s="261" t="n"/>
      <c r="J160" s="261" t="n"/>
      <c r="K160" s="261" t="n"/>
      <c r="L160" s="261" t="n"/>
      <c r="N160" s="262" t="n"/>
      <c r="O160" s="262" t="n"/>
      <c r="P160" s="262" t="n"/>
      <c r="Q160" s="262" t="n"/>
      <c r="R160" s="262" t="n"/>
    </row>
    <row r="161" ht="15" customHeight="1" s="828">
      <c r="A161" s="974" t="n"/>
      <c r="B161" s="699" t="n"/>
      <c r="C161" s="699" t="n"/>
      <c r="D161" s="699" t="n"/>
      <c r="E161" s="699" t="n"/>
      <c r="F161" s="699" t="n"/>
      <c r="G161" s="260" t="n"/>
      <c r="H161" s="261" t="n"/>
      <c r="I161" s="261" t="n"/>
      <c r="J161" s="261" t="n"/>
      <c r="K161" s="261" t="n"/>
      <c r="L161" s="261" t="n"/>
      <c r="N161" s="262" t="n"/>
      <c r="O161" s="262" t="n"/>
      <c r="P161" s="262" t="n"/>
      <c r="Q161" s="262" t="n"/>
      <c r="R161" s="262" t="n"/>
    </row>
    <row r="162" ht="15" customHeight="1" s="828">
      <c r="A162" s="974" t="n"/>
      <c r="B162" s="699" t="n"/>
      <c r="C162" s="699" t="n"/>
      <c r="D162" s="699" t="n"/>
      <c r="E162" s="699" t="n"/>
      <c r="F162" s="699" t="n"/>
      <c r="G162" s="260" t="n"/>
      <c r="H162" s="261" t="n"/>
      <c r="I162" s="261" t="n"/>
      <c r="J162" s="261" t="n"/>
      <c r="K162" s="261" t="n"/>
      <c r="L162" s="261" t="n"/>
      <c r="N162" s="262" t="n"/>
      <c r="O162" s="262" t="n"/>
      <c r="P162" s="262" t="n"/>
      <c r="Q162" s="262" t="n"/>
      <c r="R162" s="262" t="n"/>
    </row>
    <row r="163" ht="15" customHeight="1" s="828">
      <c r="A163" s="974" t="n"/>
      <c r="B163" s="699" t="n"/>
      <c r="C163" s="699" t="n"/>
      <c r="D163" s="699" t="n"/>
      <c r="E163" s="699" t="n"/>
      <c r="F163" s="699" t="n"/>
      <c r="G163" s="260" t="n"/>
      <c r="H163" s="261" t="n"/>
      <c r="I163" s="261" t="n"/>
      <c r="J163" s="261" t="n"/>
      <c r="K163" s="261" t="n"/>
      <c r="L163" s="261" t="n"/>
      <c r="N163" s="262" t="n"/>
      <c r="O163" s="262" t="n"/>
      <c r="P163" s="262" t="n"/>
      <c r="Q163" s="262" t="n"/>
      <c r="R163" s="262" t="n"/>
    </row>
    <row r="164" ht="15" customHeight="1" s="828">
      <c r="A164" s="974" t="n"/>
      <c r="B164" s="699" t="n"/>
      <c r="C164" s="699" t="n"/>
      <c r="D164" s="699" t="n"/>
      <c r="E164" s="699" t="n"/>
      <c r="F164" s="699" t="n"/>
      <c r="G164" s="260" t="n"/>
      <c r="H164" s="261" t="n"/>
      <c r="I164" s="261" t="n"/>
      <c r="J164" s="261" t="n"/>
      <c r="K164" s="261" t="n"/>
      <c r="L164" s="261" t="n"/>
      <c r="N164" s="262" t="n"/>
      <c r="O164" s="262" t="n"/>
      <c r="P164" s="262" t="n"/>
      <c r="Q164" s="262" t="n"/>
      <c r="R164" s="262" t="n"/>
    </row>
    <row r="165" ht="15" customHeight="1" s="828">
      <c r="A165" s="974" t="n"/>
      <c r="B165" s="699" t="n"/>
      <c r="C165" s="699" t="n"/>
      <c r="D165" s="699" t="n"/>
      <c r="E165" s="699" t="n"/>
      <c r="F165" s="699" t="n"/>
      <c r="G165" s="260" t="n"/>
      <c r="H165" s="261" t="n"/>
      <c r="I165" s="261" t="n"/>
      <c r="J165" s="261" t="n"/>
      <c r="K165" s="261" t="n"/>
      <c r="L165" s="261" t="n"/>
      <c r="N165" s="262" t="n"/>
      <c r="O165" s="262" t="n"/>
      <c r="P165" s="262" t="n"/>
      <c r="Q165" s="262" t="n"/>
      <c r="R165" s="262" t="n"/>
    </row>
    <row r="166" ht="15" customHeight="1" s="828">
      <c r="A166" s="974" t="n"/>
      <c r="B166" s="699" t="n"/>
      <c r="C166" s="699" t="n"/>
      <c r="D166" s="699" t="n"/>
      <c r="E166" s="699" t="n"/>
      <c r="F166" s="699" t="n"/>
      <c r="G166" s="260" t="n"/>
      <c r="H166" s="261" t="n"/>
      <c r="I166" s="261" t="n"/>
      <c r="J166" s="261" t="n"/>
      <c r="K166" s="261" t="n"/>
      <c r="L166" s="261" t="n"/>
      <c r="N166" s="262" t="n"/>
      <c r="O166" s="262" t="n"/>
      <c r="P166" s="262" t="n"/>
      <c r="Q166" s="262" t="n"/>
      <c r="R166" s="262" t="n"/>
    </row>
    <row r="167" ht="15" customHeight="1" s="828">
      <c r="A167" s="974" t="n"/>
      <c r="B167" s="699" t="n"/>
      <c r="C167" s="699" t="n"/>
      <c r="D167" s="699" t="n"/>
      <c r="E167" s="699" t="n"/>
      <c r="F167" s="699" t="n"/>
      <c r="G167" s="260" t="n"/>
      <c r="H167" s="261" t="n"/>
      <c r="I167" s="261" t="n"/>
      <c r="J167" s="261" t="n"/>
      <c r="K167" s="261" t="n"/>
      <c r="L167" s="261" t="n"/>
      <c r="N167" s="262" t="n"/>
      <c r="O167" s="262" t="n"/>
      <c r="P167" s="262" t="n"/>
      <c r="Q167" s="262" t="n"/>
      <c r="R167" s="262" t="n"/>
    </row>
    <row r="168" ht="15" customHeight="1" s="828">
      <c r="A168" s="974" t="n"/>
      <c r="B168" s="699" t="n"/>
      <c r="C168" s="699" t="n"/>
      <c r="D168" s="699" t="n"/>
      <c r="E168" s="699" t="n"/>
      <c r="F168" s="699" t="n"/>
      <c r="G168" s="260" t="n"/>
      <c r="H168" s="261" t="n"/>
      <c r="I168" s="261" t="n"/>
      <c r="J168" s="261" t="n"/>
      <c r="K168" s="261" t="n"/>
      <c r="L168" s="261" t="n"/>
      <c r="N168" s="262" t="n"/>
      <c r="O168" s="262" t="n"/>
      <c r="P168" s="262" t="n"/>
      <c r="Q168" s="262" t="n"/>
      <c r="R168" s="262" t="n"/>
    </row>
    <row r="169" ht="15" customHeight="1" s="828">
      <c r="A169" s="974" t="n"/>
      <c r="B169" s="699" t="n"/>
      <c r="C169" s="699" t="n"/>
      <c r="D169" s="699" t="n"/>
      <c r="E169" s="699" t="n"/>
      <c r="F169" s="699" t="n"/>
      <c r="G169" s="260" t="n"/>
      <c r="H169" s="261" t="n"/>
      <c r="I169" s="261" t="n"/>
      <c r="J169" s="261" t="n"/>
      <c r="K169" s="261" t="n"/>
      <c r="L169" s="261" t="n"/>
      <c r="N169" s="262" t="n"/>
      <c r="O169" s="262" t="n"/>
      <c r="P169" s="262" t="n"/>
      <c r="Q169" s="262" t="n"/>
      <c r="R169" s="262" t="n"/>
    </row>
    <row r="170" ht="15" customHeight="1" s="828">
      <c r="A170" s="974" t="n"/>
      <c r="B170" s="699" t="n"/>
      <c r="C170" s="699" t="n"/>
      <c r="D170" s="699" t="n"/>
      <c r="E170" s="699" t="n"/>
      <c r="F170" s="699" t="n"/>
      <c r="G170" s="260" t="n"/>
      <c r="H170" s="261" t="n"/>
      <c r="I170" s="261" t="n"/>
      <c r="J170" s="261" t="n"/>
      <c r="K170" s="261" t="n"/>
      <c r="L170" s="261" t="n"/>
      <c r="N170" s="262" t="n"/>
      <c r="O170" s="262" t="n"/>
      <c r="P170" s="262" t="n"/>
      <c r="Q170" s="262" t="n"/>
      <c r="R170" s="262" t="n"/>
    </row>
    <row r="171" ht="15" customHeight="1" s="828">
      <c r="A171" s="974" t="n"/>
      <c r="B171" s="699" t="n"/>
      <c r="C171" s="699" t="n"/>
      <c r="D171" s="699" t="n"/>
      <c r="E171" s="699" t="n"/>
      <c r="F171" s="699" t="n"/>
      <c r="G171" s="260" t="n"/>
      <c r="H171" s="261" t="n"/>
      <c r="I171" s="261" t="n"/>
      <c r="J171" s="261" t="n"/>
      <c r="K171" s="261" t="n"/>
      <c r="L171" s="261" t="n"/>
      <c r="N171" s="262" t="n"/>
      <c r="O171" s="262" t="n"/>
      <c r="P171" s="262" t="n"/>
      <c r="Q171" s="262" t="n"/>
      <c r="R171" s="262" t="n"/>
    </row>
    <row r="172" ht="15" customHeight="1" s="828">
      <c r="A172" s="974" t="n"/>
      <c r="B172" s="699" t="n"/>
      <c r="C172" s="699" t="n"/>
      <c r="D172" s="699" t="n"/>
      <c r="E172" s="699" t="n"/>
      <c r="F172" s="699" t="n"/>
      <c r="G172" s="260" t="n"/>
      <c r="H172" s="261" t="n"/>
      <c r="I172" s="261" t="n"/>
      <c r="J172" s="261" t="n"/>
      <c r="K172" s="261" t="n"/>
      <c r="L172" s="261" t="n"/>
      <c r="N172" s="262" t="n"/>
      <c r="O172" s="262" t="n"/>
      <c r="P172" s="262" t="n"/>
      <c r="Q172" s="262" t="n"/>
      <c r="R172" s="262" t="n"/>
    </row>
    <row r="173" ht="15" customHeight="1" s="828">
      <c r="A173" s="974" t="n"/>
      <c r="B173" s="699" t="n"/>
      <c r="C173" s="699" t="n"/>
      <c r="D173" s="699" t="n"/>
      <c r="E173" s="699" t="n"/>
      <c r="F173" s="699" t="n"/>
      <c r="G173" s="260" t="n"/>
      <c r="H173" s="261" t="n"/>
      <c r="I173" s="261" t="n"/>
      <c r="J173" s="261" t="n"/>
      <c r="K173" s="261" t="n"/>
      <c r="L173" s="261" t="n"/>
      <c r="N173" s="262" t="n"/>
      <c r="O173" s="262" t="n"/>
      <c r="P173" s="262" t="n"/>
      <c r="Q173" s="262" t="n"/>
      <c r="R173" s="262" t="n"/>
    </row>
    <row r="174" ht="15" customHeight="1" s="828">
      <c r="A174" s="974" t="n"/>
      <c r="B174" s="699" t="n"/>
      <c r="C174" s="699" t="n"/>
      <c r="D174" s="699" t="n"/>
      <c r="E174" s="699" t="n"/>
      <c r="F174" s="699" t="n"/>
      <c r="G174" s="260" t="n"/>
      <c r="H174" s="261" t="n"/>
      <c r="I174" s="261" t="n"/>
      <c r="J174" s="261" t="n"/>
      <c r="K174" s="261" t="n"/>
      <c r="L174" s="261" t="n"/>
      <c r="N174" s="262" t="n"/>
      <c r="O174" s="262" t="n"/>
      <c r="P174" s="262" t="n"/>
      <c r="Q174" s="262" t="n"/>
      <c r="R174" s="262" t="n"/>
    </row>
    <row r="175" ht="15" customHeight="1" s="828">
      <c r="A175" s="974" t="n"/>
      <c r="B175" s="699" t="n"/>
      <c r="C175" s="699" t="n"/>
      <c r="D175" s="699" t="n"/>
      <c r="E175" s="699" t="n"/>
      <c r="F175" s="699" t="n"/>
      <c r="G175" s="260" t="n"/>
      <c r="H175" s="261" t="n"/>
      <c r="I175" s="261" t="n"/>
      <c r="J175" s="261" t="n"/>
      <c r="K175" s="261" t="n"/>
      <c r="L175" s="261" t="n"/>
      <c r="N175" s="262" t="n"/>
      <c r="O175" s="262" t="n"/>
      <c r="P175" s="262" t="n"/>
      <c r="Q175" s="262" t="n"/>
      <c r="R175" s="262" t="n"/>
    </row>
    <row r="176" ht="15" customHeight="1" s="828">
      <c r="A176" s="974" t="n"/>
      <c r="B176" s="699" t="n"/>
      <c r="C176" s="699" t="n"/>
      <c r="D176" s="699" t="n"/>
      <c r="E176" s="699" t="n"/>
      <c r="F176" s="699" t="n"/>
      <c r="G176" s="260" t="n"/>
      <c r="H176" s="261" t="n"/>
      <c r="I176" s="261" t="n"/>
      <c r="J176" s="261" t="n"/>
      <c r="K176" s="261" t="n"/>
      <c r="L176" s="261" t="n"/>
      <c r="N176" s="262" t="n"/>
      <c r="O176" s="262" t="n"/>
      <c r="P176" s="262" t="n"/>
      <c r="Q176" s="262" t="n"/>
      <c r="R176" s="262" t="n"/>
    </row>
    <row r="177" ht="15" customHeight="1" s="828">
      <c r="A177" s="974" t="n"/>
      <c r="B177" s="699" t="n"/>
      <c r="C177" s="699" t="n"/>
      <c r="D177" s="699" t="n"/>
      <c r="E177" s="699" t="n"/>
      <c r="F177" s="699" t="n"/>
      <c r="G177" s="260" t="n"/>
      <c r="H177" s="261" t="n"/>
      <c r="I177" s="261" t="n"/>
      <c r="J177" s="261" t="n"/>
      <c r="K177" s="261" t="n"/>
      <c r="L177" s="261" t="n"/>
      <c r="N177" s="262" t="n"/>
      <c r="O177" s="262" t="n"/>
      <c r="P177" s="262" t="n"/>
      <c r="Q177" s="262" t="n"/>
      <c r="R177" s="262" t="n"/>
    </row>
    <row r="178" ht="15" customHeight="1" s="828">
      <c r="A178" s="974" t="n"/>
      <c r="B178" s="699" t="n"/>
      <c r="C178" s="699" t="n"/>
      <c r="D178" s="699" t="n"/>
      <c r="E178" s="699" t="n"/>
      <c r="F178" s="699" t="n"/>
      <c r="G178" s="260" t="n"/>
      <c r="H178" s="261" t="n"/>
      <c r="I178" s="261" t="n"/>
      <c r="J178" s="261" t="n"/>
      <c r="K178" s="261" t="n"/>
      <c r="L178" s="261" t="n"/>
      <c r="N178" s="262" t="n"/>
      <c r="O178" s="262" t="n"/>
      <c r="P178" s="262" t="n"/>
      <c r="Q178" s="262" t="n"/>
      <c r="R178" s="262" t="n"/>
    </row>
    <row r="179" ht="15" customHeight="1" s="828">
      <c r="A179" s="974" t="n"/>
      <c r="B179" s="699" t="n"/>
      <c r="C179" s="699" t="n"/>
      <c r="D179" s="699" t="n"/>
      <c r="E179" s="699" t="n"/>
      <c r="F179" s="699" t="n"/>
      <c r="G179" s="260" t="n"/>
      <c r="H179" s="261" t="n"/>
      <c r="I179" s="261" t="n"/>
      <c r="J179" s="261" t="n"/>
      <c r="K179" s="261" t="n"/>
      <c r="L179" s="261" t="n"/>
      <c r="N179" s="262" t="n"/>
      <c r="O179" s="262" t="n"/>
      <c r="P179" s="262" t="n"/>
      <c r="Q179" s="262" t="n"/>
      <c r="R179" s="262" t="n"/>
    </row>
    <row r="180" ht="15" customHeight="1" s="828">
      <c r="A180" s="974" t="n"/>
      <c r="B180" s="699" t="n"/>
      <c r="C180" s="699" t="n"/>
      <c r="D180" s="699" t="n"/>
      <c r="E180" s="699" t="n"/>
      <c r="F180" s="699" t="n"/>
      <c r="G180" s="260" t="n"/>
      <c r="H180" s="261" t="n"/>
      <c r="I180" s="261" t="n"/>
      <c r="J180" s="261" t="n"/>
      <c r="K180" s="261" t="n"/>
      <c r="L180" s="261" t="n"/>
      <c r="N180" s="262" t="n"/>
      <c r="O180" s="262" t="n"/>
      <c r="P180" s="262" t="n"/>
      <c r="Q180" s="262" t="n"/>
      <c r="R180" s="262" t="n"/>
    </row>
    <row r="181" ht="15" customHeight="1" s="828">
      <c r="A181" s="974" t="n"/>
      <c r="B181" s="699" t="n"/>
      <c r="C181" s="699" t="n"/>
      <c r="D181" s="699" t="n"/>
      <c r="E181" s="699" t="n"/>
      <c r="F181" s="699" t="n"/>
      <c r="G181" s="260" t="n"/>
      <c r="H181" s="261" t="n"/>
      <c r="I181" s="261" t="n"/>
      <c r="J181" s="261" t="n"/>
      <c r="K181" s="261" t="n"/>
      <c r="L181" s="261" t="n"/>
      <c r="N181" s="262" t="n"/>
      <c r="O181" s="262" t="n"/>
      <c r="P181" s="262" t="n"/>
      <c r="Q181" s="262" t="n"/>
      <c r="R181" s="262" t="n"/>
    </row>
    <row r="182" ht="15" customHeight="1" s="828">
      <c r="A182" s="974" t="n"/>
      <c r="B182" s="699" t="n"/>
      <c r="C182" s="699" t="n"/>
      <c r="D182" s="699" t="n"/>
      <c r="E182" s="699" t="n"/>
      <c r="F182" s="699" t="n"/>
      <c r="G182" s="260" t="n"/>
      <c r="H182" s="261" t="n"/>
      <c r="I182" s="261" t="n"/>
      <c r="J182" s="261" t="n"/>
      <c r="K182" s="261" t="n"/>
      <c r="L182" s="261" t="n"/>
      <c r="N182" s="262" t="n"/>
      <c r="O182" s="262" t="n"/>
      <c r="P182" s="262" t="n"/>
      <c r="Q182" s="262" t="n"/>
      <c r="R182" s="262" t="n"/>
    </row>
    <row r="183" ht="15" customHeight="1" s="828">
      <c r="A183" s="974" t="n"/>
      <c r="B183" s="699" t="n"/>
      <c r="C183" s="699" t="n"/>
      <c r="D183" s="699" t="n"/>
      <c r="E183" s="699" t="n"/>
      <c r="F183" s="699" t="n"/>
      <c r="G183" s="260" t="n"/>
      <c r="H183" s="261" t="n"/>
      <c r="I183" s="261" t="n"/>
      <c r="J183" s="261" t="n"/>
      <c r="K183" s="261" t="n"/>
      <c r="L183" s="261" t="n"/>
      <c r="N183" s="262" t="n"/>
      <c r="O183" s="262" t="n"/>
      <c r="P183" s="262" t="n"/>
      <c r="Q183" s="262" t="n"/>
      <c r="R183" s="262" t="n"/>
    </row>
    <row r="184" ht="15" customHeight="1" s="828">
      <c r="A184" s="974" t="n"/>
      <c r="B184" s="699" t="n"/>
      <c r="C184" s="699" t="n"/>
      <c r="D184" s="699" t="n"/>
      <c r="E184" s="699" t="n"/>
      <c r="F184" s="699" t="n"/>
      <c r="G184" s="260" t="n"/>
      <c r="H184" s="261" t="n"/>
      <c r="I184" s="261" t="n"/>
      <c r="J184" s="261" t="n"/>
      <c r="K184" s="261" t="n"/>
      <c r="L184" s="261" t="n"/>
      <c r="N184" s="262" t="n"/>
      <c r="O184" s="262" t="n"/>
      <c r="P184" s="262" t="n"/>
      <c r="Q184" s="262" t="n"/>
      <c r="R184" s="262" t="n"/>
    </row>
    <row r="185" ht="15" customHeight="1" s="828">
      <c r="A185" s="974" t="n"/>
      <c r="B185" s="699" t="n"/>
      <c r="C185" s="699" t="n"/>
      <c r="D185" s="699" t="n"/>
      <c r="E185" s="699" t="n"/>
      <c r="F185" s="699" t="n"/>
      <c r="G185" s="260" t="n"/>
      <c r="H185" s="261" t="n"/>
      <c r="I185" s="261" t="n"/>
      <c r="J185" s="261" t="n"/>
      <c r="K185" s="261" t="n"/>
      <c r="L185" s="261" t="n"/>
      <c r="N185" s="262" t="n"/>
      <c r="O185" s="262" t="n"/>
      <c r="P185" s="262" t="n"/>
      <c r="Q185" s="262" t="n"/>
      <c r="R185" s="262" t="n"/>
    </row>
    <row r="186" ht="15" customHeight="1" s="828">
      <c r="A186" s="974" t="n"/>
      <c r="B186" s="699" t="n"/>
      <c r="C186" s="699" t="n"/>
      <c r="D186" s="699" t="n"/>
      <c r="E186" s="699" t="n"/>
      <c r="F186" s="699" t="n"/>
      <c r="G186" s="260" t="n"/>
      <c r="H186" s="261" t="n"/>
      <c r="I186" s="261" t="n"/>
      <c r="J186" s="261" t="n"/>
      <c r="K186" s="261" t="n"/>
      <c r="L186" s="261" t="n"/>
      <c r="N186" s="262" t="n"/>
      <c r="O186" s="262" t="n"/>
      <c r="P186" s="262" t="n"/>
      <c r="Q186" s="262" t="n"/>
      <c r="R186" s="262" t="n"/>
    </row>
    <row r="187" ht="15" customHeight="1" s="828">
      <c r="A187" s="974" t="n"/>
      <c r="B187" s="699" t="n"/>
      <c r="C187" s="699" t="n"/>
      <c r="D187" s="699" t="n"/>
      <c r="E187" s="699" t="n"/>
      <c r="F187" s="699" t="n"/>
      <c r="G187" s="260" t="n"/>
      <c r="H187" s="261" t="n"/>
      <c r="I187" s="261" t="n"/>
      <c r="J187" s="261" t="n"/>
      <c r="K187" s="261" t="n"/>
      <c r="L187" s="261" t="n"/>
      <c r="N187" s="262" t="n"/>
      <c r="O187" s="262" t="n"/>
      <c r="P187" s="262" t="n"/>
      <c r="Q187" s="262" t="n"/>
      <c r="R187" s="262" t="n"/>
    </row>
    <row r="188" ht="15" customHeight="1" s="828">
      <c r="A188" s="974" t="n"/>
      <c r="B188" s="699" t="n"/>
      <c r="C188" s="699" t="n"/>
      <c r="D188" s="699" t="n"/>
      <c r="E188" s="699" t="n"/>
      <c r="F188" s="699" t="n"/>
      <c r="G188" s="260" t="n"/>
      <c r="H188" s="261" t="n"/>
      <c r="I188" s="261" t="n"/>
      <c r="J188" s="261" t="n"/>
      <c r="K188" s="261" t="n"/>
      <c r="L188" s="261" t="n"/>
      <c r="N188" s="262" t="n"/>
      <c r="O188" s="262" t="n"/>
      <c r="P188" s="262" t="n"/>
      <c r="Q188" s="262" t="n"/>
      <c r="R188" s="262" t="n"/>
    </row>
    <row r="189" ht="15" customHeight="1" s="828">
      <c r="A189" s="974" t="n"/>
      <c r="B189" s="699" t="n"/>
      <c r="C189" s="699" t="n"/>
      <c r="D189" s="699" t="n"/>
      <c r="E189" s="699" t="n"/>
      <c r="F189" s="699" t="n"/>
      <c r="G189" s="260" t="n"/>
      <c r="H189" s="261" t="n"/>
      <c r="I189" s="261" t="n"/>
      <c r="J189" s="261" t="n"/>
      <c r="K189" s="261" t="n"/>
      <c r="L189" s="261" t="n"/>
      <c r="N189" s="262" t="n"/>
      <c r="O189" s="262" t="n"/>
      <c r="P189" s="262" t="n"/>
      <c r="Q189" s="262" t="n"/>
      <c r="R189" s="262" t="n"/>
    </row>
    <row r="190" ht="15" customHeight="1" s="828">
      <c r="A190" s="974" t="n"/>
      <c r="B190" s="699" t="n"/>
      <c r="C190" s="699" t="n"/>
      <c r="D190" s="699" t="n"/>
      <c r="E190" s="699" t="n"/>
      <c r="F190" s="699" t="n"/>
      <c r="G190" s="260" t="n"/>
      <c r="H190" s="261" t="n"/>
      <c r="I190" s="261" t="n"/>
      <c r="J190" s="261" t="n"/>
      <c r="K190" s="261" t="n"/>
      <c r="L190" s="261" t="n"/>
      <c r="N190" s="262" t="n"/>
      <c r="O190" s="262" t="n"/>
      <c r="P190" s="262" t="n"/>
      <c r="Q190" s="262" t="n"/>
      <c r="R190" s="262" t="n"/>
    </row>
    <row r="191" ht="15" customHeight="1" s="828">
      <c r="A191" s="974" t="n"/>
      <c r="B191" s="699" t="n"/>
      <c r="C191" s="699" t="n"/>
      <c r="D191" s="699" t="n"/>
      <c r="E191" s="699" t="n"/>
      <c r="F191" s="699" t="n"/>
      <c r="G191" s="260" t="n"/>
      <c r="H191" s="261" t="n"/>
      <c r="I191" s="261" t="n"/>
      <c r="J191" s="261" t="n"/>
      <c r="K191" s="261" t="n"/>
      <c r="L191" s="261" t="n"/>
      <c r="N191" s="262" t="n"/>
      <c r="O191" s="262" t="n"/>
      <c r="P191" s="262" t="n"/>
      <c r="Q191" s="262" t="n"/>
      <c r="R191" s="262" t="n"/>
    </row>
    <row r="192" ht="15" customHeight="1" s="828">
      <c r="A192" s="974" t="n"/>
      <c r="B192" s="699" t="n"/>
      <c r="C192" s="699" t="n"/>
      <c r="D192" s="699" t="n"/>
      <c r="E192" s="699" t="n"/>
      <c r="F192" s="699" t="n"/>
      <c r="G192" s="260" t="n"/>
      <c r="H192" s="261" t="n"/>
      <c r="I192" s="261" t="n"/>
      <c r="J192" s="261" t="n"/>
      <c r="K192" s="261" t="n"/>
      <c r="L192" s="261" t="n"/>
      <c r="N192" s="262" t="n"/>
      <c r="O192" s="262" t="n"/>
      <c r="P192" s="262" t="n"/>
      <c r="Q192" s="262" t="n"/>
      <c r="R192" s="262" t="n"/>
    </row>
    <row r="193" ht="15" customHeight="1" s="828">
      <c r="A193" s="974" t="n"/>
      <c r="B193" s="699" t="n"/>
      <c r="C193" s="699" t="n"/>
      <c r="D193" s="699" t="n"/>
      <c r="E193" s="699" t="n"/>
      <c r="F193" s="699" t="n"/>
      <c r="G193" s="260" t="n"/>
      <c r="H193" s="261" t="n"/>
      <c r="I193" s="261" t="n"/>
      <c r="J193" s="261" t="n"/>
      <c r="K193" s="261" t="n"/>
      <c r="L193" s="261" t="n"/>
      <c r="N193" s="262" t="n"/>
      <c r="O193" s="262" t="n"/>
      <c r="P193" s="262" t="n"/>
      <c r="Q193" s="262" t="n"/>
      <c r="R193" s="262" t="n"/>
    </row>
    <row r="194" ht="15" customHeight="1" s="828">
      <c r="A194" s="974" t="n"/>
      <c r="B194" s="699" t="n"/>
      <c r="C194" s="699" t="n"/>
      <c r="D194" s="699" t="n"/>
      <c r="E194" s="699" t="n"/>
      <c r="F194" s="699" t="n"/>
      <c r="G194" s="260" t="n"/>
      <c r="H194" s="261" t="n"/>
      <c r="I194" s="261" t="n"/>
      <c r="J194" s="261" t="n"/>
      <c r="K194" s="261" t="n"/>
      <c r="L194" s="261" t="n"/>
      <c r="N194" s="262" t="n"/>
      <c r="O194" s="262" t="n"/>
      <c r="P194" s="262" t="n"/>
      <c r="Q194" s="262" t="n"/>
      <c r="R194" s="262" t="n"/>
    </row>
    <row r="195" ht="15" customHeight="1" s="828">
      <c r="A195" s="974" t="n"/>
      <c r="B195" s="699" t="n"/>
      <c r="C195" s="699" t="n"/>
      <c r="D195" s="699" t="n"/>
      <c r="E195" s="699" t="n"/>
      <c r="F195" s="699" t="n"/>
      <c r="G195" s="260" t="n"/>
      <c r="H195" s="261" t="n"/>
      <c r="I195" s="261" t="n"/>
      <c r="J195" s="261" t="n"/>
      <c r="K195" s="261" t="n"/>
      <c r="L195" s="261" t="n"/>
      <c r="N195" s="262" t="n"/>
      <c r="O195" s="262" t="n"/>
      <c r="P195" s="262" t="n"/>
      <c r="Q195" s="262" t="n"/>
      <c r="R195" s="262" t="n"/>
    </row>
    <row r="196" ht="15" customHeight="1" s="828">
      <c r="A196" s="974" t="n"/>
      <c r="B196" s="699" t="n"/>
      <c r="C196" s="699" t="n"/>
      <c r="D196" s="699" t="n"/>
      <c r="E196" s="699" t="n"/>
      <c r="F196" s="699" t="n"/>
      <c r="G196" s="260" t="n"/>
      <c r="H196" s="261" t="n"/>
      <c r="I196" s="261" t="n"/>
      <c r="J196" s="261" t="n"/>
      <c r="K196" s="261" t="n"/>
      <c r="L196" s="261" t="n"/>
      <c r="N196" s="262" t="n"/>
      <c r="O196" s="262" t="n"/>
      <c r="P196" s="262" t="n"/>
      <c r="Q196" s="262" t="n"/>
      <c r="R196" s="262" t="n"/>
    </row>
    <row r="197" ht="15" customHeight="1" s="828">
      <c r="A197" s="974" t="n"/>
      <c r="B197" s="699" t="n"/>
      <c r="C197" s="699" t="n"/>
      <c r="D197" s="699" t="n"/>
      <c r="E197" s="699" t="n"/>
      <c r="F197" s="699" t="n"/>
      <c r="G197" s="260" t="n"/>
      <c r="H197" s="261" t="n"/>
      <c r="I197" s="261" t="n"/>
      <c r="J197" s="261" t="n"/>
      <c r="K197" s="261" t="n"/>
      <c r="L197" s="261" t="n"/>
      <c r="N197" s="262" t="n"/>
      <c r="O197" s="262" t="n"/>
      <c r="P197" s="262" t="n"/>
      <c r="Q197" s="262" t="n"/>
      <c r="R197" s="262" t="n"/>
    </row>
    <row r="198" ht="15" customHeight="1" s="828">
      <c r="A198" s="974" t="n"/>
      <c r="B198" s="699" t="n"/>
      <c r="C198" s="699" t="n"/>
      <c r="D198" s="699" t="n"/>
      <c r="E198" s="699" t="n"/>
      <c r="F198" s="699" t="n"/>
      <c r="G198" s="260" t="n"/>
      <c r="H198" s="261" t="n"/>
      <c r="I198" s="261" t="n"/>
      <c r="J198" s="261" t="n"/>
      <c r="K198" s="261" t="n"/>
      <c r="L198" s="261" t="n"/>
      <c r="N198" s="262" t="n"/>
      <c r="O198" s="262" t="n"/>
      <c r="P198" s="262" t="n"/>
      <c r="Q198" s="262" t="n"/>
      <c r="R198" s="262" t="n"/>
    </row>
    <row r="199" ht="15" customHeight="1" s="828">
      <c r="A199" s="974" t="n"/>
      <c r="B199" s="699" t="n"/>
      <c r="C199" s="699" t="n"/>
      <c r="D199" s="699" t="n"/>
      <c r="E199" s="699" t="n"/>
      <c r="F199" s="699" t="n"/>
      <c r="G199" s="260" t="n"/>
      <c r="H199" s="261" t="n"/>
      <c r="I199" s="261" t="n"/>
      <c r="J199" s="261" t="n"/>
      <c r="K199" s="261" t="n"/>
      <c r="L199" s="261" t="n"/>
      <c r="N199" s="262" t="n"/>
      <c r="O199" s="262" t="n"/>
      <c r="P199" s="262" t="n"/>
      <c r="Q199" s="262" t="n"/>
      <c r="R199" s="262" t="n"/>
    </row>
    <row r="200" ht="15" customHeight="1" s="828">
      <c r="A200" s="974" t="n"/>
      <c r="B200" s="699" t="n"/>
      <c r="C200" s="699" t="n"/>
      <c r="D200" s="699" t="n"/>
      <c r="E200" s="699" t="n"/>
      <c r="F200" s="699" t="n"/>
      <c r="G200" s="260" t="n"/>
      <c r="H200" s="261" t="n"/>
      <c r="I200" s="261" t="n"/>
      <c r="J200" s="261" t="n"/>
      <c r="K200" s="261" t="n"/>
      <c r="L200" s="261" t="n"/>
      <c r="N200" s="262" t="n"/>
      <c r="O200" s="262" t="n"/>
      <c r="P200" s="262" t="n"/>
      <c r="Q200" s="262" t="n"/>
      <c r="R200" s="262" t="n"/>
    </row>
    <row r="201" ht="15" customFormat="1" customHeight="1" s="221">
      <c r="A201" s="698" t="n"/>
      <c r="B201" s="697" t="n"/>
      <c r="C201" s="697" t="n"/>
      <c r="D201" s="697" t="n"/>
      <c r="E201" s="697" t="n"/>
      <c r="F201" s="697" t="n"/>
      <c r="G201" s="260" t="n"/>
      <c r="H201" s="261" t="n"/>
      <c r="I201" s="261" t="n"/>
      <c r="J201" s="261" t="n"/>
      <c r="K201" s="261" t="n"/>
      <c r="L201" s="261" t="n"/>
      <c r="N201" s="262" t="n"/>
      <c r="O201" s="262" t="n"/>
      <c r="P201" s="262" t="n"/>
      <c r="Q201" s="262" t="n"/>
      <c r="R201" s="262" t="n"/>
    </row>
    <row r="202" ht="15" customFormat="1" customHeight="1" s="221">
      <c r="A202" s="698" t="n"/>
      <c r="B202" s="697" t="n"/>
      <c r="C202" s="697" t="n"/>
      <c r="D202" s="697" t="n"/>
      <c r="E202" s="697" t="n"/>
      <c r="F202" s="697" t="n"/>
      <c r="G202" s="260" t="n"/>
      <c r="H202" s="261" t="n"/>
      <c r="I202" s="261" t="n"/>
      <c r="J202" s="261" t="n"/>
      <c r="K202" s="261" t="n"/>
      <c r="L202" s="261" t="n"/>
      <c r="N202" s="262" t="n"/>
      <c r="O202" s="262" t="n"/>
      <c r="P202" s="262" t="n"/>
      <c r="Q202" s="262" t="n"/>
      <c r="R202" s="262" t="n"/>
    </row>
    <row r="203" ht="15" customFormat="1" customHeight="1" s="222">
      <c r="A203" s="696" t="n"/>
      <c r="B203" s="695" t="n"/>
      <c r="C203" s="695" t="n"/>
      <c r="D203" s="695" t="n"/>
      <c r="E203" s="695" t="n"/>
      <c r="F203" s="695" t="n"/>
      <c r="G203" s="260" t="n"/>
      <c r="H203" s="261" t="n"/>
      <c r="I203" s="261" t="n"/>
      <c r="J203" s="261" t="n"/>
      <c r="K203" s="261" t="n"/>
      <c r="L203" s="261" t="n"/>
      <c r="N203" s="262" t="n"/>
      <c r="O203" s="262" t="n"/>
      <c r="P203" s="262" t="n"/>
      <c r="Q203" s="262" t="n"/>
      <c r="R203" s="262" t="n"/>
    </row>
    <row r="204" ht="15" customFormat="1" customHeight="1" s="222">
      <c r="A204" s="696" t="n"/>
      <c r="B204" s="695" t="n"/>
      <c r="C204" s="695" t="n"/>
      <c r="D204" s="695" t="n"/>
      <c r="E204" s="695" t="n"/>
      <c r="F204" s="695" t="n"/>
      <c r="G204" s="260" t="n"/>
      <c r="H204" s="261" t="n"/>
      <c r="I204" s="261" t="n"/>
      <c r="J204" s="261" t="n"/>
      <c r="K204" s="261" t="n"/>
      <c r="L204" s="261" t="n"/>
      <c r="N204" s="262" t="n"/>
      <c r="O204" s="262" t="n"/>
      <c r="P204" s="262" t="n"/>
      <c r="Q204" s="262" t="n"/>
      <c r="R204" s="262" t="n"/>
    </row>
    <row r="205" ht="15" customFormat="1" customHeight="1" s="221">
      <c r="A205" s="698" t="n"/>
      <c r="B205" s="697" t="n"/>
      <c r="C205" s="697" t="n"/>
      <c r="D205" s="697" t="n"/>
      <c r="E205" s="697" t="n"/>
      <c r="F205" s="697" t="n"/>
      <c r="G205" s="260" t="n"/>
      <c r="H205" s="261" t="n"/>
      <c r="I205" s="261" t="n"/>
      <c r="J205" s="261" t="n"/>
      <c r="K205" s="261" t="n"/>
      <c r="L205" s="261" t="n"/>
      <c r="N205" s="262" t="n"/>
      <c r="O205" s="262" t="n"/>
      <c r="P205" s="262" t="n"/>
      <c r="Q205" s="262" t="n"/>
      <c r="R205" s="262" t="n"/>
    </row>
    <row r="206" ht="15" customFormat="1" customHeight="1" s="221">
      <c r="A206" s="698" t="n"/>
      <c r="B206" s="697" t="n"/>
      <c r="C206" s="697" t="n"/>
      <c r="D206" s="697" t="n"/>
      <c r="E206" s="697" t="n"/>
      <c r="F206" s="697" t="n"/>
      <c r="G206" s="260" t="n"/>
      <c r="H206" s="261" t="n"/>
      <c r="I206" s="261" t="n"/>
      <c r="J206" s="261" t="n"/>
      <c r="K206" s="261" t="n"/>
      <c r="L206" s="261" t="n"/>
      <c r="N206" s="262" t="n"/>
      <c r="O206" s="262" t="n"/>
      <c r="P206" s="262" t="n"/>
      <c r="Q206" s="262" t="n"/>
      <c r="R206" s="262" t="n"/>
    </row>
    <row r="207" ht="15" customFormat="1" customHeight="1" s="221">
      <c r="A207" s="698" t="n"/>
      <c r="B207" s="697" t="n"/>
      <c r="C207" s="697" t="n"/>
      <c r="D207" s="697" t="n"/>
      <c r="E207" s="697" t="n"/>
      <c r="F207" s="697" t="n"/>
      <c r="G207" s="260" t="n"/>
      <c r="H207" s="261" t="n"/>
      <c r="I207" s="261" t="n"/>
      <c r="J207" s="261" t="n"/>
      <c r="K207" s="261" t="n"/>
      <c r="L207" s="261" t="n"/>
      <c r="N207" s="262" t="n"/>
      <c r="O207" s="262" t="n"/>
      <c r="P207" s="262" t="n"/>
      <c r="Q207" s="262" t="n"/>
      <c r="R207" s="262" t="n"/>
    </row>
    <row r="208" ht="15" customFormat="1" customHeight="1" s="221">
      <c r="A208" s="698" t="n"/>
      <c r="B208" s="697" t="n"/>
      <c r="C208" s="697" t="n"/>
      <c r="D208" s="697" t="n"/>
      <c r="E208" s="697" t="n"/>
      <c r="F208" s="697" t="n"/>
      <c r="G208" s="260" t="n"/>
      <c r="H208" s="261" t="n"/>
      <c r="I208" s="261" t="n"/>
      <c r="J208" s="261" t="n"/>
      <c r="K208" s="261" t="n"/>
      <c r="L208" s="261" t="n"/>
      <c r="N208" s="262" t="n"/>
      <c r="O208" s="262" t="n"/>
      <c r="P208" s="262" t="n"/>
      <c r="Q208" s="262" t="n"/>
      <c r="R208" s="262" t="n"/>
    </row>
    <row r="209" ht="15" customFormat="1" customHeight="1" s="222">
      <c r="A209" s="696" t="n"/>
      <c r="B209" s="695" t="n"/>
      <c r="C209" s="695" t="n"/>
      <c r="D209" s="695" t="n"/>
      <c r="E209" s="695" t="n"/>
      <c r="F209" s="695" t="n"/>
      <c r="G209" s="260" t="n"/>
      <c r="H209" s="261" t="n"/>
      <c r="I209" s="261" t="n"/>
      <c r="J209" s="261" t="n"/>
      <c r="K209" s="261" t="n"/>
      <c r="L209" s="261" t="n"/>
      <c r="N209" s="262" t="n"/>
      <c r="O209" s="262" t="n"/>
      <c r="P209" s="262" t="n"/>
      <c r="Q209" s="262" t="n"/>
      <c r="R209" s="262" t="n"/>
    </row>
    <row r="210" ht="15" customFormat="1" customHeight="1" s="222">
      <c r="A210" s="696" t="n"/>
      <c r="B210" s="695" t="n"/>
      <c r="C210" s="695" t="n"/>
      <c r="D210" s="695" t="n"/>
      <c r="E210" s="695" t="n"/>
      <c r="F210" s="695" t="n"/>
      <c r="G210" s="260" t="n"/>
      <c r="H210" s="261" t="n"/>
      <c r="I210" s="261" t="n"/>
      <c r="J210" s="261" t="n"/>
      <c r="K210" s="261" t="n"/>
      <c r="L210" s="261" t="n"/>
      <c r="N210" s="262" t="n"/>
      <c r="O210" s="262" t="n"/>
      <c r="P210" s="262" t="n"/>
      <c r="Q210" s="262" t="n"/>
      <c r="R210" s="262" t="n"/>
    </row>
    <row r="211" ht="15" customFormat="1" customHeight="1" s="222">
      <c r="A211" s="696" t="n"/>
      <c r="B211" s="695" t="n"/>
      <c r="C211" s="695" t="n"/>
      <c r="D211" s="695" t="n"/>
      <c r="E211" s="695" t="n"/>
      <c r="F211" s="695" t="n"/>
      <c r="G211" s="260" t="n"/>
      <c r="H211" s="261" t="n"/>
      <c r="I211" s="261" t="n"/>
      <c r="J211" s="261" t="n"/>
      <c r="K211" s="261" t="n"/>
      <c r="L211" s="261" t="n"/>
      <c r="N211" s="262" t="n"/>
      <c r="O211" s="262" t="n"/>
      <c r="P211" s="262" t="n"/>
      <c r="Q211" s="262" t="n"/>
      <c r="R211" s="262" t="n"/>
    </row>
    <row r="212" ht="15" customFormat="1" customHeight="1" s="222">
      <c r="A212" s="696" t="n"/>
      <c r="B212" s="695" t="n"/>
      <c r="C212" s="695" t="n"/>
      <c r="D212" s="695" t="n"/>
      <c r="E212" s="695" t="n"/>
      <c r="F212" s="695" t="n"/>
      <c r="G212" s="260" t="n"/>
      <c r="H212" s="261" t="n"/>
      <c r="I212" s="261" t="n"/>
      <c r="J212" s="261" t="n"/>
      <c r="K212" s="261" t="n"/>
      <c r="L212" s="261" t="n"/>
      <c r="N212" s="262" t="n"/>
      <c r="O212" s="262" t="n"/>
      <c r="P212" s="262" t="n"/>
      <c r="Q212" s="262" t="n"/>
      <c r="R212" s="262" t="n"/>
    </row>
    <row r="213" ht="15" customFormat="1" customHeight="1" s="222">
      <c r="A213" s="696" t="n"/>
      <c r="B213" s="695" t="n"/>
      <c r="C213" s="695" t="n"/>
      <c r="D213" s="695" t="n"/>
      <c r="E213" s="695" t="n"/>
      <c r="F213" s="695" t="n"/>
      <c r="G213" s="260" t="n"/>
      <c r="H213" s="261" t="n"/>
      <c r="I213" s="261" t="n"/>
      <c r="J213" s="261" t="n"/>
      <c r="K213" s="261" t="n"/>
      <c r="L213" s="261" t="n"/>
      <c r="N213" s="262" t="n"/>
      <c r="O213" s="262" t="n"/>
      <c r="P213" s="262" t="n"/>
      <c r="Q213" s="262" t="n"/>
      <c r="R213" s="262" t="n"/>
    </row>
    <row r="214" ht="15" customFormat="1" customHeight="1" s="222">
      <c r="A214" s="696" t="n"/>
      <c r="B214" s="695" t="n"/>
      <c r="C214" s="695" t="n"/>
      <c r="D214" s="695" t="n"/>
      <c r="E214" s="695" t="n"/>
      <c r="F214" s="695" t="n"/>
      <c r="G214" s="260" t="n"/>
      <c r="H214" s="261" t="n"/>
      <c r="I214" s="261" t="n"/>
      <c r="J214" s="261" t="n"/>
      <c r="K214" s="261" t="n"/>
      <c r="L214" s="261" t="n"/>
      <c r="N214" s="262" t="n"/>
      <c r="O214" s="262" t="n"/>
      <c r="P214" s="262" t="n"/>
      <c r="Q214" s="262" t="n"/>
      <c r="R214" s="262" t="n"/>
    </row>
    <row r="215" ht="15" customFormat="1" customHeight="1" s="221">
      <c r="A215" s="698" t="n"/>
      <c r="B215" s="697" t="n"/>
      <c r="C215" s="697" t="n"/>
      <c r="D215" s="697" t="n"/>
      <c r="E215" s="697" t="n"/>
      <c r="F215" s="697" t="n"/>
      <c r="G215" s="260" t="n"/>
      <c r="H215" s="261" t="n"/>
      <c r="I215" s="261" t="n"/>
      <c r="J215" s="261" t="n"/>
      <c r="K215" s="261" t="n"/>
      <c r="L215" s="261" t="n"/>
      <c r="N215" s="262" t="n"/>
      <c r="O215" s="262" t="n"/>
      <c r="P215" s="262" t="n"/>
      <c r="Q215" s="262" t="n"/>
      <c r="R215" s="262" t="n"/>
    </row>
    <row r="216" ht="15" customFormat="1" customHeight="1" s="222">
      <c r="A216" s="696" t="n"/>
      <c r="B216" s="695" t="n"/>
      <c r="C216" s="695" t="n"/>
      <c r="D216" s="695" t="n"/>
      <c r="E216" s="695" t="n"/>
      <c r="F216" s="695" t="n"/>
      <c r="G216" s="260" t="n"/>
      <c r="H216" s="261" t="n"/>
      <c r="I216" s="261" t="n"/>
      <c r="J216" s="261" t="n"/>
      <c r="K216" s="261" t="n"/>
      <c r="L216" s="261" t="n"/>
      <c r="N216" s="262" t="n"/>
      <c r="O216" s="262" t="n"/>
      <c r="P216" s="262" t="n"/>
      <c r="Q216" s="262" t="n"/>
      <c r="R216" s="262" t="n"/>
    </row>
    <row r="217" ht="15" customFormat="1" customHeight="1" s="222">
      <c r="A217" s="696" t="n"/>
      <c r="B217" s="695" t="n"/>
      <c r="C217" s="695" t="n"/>
      <c r="D217" s="695" t="n"/>
      <c r="E217" s="695" t="n"/>
      <c r="F217" s="695" t="n"/>
      <c r="G217" s="260" t="n"/>
      <c r="H217" s="261" t="n"/>
      <c r="I217" s="261" t="n"/>
      <c r="J217" s="261" t="n"/>
      <c r="K217" s="261" t="n"/>
      <c r="L217" s="261" t="n"/>
      <c r="N217" s="262" t="n"/>
      <c r="O217" s="262" t="n"/>
      <c r="P217" s="262" t="n"/>
      <c r="Q217" s="262" t="n"/>
      <c r="R217" s="262" t="n"/>
    </row>
    <row r="218" ht="15" customFormat="1" customHeight="1" s="221">
      <c r="A218" s="698" t="n"/>
      <c r="B218" s="697" t="n"/>
      <c r="C218" s="697" t="n"/>
      <c r="D218" s="697" t="n"/>
      <c r="E218" s="697" t="n"/>
      <c r="F218" s="697" t="n"/>
      <c r="G218" s="260" t="n"/>
      <c r="H218" s="261" t="n"/>
      <c r="I218" s="261" t="n"/>
      <c r="J218" s="261" t="n"/>
      <c r="K218" s="261" t="n"/>
      <c r="L218" s="261" t="n"/>
      <c r="N218" s="262" t="n"/>
      <c r="O218" s="262" t="n"/>
      <c r="P218" s="262" t="n"/>
      <c r="Q218" s="262" t="n"/>
      <c r="R218" s="262" t="n"/>
    </row>
    <row r="219" ht="15" customFormat="1" customHeight="1" s="221">
      <c r="A219" s="698" t="n"/>
      <c r="B219" s="697" t="n"/>
      <c r="C219" s="697" t="n"/>
      <c r="D219" s="697" t="n"/>
      <c r="E219" s="697" t="n"/>
      <c r="F219" s="697" t="n"/>
      <c r="G219" s="260" t="n"/>
      <c r="H219" s="261" t="n"/>
      <c r="I219" s="261" t="n"/>
      <c r="J219" s="261" t="n"/>
      <c r="K219" s="261" t="n"/>
      <c r="L219" s="261" t="n"/>
      <c r="N219" s="262" t="n"/>
      <c r="O219" s="262" t="n"/>
      <c r="P219" s="262" t="n"/>
      <c r="Q219" s="262" t="n"/>
      <c r="R219" s="262" t="n"/>
    </row>
    <row r="220" ht="15" customFormat="1" customHeight="1" s="221">
      <c r="A220" s="698" t="n"/>
      <c r="B220" s="697" t="n"/>
      <c r="C220" s="697" t="n"/>
      <c r="D220" s="697" t="n"/>
      <c r="E220" s="697" t="n"/>
      <c r="F220" s="697" t="n"/>
      <c r="G220" s="260" t="n"/>
      <c r="H220" s="261" t="n"/>
      <c r="I220" s="261" t="n"/>
      <c r="J220" s="261" t="n"/>
      <c r="K220" s="261" t="n"/>
      <c r="L220" s="261" t="n"/>
      <c r="N220" s="262" t="n"/>
      <c r="O220" s="262" t="n"/>
      <c r="P220" s="262" t="n"/>
      <c r="Q220" s="262" t="n"/>
      <c r="R220" s="262" t="n"/>
    </row>
    <row r="221" ht="15" customFormat="1" customHeight="1" s="221">
      <c r="A221" s="698" t="n"/>
      <c r="B221" s="697" t="n"/>
      <c r="C221" s="697" t="n"/>
      <c r="D221" s="697" t="n"/>
      <c r="E221" s="697" t="n"/>
      <c r="F221" s="697" t="n"/>
      <c r="G221" s="260" t="n"/>
      <c r="H221" s="261" t="n"/>
      <c r="I221" s="261" t="n"/>
      <c r="J221" s="261" t="n"/>
      <c r="K221" s="261" t="n"/>
      <c r="L221" s="261" t="n"/>
      <c r="N221" s="262" t="n"/>
      <c r="O221" s="262" t="n"/>
      <c r="P221" s="262" t="n"/>
      <c r="Q221" s="262" t="n"/>
      <c r="R221" s="262" t="n"/>
    </row>
    <row r="222" ht="15" customFormat="1" customHeight="1" s="221">
      <c r="A222" s="698" t="n"/>
      <c r="B222" s="697" t="n"/>
      <c r="C222" s="697" t="n"/>
      <c r="D222" s="697" t="n"/>
      <c r="E222" s="697" t="n"/>
      <c r="F222" s="697" t="n"/>
      <c r="G222" s="260" t="n"/>
      <c r="H222" s="261" t="n"/>
      <c r="I222" s="261" t="n"/>
      <c r="J222" s="261" t="n"/>
      <c r="K222" s="261" t="n"/>
      <c r="L222" s="261" t="n"/>
      <c r="N222" s="262" t="n"/>
      <c r="O222" s="262" t="n"/>
      <c r="P222" s="262" t="n"/>
      <c r="Q222" s="262" t="n"/>
      <c r="R222" s="262" t="n"/>
    </row>
    <row r="223" ht="15" customFormat="1" customHeight="1" s="222">
      <c r="A223" s="696" t="n"/>
      <c r="B223" s="695" t="n"/>
      <c r="C223" s="695" t="n"/>
      <c r="D223" s="695" t="n"/>
      <c r="E223" s="695" t="n"/>
      <c r="F223" s="695" t="n"/>
      <c r="G223" s="260" t="n"/>
      <c r="H223" s="261" t="n"/>
      <c r="I223" s="261" t="n"/>
      <c r="J223" s="261" t="n"/>
      <c r="K223" s="261" t="n"/>
      <c r="L223" s="261" t="n"/>
      <c r="N223" s="262" t="n"/>
      <c r="O223" s="262" t="n"/>
      <c r="P223" s="262" t="n"/>
      <c r="Q223" s="262" t="n"/>
      <c r="R223" s="262" t="n"/>
    </row>
    <row r="224" ht="15" customFormat="1" customHeight="1" s="221">
      <c r="A224" s="698" t="n"/>
      <c r="B224" s="697" t="n"/>
      <c r="C224" s="697" t="n"/>
      <c r="D224" s="697" t="n"/>
      <c r="E224" s="697" t="n"/>
      <c r="F224" s="697" t="n"/>
      <c r="G224" s="260" t="n"/>
      <c r="H224" s="261" t="n"/>
      <c r="I224" s="261" t="n"/>
      <c r="J224" s="261" t="n"/>
      <c r="K224" s="261" t="n"/>
      <c r="L224" s="261" t="n"/>
      <c r="N224" s="262" t="n"/>
      <c r="O224" s="262" t="n"/>
      <c r="P224" s="262" t="n"/>
      <c r="Q224" s="262" t="n"/>
      <c r="R224" s="262" t="n"/>
    </row>
    <row r="225" ht="15" customFormat="1" customHeight="1" s="221">
      <c r="A225" s="698" t="n"/>
      <c r="B225" s="697" t="n"/>
      <c r="C225" s="697" t="n"/>
      <c r="D225" s="697" t="n"/>
      <c r="E225" s="697" t="n"/>
      <c r="F225" s="697" t="n"/>
      <c r="G225" s="260" t="n"/>
      <c r="H225" s="261" t="n"/>
      <c r="I225" s="261" t="n"/>
      <c r="J225" s="261" t="n"/>
      <c r="K225" s="261" t="n"/>
      <c r="L225" s="261" t="n"/>
      <c r="N225" s="262" t="n"/>
      <c r="O225" s="262" t="n"/>
      <c r="P225" s="262" t="n"/>
      <c r="Q225" s="262" t="n"/>
      <c r="R225" s="262" t="n"/>
    </row>
    <row r="226" ht="15" customFormat="1" customHeight="1" s="222">
      <c r="A226" s="696" t="n"/>
      <c r="B226" s="695" t="n"/>
      <c r="C226" s="695" t="n"/>
      <c r="D226" s="695" t="n"/>
      <c r="E226" s="695" t="n"/>
      <c r="F226" s="695" t="n"/>
      <c r="G226" s="260" t="n"/>
      <c r="H226" s="261" t="n"/>
      <c r="I226" s="261" t="n"/>
      <c r="J226" s="261" t="n"/>
      <c r="K226" s="261" t="n"/>
      <c r="L226" s="261" t="n"/>
      <c r="N226" s="262" t="n"/>
      <c r="O226" s="262" t="n"/>
      <c r="P226" s="262" t="n"/>
      <c r="Q226" s="262" t="n"/>
      <c r="R226" s="262" t="n"/>
    </row>
    <row r="227" ht="15" customFormat="1" customHeight="1" s="221">
      <c r="A227" s="698" t="n"/>
      <c r="B227" s="697" t="n"/>
      <c r="C227" s="697" t="n"/>
      <c r="D227" s="697" t="n"/>
      <c r="E227" s="697" t="n"/>
      <c r="F227" s="697" t="n"/>
      <c r="G227" s="260" t="n"/>
      <c r="H227" s="261" t="n"/>
      <c r="I227" s="261" t="n"/>
      <c r="J227" s="261" t="n"/>
      <c r="K227" s="261" t="n"/>
      <c r="L227" s="261" t="n"/>
      <c r="N227" s="262" t="n"/>
      <c r="O227" s="262" t="n"/>
      <c r="P227" s="262" t="n"/>
      <c r="Q227" s="262" t="n"/>
      <c r="R227" s="262" t="n"/>
    </row>
    <row r="228" ht="15" customFormat="1" customHeight="1" s="221">
      <c r="A228" s="698" t="n"/>
      <c r="B228" s="697" t="n"/>
      <c r="C228" s="697" t="n"/>
      <c r="D228" s="697" t="n"/>
      <c r="E228" s="697" t="n"/>
      <c r="F228" s="697" t="n"/>
      <c r="G228" s="260" t="n"/>
      <c r="H228" s="261" t="n"/>
      <c r="I228" s="261" t="n"/>
      <c r="J228" s="261" t="n"/>
      <c r="K228" s="261" t="n"/>
      <c r="L228" s="261" t="n"/>
      <c r="N228" s="262" t="n"/>
      <c r="O228" s="262" t="n"/>
      <c r="P228" s="262" t="n"/>
      <c r="Q228" s="262" t="n"/>
      <c r="R228" s="262" t="n"/>
    </row>
    <row r="229" ht="15" customFormat="1" customHeight="1" s="221">
      <c r="A229" s="698" t="n"/>
      <c r="B229" s="697" t="n"/>
      <c r="C229" s="697" t="n"/>
      <c r="D229" s="697" t="n"/>
      <c r="E229" s="697" t="n"/>
      <c r="F229" s="697" t="n"/>
      <c r="G229" s="260" t="n"/>
      <c r="H229" s="261" t="n"/>
      <c r="I229" s="261" t="n"/>
      <c r="J229" s="261" t="n"/>
      <c r="K229" s="261" t="n"/>
      <c r="L229" s="261" t="n"/>
      <c r="N229" s="262" t="n"/>
      <c r="O229" s="262" t="n"/>
      <c r="P229" s="262" t="n"/>
      <c r="Q229" s="262" t="n"/>
      <c r="R229" s="262" t="n"/>
    </row>
    <row r="230" ht="15" customFormat="1" customHeight="1" s="221">
      <c r="A230" s="698" t="n"/>
      <c r="B230" s="697" t="n"/>
      <c r="C230" s="697" t="n"/>
      <c r="D230" s="697" t="n"/>
      <c r="E230" s="697" t="n"/>
      <c r="F230" s="697" t="n"/>
      <c r="G230" s="260" t="n"/>
      <c r="I230" s="261" t="n"/>
      <c r="J230" s="261" t="n"/>
      <c r="K230" s="261" t="n"/>
      <c r="L230" s="261" t="n"/>
      <c r="N230" s="262" t="n"/>
      <c r="O230" s="262" t="n"/>
      <c r="P230" s="262" t="n"/>
      <c r="Q230" s="262" t="n"/>
      <c r="R230" s="262" t="n"/>
    </row>
    <row r="231" ht="15" customFormat="1" customHeight="1" s="221">
      <c r="A231" s="698" t="n"/>
      <c r="B231" s="697" t="n"/>
      <c r="C231" s="697" t="n"/>
      <c r="D231" s="697" t="n"/>
      <c r="E231" s="697" t="n"/>
      <c r="F231" s="697" t="n"/>
      <c r="G231" s="260" t="n"/>
      <c r="H231" s="261" t="n"/>
      <c r="I231" s="261" t="n"/>
      <c r="J231" s="261" t="n"/>
      <c r="K231" s="261" t="n"/>
      <c r="L231" s="261" t="n"/>
      <c r="N231" s="262" t="n"/>
      <c r="O231" s="262" t="n"/>
      <c r="P231" s="262" t="n"/>
      <c r="Q231" s="262" t="n"/>
      <c r="R231" s="262" t="n"/>
    </row>
    <row r="232" ht="15" customFormat="1" customHeight="1" s="222">
      <c r="A232" s="696" t="n"/>
      <c r="B232" s="695" t="n"/>
      <c r="C232" s="695" t="n"/>
      <c r="D232" s="695" t="n"/>
      <c r="E232" s="695" t="n"/>
      <c r="F232" s="695" t="n"/>
      <c r="G232" s="260" t="n"/>
      <c r="H232" s="261" t="n"/>
      <c r="I232" s="261" t="n"/>
      <c r="J232" s="261" t="n"/>
      <c r="K232" s="261" t="n"/>
      <c r="L232" s="261" t="n"/>
      <c r="N232" s="262" t="n"/>
      <c r="O232" s="262" t="n"/>
      <c r="P232" s="262" t="n"/>
      <c r="Q232" s="262" t="n"/>
      <c r="R232" s="262" t="n"/>
    </row>
    <row r="233" ht="15" customFormat="1" customHeight="1" s="222">
      <c r="A233" s="696" t="n"/>
      <c r="B233" s="695" t="n"/>
      <c r="C233" s="695" t="n"/>
      <c r="D233" s="695" t="n"/>
      <c r="E233" s="695" t="n"/>
      <c r="F233" s="695" t="n"/>
      <c r="G233" s="260" t="n"/>
      <c r="H233" s="261" t="n"/>
      <c r="I233" s="261" t="n"/>
      <c r="J233" s="261" t="n"/>
      <c r="K233" s="261" t="n"/>
      <c r="L233" s="261" t="n"/>
      <c r="N233" s="262" t="n"/>
      <c r="O233" s="262" t="n"/>
      <c r="P233" s="262" t="n"/>
      <c r="Q233" s="262" t="n"/>
      <c r="R233" s="262" t="n"/>
    </row>
    <row r="234" ht="15" customFormat="1" customHeight="1" s="222">
      <c r="A234" s="696" t="n"/>
      <c r="B234" s="695" t="n"/>
      <c r="C234" s="695" t="n"/>
      <c r="D234" s="695" t="n"/>
      <c r="E234" s="695" t="n"/>
      <c r="F234" s="695" t="n"/>
      <c r="G234" s="260" t="n"/>
      <c r="H234" s="261" t="n"/>
      <c r="I234" s="261" t="n"/>
      <c r="J234" s="261" t="n"/>
      <c r="K234" s="261" t="n"/>
      <c r="L234" s="261" t="n"/>
      <c r="N234" s="262" t="n"/>
      <c r="O234" s="262" t="n"/>
      <c r="P234" s="262" t="n"/>
      <c r="Q234" s="262" t="n"/>
      <c r="R234" s="262" t="n"/>
    </row>
    <row r="235" ht="15" customFormat="1" customHeight="1" s="222">
      <c r="A235" s="696" t="n"/>
      <c r="B235" s="695" t="n"/>
      <c r="C235" s="695" t="n"/>
      <c r="D235" s="695" t="n"/>
      <c r="E235" s="695" t="n"/>
      <c r="F235" s="695" t="n"/>
      <c r="G235" s="260" t="n"/>
      <c r="H235" s="261" t="n"/>
      <c r="I235" s="261" t="n"/>
      <c r="J235" s="261" t="n"/>
      <c r="K235" s="261" t="n"/>
      <c r="L235" s="261" t="n"/>
      <c r="M235" s="261" t="n"/>
      <c r="N235" s="262" t="n"/>
      <c r="O235" s="262" t="n"/>
      <c r="P235" s="262" t="n"/>
      <c r="Q235" s="262" t="n"/>
      <c r="R235" s="262" t="n"/>
    </row>
    <row r="236" ht="15" customFormat="1" customHeight="1" s="222">
      <c r="A236" s="696" t="n"/>
      <c r="B236" s="695" t="n"/>
      <c r="C236" s="695" t="n"/>
      <c r="D236" s="695" t="n"/>
      <c r="E236" s="695" t="n"/>
      <c r="F236" s="695" t="n"/>
      <c r="G236" s="260" t="n"/>
      <c r="H236" s="261" t="n"/>
      <c r="I236" s="261" t="n"/>
      <c r="J236" s="261" t="n"/>
      <c r="K236" s="261" t="n"/>
      <c r="L236" s="261" t="n"/>
      <c r="M236" s="261" t="n"/>
      <c r="N236" s="262" t="n"/>
      <c r="O236" s="262" t="n"/>
      <c r="P236" s="262" t="n"/>
      <c r="Q236" s="262" t="n"/>
      <c r="R236" s="262" t="n"/>
    </row>
    <row r="237" ht="15" customFormat="1" customHeight="1" s="222">
      <c r="A237" s="696" t="n"/>
      <c r="B237" s="695" t="n"/>
      <c r="C237" s="695" t="n"/>
      <c r="D237" s="695" t="n"/>
      <c r="E237" s="695" t="n"/>
      <c r="F237" s="695" t="n"/>
      <c r="G237" s="260" t="n"/>
      <c r="H237" s="261" t="n"/>
      <c r="I237" s="261" t="n"/>
      <c r="J237" s="261" t="n"/>
      <c r="K237" s="261" t="n"/>
      <c r="L237" s="261" t="n"/>
      <c r="M237" s="261" t="n"/>
      <c r="N237" s="262" t="n"/>
      <c r="O237" s="262" t="n"/>
      <c r="P237" s="262" t="n"/>
      <c r="Q237" s="262" t="n"/>
      <c r="R237" s="262" t="n"/>
    </row>
    <row r="238" ht="15" customFormat="1" customHeight="1" s="222">
      <c r="A238" s="696" t="n"/>
      <c r="B238" s="695" t="n"/>
      <c r="C238" s="695" t="n"/>
      <c r="D238" s="695" t="n"/>
      <c r="E238" s="695" t="n"/>
      <c r="F238" s="695" t="n"/>
      <c r="G238" s="260" t="n"/>
      <c r="H238" s="261" t="n"/>
      <c r="I238" s="261" t="n"/>
      <c r="J238" s="261" t="n"/>
      <c r="K238" s="261" t="n"/>
      <c r="L238" s="261" t="n"/>
      <c r="M238" s="261" t="n"/>
      <c r="N238" s="262" t="n"/>
      <c r="O238" s="262" t="n"/>
      <c r="P238" s="262" t="n"/>
      <c r="Q238" s="262" t="n"/>
      <c r="R238" s="262" t="n"/>
    </row>
    <row r="239" ht="15" customFormat="1" customHeight="1" s="222">
      <c r="A239" s="696" t="n"/>
      <c r="B239" s="695" t="n"/>
      <c r="C239" s="695" t="n"/>
      <c r="D239" s="695" t="n"/>
      <c r="E239" s="695" t="n"/>
      <c r="F239" s="695" t="n"/>
      <c r="G239" s="260" t="n"/>
      <c r="H239" s="261" t="n"/>
      <c r="I239" s="261" t="n"/>
      <c r="J239" s="261" t="n"/>
      <c r="K239" s="261" t="n"/>
      <c r="L239" s="261" t="n"/>
      <c r="M239" s="261" t="n"/>
      <c r="N239" s="262" t="n"/>
      <c r="O239" s="262" t="n"/>
      <c r="P239" s="262" t="n"/>
      <c r="Q239" s="262" t="n"/>
      <c r="R239" s="262" t="n"/>
    </row>
    <row r="240" ht="15" customFormat="1" customHeight="1" s="222">
      <c r="A240" s="696" t="n"/>
      <c r="B240" s="695" t="n"/>
      <c r="C240" s="695" t="n"/>
      <c r="D240" s="695" t="n"/>
      <c r="E240" s="695" t="n"/>
      <c r="F240" s="695" t="n"/>
      <c r="G240" s="260" t="n"/>
      <c r="H240" s="261" t="n"/>
      <c r="I240" s="261" t="n"/>
      <c r="J240" s="261" t="n"/>
      <c r="K240" s="261" t="n"/>
      <c r="L240" s="261" t="n"/>
      <c r="M240" s="261" t="n"/>
      <c r="N240" s="262" t="n"/>
      <c r="O240" s="262" t="n"/>
      <c r="P240" s="262" t="n"/>
      <c r="Q240" s="262" t="n"/>
      <c r="R240" s="262" t="n"/>
    </row>
    <row r="241" ht="15" customFormat="1" customHeight="1" s="222">
      <c r="A241" s="696" t="n"/>
      <c r="B241" s="695" t="n"/>
      <c r="C241" s="695" t="n"/>
      <c r="D241" s="695" t="n"/>
      <c r="E241" s="695" t="n"/>
      <c r="F241" s="695" t="n"/>
      <c r="G241" s="260" t="n"/>
      <c r="H241" s="261" t="n"/>
      <c r="I241" s="261" t="n"/>
      <c r="J241" s="261" t="n"/>
      <c r="K241" s="261" t="n"/>
      <c r="L241" s="261" t="n"/>
      <c r="M241" s="261" t="n"/>
      <c r="N241" s="262" t="n"/>
      <c r="O241" s="262" t="n"/>
      <c r="P241" s="262" t="n"/>
      <c r="Q241" s="262" t="n"/>
      <c r="R241" s="262" t="n"/>
    </row>
    <row r="242" ht="15" customHeight="1" s="828">
      <c r="A242" s="974" t="n"/>
      <c r="B242" s="699" t="n"/>
      <c r="C242" s="699" t="n"/>
      <c r="D242" s="699" t="n"/>
      <c r="E242" s="699" t="n"/>
      <c r="F242" s="699" t="n"/>
      <c r="G242" s="260" t="n"/>
    </row>
    <row r="243" ht="15" customHeight="1" s="828">
      <c r="A243" s="974" t="n"/>
      <c r="B243" s="699" t="n"/>
      <c r="C243" s="699" t="n"/>
      <c r="D243" s="699" t="n"/>
      <c r="E243" s="699" t="n"/>
      <c r="F243" s="699" t="n"/>
      <c r="G243" s="260" t="n"/>
    </row>
    <row r="244" ht="15" customHeight="1" s="828">
      <c r="A244" s="974" t="n"/>
      <c r="B244" s="699" t="n"/>
      <c r="C244" s="699" t="n"/>
      <c r="D244" s="699" t="n"/>
      <c r="E244" s="699" t="n"/>
      <c r="F244" s="699" t="n"/>
      <c r="G244" s="260" t="n"/>
    </row>
    <row r="245" ht="15" customHeight="1" s="828">
      <c r="A245" s="974" t="n"/>
      <c r="B245" s="699" t="n"/>
      <c r="C245" s="699" t="n"/>
      <c r="D245" s="699" t="n"/>
      <c r="E245" s="699" t="n"/>
      <c r="F245" s="699" t="n"/>
      <c r="G245" s="260" t="n"/>
    </row>
    <row r="246" ht="15" customHeight="1" s="828">
      <c r="A246" s="974" t="n"/>
      <c r="B246" s="699" t="n"/>
      <c r="C246" s="699" t="n"/>
      <c r="D246" s="699" t="n"/>
      <c r="E246" s="699" t="n"/>
      <c r="F246" s="699" t="n"/>
      <c r="G246" s="260" t="n"/>
    </row>
    <row r="247" ht="15" customHeight="1" s="828">
      <c r="A247" s="974" t="n"/>
      <c r="B247" s="699" t="n"/>
      <c r="C247" s="699" t="n"/>
      <c r="D247" s="699" t="n"/>
      <c r="E247" s="699" t="n"/>
      <c r="F247" s="699" t="n"/>
      <c r="G247" s="260" t="n"/>
    </row>
    <row r="248" ht="15" customHeight="1" s="828">
      <c r="A248" s="974" t="n"/>
      <c r="B248" s="699" t="n"/>
      <c r="C248" s="699" t="n"/>
      <c r="D248" s="699" t="n"/>
      <c r="E248" s="699" t="n"/>
      <c r="F248" s="699" t="n"/>
      <c r="G248" s="260" t="n"/>
    </row>
    <row r="249" ht="15" customHeight="1" s="828">
      <c r="A249" s="974" t="n"/>
      <c r="B249" s="699" t="n"/>
      <c r="C249" s="699" t="n"/>
      <c r="D249" s="699" t="n"/>
      <c r="E249" s="699" t="n"/>
      <c r="F249" s="699" t="n"/>
      <c r="G249" s="260" t="n"/>
    </row>
    <row r="250" ht="15" customHeight="1" s="828">
      <c r="A250" s="974" t="n"/>
      <c r="B250" s="699" t="n"/>
      <c r="C250" s="699" t="n"/>
      <c r="D250" s="699" t="n"/>
      <c r="E250" s="699" t="n"/>
      <c r="F250" s="699" t="n"/>
      <c r="G250" s="260" t="n"/>
    </row>
    <row r="251" ht="15" customHeight="1" s="828">
      <c r="A251" s="974" t="n"/>
      <c r="B251" s="699" t="n"/>
      <c r="C251" s="699" t="n"/>
      <c r="D251" s="699" t="n"/>
      <c r="E251" s="699" t="n"/>
      <c r="F251" s="699" t="n"/>
      <c r="G251" s="260" t="n"/>
    </row>
    <row r="252" ht="15" customHeight="1" s="828">
      <c r="A252" s="974" t="n"/>
      <c r="B252" s="699" t="n"/>
      <c r="C252" s="699" t="n"/>
      <c r="D252" s="699" t="n"/>
      <c r="E252" s="699" t="n"/>
      <c r="F252" s="699" t="n"/>
      <c r="G252" s="260" t="n"/>
    </row>
    <row r="253" ht="15" customHeight="1" s="828">
      <c r="A253" s="694" t="n"/>
      <c r="B253" s="699" t="n"/>
      <c r="C253" s="699" t="n"/>
      <c r="D253" s="699" t="n"/>
      <c r="E253" s="699" t="n"/>
      <c r="F253" s="699" t="n"/>
      <c r="G253" s="260" t="n"/>
    </row>
    <row r="254" ht="15" customHeight="1" s="828">
      <c r="A254" s="693" t="n"/>
      <c r="B254" s="692" t="n"/>
      <c r="C254" s="692" t="n"/>
      <c r="D254" s="692" t="n"/>
      <c r="E254" s="692" t="n"/>
      <c r="F254" s="692" t="n"/>
      <c r="G254" s="260" t="n"/>
    </row>
    <row r="255" ht="15" customHeight="1" s="828">
      <c r="A255" s="694" t="n"/>
      <c r="B255" s="699" t="n"/>
      <c r="C255" s="699" t="n"/>
      <c r="D255" s="699" t="n"/>
      <c r="E255" s="699" t="n"/>
      <c r="F255" s="699" t="n"/>
      <c r="G255" s="260" t="n"/>
    </row>
    <row r="256" ht="15" customHeight="1" s="828">
      <c r="A256" s="694" t="n"/>
      <c r="B256" s="699" t="n"/>
      <c r="C256" s="699" t="n"/>
      <c r="D256" s="699" t="n"/>
      <c r="E256" s="699" t="n"/>
      <c r="F256" s="699" t="n"/>
      <c r="G256" s="260" t="n"/>
    </row>
    <row r="257" ht="15" customHeight="1" s="828">
      <c r="A257" s="694" t="n"/>
      <c r="B257" s="699" t="n"/>
      <c r="C257" s="699" t="n"/>
      <c r="D257" s="699" t="n"/>
      <c r="E257" s="699" t="n"/>
      <c r="F257" s="699" t="n"/>
      <c r="G257" s="260" t="n"/>
    </row>
    <row r="258" ht="15" customHeight="1" s="828">
      <c r="A258" s="694" t="n"/>
      <c r="B258" s="699" t="n"/>
      <c r="C258" s="699" t="n"/>
      <c r="D258" s="699" t="n"/>
      <c r="E258" s="699" t="n"/>
      <c r="F258" s="699" t="n"/>
      <c r="G258" s="260" t="n"/>
    </row>
    <row r="259" ht="15" customHeight="1" s="828">
      <c r="A259" s="694" t="n"/>
      <c r="B259" s="699" t="n"/>
      <c r="C259" s="699" t="n"/>
      <c r="D259" s="699" t="n"/>
      <c r="E259" s="699" t="n"/>
      <c r="F259" s="699" t="n"/>
      <c r="G259" s="260" t="n"/>
    </row>
    <row r="260" ht="15" customHeight="1" s="828">
      <c r="A260" s="694" t="n"/>
      <c r="B260" s="699" t="n"/>
      <c r="C260" s="699" t="n"/>
      <c r="D260" s="699" t="n"/>
      <c r="E260" s="699" t="n"/>
      <c r="F260" s="699" t="n"/>
      <c r="G260" s="260" t="n"/>
    </row>
    <row r="261" ht="15" customHeight="1" s="828">
      <c r="A261" s="694" t="n"/>
      <c r="B261" s="699" t="n"/>
      <c r="C261" s="699" t="n"/>
      <c r="D261" s="699" t="n"/>
      <c r="E261" s="699" t="n"/>
      <c r="F261" s="699" t="n"/>
      <c r="G261" s="260" t="n"/>
    </row>
    <row r="262" ht="15" customHeight="1" s="828">
      <c r="A262" s="694" t="n"/>
      <c r="B262" s="699" t="n"/>
      <c r="C262" s="699" t="n"/>
      <c r="D262" s="699" t="n"/>
      <c r="E262" s="699" t="n"/>
      <c r="F262" s="699" t="n"/>
      <c r="G262" s="260" t="n"/>
    </row>
    <row r="263" ht="15" customHeight="1" s="828">
      <c r="A263" s="694" t="n"/>
      <c r="B263" s="699" t="n"/>
      <c r="C263" s="699" t="n"/>
      <c r="D263" s="699" t="n"/>
      <c r="E263" s="699" t="n"/>
      <c r="F263" s="699" t="n"/>
      <c r="G263" s="260" t="n"/>
    </row>
    <row r="264" ht="15" customHeight="1" s="828">
      <c r="A264" s="694" t="n"/>
      <c r="B264" s="699" t="n"/>
      <c r="C264" s="699" t="n"/>
      <c r="D264" s="699" t="n"/>
      <c r="E264" s="699" t="n"/>
      <c r="F264" s="699" t="n"/>
      <c r="G264" s="260" t="n"/>
    </row>
    <row r="265" ht="15" customHeight="1" s="828">
      <c r="A265" s="694" t="n"/>
      <c r="B265" s="699" t="n"/>
      <c r="C265" s="699" t="n"/>
      <c r="D265" s="699" t="n"/>
      <c r="E265" s="699" t="n"/>
      <c r="F265" s="699" t="n"/>
      <c r="G265" s="260" t="n"/>
    </row>
    <row r="266" ht="15" customHeight="1" s="828">
      <c r="A266" s="694" t="n"/>
      <c r="B266" s="699" t="n"/>
      <c r="C266" s="699" t="n"/>
      <c r="D266" s="699" t="n"/>
      <c r="E266" s="699" t="n"/>
      <c r="F266" s="699" t="n"/>
      <c r="G266" s="263" t="n"/>
      <c r="H266" s="264" t="n"/>
      <c r="I266" s="264" t="n"/>
      <c r="J266" s="264" t="n"/>
      <c r="K266" s="264" t="n"/>
      <c r="L266" s="264" t="n"/>
      <c r="M266" s="264" t="n"/>
    </row>
    <row r="267" ht="15" customHeight="1" s="828">
      <c r="A267" s="694" t="n"/>
      <c r="B267" s="699" t="n"/>
      <c r="C267" s="699" t="n"/>
      <c r="D267" s="699" t="n"/>
      <c r="E267" s="699" t="n"/>
      <c r="F267" s="699" t="n"/>
      <c r="G267" s="263" t="n"/>
      <c r="H267" s="264" t="n"/>
      <c r="I267" s="264" t="n"/>
      <c r="J267" s="264" t="n"/>
      <c r="K267" s="264" t="n"/>
      <c r="L267" s="264" t="n"/>
      <c r="M267" s="264" t="n"/>
    </row>
    <row r="268" ht="15" customHeight="1" s="828">
      <c r="A268" s="694" t="n"/>
      <c r="B268" s="699" t="n"/>
      <c r="C268" s="699" t="n"/>
      <c r="D268" s="699" t="n"/>
      <c r="E268" s="699" t="n"/>
      <c r="F268" s="699" t="n"/>
      <c r="G268" s="263" t="n"/>
      <c r="H268" s="264" t="n"/>
      <c r="I268" s="264" t="n"/>
      <c r="J268" s="264" t="n"/>
      <c r="K268" s="264" t="n"/>
      <c r="L268" s="264" t="n"/>
      <c r="M268" s="264" t="n"/>
    </row>
    <row r="269" ht="15" customHeight="1" s="828">
      <c r="A269" s="694" t="n"/>
      <c r="B269" s="699" t="n"/>
      <c r="C269" s="699" t="n"/>
      <c r="D269" s="699" t="n"/>
      <c r="E269" s="699" t="n"/>
      <c r="F269" s="699" t="n"/>
      <c r="G269" s="263" t="n"/>
      <c r="H269" s="264" t="n"/>
      <c r="I269" s="264" t="n"/>
      <c r="J269" s="264" t="n"/>
      <c r="K269" s="264" t="n"/>
      <c r="L269" s="264" t="n"/>
      <c r="M269" s="264" t="n"/>
    </row>
    <row r="270" ht="15" customHeight="1" s="828">
      <c r="A270" s="694" t="n"/>
      <c r="B270" s="699" t="n"/>
      <c r="C270" s="699" t="n"/>
      <c r="D270" s="699" t="n"/>
      <c r="E270" s="699" t="n"/>
      <c r="F270" s="699" t="n"/>
      <c r="G270" s="263" t="n"/>
      <c r="H270" s="264" t="n"/>
      <c r="I270" s="264" t="n"/>
      <c r="J270" s="264" t="n"/>
      <c r="K270" s="264" t="n"/>
      <c r="L270" s="264" t="n"/>
      <c r="M270" s="264" t="n"/>
    </row>
    <row r="271" ht="15" customHeight="1" s="828">
      <c r="A271" s="694" t="n"/>
      <c r="B271" s="699" t="n"/>
      <c r="C271" s="699" t="n"/>
      <c r="D271" s="699" t="n"/>
      <c r="E271" s="699" t="n"/>
      <c r="F271" s="699" t="n"/>
      <c r="G271" s="263" t="n"/>
      <c r="H271" s="264" t="n"/>
      <c r="I271" s="264" t="n"/>
      <c r="J271" s="264" t="n"/>
      <c r="K271" s="264" t="n"/>
      <c r="L271" s="264" t="n"/>
      <c r="M271" s="264" t="n"/>
    </row>
    <row r="272" ht="15" customHeight="1" s="828">
      <c r="A272" s="694" t="n"/>
      <c r="B272" s="699" t="n"/>
      <c r="C272" s="699" t="n"/>
      <c r="D272" s="699" t="n"/>
      <c r="E272" s="699" t="n"/>
      <c r="F272" s="699" t="n"/>
      <c r="G272" s="263" t="n"/>
      <c r="H272" s="264" t="n"/>
      <c r="I272" s="264" t="n"/>
      <c r="J272" s="264" t="n"/>
      <c r="K272" s="264" t="n"/>
      <c r="L272" s="264" t="n"/>
      <c r="M272" s="264" t="n"/>
    </row>
    <row r="273" ht="15" customHeight="1" s="828">
      <c r="A273" s="694" t="n"/>
      <c r="B273" s="699" t="n"/>
      <c r="C273" s="699" t="n"/>
      <c r="D273" s="699" t="n"/>
      <c r="E273" s="699" t="n"/>
      <c r="F273" s="699" t="n"/>
      <c r="G273" s="263" t="n"/>
      <c r="H273" s="264" t="n"/>
      <c r="I273" s="264" t="n"/>
      <c r="J273" s="264" t="n"/>
      <c r="K273" s="264" t="n"/>
      <c r="L273" s="264" t="n"/>
      <c r="M273" s="264" t="n"/>
    </row>
    <row r="274" ht="15" customHeight="1" s="828">
      <c r="A274" s="694" t="n"/>
      <c r="B274" s="699" t="n"/>
      <c r="C274" s="699" t="n"/>
      <c r="D274" s="699" t="n"/>
      <c r="E274" s="699" t="n"/>
      <c r="F274" s="699" t="n"/>
      <c r="G274" s="263" t="n"/>
      <c r="H274" s="264" t="n"/>
      <c r="I274" s="264" t="n"/>
      <c r="J274" s="264" t="n"/>
      <c r="K274" s="264" t="n"/>
      <c r="L274" s="264" t="n"/>
      <c r="M274" s="264" t="n"/>
    </row>
    <row r="275" ht="15" customHeight="1" s="828">
      <c r="A275" s="694" t="n"/>
      <c r="B275" s="699" t="n"/>
      <c r="C275" s="699" t="n"/>
      <c r="D275" s="699" t="n"/>
      <c r="E275" s="699" t="n"/>
      <c r="F275" s="699" t="n"/>
      <c r="G275" s="263" t="n"/>
      <c r="H275" s="264" t="n"/>
      <c r="I275" s="264" t="n"/>
      <c r="J275" s="264" t="n"/>
      <c r="K275" s="264" t="n"/>
      <c r="L275" s="264" t="n"/>
      <c r="M275" s="264" t="n"/>
    </row>
    <row r="276" ht="15" customHeight="1" s="828">
      <c r="A276" s="694" t="n"/>
      <c r="B276" s="699" t="n"/>
      <c r="C276" s="699" t="n"/>
      <c r="D276" s="699" t="n"/>
      <c r="E276" s="699" t="n"/>
      <c r="F276" s="699" t="n"/>
      <c r="G276" s="263" t="n"/>
      <c r="H276" s="264" t="n"/>
      <c r="I276" s="264" t="n"/>
      <c r="J276" s="264" t="n"/>
      <c r="K276" s="264" t="n"/>
      <c r="L276" s="264" t="n"/>
      <c r="M276" s="264" t="n"/>
    </row>
    <row r="277" ht="15" customHeight="1" s="828">
      <c r="A277" s="691" t="n"/>
      <c r="B277" s="835" t="n"/>
      <c r="C277" s="835" t="n"/>
      <c r="D277" s="835" t="n"/>
      <c r="E277" s="835" t="n"/>
      <c r="F277" s="835" t="n"/>
      <c r="G277" s="263" t="n"/>
      <c r="H277" s="284" t="n"/>
      <c r="I277" s="264" t="n"/>
      <c r="K277" s="264" t="n"/>
      <c r="L277" s="264" t="n"/>
      <c r="M277" s="264" t="n"/>
    </row>
    <row r="278" ht="15" customHeight="1" s="828">
      <c r="A278" s="691" t="n"/>
      <c r="B278" s="835" t="n"/>
      <c r="C278" s="835" t="n"/>
      <c r="D278" s="835" t="n"/>
      <c r="E278" s="835" t="n"/>
      <c r="F278" s="835" t="n"/>
      <c r="G278" s="263" t="n"/>
      <c r="H278" s="284" t="n"/>
      <c r="I278" s="264" t="n"/>
      <c r="J278" s="264" t="n"/>
      <c r="K278" s="264" t="n"/>
      <c r="L278" s="264" t="n"/>
      <c r="M278" s="264" t="n"/>
    </row>
    <row r="279" ht="15" customHeight="1" s="828">
      <c r="A279" s="691" t="n"/>
      <c r="B279" s="835" t="n"/>
      <c r="C279" s="835" t="n"/>
      <c r="D279" s="835" t="n"/>
      <c r="E279" s="835" t="n"/>
      <c r="F279" s="835" t="n"/>
      <c r="G279" s="263" t="n"/>
      <c r="H279" s="284" t="n"/>
      <c r="I279" s="264" t="n"/>
      <c r="J279" s="264" t="n"/>
      <c r="K279" s="264" t="n"/>
      <c r="L279" s="264" t="n"/>
      <c r="M279" s="264" t="n"/>
    </row>
    <row r="280" ht="15" customHeight="1" s="828">
      <c r="A280" s="691" t="n"/>
      <c r="B280" s="835" t="n"/>
      <c r="C280" s="835" t="n"/>
      <c r="D280" s="835" t="n"/>
      <c r="E280" s="835" t="n"/>
      <c r="F280" s="835" t="n"/>
      <c r="G280" s="263" t="n"/>
      <c r="H280" s="284" t="n"/>
      <c r="I280" s="264" t="n"/>
      <c r="J280" s="264" t="n"/>
      <c r="K280" s="264" t="n"/>
      <c r="L280" s="264" t="n"/>
      <c r="M280" s="264" t="n"/>
    </row>
    <row r="281" ht="50.15" customHeight="1" s="828">
      <c r="A281" s="690" t="n"/>
      <c r="B281" s="692" t="n"/>
      <c r="C281" s="692" t="n"/>
      <c r="D281" s="692" t="n"/>
      <c r="E281" s="692" t="n"/>
      <c r="F281" s="692" t="n"/>
      <c r="G281" s="258" t="n"/>
      <c r="H281" s="262" t="n"/>
      <c r="I281" s="262" t="n"/>
      <c r="J281" s="262" t="n"/>
      <c r="K281" s="262" t="n"/>
    </row>
    <row r="282" ht="64" customHeight="1" s="828">
      <c r="A282" s="833" t="n"/>
      <c r="G282" s="594" t="n"/>
    </row>
    <row r="283" ht="50.15" customHeight="1" s="828">
      <c r="A283" s="833" t="n"/>
      <c r="G283" s="833" t="n"/>
    </row>
    <row r="284" ht="50.15" customHeight="1" s="828">
      <c r="A284" s="833" t="n"/>
      <c r="G284" s="833" t="n"/>
    </row>
    <row r="285" ht="57" customHeight="1" s="828">
      <c r="A285" s="833" t="n"/>
      <c r="G285" s="833" t="n"/>
    </row>
    <row r="286" ht="50.15" customHeight="1" s="828"/>
    <row r="287" ht="50.15" customHeight="1" s="828"/>
    <row r="288" ht="50.15" customHeight="1" s="828"/>
    <row r="289" ht="50.15" customHeight="1" s="828">
      <c r="A289" s="975" t="n"/>
      <c r="B289" s="975" t="n"/>
      <c r="C289" s="221" t="n"/>
      <c r="D289" s="266" t="n"/>
      <c r="E289" s="266" t="n"/>
      <c r="F289" s="976" t="n"/>
      <c r="G289" s="976" t="n"/>
    </row>
    <row r="290" ht="50.15" customHeight="1" s="828">
      <c r="A290" s="975" t="n"/>
      <c r="B290" s="975" t="n"/>
      <c r="C290" s="221" t="n"/>
      <c r="D290" s="266" t="n"/>
      <c r="E290" s="266" t="n"/>
      <c r="F290" s="976" t="n"/>
      <c r="G290" s="976" t="n"/>
    </row>
    <row r="291" ht="15" customHeight="1" s="828">
      <c r="A291" s="975" t="n"/>
      <c r="B291" s="975" t="n"/>
      <c r="C291" s="221" t="n"/>
      <c r="D291" s="266" t="n"/>
      <c r="E291" s="266" t="n"/>
      <c r="F291" s="976" t="n"/>
      <c r="G291" s="221" t="n"/>
    </row>
    <row r="292" ht="15" customHeight="1" s="828"/>
    <row r="293" ht="15" customHeight="1" s="828"/>
  </sheetData>
  <mergeCells count="6">
    <mergeCell ref="A283:F283"/>
    <mergeCell ref="A284:F284"/>
    <mergeCell ref="A282:F282"/>
    <mergeCell ref="A12:F12"/>
    <mergeCell ref="I13:J13"/>
    <mergeCell ref="A285:F285"/>
  </mergeCells>
  <hyperlinks>
    <hyperlink xmlns:r="http://schemas.openxmlformats.org/officeDocument/2006/relationships" ref="C10" r:id="rId1"/>
  </hyperlinks>
  <pageMargins left="0.7" right="0.7" top="0.75" bottom="0.75" header="0.3" footer="0.3"/>
  <pageSetup orientation="portrait" paperSize="9"/>
  <drawing xmlns:r="http://schemas.openxmlformats.org/officeDocument/2006/relationships" r:id="rId2"/>
</worksheet>
</file>

<file path=xl/worksheets/sheet8.xml><?xml version="1.0" encoding="utf-8"?>
<worksheet xmlns="http://schemas.openxmlformats.org/spreadsheetml/2006/main">
  <sheetPr codeName="Sheet316">
    <tabColor rgb="FF00B0F0"/>
    <outlinePr summaryBelow="1" summaryRight="1"/>
    <pageSetUpPr/>
  </sheetPr>
  <dimension ref="A1:R493"/>
  <sheetViews>
    <sheetView zoomScale="82" workbookViewId="0">
      <selection activeCell="L410" sqref="L410"/>
    </sheetView>
  </sheetViews>
  <sheetFormatPr baseColWidth="8" defaultColWidth="9.453125" defaultRowHeight="13"/>
  <cols>
    <col width="24.453125" customWidth="1" style="20" min="1" max="1"/>
    <col width="12.54296875" customWidth="1" style="20" min="2" max="4"/>
    <col width="12.54296875" customWidth="1" style="977" min="5" max="5"/>
    <col width="12.54296875" customWidth="1" style="20" min="6" max="6"/>
    <col width="14.54296875" customWidth="1" style="977" min="7" max="7"/>
    <col width="13.54296875" customWidth="1" style="978" min="8" max="8"/>
    <col width="12.54296875" customWidth="1" style="978" min="9" max="9"/>
    <col width="10.1796875" customWidth="1" style="978" min="10" max="10"/>
    <col width="5.54296875" customWidth="1" style="978" min="11" max="13"/>
    <col width="51" customWidth="1" style="20" min="14" max="14"/>
    <col width="9.453125" customWidth="1" style="20" min="15" max="256"/>
    <col width="24.453125" customWidth="1" style="20" min="257" max="257"/>
    <col width="12.54296875" customWidth="1" style="20" min="258" max="262"/>
    <col width="14.54296875" customWidth="1" style="20" min="263" max="263"/>
    <col width="13.54296875" customWidth="1" style="20" min="264" max="264"/>
    <col width="12.54296875" customWidth="1" style="20" min="265" max="265"/>
    <col width="10.1796875" customWidth="1" style="20" min="266" max="266"/>
    <col width="5.54296875" customWidth="1" style="20" min="267" max="269"/>
    <col width="51" customWidth="1" style="20" min="270" max="270"/>
    <col width="9.453125" customWidth="1" style="20" min="271" max="512"/>
    <col width="24.453125" customWidth="1" style="20" min="513" max="513"/>
    <col width="12.54296875" customWidth="1" style="20" min="514" max="518"/>
    <col width="14.54296875" customWidth="1" style="20" min="519" max="519"/>
    <col width="13.54296875" customWidth="1" style="20" min="520" max="520"/>
    <col width="12.54296875" customWidth="1" style="20" min="521" max="521"/>
    <col width="10.1796875" customWidth="1" style="20" min="522" max="522"/>
    <col width="5.54296875" customWidth="1" style="20" min="523" max="525"/>
    <col width="51" customWidth="1" style="20" min="526" max="526"/>
    <col width="9.453125" customWidth="1" style="20" min="527" max="768"/>
    <col width="24.453125" customWidth="1" style="20" min="769" max="769"/>
    <col width="12.54296875" customWidth="1" style="20" min="770" max="774"/>
    <col width="14.54296875" customWidth="1" style="20" min="775" max="775"/>
    <col width="13.54296875" customWidth="1" style="20" min="776" max="776"/>
    <col width="12.54296875" customWidth="1" style="20" min="777" max="777"/>
    <col width="10.1796875" customWidth="1" style="20" min="778" max="778"/>
    <col width="5.54296875" customWidth="1" style="20" min="779" max="781"/>
    <col width="51" customWidth="1" style="20" min="782" max="782"/>
    <col width="9.453125" customWidth="1" style="20" min="783" max="1024"/>
    <col width="24.453125" customWidth="1" style="20" min="1025" max="1025"/>
    <col width="12.54296875" customWidth="1" style="20" min="1026" max="1030"/>
    <col width="14.54296875" customWidth="1" style="20" min="1031" max="1031"/>
    <col width="13.54296875" customWidth="1" style="20" min="1032" max="1032"/>
    <col width="12.54296875" customWidth="1" style="20" min="1033" max="1033"/>
    <col width="10.1796875" customWidth="1" style="20" min="1034" max="1034"/>
    <col width="5.54296875" customWidth="1" style="20" min="1035" max="1037"/>
    <col width="51" customWidth="1" style="20" min="1038" max="1038"/>
    <col width="9.453125" customWidth="1" style="20" min="1039" max="1280"/>
    <col width="24.453125" customWidth="1" style="20" min="1281" max="1281"/>
    <col width="12.54296875" customWidth="1" style="20" min="1282" max="1286"/>
    <col width="14.54296875" customWidth="1" style="20" min="1287" max="1287"/>
    <col width="13.54296875" customWidth="1" style="20" min="1288" max="1288"/>
    <col width="12.54296875" customWidth="1" style="20" min="1289" max="1289"/>
    <col width="10.1796875" customWidth="1" style="20" min="1290" max="1290"/>
    <col width="5.54296875" customWidth="1" style="20" min="1291" max="1293"/>
    <col width="51" customWidth="1" style="20" min="1294" max="1294"/>
    <col width="9.453125" customWidth="1" style="20" min="1295" max="1536"/>
    <col width="24.453125" customWidth="1" style="20" min="1537" max="1537"/>
    <col width="12.54296875" customWidth="1" style="20" min="1538" max="1542"/>
    <col width="14.54296875" customWidth="1" style="20" min="1543" max="1543"/>
    <col width="13.54296875" customWidth="1" style="20" min="1544" max="1544"/>
    <col width="12.54296875" customWidth="1" style="20" min="1545" max="1545"/>
    <col width="10.1796875" customWidth="1" style="20" min="1546" max="1546"/>
    <col width="5.54296875" customWidth="1" style="20" min="1547" max="1549"/>
    <col width="51" customWidth="1" style="20" min="1550" max="1550"/>
    <col width="9.453125" customWidth="1" style="20" min="1551" max="1792"/>
    <col width="24.453125" customWidth="1" style="20" min="1793" max="1793"/>
    <col width="12.54296875" customWidth="1" style="20" min="1794" max="1798"/>
    <col width="14.54296875" customWidth="1" style="20" min="1799" max="1799"/>
    <col width="13.54296875" customWidth="1" style="20" min="1800" max="1800"/>
    <col width="12.54296875" customWidth="1" style="20" min="1801" max="1801"/>
    <col width="10.1796875" customWidth="1" style="20" min="1802" max="1802"/>
    <col width="5.54296875" customWidth="1" style="20" min="1803" max="1805"/>
    <col width="51" customWidth="1" style="20" min="1806" max="1806"/>
    <col width="9.453125" customWidth="1" style="20" min="1807" max="2048"/>
    <col width="24.453125" customWidth="1" style="20" min="2049" max="2049"/>
    <col width="12.54296875" customWidth="1" style="20" min="2050" max="2054"/>
    <col width="14.54296875" customWidth="1" style="20" min="2055" max="2055"/>
    <col width="13.54296875" customWidth="1" style="20" min="2056" max="2056"/>
    <col width="12.54296875" customWidth="1" style="20" min="2057" max="2057"/>
    <col width="10.1796875" customWidth="1" style="20" min="2058" max="2058"/>
    <col width="5.54296875" customWidth="1" style="20" min="2059" max="2061"/>
    <col width="51" customWidth="1" style="20" min="2062" max="2062"/>
    <col width="9.453125" customWidth="1" style="20" min="2063" max="2304"/>
    <col width="24.453125" customWidth="1" style="20" min="2305" max="2305"/>
    <col width="12.54296875" customWidth="1" style="20" min="2306" max="2310"/>
    <col width="14.54296875" customWidth="1" style="20" min="2311" max="2311"/>
    <col width="13.54296875" customWidth="1" style="20" min="2312" max="2312"/>
    <col width="12.54296875" customWidth="1" style="20" min="2313" max="2313"/>
    <col width="10.1796875" customWidth="1" style="20" min="2314" max="2314"/>
    <col width="5.54296875" customWidth="1" style="20" min="2315" max="2317"/>
    <col width="51" customWidth="1" style="20" min="2318" max="2318"/>
    <col width="9.453125" customWidth="1" style="20" min="2319" max="2560"/>
    <col width="24.453125" customWidth="1" style="20" min="2561" max="2561"/>
    <col width="12.54296875" customWidth="1" style="20" min="2562" max="2566"/>
    <col width="14.54296875" customWidth="1" style="20" min="2567" max="2567"/>
    <col width="13.54296875" customWidth="1" style="20" min="2568" max="2568"/>
    <col width="12.54296875" customWidth="1" style="20" min="2569" max="2569"/>
    <col width="10.1796875" customWidth="1" style="20" min="2570" max="2570"/>
    <col width="5.54296875" customWidth="1" style="20" min="2571" max="2573"/>
    <col width="51" customWidth="1" style="20" min="2574" max="2574"/>
    <col width="9.453125" customWidth="1" style="20" min="2575" max="2816"/>
    <col width="24.453125" customWidth="1" style="20" min="2817" max="2817"/>
    <col width="12.54296875" customWidth="1" style="20" min="2818" max="2822"/>
    <col width="14.54296875" customWidth="1" style="20" min="2823" max="2823"/>
    <col width="13.54296875" customWidth="1" style="20" min="2824" max="2824"/>
    <col width="12.54296875" customWidth="1" style="20" min="2825" max="2825"/>
    <col width="10.1796875" customWidth="1" style="20" min="2826" max="2826"/>
    <col width="5.54296875" customWidth="1" style="20" min="2827" max="2829"/>
    <col width="51" customWidth="1" style="20" min="2830" max="2830"/>
    <col width="9.453125" customWidth="1" style="20" min="2831" max="3072"/>
    <col width="24.453125" customWidth="1" style="20" min="3073" max="3073"/>
    <col width="12.54296875" customWidth="1" style="20" min="3074" max="3078"/>
    <col width="14.54296875" customWidth="1" style="20" min="3079" max="3079"/>
    <col width="13.54296875" customWidth="1" style="20" min="3080" max="3080"/>
    <col width="12.54296875" customWidth="1" style="20" min="3081" max="3081"/>
    <col width="10.1796875" customWidth="1" style="20" min="3082" max="3082"/>
    <col width="5.54296875" customWidth="1" style="20" min="3083" max="3085"/>
    <col width="51" customWidth="1" style="20" min="3086" max="3086"/>
    <col width="9.453125" customWidth="1" style="20" min="3087" max="3328"/>
    <col width="24.453125" customWidth="1" style="20" min="3329" max="3329"/>
    <col width="12.54296875" customWidth="1" style="20" min="3330" max="3334"/>
    <col width="14.54296875" customWidth="1" style="20" min="3335" max="3335"/>
    <col width="13.54296875" customWidth="1" style="20" min="3336" max="3336"/>
    <col width="12.54296875" customWidth="1" style="20" min="3337" max="3337"/>
    <col width="10.1796875" customWidth="1" style="20" min="3338" max="3338"/>
    <col width="5.54296875" customWidth="1" style="20" min="3339" max="3341"/>
    <col width="51" customWidth="1" style="20" min="3342" max="3342"/>
    <col width="9.453125" customWidth="1" style="20" min="3343" max="3584"/>
    <col width="24.453125" customWidth="1" style="20" min="3585" max="3585"/>
    <col width="12.54296875" customWidth="1" style="20" min="3586" max="3590"/>
    <col width="14.54296875" customWidth="1" style="20" min="3591" max="3591"/>
    <col width="13.54296875" customWidth="1" style="20" min="3592" max="3592"/>
    <col width="12.54296875" customWidth="1" style="20" min="3593" max="3593"/>
    <col width="10.1796875" customWidth="1" style="20" min="3594" max="3594"/>
    <col width="5.54296875" customWidth="1" style="20" min="3595" max="3597"/>
    <col width="51" customWidth="1" style="20" min="3598" max="3598"/>
    <col width="9.453125" customWidth="1" style="20" min="3599" max="3840"/>
    <col width="24.453125" customWidth="1" style="20" min="3841" max="3841"/>
    <col width="12.54296875" customWidth="1" style="20" min="3842" max="3846"/>
    <col width="14.54296875" customWidth="1" style="20" min="3847" max="3847"/>
    <col width="13.54296875" customWidth="1" style="20" min="3848" max="3848"/>
    <col width="12.54296875" customWidth="1" style="20" min="3849" max="3849"/>
    <col width="10.1796875" customWidth="1" style="20" min="3850" max="3850"/>
    <col width="5.54296875" customWidth="1" style="20" min="3851" max="3853"/>
    <col width="51" customWidth="1" style="20" min="3854" max="3854"/>
    <col width="9.453125" customWidth="1" style="20" min="3855" max="4096"/>
    <col width="24.453125" customWidth="1" style="20" min="4097" max="4097"/>
    <col width="12.54296875" customWidth="1" style="20" min="4098" max="4102"/>
    <col width="14.54296875" customWidth="1" style="20" min="4103" max="4103"/>
    <col width="13.54296875" customWidth="1" style="20" min="4104" max="4104"/>
    <col width="12.54296875" customWidth="1" style="20" min="4105" max="4105"/>
    <col width="10.1796875" customWidth="1" style="20" min="4106" max="4106"/>
    <col width="5.54296875" customWidth="1" style="20" min="4107" max="4109"/>
    <col width="51" customWidth="1" style="20" min="4110" max="4110"/>
    <col width="9.453125" customWidth="1" style="20" min="4111" max="4352"/>
    <col width="24.453125" customWidth="1" style="20" min="4353" max="4353"/>
    <col width="12.54296875" customWidth="1" style="20" min="4354" max="4358"/>
    <col width="14.54296875" customWidth="1" style="20" min="4359" max="4359"/>
    <col width="13.54296875" customWidth="1" style="20" min="4360" max="4360"/>
    <col width="12.54296875" customWidth="1" style="20" min="4361" max="4361"/>
    <col width="10.1796875" customWidth="1" style="20" min="4362" max="4362"/>
    <col width="5.54296875" customWidth="1" style="20" min="4363" max="4365"/>
    <col width="51" customWidth="1" style="20" min="4366" max="4366"/>
    <col width="9.453125" customWidth="1" style="20" min="4367" max="4608"/>
    <col width="24.453125" customWidth="1" style="20" min="4609" max="4609"/>
    <col width="12.54296875" customWidth="1" style="20" min="4610" max="4614"/>
    <col width="14.54296875" customWidth="1" style="20" min="4615" max="4615"/>
    <col width="13.54296875" customWidth="1" style="20" min="4616" max="4616"/>
    <col width="12.54296875" customWidth="1" style="20" min="4617" max="4617"/>
    <col width="10.1796875" customWidth="1" style="20" min="4618" max="4618"/>
    <col width="5.54296875" customWidth="1" style="20" min="4619" max="4621"/>
    <col width="51" customWidth="1" style="20" min="4622" max="4622"/>
    <col width="9.453125" customWidth="1" style="20" min="4623" max="4864"/>
    <col width="24.453125" customWidth="1" style="20" min="4865" max="4865"/>
    <col width="12.54296875" customWidth="1" style="20" min="4866" max="4870"/>
    <col width="14.54296875" customWidth="1" style="20" min="4871" max="4871"/>
    <col width="13.54296875" customWidth="1" style="20" min="4872" max="4872"/>
    <col width="12.54296875" customWidth="1" style="20" min="4873" max="4873"/>
    <col width="10.1796875" customWidth="1" style="20" min="4874" max="4874"/>
    <col width="5.54296875" customWidth="1" style="20" min="4875" max="4877"/>
    <col width="51" customWidth="1" style="20" min="4878" max="4878"/>
    <col width="9.453125" customWidth="1" style="20" min="4879" max="5120"/>
    <col width="24.453125" customWidth="1" style="20" min="5121" max="5121"/>
    <col width="12.54296875" customWidth="1" style="20" min="5122" max="5126"/>
    <col width="14.54296875" customWidth="1" style="20" min="5127" max="5127"/>
    <col width="13.54296875" customWidth="1" style="20" min="5128" max="5128"/>
    <col width="12.54296875" customWidth="1" style="20" min="5129" max="5129"/>
    <col width="10.1796875" customWidth="1" style="20" min="5130" max="5130"/>
    <col width="5.54296875" customWidth="1" style="20" min="5131" max="5133"/>
    <col width="51" customWidth="1" style="20" min="5134" max="5134"/>
    <col width="9.453125" customWidth="1" style="20" min="5135" max="5376"/>
    <col width="24.453125" customWidth="1" style="20" min="5377" max="5377"/>
    <col width="12.54296875" customWidth="1" style="20" min="5378" max="5382"/>
    <col width="14.54296875" customWidth="1" style="20" min="5383" max="5383"/>
    <col width="13.54296875" customWidth="1" style="20" min="5384" max="5384"/>
    <col width="12.54296875" customWidth="1" style="20" min="5385" max="5385"/>
    <col width="10.1796875" customWidth="1" style="20" min="5386" max="5386"/>
    <col width="5.54296875" customWidth="1" style="20" min="5387" max="5389"/>
    <col width="51" customWidth="1" style="20" min="5390" max="5390"/>
    <col width="9.453125" customWidth="1" style="20" min="5391" max="5632"/>
    <col width="24.453125" customWidth="1" style="20" min="5633" max="5633"/>
    <col width="12.54296875" customWidth="1" style="20" min="5634" max="5638"/>
    <col width="14.54296875" customWidth="1" style="20" min="5639" max="5639"/>
    <col width="13.54296875" customWidth="1" style="20" min="5640" max="5640"/>
    <col width="12.54296875" customWidth="1" style="20" min="5641" max="5641"/>
    <col width="10.1796875" customWidth="1" style="20" min="5642" max="5642"/>
    <col width="5.54296875" customWidth="1" style="20" min="5643" max="5645"/>
    <col width="51" customWidth="1" style="20" min="5646" max="5646"/>
    <col width="9.453125" customWidth="1" style="20" min="5647" max="5888"/>
    <col width="24.453125" customWidth="1" style="20" min="5889" max="5889"/>
    <col width="12.54296875" customWidth="1" style="20" min="5890" max="5894"/>
    <col width="14.54296875" customWidth="1" style="20" min="5895" max="5895"/>
    <col width="13.54296875" customWidth="1" style="20" min="5896" max="5896"/>
    <col width="12.54296875" customWidth="1" style="20" min="5897" max="5897"/>
    <col width="10.1796875" customWidth="1" style="20" min="5898" max="5898"/>
    <col width="5.54296875" customWidth="1" style="20" min="5899" max="5901"/>
    <col width="51" customWidth="1" style="20" min="5902" max="5902"/>
    <col width="9.453125" customWidth="1" style="20" min="5903" max="6144"/>
    <col width="24.453125" customWidth="1" style="20" min="6145" max="6145"/>
    <col width="12.54296875" customWidth="1" style="20" min="6146" max="6150"/>
    <col width="14.54296875" customWidth="1" style="20" min="6151" max="6151"/>
    <col width="13.54296875" customWidth="1" style="20" min="6152" max="6152"/>
    <col width="12.54296875" customWidth="1" style="20" min="6153" max="6153"/>
    <col width="10.1796875" customWidth="1" style="20" min="6154" max="6154"/>
    <col width="5.54296875" customWidth="1" style="20" min="6155" max="6157"/>
    <col width="51" customWidth="1" style="20" min="6158" max="6158"/>
    <col width="9.453125" customWidth="1" style="20" min="6159" max="6400"/>
    <col width="24.453125" customWidth="1" style="20" min="6401" max="6401"/>
    <col width="12.54296875" customWidth="1" style="20" min="6402" max="6406"/>
    <col width="14.54296875" customWidth="1" style="20" min="6407" max="6407"/>
    <col width="13.54296875" customWidth="1" style="20" min="6408" max="6408"/>
    <col width="12.54296875" customWidth="1" style="20" min="6409" max="6409"/>
    <col width="10.1796875" customWidth="1" style="20" min="6410" max="6410"/>
    <col width="5.54296875" customWidth="1" style="20" min="6411" max="6413"/>
    <col width="51" customWidth="1" style="20" min="6414" max="6414"/>
    <col width="9.453125" customWidth="1" style="20" min="6415" max="6656"/>
    <col width="24.453125" customWidth="1" style="20" min="6657" max="6657"/>
    <col width="12.54296875" customWidth="1" style="20" min="6658" max="6662"/>
    <col width="14.54296875" customWidth="1" style="20" min="6663" max="6663"/>
    <col width="13.54296875" customWidth="1" style="20" min="6664" max="6664"/>
    <col width="12.54296875" customWidth="1" style="20" min="6665" max="6665"/>
    <col width="10.1796875" customWidth="1" style="20" min="6666" max="6666"/>
    <col width="5.54296875" customWidth="1" style="20" min="6667" max="6669"/>
    <col width="51" customWidth="1" style="20" min="6670" max="6670"/>
    <col width="9.453125" customWidth="1" style="20" min="6671" max="6912"/>
    <col width="24.453125" customWidth="1" style="20" min="6913" max="6913"/>
    <col width="12.54296875" customWidth="1" style="20" min="6914" max="6918"/>
    <col width="14.54296875" customWidth="1" style="20" min="6919" max="6919"/>
    <col width="13.54296875" customWidth="1" style="20" min="6920" max="6920"/>
    <col width="12.54296875" customWidth="1" style="20" min="6921" max="6921"/>
    <col width="10.1796875" customWidth="1" style="20" min="6922" max="6922"/>
    <col width="5.54296875" customWidth="1" style="20" min="6923" max="6925"/>
    <col width="51" customWidth="1" style="20" min="6926" max="6926"/>
    <col width="9.453125" customWidth="1" style="20" min="6927" max="7168"/>
    <col width="24.453125" customWidth="1" style="20" min="7169" max="7169"/>
    <col width="12.54296875" customWidth="1" style="20" min="7170" max="7174"/>
    <col width="14.54296875" customWidth="1" style="20" min="7175" max="7175"/>
    <col width="13.54296875" customWidth="1" style="20" min="7176" max="7176"/>
    <col width="12.54296875" customWidth="1" style="20" min="7177" max="7177"/>
    <col width="10.1796875" customWidth="1" style="20" min="7178" max="7178"/>
    <col width="5.54296875" customWidth="1" style="20" min="7179" max="7181"/>
    <col width="51" customWidth="1" style="20" min="7182" max="7182"/>
    <col width="9.453125" customWidth="1" style="20" min="7183" max="7424"/>
    <col width="24.453125" customWidth="1" style="20" min="7425" max="7425"/>
    <col width="12.54296875" customWidth="1" style="20" min="7426" max="7430"/>
    <col width="14.54296875" customWidth="1" style="20" min="7431" max="7431"/>
    <col width="13.54296875" customWidth="1" style="20" min="7432" max="7432"/>
    <col width="12.54296875" customWidth="1" style="20" min="7433" max="7433"/>
    <col width="10.1796875" customWidth="1" style="20" min="7434" max="7434"/>
    <col width="5.54296875" customWidth="1" style="20" min="7435" max="7437"/>
    <col width="51" customWidth="1" style="20" min="7438" max="7438"/>
    <col width="9.453125" customWidth="1" style="20" min="7439" max="7680"/>
    <col width="24.453125" customWidth="1" style="20" min="7681" max="7681"/>
    <col width="12.54296875" customWidth="1" style="20" min="7682" max="7686"/>
    <col width="14.54296875" customWidth="1" style="20" min="7687" max="7687"/>
    <col width="13.54296875" customWidth="1" style="20" min="7688" max="7688"/>
    <col width="12.54296875" customWidth="1" style="20" min="7689" max="7689"/>
    <col width="10.1796875" customWidth="1" style="20" min="7690" max="7690"/>
    <col width="5.54296875" customWidth="1" style="20" min="7691" max="7693"/>
    <col width="51" customWidth="1" style="20" min="7694" max="7694"/>
    <col width="9.453125" customWidth="1" style="20" min="7695" max="7936"/>
    <col width="24.453125" customWidth="1" style="20" min="7937" max="7937"/>
    <col width="12.54296875" customWidth="1" style="20" min="7938" max="7942"/>
    <col width="14.54296875" customWidth="1" style="20" min="7943" max="7943"/>
    <col width="13.54296875" customWidth="1" style="20" min="7944" max="7944"/>
    <col width="12.54296875" customWidth="1" style="20" min="7945" max="7945"/>
    <col width="10.1796875" customWidth="1" style="20" min="7946" max="7946"/>
    <col width="5.54296875" customWidth="1" style="20" min="7947" max="7949"/>
    <col width="51" customWidth="1" style="20" min="7950" max="7950"/>
    <col width="9.453125" customWidth="1" style="20" min="7951" max="8192"/>
    <col width="24.453125" customWidth="1" style="20" min="8193" max="8193"/>
    <col width="12.54296875" customWidth="1" style="20" min="8194" max="8198"/>
    <col width="14.54296875" customWidth="1" style="20" min="8199" max="8199"/>
    <col width="13.54296875" customWidth="1" style="20" min="8200" max="8200"/>
    <col width="12.54296875" customWidth="1" style="20" min="8201" max="8201"/>
    <col width="10.1796875" customWidth="1" style="20" min="8202" max="8202"/>
    <col width="5.54296875" customWidth="1" style="20" min="8203" max="8205"/>
    <col width="51" customWidth="1" style="20" min="8206" max="8206"/>
    <col width="9.453125" customWidth="1" style="20" min="8207" max="8448"/>
    <col width="24.453125" customWidth="1" style="20" min="8449" max="8449"/>
    <col width="12.54296875" customWidth="1" style="20" min="8450" max="8454"/>
    <col width="14.54296875" customWidth="1" style="20" min="8455" max="8455"/>
    <col width="13.54296875" customWidth="1" style="20" min="8456" max="8456"/>
    <col width="12.54296875" customWidth="1" style="20" min="8457" max="8457"/>
    <col width="10.1796875" customWidth="1" style="20" min="8458" max="8458"/>
    <col width="5.54296875" customWidth="1" style="20" min="8459" max="8461"/>
    <col width="51" customWidth="1" style="20" min="8462" max="8462"/>
    <col width="9.453125" customWidth="1" style="20" min="8463" max="8704"/>
    <col width="24.453125" customWidth="1" style="20" min="8705" max="8705"/>
    <col width="12.54296875" customWidth="1" style="20" min="8706" max="8710"/>
    <col width="14.54296875" customWidth="1" style="20" min="8711" max="8711"/>
    <col width="13.54296875" customWidth="1" style="20" min="8712" max="8712"/>
    <col width="12.54296875" customWidth="1" style="20" min="8713" max="8713"/>
    <col width="10.1796875" customWidth="1" style="20" min="8714" max="8714"/>
    <col width="5.54296875" customWidth="1" style="20" min="8715" max="8717"/>
    <col width="51" customWidth="1" style="20" min="8718" max="8718"/>
    <col width="9.453125" customWidth="1" style="20" min="8719" max="8960"/>
    <col width="24.453125" customWidth="1" style="20" min="8961" max="8961"/>
    <col width="12.54296875" customWidth="1" style="20" min="8962" max="8966"/>
    <col width="14.54296875" customWidth="1" style="20" min="8967" max="8967"/>
    <col width="13.54296875" customWidth="1" style="20" min="8968" max="8968"/>
    <col width="12.54296875" customWidth="1" style="20" min="8969" max="8969"/>
    <col width="10.1796875" customWidth="1" style="20" min="8970" max="8970"/>
    <col width="5.54296875" customWidth="1" style="20" min="8971" max="8973"/>
    <col width="51" customWidth="1" style="20" min="8974" max="8974"/>
    <col width="9.453125" customWidth="1" style="20" min="8975" max="9216"/>
    <col width="24.453125" customWidth="1" style="20" min="9217" max="9217"/>
    <col width="12.54296875" customWidth="1" style="20" min="9218" max="9222"/>
    <col width="14.54296875" customWidth="1" style="20" min="9223" max="9223"/>
    <col width="13.54296875" customWidth="1" style="20" min="9224" max="9224"/>
    <col width="12.54296875" customWidth="1" style="20" min="9225" max="9225"/>
    <col width="10.1796875" customWidth="1" style="20" min="9226" max="9226"/>
    <col width="5.54296875" customWidth="1" style="20" min="9227" max="9229"/>
    <col width="51" customWidth="1" style="20" min="9230" max="9230"/>
    <col width="9.453125" customWidth="1" style="20" min="9231" max="9472"/>
    <col width="24.453125" customWidth="1" style="20" min="9473" max="9473"/>
    <col width="12.54296875" customWidth="1" style="20" min="9474" max="9478"/>
    <col width="14.54296875" customWidth="1" style="20" min="9479" max="9479"/>
    <col width="13.54296875" customWidth="1" style="20" min="9480" max="9480"/>
    <col width="12.54296875" customWidth="1" style="20" min="9481" max="9481"/>
    <col width="10.1796875" customWidth="1" style="20" min="9482" max="9482"/>
    <col width="5.54296875" customWidth="1" style="20" min="9483" max="9485"/>
    <col width="51" customWidth="1" style="20" min="9486" max="9486"/>
    <col width="9.453125" customWidth="1" style="20" min="9487" max="9728"/>
    <col width="24.453125" customWidth="1" style="20" min="9729" max="9729"/>
    <col width="12.54296875" customWidth="1" style="20" min="9730" max="9734"/>
    <col width="14.54296875" customWidth="1" style="20" min="9735" max="9735"/>
    <col width="13.54296875" customWidth="1" style="20" min="9736" max="9736"/>
    <col width="12.54296875" customWidth="1" style="20" min="9737" max="9737"/>
    <col width="10.1796875" customWidth="1" style="20" min="9738" max="9738"/>
    <col width="5.54296875" customWidth="1" style="20" min="9739" max="9741"/>
    <col width="51" customWidth="1" style="20" min="9742" max="9742"/>
    <col width="9.453125" customWidth="1" style="20" min="9743" max="9984"/>
    <col width="24.453125" customWidth="1" style="20" min="9985" max="9985"/>
    <col width="12.54296875" customWidth="1" style="20" min="9986" max="9990"/>
    <col width="14.54296875" customWidth="1" style="20" min="9991" max="9991"/>
    <col width="13.54296875" customWidth="1" style="20" min="9992" max="9992"/>
    <col width="12.54296875" customWidth="1" style="20" min="9993" max="9993"/>
    <col width="10.1796875" customWidth="1" style="20" min="9994" max="9994"/>
    <col width="5.54296875" customWidth="1" style="20" min="9995" max="9997"/>
    <col width="51" customWidth="1" style="20" min="9998" max="9998"/>
    <col width="9.453125" customWidth="1" style="20" min="9999" max="10240"/>
    <col width="24.453125" customWidth="1" style="20" min="10241" max="10241"/>
    <col width="12.54296875" customWidth="1" style="20" min="10242" max="10246"/>
    <col width="14.54296875" customWidth="1" style="20" min="10247" max="10247"/>
    <col width="13.54296875" customWidth="1" style="20" min="10248" max="10248"/>
    <col width="12.54296875" customWidth="1" style="20" min="10249" max="10249"/>
    <col width="10.1796875" customWidth="1" style="20" min="10250" max="10250"/>
    <col width="5.54296875" customWidth="1" style="20" min="10251" max="10253"/>
    <col width="51" customWidth="1" style="20" min="10254" max="10254"/>
    <col width="9.453125" customWidth="1" style="20" min="10255" max="10496"/>
    <col width="24.453125" customWidth="1" style="20" min="10497" max="10497"/>
    <col width="12.54296875" customWidth="1" style="20" min="10498" max="10502"/>
    <col width="14.54296875" customWidth="1" style="20" min="10503" max="10503"/>
    <col width="13.54296875" customWidth="1" style="20" min="10504" max="10504"/>
    <col width="12.54296875" customWidth="1" style="20" min="10505" max="10505"/>
    <col width="10.1796875" customWidth="1" style="20" min="10506" max="10506"/>
    <col width="5.54296875" customWidth="1" style="20" min="10507" max="10509"/>
    <col width="51" customWidth="1" style="20" min="10510" max="10510"/>
    <col width="9.453125" customWidth="1" style="20" min="10511" max="10752"/>
    <col width="24.453125" customWidth="1" style="20" min="10753" max="10753"/>
    <col width="12.54296875" customWidth="1" style="20" min="10754" max="10758"/>
    <col width="14.54296875" customWidth="1" style="20" min="10759" max="10759"/>
    <col width="13.54296875" customWidth="1" style="20" min="10760" max="10760"/>
    <col width="12.54296875" customWidth="1" style="20" min="10761" max="10761"/>
    <col width="10.1796875" customWidth="1" style="20" min="10762" max="10762"/>
    <col width="5.54296875" customWidth="1" style="20" min="10763" max="10765"/>
    <col width="51" customWidth="1" style="20" min="10766" max="10766"/>
    <col width="9.453125" customWidth="1" style="20" min="10767" max="11008"/>
    <col width="24.453125" customWidth="1" style="20" min="11009" max="11009"/>
    <col width="12.54296875" customWidth="1" style="20" min="11010" max="11014"/>
    <col width="14.54296875" customWidth="1" style="20" min="11015" max="11015"/>
    <col width="13.54296875" customWidth="1" style="20" min="11016" max="11016"/>
    <col width="12.54296875" customWidth="1" style="20" min="11017" max="11017"/>
    <col width="10.1796875" customWidth="1" style="20" min="11018" max="11018"/>
    <col width="5.54296875" customWidth="1" style="20" min="11019" max="11021"/>
    <col width="51" customWidth="1" style="20" min="11022" max="11022"/>
    <col width="9.453125" customWidth="1" style="20" min="11023" max="11264"/>
    <col width="24.453125" customWidth="1" style="20" min="11265" max="11265"/>
    <col width="12.54296875" customWidth="1" style="20" min="11266" max="11270"/>
    <col width="14.54296875" customWidth="1" style="20" min="11271" max="11271"/>
    <col width="13.54296875" customWidth="1" style="20" min="11272" max="11272"/>
    <col width="12.54296875" customWidth="1" style="20" min="11273" max="11273"/>
    <col width="10.1796875" customWidth="1" style="20" min="11274" max="11274"/>
    <col width="5.54296875" customWidth="1" style="20" min="11275" max="11277"/>
    <col width="51" customWidth="1" style="20" min="11278" max="11278"/>
    <col width="9.453125" customWidth="1" style="20" min="11279" max="11520"/>
    <col width="24.453125" customWidth="1" style="20" min="11521" max="11521"/>
    <col width="12.54296875" customWidth="1" style="20" min="11522" max="11526"/>
    <col width="14.54296875" customWidth="1" style="20" min="11527" max="11527"/>
    <col width="13.54296875" customWidth="1" style="20" min="11528" max="11528"/>
    <col width="12.54296875" customWidth="1" style="20" min="11529" max="11529"/>
    <col width="10.1796875" customWidth="1" style="20" min="11530" max="11530"/>
    <col width="5.54296875" customWidth="1" style="20" min="11531" max="11533"/>
    <col width="51" customWidth="1" style="20" min="11534" max="11534"/>
    <col width="9.453125" customWidth="1" style="20" min="11535" max="11776"/>
    <col width="24.453125" customWidth="1" style="20" min="11777" max="11777"/>
    <col width="12.54296875" customWidth="1" style="20" min="11778" max="11782"/>
    <col width="14.54296875" customWidth="1" style="20" min="11783" max="11783"/>
    <col width="13.54296875" customWidth="1" style="20" min="11784" max="11784"/>
    <col width="12.54296875" customWidth="1" style="20" min="11785" max="11785"/>
    <col width="10.1796875" customWidth="1" style="20" min="11786" max="11786"/>
    <col width="5.54296875" customWidth="1" style="20" min="11787" max="11789"/>
    <col width="51" customWidth="1" style="20" min="11790" max="11790"/>
    <col width="9.453125" customWidth="1" style="20" min="11791" max="12032"/>
    <col width="24.453125" customWidth="1" style="20" min="12033" max="12033"/>
    <col width="12.54296875" customWidth="1" style="20" min="12034" max="12038"/>
    <col width="14.54296875" customWidth="1" style="20" min="12039" max="12039"/>
    <col width="13.54296875" customWidth="1" style="20" min="12040" max="12040"/>
    <col width="12.54296875" customWidth="1" style="20" min="12041" max="12041"/>
    <col width="10.1796875" customWidth="1" style="20" min="12042" max="12042"/>
    <col width="5.54296875" customWidth="1" style="20" min="12043" max="12045"/>
    <col width="51" customWidth="1" style="20" min="12046" max="12046"/>
    <col width="9.453125" customWidth="1" style="20" min="12047" max="12288"/>
    <col width="24.453125" customWidth="1" style="20" min="12289" max="12289"/>
    <col width="12.54296875" customWidth="1" style="20" min="12290" max="12294"/>
    <col width="14.54296875" customWidth="1" style="20" min="12295" max="12295"/>
    <col width="13.54296875" customWidth="1" style="20" min="12296" max="12296"/>
    <col width="12.54296875" customWidth="1" style="20" min="12297" max="12297"/>
    <col width="10.1796875" customWidth="1" style="20" min="12298" max="12298"/>
    <col width="5.54296875" customWidth="1" style="20" min="12299" max="12301"/>
    <col width="51" customWidth="1" style="20" min="12302" max="12302"/>
    <col width="9.453125" customWidth="1" style="20" min="12303" max="12544"/>
    <col width="24.453125" customWidth="1" style="20" min="12545" max="12545"/>
    <col width="12.54296875" customWidth="1" style="20" min="12546" max="12550"/>
    <col width="14.54296875" customWidth="1" style="20" min="12551" max="12551"/>
    <col width="13.54296875" customWidth="1" style="20" min="12552" max="12552"/>
    <col width="12.54296875" customWidth="1" style="20" min="12553" max="12553"/>
    <col width="10.1796875" customWidth="1" style="20" min="12554" max="12554"/>
    <col width="5.54296875" customWidth="1" style="20" min="12555" max="12557"/>
    <col width="51" customWidth="1" style="20" min="12558" max="12558"/>
    <col width="9.453125" customWidth="1" style="20" min="12559" max="12800"/>
    <col width="24.453125" customWidth="1" style="20" min="12801" max="12801"/>
    <col width="12.54296875" customWidth="1" style="20" min="12802" max="12806"/>
    <col width="14.54296875" customWidth="1" style="20" min="12807" max="12807"/>
    <col width="13.54296875" customWidth="1" style="20" min="12808" max="12808"/>
    <col width="12.54296875" customWidth="1" style="20" min="12809" max="12809"/>
    <col width="10.1796875" customWidth="1" style="20" min="12810" max="12810"/>
    <col width="5.54296875" customWidth="1" style="20" min="12811" max="12813"/>
    <col width="51" customWidth="1" style="20" min="12814" max="12814"/>
    <col width="9.453125" customWidth="1" style="20" min="12815" max="13056"/>
    <col width="24.453125" customWidth="1" style="20" min="13057" max="13057"/>
    <col width="12.54296875" customWidth="1" style="20" min="13058" max="13062"/>
    <col width="14.54296875" customWidth="1" style="20" min="13063" max="13063"/>
    <col width="13.54296875" customWidth="1" style="20" min="13064" max="13064"/>
    <col width="12.54296875" customWidth="1" style="20" min="13065" max="13065"/>
    <col width="10.1796875" customWidth="1" style="20" min="13066" max="13066"/>
    <col width="5.54296875" customWidth="1" style="20" min="13067" max="13069"/>
    <col width="51" customWidth="1" style="20" min="13070" max="13070"/>
    <col width="9.453125" customWidth="1" style="20" min="13071" max="13312"/>
    <col width="24.453125" customWidth="1" style="20" min="13313" max="13313"/>
    <col width="12.54296875" customWidth="1" style="20" min="13314" max="13318"/>
    <col width="14.54296875" customWidth="1" style="20" min="13319" max="13319"/>
    <col width="13.54296875" customWidth="1" style="20" min="13320" max="13320"/>
    <col width="12.54296875" customWidth="1" style="20" min="13321" max="13321"/>
    <col width="10.1796875" customWidth="1" style="20" min="13322" max="13322"/>
    <col width="5.54296875" customWidth="1" style="20" min="13323" max="13325"/>
    <col width="51" customWidth="1" style="20" min="13326" max="13326"/>
    <col width="9.453125" customWidth="1" style="20" min="13327" max="13568"/>
    <col width="24.453125" customWidth="1" style="20" min="13569" max="13569"/>
    <col width="12.54296875" customWidth="1" style="20" min="13570" max="13574"/>
    <col width="14.54296875" customWidth="1" style="20" min="13575" max="13575"/>
    <col width="13.54296875" customWidth="1" style="20" min="13576" max="13576"/>
    <col width="12.54296875" customWidth="1" style="20" min="13577" max="13577"/>
    <col width="10.1796875" customWidth="1" style="20" min="13578" max="13578"/>
    <col width="5.54296875" customWidth="1" style="20" min="13579" max="13581"/>
    <col width="51" customWidth="1" style="20" min="13582" max="13582"/>
    <col width="9.453125" customWidth="1" style="20" min="13583" max="13824"/>
    <col width="24.453125" customWidth="1" style="20" min="13825" max="13825"/>
    <col width="12.54296875" customWidth="1" style="20" min="13826" max="13830"/>
    <col width="14.54296875" customWidth="1" style="20" min="13831" max="13831"/>
    <col width="13.54296875" customWidth="1" style="20" min="13832" max="13832"/>
    <col width="12.54296875" customWidth="1" style="20" min="13833" max="13833"/>
    <col width="10.1796875" customWidth="1" style="20" min="13834" max="13834"/>
    <col width="5.54296875" customWidth="1" style="20" min="13835" max="13837"/>
    <col width="51" customWidth="1" style="20" min="13838" max="13838"/>
    <col width="9.453125" customWidth="1" style="20" min="13839" max="14080"/>
    <col width="24.453125" customWidth="1" style="20" min="14081" max="14081"/>
    <col width="12.54296875" customWidth="1" style="20" min="14082" max="14086"/>
    <col width="14.54296875" customWidth="1" style="20" min="14087" max="14087"/>
    <col width="13.54296875" customWidth="1" style="20" min="14088" max="14088"/>
    <col width="12.54296875" customWidth="1" style="20" min="14089" max="14089"/>
    <col width="10.1796875" customWidth="1" style="20" min="14090" max="14090"/>
    <col width="5.54296875" customWidth="1" style="20" min="14091" max="14093"/>
    <col width="51" customWidth="1" style="20" min="14094" max="14094"/>
    <col width="9.453125" customWidth="1" style="20" min="14095" max="14336"/>
    <col width="24.453125" customWidth="1" style="20" min="14337" max="14337"/>
    <col width="12.54296875" customWidth="1" style="20" min="14338" max="14342"/>
    <col width="14.54296875" customWidth="1" style="20" min="14343" max="14343"/>
    <col width="13.54296875" customWidth="1" style="20" min="14344" max="14344"/>
    <col width="12.54296875" customWidth="1" style="20" min="14345" max="14345"/>
    <col width="10.1796875" customWidth="1" style="20" min="14346" max="14346"/>
    <col width="5.54296875" customWidth="1" style="20" min="14347" max="14349"/>
    <col width="51" customWidth="1" style="20" min="14350" max="14350"/>
    <col width="9.453125" customWidth="1" style="20" min="14351" max="14592"/>
    <col width="24.453125" customWidth="1" style="20" min="14593" max="14593"/>
    <col width="12.54296875" customWidth="1" style="20" min="14594" max="14598"/>
    <col width="14.54296875" customWidth="1" style="20" min="14599" max="14599"/>
    <col width="13.54296875" customWidth="1" style="20" min="14600" max="14600"/>
    <col width="12.54296875" customWidth="1" style="20" min="14601" max="14601"/>
    <col width="10.1796875" customWidth="1" style="20" min="14602" max="14602"/>
    <col width="5.54296875" customWidth="1" style="20" min="14603" max="14605"/>
    <col width="51" customWidth="1" style="20" min="14606" max="14606"/>
    <col width="9.453125" customWidth="1" style="20" min="14607" max="14848"/>
    <col width="24.453125" customWidth="1" style="20" min="14849" max="14849"/>
    <col width="12.54296875" customWidth="1" style="20" min="14850" max="14854"/>
    <col width="14.54296875" customWidth="1" style="20" min="14855" max="14855"/>
    <col width="13.54296875" customWidth="1" style="20" min="14856" max="14856"/>
    <col width="12.54296875" customWidth="1" style="20" min="14857" max="14857"/>
    <col width="10.1796875" customWidth="1" style="20" min="14858" max="14858"/>
    <col width="5.54296875" customWidth="1" style="20" min="14859" max="14861"/>
    <col width="51" customWidth="1" style="20" min="14862" max="14862"/>
    <col width="9.453125" customWidth="1" style="20" min="14863" max="15104"/>
    <col width="24.453125" customWidth="1" style="20" min="15105" max="15105"/>
    <col width="12.54296875" customWidth="1" style="20" min="15106" max="15110"/>
    <col width="14.54296875" customWidth="1" style="20" min="15111" max="15111"/>
    <col width="13.54296875" customWidth="1" style="20" min="15112" max="15112"/>
    <col width="12.54296875" customWidth="1" style="20" min="15113" max="15113"/>
    <col width="10.1796875" customWidth="1" style="20" min="15114" max="15114"/>
    <col width="5.54296875" customWidth="1" style="20" min="15115" max="15117"/>
    <col width="51" customWidth="1" style="20" min="15118" max="15118"/>
    <col width="9.453125" customWidth="1" style="20" min="15119" max="15360"/>
    <col width="24.453125" customWidth="1" style="20" min="15361" max="15361"/>
    <col width="12.54296875" customWidth="1" style="20" min="15362" max="15366"/>
    <col width="14.54296875" customWidth="1" style="20" min="15367" max="15367"/>
    <col width="13.54296875" customWidth="1" style="20" min="15368" max="15368"/>
    <col width="12.54296875" customWidth="1" style="20" min="15369" max="15369"/>
    <col width="10.1796875" customWidth="1" style="20" min="15370" max="15370"/>
    <col width="5.54296875" customWidth="1" style="20" min="15371" max="15373"/>
    <col width="51" customWidth="1" style="20" min="15374" max="15374"/>
    <col width="9.453125" customWidth="1" style="20" min="15375" max="15616"/>
    <col width="24.453125" customWidth="1" style="20" min="15617" max="15617"/>
    <col width="12.54296875" customWidth="1" style="20" min="15618" max="15622"/>
    <col width="14.54296875" customWidth="1" style="20" min="15623" max="15623"/>
    <col width="13.54296875" customWidth="1" style="20" min="15624" max="15624"/>
    <col width="12.54296875" customWidth="1" style="20" min="15625" max="15625"/>
    <col width="10.1796875" customWidth="1" style="20" min="15626" max="15626"/>
    <col width="5.54296875" customWidth="1" style="20" min="15627" max="15629"/>
    <col width="51" customWidth="1" style="20" min="15630" max="15630"/>
    <col width="9.453125" customWidth="1" style="20" min="15631" max="15872"/>
    <col width="24.453125" customWidth="1" style="20" min="15873" max="15873"/>
    <col width="12.54296875" customWidth="1" style="20" min="15874" max="15878"/>
    <col width="14.54296875" customWidth="1" style="20" min="15879" max="15879"/>
    <col width="13.54296875" customWidth="1" style="20" min="15880" max="15880"/>
    <col width="12.54296875" customWidth="1" style="20" min="15881" max="15881"/>
    <col width="10.1796875" customWidth="1" style="20" min="15882" max="15882"/>
    <col width="5.54296875" customWidth="1" style="20" min="15883" max="15885"/>
    <col width="51" customWidth="1" style="20" min="15886" max="15886"/>
    <col width="9.453125" customWidth="1" style="20" min="15887" max="16128"/>
    <col width="24.453125" customWidth="1" style="20" min="16129" max="16129"/>
    <col width="12.54296875" customWidth="1" style="20" min="16130" max="16134"/>
    <col width="14.54296875" customWidth="1" style="20" min="16135" max="16135"/>
    <col width="13.54296875" customWidth="1" style="20" min="16136" max="16136"/>
    <col width="12.54296875" customWidth="1" style="20" min="16137" max="16137"/>
    <col width="10.1796875" customWidth="1" style="20" min="16138" max="16138"/>
    <col width="5.54296875" customWidth="1" style="20" min="16139" max="16141"/>
    <col width="51" customWidth="1" style="20" min="16142" max="16142"/>
    <col width="9.453125" customWidth="1" style="20" min="16143" max="16384"/>
  </cols>
  <sheetData>
    <row r="1">
      <c r="B1" s="836" t="inlineStr">
        <is>
          <t>People</t>
        </is>
      </c>
      <c r="C1" s="489" t="n"/>
      <c r="D1" s="836" t="inlineStr">
        <is>
          <t>Men</t>
        </is>
      </c>
      <c r="E1" s="489" t="n"/>
      <c r="F1" s="836" t="inlineStr">
        <is>
          <t>Women</t>
        </is>
      </c>
      <c r="G1" s="489" t="n"/>
    </row>
    <row r="2" ht="28.5" customHeight="1" s="828" thickBot="1">
      <c r="B2" s="410" t="inlineStr">
        <is>
          <t>Level1</t>
        </is>
      </c>
      <c r="C2" s="504" t="inlineStr">
        <is>
          <t>Rate per thousand2</t>
        </is>
      </c>
      <c r="D2" s="410" t="inlineStr">
        <is>
          <t>Level1</t>
        </is>
      </c>
      <c r="E2" s="411" t="inlineStr">
        <is>
          <t>Rate per thousand2</t>
        </is>
      </c>
      <c r="F2" s="410" t="inlineStr">
        <is>
          <t>Level1</t>
        </is>
      </c>
      <c r="G2" s="411" t="inlineStr">
        <is>
          <t>Rate per thousand2</t>
        </is>
      </c>
    </row>
    <row r="3" ht="28.5" customHeight="1" s="828" thickBot="1">
      <c r="A3" s="412" t="inlineStr">
        <is>
          <t>Current</t>
        </is>
      </c>
      <c r="B3" s="979">
        <f t="array" ref="B3">INDEX(B$18:B$1048576,COUNTA(B$18:B$1048576))</f>
        <v/>
      </c>
      <c r="C3" s="980">
        <f t="array" ref="C3">INDEX(C$18:C$1048576,COUNTA(C$18:C$1048576))</f>
        <v/>
      </c>
      <c r="D3" s="981">
        <f t="array" ref="D3">INDEX(D$18:D$1048576,COUNTA(D$18:D$1048576))</f>
        <v/>
      </c>
      <c r="E3" s="982">
        <f t="array" ref="E3">INDEX(E$18:E$1048576,COUNTA(E$18:E$1048576))</f>
        <v/>
      </c>
      <c r="F3" s="982">
        <f t="array" ref="F3">INDEX(F$18:F$1048576,COUNTA(F$18:F$1048576))</f>
        <v/>
      </c>
      <c r="G3" s="982">
        <f t="array" ref="G3">INDEX(G$18:G$1048576,COUNTA(G$18:G$1048576))</f>
        <v/>
      </c>
    </row>
    <row r="4" ht="13.5" customHeight="1" s="828" thickBot="1">
      <c r="A4" s="412" t="inlineStr">
        <is>
          <t>Quarterly change</t>
        </is>
      </c>
      <c r="B4" s="979">
        <f t="array" ref="B4">INDEX(B$18:B$1048576,COUNTA(B$18:B$1048576))-INDEX(B$18:B$1048576,COUNTA(B$18:B$1048576)-3)</f>
        <v/>
      </c>
      <c r="C4" s="507">
        <f t="array" ref="C4">INDEX(C$18:C$1048576,COUNTA(C$18:C$1048576))-INDEX(C$18:C$1048576,COUNTA(C$18:C$1048576)-3)</f>
        <v/>
      </c>
      <c r="D4" s="981">
        <f t="array" ref="D4">INDEX(D$18:D$1048576,COUNTA(D$18:D$1048576))-INDEX(D$18:D$1048576,COUNTA(D$18:D$1048576)-3)</f>
        <v/>
      </c>
      <c r="E4" s="414">
        <f t="array" ref="E4">INDEX(E$18:E$1048576,COUNTA(E$18:E$1048576))-INDEX(E$18:E$1048576,COUNTA(E$18:E$1048576)-3)</f>
        <v/>
      </c>
      <c r="F4" s="982">
        <f t="array" ref="F4">INDEX(F$18:F$1048576,COUNTA(F$18:F$1048576))-INDEX(F$18:F$1048576,COUNTA(F$18:F$1048576)-3)</f>
        <v/>
      </c>
      <c r="G4" s="414">
        <f t="array" ref="G4">INDEX(G$18:G$1048576,COUNTA(G$18:G$1048576))-INDEX(G$18:G$1048576,COUNTA(G$18:G$1048576)-3)</f>
        <v/>
      </c>
      <c r="N4" s="978" t="n"/>
    </row>
    <row r="5" ht="13.5" customHeight="1" s="828" thickBot="1">
      <c r="A5" s="412" t="inlineStr">
        <is>
          <t>year on year change</t>
        </is>
      </c>
      <c r="B5" s="979">
        <f t="array" ref="B5">INDEX(B$18:B$1048576,COUNTA(B$18:B$1048576))-INDEX(B$18:B$1048576,COUNTA(B$18:B$1048576)-12)</f>
        <v/>
      </c>
      <c r="C5" s="507">
        <f t="array" ref="C5">INDEX(C$18:C$1048576,COUNTA(C$18:C$1048576))-INDEX(C$18:C$1048576,COUNTA(C$18:C$1048576)-12)</f>
        <v/>
      </c>
      <c r="D5" s="981">
        <f t="array" ref="D5">INDEX(D$18:D$1048576,COUNTA(D$18:D$1048576))-INDEX(D$18:D$1048576,COUNTA(D$18:D$1048576)-12)</f>
        <v/>
      </c>
      <c r="E5" s="414">
        <f t="array" ref="E5">INDEX(E$18:E$1048576,COUNTA(E$18:E$1048576))-INDEX(E$18:E$1048576,COUNTA(E$18:E$1048576)-12)</f>
        <v/>
      </c>
      <c r="F5" s="982">
        <f t="array" ref="F5">INDEX(F$18:F$1048576,COUNTA(F$18:F$1048576))-INDEX(F$18:F$1048576,COUNTA(F$18:F$1048576)-12)</f>
        <v/>
      </c>
      <c r="G5" s="414">
        <f t="array" ref="G5">INDEX(G$18:G$1048576,COUNTA(G$18:G$1048576))-INDEX(G$18:G$1048576,COUNTA(G$18:G$1048576)-12)</f>
        <v/>
      </c>
    </row>
    <row r="6">
      <c r="A6" s="412" t="inlineStr">
        <is>
          <t>Since pandemic</t>
        </is>
      </c>
      <c r="B6" s="982">
        <f t="array" ref="B6">INDEX(B$18:B$1048576,COUNTA(B$18:B$1048576))-B$351</f>
        <v/>
      </c>
      <c r="C6" s="505">
        <f t="array" ref="C6">INDEX(C$18:C$1048576,COUNTA(C$18:C$1048576))-C$351</f>
        <v/>
      </c>
      <c r="D6" s="982">
        <f t="array" ref="D6">INDEX(D$18:D$1048576,COUNTA(D$18:D$1048576))-D$351</f>
        <v/>
      </c>
      <c r="E6" s="414">
        <f t="array" ref="E6">INDEX(E$18:E$1048576,COUNTA(E$18:E$1048576))-E$351</f>
        <v/>
      </c>
      <c r="F6" s="982">
        <f t="array" ref="F6">INDEX(F$18:F$1048576,COUNTA(F$18:F$1048576))-F$351</f>
        <v/>
      </c>
      <c r="G6" s="414">
        <f t="array" ref="G6">INDEX(G$18:G$1048576,COUNTA(G$18:G$1048576))-G$351</f>
        <v/>
      </c>
    </row>
    <row r="7">
      <c r="A7" s="412" t="inlineStr">
        <is>
          <t>Since 2010 election</t>
        </is>
      </c>
      <c r="B7" s="982">
        <f t="array" ref="B7">INDEX(B$18:B$1048576,COUNTA(B$18:B$1048576))-B$233</f>
        <v/>
      </c>
      <c r="C7" s="414">
        <f t="array" ref="C7">INDEX(C$18:C$1048576,COUNTA(C$18:C$1048576))-C$233</f>
        <v/>
      </c>
      <c r="D7" s="982">
        <f t="array" ref="D7">INDEX(D$18:D$1048576,COUNTA(D$18:D$1048576))-D$233</f>
        <v/>
      </c>
      <c r="E7" s="414">
        <f t="array" ref="E7">INDEX(E$18:E$1048576,COUNTA(E$18:E$1048576))-E$233</f>
        <v/>
      </c>
      <c r="F7" s="982">
        <f t="array" ref="F7">INDEX(F$18:F$1048576,COUNTA(F$18:F$1048576))-F$233</f>
        <v/>
      </c>
      <c r="G7" s="414">
        <f t="array" ref="G7">INDEX(G$18:G$1048576,COUNTA(G$18:G$1048576))-G$233</f>
        <v/>
      </c>
    </row>
    <row r="9" ht="19.5" customFormat="1" customHeight="1" s="11">
      <c r="A9" s="183" t="inlineStr">
        <is>
          <t>Table 10:   Redundancies levels1 and rates2 for those aged 16 and over</t>
        </is>
      </c>
      <c r="F9" s="12" t="n"/>
      <c r="G9" s="12" t="n"/>
      <c r="H9" s="181" t="n"/>
    </row>
    <row r="10" ht="19.5" customFormat="1" customHeight="1" s="11">
      <c r="A10" s="853" t="n"/>
      <c r="B10" s="954" t="n"/>
      <c r="D10" s="853" t="n"/>
      <c r="E10" s="853" t="n"/>
      <c r="F10" s="853" t="n"/>
      <c r="G10" s="853" t="n"/>
      <c r="H10" s="853" t="n"/>
      <c r="I10" s="954" t="n"/>
    </row>
    <row r="11" ht="19.5" customFormat="1" customHeight="1" s="176">
      <c r="A11" s="77" t="n"/>
      <c r="B11" s="178" t="n"/>
      <c r="C11" s="77" t="n"/>
      <c r="D11" s="16" t="n"/>
      <c r="E11" s="16" t="n"/>
      <c r="F11" s="17" t="n"/>
      <c r="G11" s="983" t="n"/>
      <c r="H11" s="853" t="n"/>
      <c r="I11" s="16" t="n"/>
    </row>
    <row r="12" ht="30" customFormat="1" customHeight="1" s="11" thickBot="1">
      <c r="A12" s="838" t="n"/>
      <c r="B12" s="956" t="n"/>
      <c r="C12" s="956" t="n"/>
      <c r="D12" s="956" t="n"/>
      <c r="E12" s="956" t="n"/>
      <c r="F12" s="956" t="n"/>
      <c r="G12" s="956" t="n"/>
      <c r="H12" s="853" t="n"/>
      <c r="I12" s="853" t="n"/>
      <c r="J12" s="853" t="n"/>
      <c r="K12" s="853" t="n"/>
      <c r="L12" s="853" t="n"/>
    </row>
    <row r="13" ht="18" customHeight="1" s="828">
      <c r="A13" s="175" t="n"/>
      <c r="B13" s="839" t="n"/>
      <c r="C13" s="957" t="n"/>
      <c r="D13" s="839" t="n"/>
      <c r="E13" s="957" t="n"/>
      <c r="F13" s="839" t="n"/>
      <c r="G13" s="957" t="n"/>
      <c r="H13" s="184" t="n"/>
      <c r="I13" s="184" t="n"/>
      <c r="J13" s="184" t="n"/>
      <c r="K13" s="18" t="n"/>
      <c r="L13" s="18" t="n"/>
      <c r="M13" s="20" t="n"/>
      <c r="N13" s="978" t="n"/>
      <c r="O13" s="978" t="n"/>
      <c r="P13" s="978" t="n"/>
    </row>
    <row r="14" ht="10.5" customFormat="1" customHeight="1" s="136">
      <c r="A14" s="137" t="n"/>
      <c r="B14" s="137" t="n"/>
      <c r="C14" s="137" t="n"/>
      <c r="D14" s="137" t="n"/>
      <c r="E14" s="137" t="n"/>
      <c r="F14" s="137" t="n"/>
      <c r="G14" s="137" t="n"/>
      <c r="H14" s="137" t="n"/>
      <c r="I14" s="137" t="n"/>
      <c r="J14" s="137" t="n"/>
      <c r="K14" s="137" t="n"/>
      <c r="L14" s="137" t="n"/>
      <c r="N14" s="984" t="n"/>
      <c r="O14" s="984" t="n"/>
      <c r="P14" s="984" t="n"/>
    </row>
    <row r="15" ht="28.5" customFormat="1" customHeight="1" s="136">
      <c r="A15" s="137" t="n"/>
      <c r="B15" s="510" t="n"/>
      <c r="C15" s="511" t="n"/>
      <c r="D15" s="510" t="n"/>
      <c r="E15" s="511" t="n"/>
      <c r="F15" s="510" t="n"/>
      <c r="G15" s="511" t="n"/>
      <c r="H15" s="137" t="n"/>
      <c r="I15" s="137" t="n"/>
      <c r="J15" s="137" t="n"/>
      <c r="K15" s="137" t="n"/>
      <c r="L15" s="137" t="n"/>
      <c r="N15" s="984" t="n"/>
      <c r="O15" s="984" t="n"/>
      <c r="P15" s="984" t="n"/>
    </row>
    <row r="16" ht="14.25" customFormat="1" customHeight="1" s="163">
      <c r="A16" s="985" t="n"/>
      <c r="B16" s="164" t="n"/>
      <c r="C16" s="164" t="n"/>
      <c r="D16" s="164" t="n"/>
      <c r="E16" s="164" t="n"/>
      <c r="F16" s="164" t="n"/>
      <c r="G16" s="164" t="n"/>
      <c r="H16" s="986" t="n"/>
      <c r="I16" s="986" t="n"/>
      <c r="J16" s="986" t="n"/>
      <c r="K16" s="164" t="n"/>
      <c r="L16" s="164" t="n"/>
    </row>
    <row r="17" ht="12.5" customHeight="1" s="828">
      <c r="A17" s="987" t="n"/>
      <c r="B17" s="987" t="n"/>
      <c r="C17" s="987" t="n"/>
      <c r="D17" s="987" t="n"/>
      <c r="E17" s="987" t="n"/>
      <c r="F17" s="988" t="n"/>
      <c r="G17" s="988" t="n"/>
      <c r="H17" s="968" t="n"/>
      <c r="I17" s="968" t="n"/>
      <c r="J17" s="968" t="n"/>
      <c r="K17" s="18" t="n"/>
      <c r="L17" s="18" t="n"/>
      <c r="M17" s="20" t="n"/>
    </row>
    <row r="18" ht="16.4" customHeight="1" s="828">
      <c r="A18" s="722" t="n"/>
      <c r="B18" s="989" t="n"/>
      <c r="C18" s="989" t="n"/>
      <c r="D18" s="989" t="n"/>
      <c r="E18" s="989" t="n"/>
      <c r="F18" s="989" t="n"/>
      <c r="G18" s="990" t="n"/>
      <c r="H18" s="968" t="n"/>
      <c r="I18" s="968" t="n"/>
      <c r="J18" s="968" t="n"/>
      <c r="K18" s="18" t="n"/>
      <c r="L18" s="18" t="n"/>
      <c r="M18" s="20" t="n"/>
    </row>
    <row r="19" ht="16.4" customHeight="1" s="828">
      <c r="A19" s="722" t="n"/>
      <c r="B19" s="989" t="n"/>
      <c r="C19" s="989" t="n"/>
      <c r="D19" s="989" t="n"/>
      <c r="E19" s="989" t="n"/>
      <c r="F19" s="989" t="n"/>
      <c r="G19" s="990" t="n"/>
      <c r="H19" s="968" t="n"/>
      <c r="I19" s="968" t="n"/>
      <c r="J19" s="968" t="n"/>
      <c r="K19" s="18" t="n"/>
      <c r="L19" s="18" t="n"/>
      <c r="M19" s="20" t="n"/>
    </row>
    <row r="20" ht="16.4" customHeight="1" s="828">
      <c r="A20" s="722" t="n"/>
      <c r="B20" s="989" t="n"/>
      <c r="C20" s="989" t="n"/>
      <c r="D20" s="989" t="n"/>
      <c r="E20" s="989" t="n"/>
      <c r="F20" s="989" t="n"/>
      <c r="G20" s="990" t="n"/>
      <c r="H20" s="968" t="n"/>
      <c r="I20" s="968" t="n"/>
      <c r="J20" s="968" t="n"/>
      <c r="K20" s="18" t="n"/>
      <c r="L20" s="18" t="n"/>
      <c r="M20" s="20" t="n"/>
    </row>
    <row r="21" ht="16.4" customHeight="1" s="828">
      <c r="A21" s="722" t="n"/>
      <c r="B21" s="989" t="n"/>
      <c r="C21" s="989" t="n"/>
      <c r="D21" s="989" t="n"/>
      <c r="E21" s="989" t="n"/>
      <c r="F21" s="989" t="n"/>
      <c r="G21" s="990" t="n"/>
      <c r="H21" s="968" t="n"/>
      <c r="I21" s="968" t="n"/>
      <c r="J21" s="968" t="n"/>
      <c r="K21" s="18" t="n"/>
      <c r="L21" s="18" t="n"/>
      <c r="M21" s="20" t="n"/>
    </row>
    <row r="22" ht="16.4" customHeight="1" s="828">
      <c r="A22" s="722" t="n"/>
      <c r="B22" s="989" t="n"/>
      <c r="C22" s="989" t="n"/>
      <c r="D22" s="989" t="n"/>
      <c r="E22" s="989" t="n"/>
      <c r="F22" s="989" t="n"/>
      <c r="G22" s="990" t="n"/>
      <c r="H22" s="968" t="n"/>
      <c r="I22" s="968" t="n"/>
      <c r="J22" s="968" t="n"/>
      <c r="K22" s="18" t="n"/>
      <c r="L22" s="18" t="n"/>
      <c r="M22" s="20" t="n"/>
    </row>
    <row r="23" ht="16.4" customHeight="1" s="828">
      <c r="A23" s="722" t="n"/>
      <c r="B23" s="989" t="n"/>
      <c r="C23" s="989" t="n"/>
      <c r="D23" s="989" t="n"/>
      <c r="E23" s="989" t="n"/>
      <c r="F23" s="989" t="n"/>
      <c r="G23" s="990" t="n"/>
      <c r="H23" s="968" t="n"/>
      <c r="I23" s="968" t="n"/>
      <c r="J23" s="968" t="n"/>
      <c r="K23" s="18" t="n"/>
      <c r="L23" s="18" t="n"/>
      <c r="M23" s="20" t="n"/>
    </row>
    <row r="24" ht="16.4" customHeight="1" s="828">
      <c r="A24" s="722" t="n"/>
      <c r="B24" s="989" t="n"/>
      <c r="C24" s="989" t="n"/>
      <c r="D24" s="989" t="n"/>
      <c r="E24" s="989" t="n"/>
      <c r="F24" s="989" t="n"/>
      <c r="G24" s="990" t="n"/>
      <c r="H24" s="968" t="n"/>
      <c r="I24" s="968" t="n"/>
      <c r="J24" s="968" t="n"/>
      <c r="K24" s="18" t="n"/>
      <c r="L24" s="18" t="n"/>
      <c r="M24" s="20" t="n"/>
    </row>
    <row r="25" ht="16.4" customHeight="1" s="828">
      <c r="A25" s="722" t="n"/>
      <c r="B25" s="989" t="n"/>
      <c r="C25" s="989" t="n"/>
      <c r="D25" s="989" t="n"/>
      <c r="E25" s="989" t="n"/>
      <c r="F25" s="989" t="n"/>
      <c r="G25" s="990" t="n"/>
      <c r="H25" s="968" t="n"/>
      <c r="I25" s="968" t="n"/>
      <c r="J25" s="968" t="n"/>
      <c r="K25" s="18" t="n"/>
      <c r="L25" s="18" t="n"/>
      <c r="M25" s="20" t="n"/>
    </row>
    <row r="26" ht="16.4" customHeight="1" s="828">
      <c r="A26" s="722" t="n"/>
      <c r="B26" s="989" t="n"/>
      <c r="C26" s="989" t="n"/>
      <c r="D26" s="989" t="n"/>
      <c r="E26" s="989" t="n"/>
      <c r="F26" s="989" t="n"/>
      <c r="G26" s="990" t="n"/>
      <c r="H26" s="968" t="n"/>
      <c r="I26" s="968" t="n"/>
      <c r="J26" s="968" t="n"/>
      <c r="K26" s="18" t="n"/>
      <c r="L26" s="18" t="n"/>
      <c r="M26" s="20" t="n"/>
    </row>
    <row r="27" ht="16.4" customHeight="1" s="828">
      <c r="A27" s="722" t="n"/>
      <c r="B27" s="989" t="n"/>
      <c r="C27" s="989" t="n"/>
      <c r="D27" s="989" t="n"/>
      <c r="E27" s="989" t="n"/>
      <c r="F27" s="989" t="n"/>
      <c r="G27" s="990" t="n"/>
      <c r="H27" s="968" t="n"/>
      <c r="I27" s="968" t="n"/>
      <c r="J27" s="968" t="n"/>
      <c r="K27" s="18" t="n"/>
      <c r="L27" s="18" t="n"/>
      <c r="M27" s="20" t="n"/>
    </row>
    <row r="28" ht="16.4" customHeight="1" s="828">
      <c r="A28" s="722" t="n"/>
      <c r="B28" s="989" t="n"/>
      <c r="C28" s="989" t="n"/>
      <c r="D28" s="989" t="n"/>
      <c r="E28" s="989" t="n"/>
      <c r="F28" s="989" t="n"/>
      <c r="G28" s="990" t="n"/>
      <c r="H28" s="968" t="n"/>
      <c r="I28" s="968" t="n"/>
      <c r="J28" s="968" t="n"/>
      <c r="K28" s="18" t="n"/>
      <c r="L28" s="18" t="n"/>
      <c r="M28" s="20" t="n"/>
    </row>
    <row r="29" ht="16.4" customHeight="1" s="828">
      <c r="A29" s="722" t="n"/>
      <c r="B29" s="989" t="n"/>
      <c r="C29" s="989" t="n"/>
      <c r="D29" s="989" t="n"/>
      <c r="E29" s="989" t="n"/>
      <c r="F29" s="989" t="n"/>
      <c r="G29" s="990" t="n"/>
      <c r="H29" s="968" t="n"/>
      <c r="I29" s="968" t="n"/>
      <c r="J29" s="968" t="n"/>
      <c r="K29" s="18" t="n"/>
      <c r="L29" s="18" t="n"/>
      <c r="M29" s="20" t="n"/>
    </row>
    <row r="30" ht="16.4" customHeight="1" s="828">
      <c r="A30" s="722" t="n"/>
      <c r="B30" s="989" t="n"/>
      <c r="C30" s="989" t="n"/>
      <c r="D30" s="989" t="n"/>
      <c r="E30" s="989" t="n"/>
      <c r="F30" s="989" t="n"/>
      <c r="G30" s="990" t="n"/>
      <c r="H30" s="968" t="n"/>
      <c r="I30" s="968" t="n"/>
      <c r="J30" s="968" t="n"/>
      <c r="K30" s="18" t="n"/>
      <c r="L30" s="18" t="n"/>
      <c r="M30" s="20" t="n"/>
    </row>
    <row r="31" ht="16.4" customHeight="1" s="828">
      <c r="A31" s="722" t="n"/>
      <c r="B31" s="989" t="n"/>
      <c r="C31" s="989" t="n"/>
      <c r="D31" s="989" t="n"/>
      <c r="E31" s="989" t="n"/>
      <c r="F31" s="989" t="n"/>
      <c r="G31" s="990" t="n"/>
      <c r="H31" s="968" t="n"/>
      <c r="I31" s="968" t="n"/>
      <c r="J31" s="968" t="n"/>
      <c r="K31" s="18" t="n"/>
      <c r="L31" s="18" t="n"/>
      <c r="M31" s="20" t="n"/>
    </row>
    <row r="32" ht="16.4" customHeight="1" s="828">
      <c r="A32" s="722" t="n"/>
      <c r="B32" s="989" t="n"/>
      <c r="C32" s="989" t="n"/>
      <c r="D32" s="989" t="n"/>
      <c r="E32" s="989" t="n"/>
      <c r="F32" s="989" t="n"/>
      <c r="G32" s="990" t="n"/>
      <c r="H32" s="968" t="n"/>
      <c r="I32" s="968" t="n"/>
      <c r="J32" s="968" t="n"/>
      <c r="K32" s="18" t="n"/>
      <c r="L32" s="18" t="n"/>
      <c r="M32" s="20" t="n"/>
    </row>
    <row r="33" ht="16.4" customHeight="1" s="828">
      <c r="A33" s="722" t="n"/>
      <c r="B33" s="989" t="n"/>
      <c r="C33" s="989" t="n"/>
      <c r="D33" s="989" t="n"/>
      <c r="E33" s="989" t="n"/>
      <c r="F33" s="989" t="n"/>
      <c r="G33" s="990" t="n"/>
      <c r="H33" s="968" t="n"/>
      <c r="I33" s="968" t="n"/>
      <c r="J33" s="968" t="n"/>
      <c r="K33" s="18" t="n"/>
      <c r="L33" s="18" t="n"/>
      <c r="M33" s="20" t="n"/>
    </row>
    <row r="34" ht="16.4" customHeight="1" s="828">
      <c r="A34" s="722" t="n"/>
      <c r="B34" s="989" t="n"/>
      <c r="C34" s="989" t="n"/>
      <c r="D34" s="989" t="n"/>
      <c r="E34" s="989" t="n"/>
      <c r="F34" s="989" t="n"/>
      <c r="G34" s="990" t="n"/>
      <c r="H34" s="968" t="n"/>
      <c r="I34" s="968" t="n"/>
      <c r="J34" s="968" t="n"/>
      <c r="K34" s="18" t="n"/>
      <c r="L34" s="18" t="n"/>
      <c r="M34" s="20" t="n"/>
    </row>
    <row r="35" ht="16.4" customHeight="1" s="828">
      <c r="A35" s="722" t="n"/>
      <c r="B35" s="989" t="n"/>
      <c r="C35" s="989" t="n"/>
      <c r="D35" s="989" t="n"/>
      <c r="E35" s="989" t="n"/>
      <c r="F35" s="989" t="n"/>
      <c r="G35" s="990" t="n"/>
      <c r="H35" s="968" t="n"/>
      <c r="I35" s="968" t="n"/>
      <c r="J35" s="968" t="n"/>
      <c r="K35" s="18" t="n"/>
      <c r="L35" s="18" t="n"/>
      <c r="M35" s="20" t="n"/>
    </row>
    <row r="36" ht="16.4" customHeight="1" s="828">
      <c r="A36" s="722" t="n"/>
      <c r="B36" s="989" t="n"/>
      <c r="C36" s="989" t="n"/>
      <c r="D36" s="989" t="n"/>
      <c r="E36" s="989" t="n"/>
      <c r="F36" s="989" t="n"/>
      <c r="G36" s="990" t="n"/>
      <c r="H36" s="968" t="n"/>
      <c r="I36" s="968" t="n"/>
      <c r="J36" s="968" t="n"/>
      <c r="K36" s="18" t="n"/>
      <c r="L36" s="18" t="n"/>
      <c r="M36" s="20" t="n"/>
    </row>
    <row r="37" ht="16.4" customHeight="1" s="828">
      <c r="A37" s="722" t="n"/>
      <c r="B37" s="989" t="n"/>
      <c r="C37" s="989" t="n"/>
      <c r="D37" s="989" t="n"/>
      <c r="E37" s="989" t="n"/>
      <c r="F37" s="989" t="n"/>
      <c r="G37" s="990" t="n"/>
      <c r="H37" s="968" t="n"/>
      <c r="I37" s="968" t="n"/>
      <c r="J37" s="968" t="n"/>
      <c r="K37" s="18" t="n"/>
      <c r="L37" s="18" t="n"/>
      <c r="M37" s="20" t="n"/>
    </row>
    <row r="38" ht="16.4" customHeight="1" s="828">
      <c r="A38" s="722" t="n"/>
      <c r="B38" s="989" t="n"/>
      <c r="C38" s="989" t="n"/>
      <c r="D38" s="989" t="n"/>
      <c r="E38" s="989" t="n"/>
      <c r="F38" s="989" t="n"/>
      <c r="G38" s="990" t="n"/>
      <c r="H38" s="968" t="n"/>
      <c r="I38" s="968" t="n"/>
      <c r="J38" s="968" t="n"/>
      <c r="K38" s="18" t="n"/>
      <c r="L38" s="18" t="n"/>
      <c r="M38" s="20" t="n"/>
    </row>
    <row r="39" ht="16.4" customHeight="1" s="828">
      <c r="A39" s="722" t="n"/>
      <c r="B39" s="989" t="n"/>
      <c r="C39" s="989" t="n"/>
      <c r="D39" s="989" t="n"/>
      <c r="E39" s="989" t="n"/>
      <c r="F39" s="989" t="n"/>
      <c r="G39" s="990" t="n"/>
      <c r="H39" s="968" t="n"/>
      <c r="I39" s="968" t="n"/>
      <c r="J39" s="968" t="n"/>
      <c r="K39" s="18" t="n"/>
      <c r="L39" s="18" t="n"/>
      <c r="M39" s="20" t="n"/>
    </row>
    <row r="40" ht="16.4" customHeight="1" s="828">
      <c r="A40" s="722" t="n"/>
      <c r="B40" s="989" t="n"/>
      <c r="C40" s="989" t="n"/>
      <c r="D40" s="989" t="n"/>
      <c r="E40" s="989" t="n"/>
      <c r="F40" s="989" t="n"/>
      <c r="G40" s="990" t="n"/>
      <c r="H40" s="968" t="n"/>
      <c r="I40" s="968" t="n"/>
      <c r="J40" s="968" t="n"/>
      <c r="K40" s="18" t="n"/>
      <c r="L40" s="18" t="n"/>
      <c r="M40" s="20" t="n"/>
    </row>
    <row r="41" ht="16.4" customHeight="1" s="828">
      <c r="A41" s="722" t="n"/>
      <c r="B41" s="989" t="n"/>
      <c r="C41" s="989" t="n"/>
      <c r="D41" s="989" t="n"/>
      <c r="E41" s="989" t="n"/>
      <c r="F41" s="989" t="n"/>
      <c r="G41" s="990" t="n"/>
      <c r="H41" s="968" t="n"/>
      <c r="I41" s="968" t="n"/>
      <c r="J41" s="968" t="n"/>
      <c r="K41" s="18" t="n"/>
      <c r="L41" s="18" t="n"/>
      <c r="M41" s="20" t="n"/>
    </row>
    <row r="42" ht="16.4" customHeight="1" s="828">
      <c r="A42" s="722" t="n"/>
      <c r="B42" s="989" t="n"/>
      <c r="C42" s="989" t="n"/>
      <c r="D42" s="989" t="n"/>
      <c r="E42" s="989" t="n"/>
      <c r="F42" s="989" t="n"/>
      <c r="G42" s="990" t="n"/>
      <c r="H42" s="968" t="n"/>
      <c r="I42" s="968" t="n"/>
      <c r="J42" s="968" t="n"/>
      <c r="K42" s="18" t="n"/>
      <c r="L42" s="18" t="n"/>
      <c r="M42" s="20" t="n"/>
    </row>
    <row r="43" ht="16.4" customHeight="1" s="828">
      <c r="A43" s="722" t="n"/>
      <c r="B43" s="989" t="n"/>
      <c r="C43" s="989" t="n"/>
      <c r="D43" s="989" t="n"/>
      <c r="E43" s="989" t="n"/>
      <c r="F43" s="989" t="n"/>
      <c r="G43" s="990" t="n"/>
      <c r="H43" s="968" t="n"/>
      <c r="I43" s="968" t="n"/>
      <c r="J43" s="968" t="n"/>
      <c r="K43" s="18" t="n"/>
      <c r="L43" s="18" t="n"/>
      <c r="M43" s="20" t="n"/>
    </row>
    <row r="44" ht="16.4" customHeight="1" s="828">
      <c r="A44" s="722" t="n"/>
      <c r="B44" s="989" t="n"/>
      <c r="C44" s="989" t="n"/>
      <c r="D44" s="989" t="n"/>
      <c r="E44" s="989" t="n"/>
      <c r="F44" s="989" t="n"/>
      <c r="G44" s="990" t="n"/>
      <c r="H44" s="968" t="n"/>
      <c r="I44" s="968" t="n"/>
      <c r="J44" s="968" t="n"/>
      <c r="K44" s="18" t="n"/>
      <c r="L44" s="18" t="n"/>
      <c r="M44" s="20" t="n"/>
    </row>
    <row r="45" ht="16.4" customHeight="1" s="828">
      <c r="A45" s="722" t="n"/>
      <c r="B45" s="989" t="n"/>
      <c r="C45" s="989" t="n"/>
      <c r="D45" s="989" t="n"/>
      <c r="E45" s="989" t="n"/>
      <c r="F45" s="989" t="n"/>
      <c r="G45" s="990" t="n"/>
      <c r="H45" s="968" t="n"/>
      <c r="I45" s="968" t="n"/>
      <c r="J45" s="968" t="n"/>
      <c r="K45" s="18" t="n"/>
      <c r="L45" s="18" t="n"/>
      <c r="M45" s="20" t="n"/>
    </row>
    <row r="46" ht="16.4" customHeight="1" s="828">
      <c r="A46" s="722" t="n"/>
      <c r="B46" s="989" t="n"/>
      <c r="C46" s="989" t="n"/>
      <c r="D46" s="989" t="n"/>
      <c r="E46" s="989" t="n"/>
      <c r="F46" s="989" t="n"/>
      <c r="G46" s="990" t="n"/>
      <c r="H46" s="968" t="n"/>
      <c r="I46" s="968" t="n"/>
      <c r="J46" s="968" t="n"/>
      <c r="K46" s="18" t="n"/>
      <c r="L46" s="18" t="n"/>
      <c r="M46" s="20" t="n"/>
    </row>
    <row r="47" ht="16.4" customHeight="1" s="828">
      <c r="A47" s="722" t="n"/>
      <c r="B47" s="989" t="n"/>
      <c r="C47" s="989" t="n"/>
      <c r="D47" s="989" t="n"/>
      <c r="E47" s="989" t="n"/>
      <c r="F47" s="989" t="n"/>
      <c r="G47" s="990" t="n"/>
      <c r="H47" s="968" t="n"/>
      <c r="I47" s="968" t="n"/>
      <c r="J47" s="968" t="n"/>
      <c r="K47" s="18" t="n"/>
      <c r="L47" s="18" t="n"/>
      <c r="M47" s="20" t="n"/>
    </row>
    <row r="48" ht="16.4" customHeight="1" s="828">
      <c r="A48" s="722" t="n"/>
      <c r="B48" s="989" t="n"/>
      <c r="C48" s="989" t="n"/>
      <c r="D48" s="989" t="n"/>
      <c r="E48" s="989" t="n"/>
      <c r="F48" s="989" t="n"/>
      <c r="G48" s="990" t="n"/>
      <c r="H48" s="968" t="n"/>
      <c r="I48" s="968" t="n"/>
      <c r="J48" s="968" t="n"/>
      <c r="K48" s="18" t="n"/>
      <c r="L48" s="18" t="n"/>
      <c r="M48" s="20" t="n"/>
    </row>
    <row r="49" ht="16.4" customHeight="1" s="828">
      <c r="A49" s="722" t="n"/>
      <c r="B49" s="989" t="n"/>
      <c r="C49" s="989" t="n"/>
      <c r="D49" s="989" t="n"/>
      <c r="E49" s="989" t="n"/>
      <c r="F49" s="989" t="n"/>
      <c r="G49" s="990" t="n"/>
      <c r="H49" s="968" t="n"/>
      <c r="I49" s="968" t="n"/>
      <c r="J49" s="968" t="n"/>
      <c r="K49" s="18" t="n"/>
      <c r="L49" s="18" t="n"/>
      <c r="M49" s="20" t="n"/>
    </row>
    <row r="50" ht="16.4" customHeight="1" s="828">
      <c r="A50" s="722" t="n"/>
      <c r="B50" s="989" t="n"/>
      <c r="C50" s="989" t="n"/>
      <c r="D50" s="989" t="n"/>
      <c r="E50" s="989" t="n"/>
      <c r="F50" s="989" t="n"/>
      <c r="G50" s="990" t="n"/>
      <c r="H50" s="968" t="n"/>
      <c r="I50" s="968" t="n"/>
      <c r="J50" s="968" t="n"/>
      <c r="K50" s="18" t="n"/>
      <c r="L50" s="18" t="n"/>
      <c r="M50" s="20" t="n"/>
    </row>
    <row r="51" ht="16.4" customHeight="1" s="828">
      <c r="A51" s="722" t="n"/>
      <c r="B51" s="989" t="n"/>
      <c r="C51" s="989" t="n"/>
      <c r="D51" s="989" t="n"/>
      <c r="E51" s="989" t="n"/>
      <c r="F51" s="989" t="n"/>
      <c r="G51" s="990" t="n"/>
      <c r="H51" s="968" t="n"/>
      <c r="I51" s="968" t="n"/>
      <c r="J51" s="968" t="n"/>
      <c r="K51" s="18" t="n"/>
      <c r="L51" s="18" t="n"/>
      <c r="M51" s="20" t="n"/>
    </row>
    <row r="52" ht="16.4" customHeight="1" s="828">
      <c r="A52" s="722" t="n"/>
      <c r="B52" s="989" t="n"/>
      <c r="C52" s="989" t="n"/>
      <c r="D52" s="989" t="n"/>
      <c r="E52" s="989" t="n"/>
      <c r="F52" s="989" t="n"/>
      <c r="G52" s="990" t="n"/>
      <c r="H52" s="968" t="n"/>
      <c r="I52" s="968" t="n"/>
      <c r="J52" s="968" t="n"/>
      <c r="K52" s="18" t="n"/>
      <c r="L52" s="18" t="n"/>
      <c r="M52" s="20" t="n"/>
    </row>
    <row r="53" ht="16.4" customHeight="1" s="828">
      <c r="A53" s="722" t="n"/>
      <c r="B53" s="989" t="n"/>
      <c r="C53" s="989" t="n"/>
      <c r="D53" s="989" t="n"/>
      <c r="E53" s="989" t="n"/>
      <c r="F53" s="989" t="n"/>
      <c r="G53" s="990" t="n"/>
      <c r="H53" s="968" t="n"/>
      <c r="I53" s="968" t="n"/>
      <c r="J53" s="968" t="n"/>
      <c r="K53" s="18" t="n"/>
      <c r="L53" s="18" t="n"/>
      <c r="M53" s="20" t="n"/>
    </row>
    <row r="54" ht="16.4" customHeight="1" s="828">
      <c r="A54" s="722" t="n"/>
      <c r="B54" s="989" t="n"/>
      <c r="C54" s="963" t="n"/>
      <c r="D54" s="989" t="n"/>
      <c r="E54" s="963" t="n"/>
      <c r="F54" s="989" t="n"/>
      <c r="G54" s="991" t="n"/>
      <c r="H54" s="968" t="n"/>
      <c r="I54" s="968" t="n"/>
      <c r="J54" s="968" t="n"/>
      <c r="K54" s="18" t="n"/>
      <c r="L54" s="18" t="n"/>
      <c r="M54" s="20" t="n"/>
    </row>
    <row r="55" ht="16.4" customHeight="1" s="828">
      <c r="A55" s="722" t="n"/>
      <c r="B55" s="989" t="n"/>
      <c r="C55" s="963" t="n"/>
      <c r="D55" s="989" t="n"/>
      <c r="E55" s="963" t="n"/>
      <c r="F55" s="989" t="n"/>
      <c r="G55" s="991" t="n"/>
      <c r="H55" s="968" t="n"/>
      <c r="I55" s="968" t="n"/>
      <c r="J55" s="968" t="n"/>
      <c r="K55" s="18" t="n"/>
      <c r="L55" s="18" t="n"/>
      <c r="M55" s="20" t="n"/>
    </row>
    <row r="56" ht="16.4" customHeight="1" s="828">
      <c r="A56" s="722" t="n"/>
      <c r="B56" s="989" t="n"/>
      <c r="C56" s="963" t="n"/>
      <c r="D56" s="989" t="n"/>
      <c r="E56" s="963" t="n"/>
      <c r="F56" s="989" t="n"/>
      <c r="G56" s="991" t="n"/>
      <c r="H56" s="968" t="n"/>
      <c r="I56" s="968" t="n"/>
      <c r="J56" s="968" t="n"/>
      <c r="K56" s="18" t="n"/>
      <c r="L56" s="18" t="n"/>
      <c r="M56" s="20" t="n"/>
    </row>
    <row r="57" ht="16.4" customHeight="1" s="828">
      <c r="A57" s="722" t="n"/>
      <c r="B57" s="989" t="n"/>
      <c r="C57" s="963" t="n"/>
      <c r="D57" s="989" t="n"/>
      <c r="E57" s="963" t="n"/>
      <c r="F57" s="989" t="n"/>
      <c r="G57" s="991" t="n"/>
      <c r="H57" s="968" t="n"/>
      <c r="I57" s="968" t="n"/>
      <c r="J57" s="968" t="n"/>
      <c r="K57" s="18" t="n"/>
      <c r="L57" s="18" t="n"/>
      <c r="M57" s="20" t="n"/>
    </row>
    <row r="58" ht="16.4" customHeight="1" s="828">
      <c r="A58" s="722" t="n"/>
      <c r="B58" s="989" t="n"/>
      <c r="C58" s="963" t="n"/>
      <c r="D58" s="989" t="n"/>
      <c r="E58" s="963" t="n"/>
      <c r="F58" s="989" t="n"/>
      <c r="G58" s="991" t="n"/>
      <c r="H58" s="968" t="n"/>
      <c r="I58" s="968" t="n"/>
      <c r="J58" s="968" t="n"/>
      <c r="K58" s="18" t="n"/>
      <c r="L58" s="18" t="n"/>
      <c r="M58" s="20" t="n"/>
    </row>
    <row r="59" ht="16.4" customHeight="1" s="828">
      <c r="A59" s="722" t="n"/>
      <c r="B59" s="989" t="n"/>
      <c r="C59" s="963" t="n"/>
      <c r="D59" s="989" t="n"/>
      <c r="E59" s="963" t="n"/>
      <c r="F59" s="989" t="n"/>
      <c r="G59" s="991" t="n"/>
      <c r="H59" s="968" t="n"/>
      <c r="I59" s="968" t="n"/>
      <c r="J59" s="968" t="n"/>
      <c r="K59" s="18" t="n"/>
      <c r="L59" s="18" t="n"/>
      <c r="M59" s="20" t="n"/>
    </row>
    <row r="60" ht="16.4" customHeight="1" s="828">
      <c r="A60" s="722" t="n"/>
      <c r="B60" s="989" t="n"/>
      <c r="C60" s="963" t="n"/>
      <c r="D60" s="989" t="n"/>
      <c r="E60" s="963" t="n"/>
      <c r="F60" s="989" t="n"/>
      <c r="G60" s="991" t="n"/>
      <c r="H60" s="968" t="n"/>
      <c r="I60" s="968" t="n"/>
      <c r="J60" s="968" t="n"/>
      <c r="K60" s="18" t="n"/>
      <c r="L60" s="18" t="n"/>
      <c r="M60" s="20" t="n"/>
    </row>
    <row r="61" ht="16.4" customHeight="1" s="828">
      <c r="A61" s="722" t="n"/>
      <c r="B61" s="989" t="n"/>
      <c r="C61" s="963" t="n"/>
      <c r="D61" s="989" t="n"/>
      <c r="E61" s="963" t="n"/>
      <c r="F61" s="989" t="n"/>
      <c r="G61" s="991" t="n"/>
      <c r="H61" s="968" t="n"/>
      <c r="I61" s="968" t="n"/>
      <c r="J61" s="968" t="n"/>
      <c r="K61" s="18" t="n"/>
      <c r="L61" s="18" t="n"/>
      <c r="M61" s="20" t="n"/>
    </row>
    <row r="62" ht="16.4" customHeight="1" s="828">
      <c r="A62" s="722" t="n"/>
      <c r="B62" s="989" t="n"/>
      <c r="C62" s="963" t="n"/>
      <c r="D62" s="989" t="n"/>
      <c r="E62" s="963" t="n"/>
      <c r="F62" s="989" t="n"/>
      <c r="G62" s="991" t="n"/>
      <c r="H62" s="968" t="n"/>
      <c r="I62" s="968" t="n"/>
      <c r="J62" s="968" t="n"/>
      <c r="K62" s="18" t="n"/>
      <c r="L62" s="18" t="n"/>
      <c r="M62" s="20" t="n"/>
    </row>
    <row r="63" ht="16.4" customHeight="1" s="828">
      <c r="A63" s="722" t="n"/>
      <c r="B63" s="989" t="n"/>
      <c r="C63" s="963" t="n"/>
      <c r="D63" s="989" t="n"/>
      <c r="E63" s="963" t="n"/>
      <c r="F63" s="989" t="n"/>
      <c r="G63" s="991" t="n"/>
      <c r="H63" s="968" t="n"/>
      <c r="I63" s="968" t="n"/>
      <c r="J63" s="968" t="n"/>
      <c r="K63" s="18" t="n"/>
      <c r="L63" s="18" t="n"/>
      <c r="M63" s="20" t="n"/>
    </row>
    <row r="64" ht="16.4" customHeight="1" s="828">
      <c r="A64" s="722" t="n"/>
      <c r="B64" s="989" t="n"/>
      <c r="C64" s="963" t="n"/>
      <c r="D64" s="989" t="n"/>
      <c r="E64" s="963" t="n"/>
      <c r="F64" s="989" t="n"/>
      <c r="G64" s="991" t="n"/>
      <c r="H64" s="968" t="n"/>
      <c r="I64" s="968" t="n"/>
      <c r="J64" s="968" t="n"/>
      <c r="K64" s="18" t="n"/>
      <c r="L64" s="18" t="n"/>
      <c r="M64" s="20" t="n"/>
    </row>
    <row r="65" ht="16.4" customHeight="1" s="828">
      <c r="A65" s="722" t="n"/>
      <c r="B65" s="989" t="n"/>
      <c r="C65" s="963" t="n"/>
      <c r="D65" s="989" t="n"/>
      <c r="E65" s="963" t="n"/>
      <c r="F65" s="989" t="n"/>
      <c r="G65" s="991" t="n"/>
      <c r="H65" s="968" t="n"/>
      <c r="I65" s="968" t="n"/>
      <c r="J65" s="968" t="n"/>
      <c r="K65" s="18" t="n"/>
      <c r="L65" s="18" t="n"/>
      <c r="M65" s="20" t="n"/>
    </row>
    <row r="66" ht="16.4" customHeight="1" s="828">
      <c r="A66" s="722" t="n"/>
      <c r="B66" s="989" t="n"/>
      <c r="C66" s="963" t="n"/>
      <c r="D66" s="989" t="n"/>
      <c r="E66" s="963" t="n"/>
      <c r="F66" s="989" t="n"/>
      <c r="G66" s="991" t="n"/>
      <c r="H66" s="968" t="n"/>
      <c r="I66" s="968" t="n"/>
      <c r="J66" s="968" t="n"/>
      <c r="K66" s="18" t="n"/>
      <c r="L66" s="18" t="n"/>
      <c r="M66" s="20" t="n"/>
    </row>
    <row r="67" ht="16.4" customHeight="1" s="828">
      <c r="A67" s="722" t="n"/>
      <c r="B67" s="989" t="n"/>
      <c r="C67" s="963" t="n"/>
      <c r="D67" s="989" t="n"/>
      <c r="E67" s="963" t="n"/>
      <c r="F67" s="989" t="n"/>
      <c r="G67" s="991" t="n"/>
      <c r="H67" s="968" t="n"/>
      <c r="I67" s="968" t="n"/>
      <c r="J67" s="968" t="n"/>
      <c r="K67" s="18" t="n"/>
      <c r="L67" s="18" t="n"/>
      <c r="M67" s="20" t="n"/>
    </row>
    <row r="68" ht="16.4" customHeight="1" s="828">
      <c r="A68" s="722" t="n"/>
      <c r="B68" s="989" t="n"/>
      <c r="C68" s="963" t="n"/>
      <c r="D68" s="989" t="n"/>
      <c r="E68" s="963" t="n"/>
      <c r="F68" s="989" t="n"/>
      <c r="G68" s="991" t="n"/>
      <c r="H68" s="968" t="n"/>
      <c r="I68" s="968" t="n"/>
      <c r="J68" s="968" t="n"/>
      <c r="K68" s="18" t="n"/>
      <c r="L68" s="18" t="n"/>
      <c r="M68" s="20" t="n"/>
    </row>
    <row r="69" ht="16.4" customHeight="1" s="828">
      <c r="A69" s="722" t="n"/>
      <c r="B69" s="989" t="n"/>
      <c r="C69" s="963" t="n"/>
      <c r="D69" s="989" t="n"/>
      <c r="E69" s="963" t="n"/>
      <c r="F69" s="989" t="n"/>
      <c r="G69" s="991" t="n"/>
      <c r="H69" s="968" t="n"/>
      <c r="I69" s="968" t="n"/>
      <c r="J69" s="968" t="n"/>
      <c r="K69" s="18" t="n"/>
      <c r="L69" s="18" t="n"/>
      <c r="M69" s="20" t="n"/>
    </row>
    <row r="70" ht="16.4" customHeight="1" s="828">
      <c r="A70" s="722" t="n"/>
      <c r="B70" s="989" t="n"/>
      <c r="C70" s="963" t="n"/>
      <c r="D70" s="989" t="n"/>
      <c r="E70" s="963" t="n"/>
      <c r="F70" s="989" t="n"/>
      <c r="G70" s="991" t="n"/>
      <c r="H70" s="968" t="n"/>
      <c r="I70" s="968" t="n"/>
      <c r="J70" s="968" t="n"/>
      <c r="K70" s="18" t="n"/>
      <c r="L70" s="18" t="n"/>
      <c r="M70" s="20" t="n"/>
    </row>
    <row r="71" ht="16.4" customHeight="1" s="828">
      <c r="A71" s="722" t="n"/>
      <c r="B71" s="989" t="n"/>
      <c r="C71" s="963" t="n"/>
      <c r="D71" s="989" t="n"/>
      <c r="E71" s="963" t="n"/>
      <c r="F71" s="989" t="n"/>
      <c r="G71" s="991" t="n"/>
      <c r="H71" s="968" t="n"/>
      <c r="I71" s="968" t="n"/>
      <c r="J71" s="968" t="n"/>
      <c r="K71" s="18" t="n"/>
      <c r="L71" s="18" t="n"/>
      <c r="M71" s="20" t="n"/>
    </row>
    <row r="72" ht="16.4" customHeight="1" s="828">
      <c r="A72" s="722" t="n"/>
      <c r="B72" s="989" t="n"/>
      <c r="C72" s="963" t="n"/>
      <c r="D72" s="989" t="n"/>
      <c r="E72" s="963" t="n"/>
      <c r="F72" s="989" t="n"/>
      <c r="G72" s="991" t="n"/>
      <c r="H72" s="968" t="n"/>
      <c r="I72" s="968" t="n"/>
      <c r="J72" s="968" t="n"/>
      <c r="K72" s="18" t="n"/>
      <c r="L72" s="18" t="n"/>
      <c r="M72" s="20" t="n"/>
    </row>
    <row r="73" ht="16.4" customHeight="1" s="828">
      <c r="A73" s="722" t="n"/>
      <c r="B73" s="989" t="n"/>
      <c r="C73" s="963" t="n"/>
      <c r="D73" s="989" t="n"/>
      <c r="E73" s="963" t="n"/>
      <c r="F73" s="989" t="n"/>
      <c r="G73" s="991" t="n"/>
      <c r="H73" s="968" t="n"/>
      <c r="I73" s="968" t="n"/>
      <c r="J73" s="968" t="n"/>
      <c r="K73" s="18" t="n"/>
      <c r="L73" s="18" t="n"/>
      <c r="M73" s="20" t="n"/>
    </row>
    <row r="74" ht="16.4" customHeight="1" s="828">
      <c r="A74" s="722" t="n"/>
      <c r="B74" s="989" t="n"/>
      <c r="C74" s="963" t="n"/>
      <c r="D74" s="989" t="n"/>
      <c r="E74" s="963" t="n"/>
      <c r="F74" s="989" t="n"/>
      <c r="G74" s="991" t="n"/>
      <c r="H74" s="968" t="n"/>
      <c r="I74" s="968" t="n"/>
      <c r="J74" s="968" t="n"/>
      <c r="K74" s="18" t="n"/>
      <c r="L74" s="18" t="n"/>
      <c r="M74" s="20" t="n"/>
    </row>
    <row r="75" ht="16.4" customHeight="1" s="828">
      <c r="A75" s="722" t="n"/>
      <c r="B75" s="989" t="n"/>
      <c r="C75" s="963" t="n"/>
      <c r="D75" s="989" t="n"/>
      <c r="E75" s="963" t="n"/>
      <c r="F75" s="989" t="n"/>
      <c r="G75" s="991" t="n"/>
      <c r="H75" s="968" t="n"/>
      <c r="I75" s="968" t="n"/>
      <c r="J75" s="968" t="n"/>
      <c r="K75" s="18" t="n"/>
      <c r="L75" s="18" t="n"/>
      <c r="M75" s="20" t="n"/>
    </row>
    <row r="76" ht="16.4" customHeight="1" s="828">
      <c r="A76" s="722" t="n"/>
      <c r="B76" s="989" t="n"/>
      <c r="C76" s="963" t="n"/>
      <c r="D76" s="989" t="n"/>
      <c r="E76" s="963" t="n"/>
      <c r="F76" s="989" t="n"/>
      <c r="G76" s="991" t="n"/>
      <c r="H76" s="968" t="n"/>
      <c r="I76" s="968" t="n"/>
      <c r="J76" s="968" t="n"/>
      <c r="K76" s="18" t="n"/>
      <c r="L76" s="18" t="n"/>
      <c r="M76" s="20" t="n"/>
    </row>
    <row r="77" ht="16.4" customHeight="1" s="828">
      <c r="A77" s="722" t="n"/>
      <c r="B77" s="989" t="n"/>
      <c r="C77" s="963" t="n"/>
      <c r="D77" s="989" t="n"/>
      <c r="E77" s="963" t="n"/>
      <c r="F77" s="989" t="n"/>
      <c r="G77" s="991" t="n"/>
      <c r="H77" s="968" t="n"/>
      <c r="I77" s="968" t="n"/>
      <c r="J77" s="968" t="n"/>
      <c r="K77" s="18" t="n"/>
      <c r="L77" s="18" t="n"/>
      <c r="M77" s="20" t="n"/>
    </row>
    <row r="78" ht="16.4" customHeight="1" s="828">
      <c r="A78" s="722" t="n"/>
      <c r="B78" s="989" t="n"/>
      <c r="C78" s="963" t="n"/>
      <c r="D78" s="989" t="n"/>
      <c r="E78" s="963" t="n"/>
      <c r="F78" s="989" t="n"/>
      <c r="G78" s="991" t="n"/>
      <c r="H78" s="968" t="n"/>
      <c r="I78" s="968" t="n"/>
      <c r="J78" s="968" t="n"/>
      <c r="K78" s="18" t="n"/>
      <c r="L78" s="18" t="n"/>
      <c r="M78" s="20" t="n"/>
    </row>
    <row r="79" ht="16.4" customHeight="1" s="828">
      <c r="A79" s="722" t="n"/>
      <c r="B79" s="989" t="n"/>
      <c r="C79" s="963" t="n"/>
      <c r="D79" s="989" t="n"/>
      <c r="E79" s="963" t="n"/>
      <c r="F79" s="989" t="n"/>
      <c r="G79" s="991" t="n"/>
      <c r="H79" s="968" t="n"/>
      <c r="I79" s="968" t="n"/>
      <c r="J79" s="968" t="n"/>
      <c r="K79" s="18" t="n"/>
      <c r="L79" s="18" t="n"/>
      <c r="M79" s="20" t="n"/>
    </row>
    <row r="80" ht="16.4" customHeight="1" s="828">
      <c r="A80" s="722" t="n"/>
      <c r="B80" s="989" t="n"/>
      <c r="C80" s="963" t="n"/>
      <c r="D80" s="989" t="n"/>
      <c r="E80" s="963" t="n"/>
      <c r="F80" s="989" t="n"/>
      <c r="G80" s="991" t="n"/>
      <c r="H80" s="968" t="n"/>
      <c r="I80" s="968" t="n"/>
      <c r="J80" s="968" t="n"/>
      <c r="K80" s="18" t="n"/>
      <c r="L80" s="18" t="n"/>
      <c r="M80" s="20" t="n"/>
    </row>
    <row r="81" ht="16.4" customHeight="1" s="828">
      <c r="A81" s="722" t="n"/>
      <c r="B81" s="989" t="n"/>
      <c r="C81" s="963" t="n"/>
      <c r="D81" s="989" t="n"/>
      <c r="E81" s="963" t="n"/>
      <c r="F81" s="989" t="n"/>
      <c r="G81" s="991" t="n"/>
      <c r="H81" s="968" t="n"/>
      <c r="I81" s="968" t="n"/>
      <c r="J81" s="968" t="n"/>
      <c r="K81" s="18" t="n"/>
      <c r="L81" s="18" t="n"/>
      <c r="M81" s="20" t="n"/>
    </row>
    <row r="82" ht="16.4" customHeight="1" s="828">
      <c r="A82" s="722" t="n"/>
      <c r="B82" s="989" t="n"/>
      <c r="C82" s="963" t="n"/>
      <c r="D82" s="989" t="n"/>
      <c r="E82" s="963" t="n"/>
      <c r="F82" s="989" t="n"/>
      <c r="G82" s="991" t="n"/>
      <c r="H82" s="968" t="n"/>
      <c r="I82" s="968" t="n"/>
      <c r="J82" s="968" t="n"/>
      <c r="K82" s="18" t="n"/>
      <c r="L82" s="18" t="n"/>
      <c r="M82" s="20" t="n"/>
    </row>
    <row r="83" ht="16.4" customHeight="1" s="828">
      <c r="A83" s="722" t="n"/>
      <c r="B83" s="989" t="n"/>
      <c r="C83" s="963" t="n"/>
      <c r="D83" s="989" t="n"/>
      <c r="E83" s="963" t="n"/>
      <c r="F83" s="989" t="n"/>
      <c r="G83" s="991" t="n"/>
      <c r="H83" s="968" t="n"/>
      <c r="I83" s="968" t="n"/>
      <c r="J83" s="968" t="n"/>
      <c r="K83" s="18" t="n"/>
      <c r="L83" s="18" t="n"/>
      <c r="M83" s="20" t="n"/>
    </row>
    <row r="84" ht="16.4" customHeight="1" s="828">
      <c r="A84" s="722" t="n"/>
      <c r="B84" s="989" t="n"/>
      <c r="C84" s="963" t="n"/>
      <c r="D84" s="989" t="n"/>
      <c r="E84" s="963" t="n"/>
      <c r="F84" s="989" t="n"/>
      <c r="G84" s="991" t="n"/>
      <c r="H84" s="968" t="n"/>
      <c r="I84" s="968" t="n"/>
      <c r="J84" s="968" t="n"/>
      <c r="K84" s="18" t="n"/>
      <c r="L84" s="18" t="n"/>
      <c r="M84" s="20" t="n"/>
    </row>
    <row r="85" ht="16.4" customHeight="1" s="828">
      <c r="A85" s="722" t="n"/>
      <c r="B85" s="989" t="n"/>
      <c r="C85" s="963" t="n"/>
      <c r="D85" s="989" t="n"/>
      <c r="E85" s="963" t="n"/>
      <c r="F85" s="989" t="n"/>
      <c r="G85" s="991" t="n"/>
      <c r="H85" s="968" t="n"/>
      <c r="I85" s="968" t="n"/>
      <c r="J85" s="968" t="n"/>
      <c r="K85" s="18" t="n"/>
      <c r="L85" s="18" t="n"/>
      <c r="M85" s="20" t="n"/>
    </row>
    <row r="86" ht="16.4" customHeight="1" s="828">
      <c r="A86" s="722" t="n"/>
      <c r="B86" s="989" t="n"/>
      <c r="C86" s="963" t="n"/>
      <c r="D86" s="989" t="n"/>
      <c r="E86" s="963" t="n"/>
      <c r="F86" s="989" t="n"/>
      <c r="G86" s="991" t="n"/>
      <c r="H86" s="968" t="n"/>
      <c r="I86" s="968" t="n"/>
      <c r="J86" s="968" t="n"/>
      <c r="K86" s="18" t="n"/>
      <c r="L86" s="18" t="n"/>
      <c r="M86" s="20" t="n"/>
    </row>
    <row r="87" ht="16.4" customHeight="1" s="828">
      <c r="A87" s="722" t="n"/>
      <c r="B87" s="989" t="n"/>
      <c r="C87" s="963" t="n"/>
      <c r="D87" s="989" t="n"/>
      <c r="E87" s="963" t="n"/>
      <c r="F87" s="989" t="n"/>
      <c r="G87" s="991" t="n"/>
      <c r="H87" s="968" t="n"/>
      <c r="I87" s="968" t="n"/>
      <c r="J87" s="968" t="n"/>
      <c r="K87" s="18" t="n"/>
      <c r="L87" s="18" t="n"/>
      <c r="M87" s="20" t="n"/>
    </row>
    <row r="88" ht="16.4" customHeight="1" s="828">
      <c r="A88" s="722" t="n"/>
      <c r="B88" s="989" t="n"/>
      <c r="C88" s="963" t="n"/>
      <c r="D88" s="989" t="n"/>
      <c r="E88" s="963" t="n"/>
      <c r="F88" s="989" t="n"/>
      <c r="G88" s="991" t="n"/>
      <c r="H88" s="968" t="n"/>
      <c r="I88" s="968" t="n"/>
      <c r="J88" s="968" t="n"/>
      <c r="K88" s="18" t="n"/>
      <c r="L88" s="18" t="n"/>
      <c r="M88" s="20" t="n"/>
    </row>
    <row r="89" ht="16.4" customHeight="1" s="828">
      <c r="A89" s="722" t="n"/>
      <c r="B89" s="989" t="n"/>
      <c r="C89" s="963" t="n"/>
      <c r="D89" s="989" t="n"/>
      <c r="E89" s="963" t="n"/>
      <c r="F89" s="989" t="n"/>
      <c r="G89" s="991" t="n"/>
      <c r="H89" s="968" t="n"/>
      <c r="I89" s="968" t="n"/>
      <c r="J89" s="968" t="n"/>
      <c r="K89" s="18" t="n"/>
      <c r="L89" s="18" t="n"/>
      <c r="M89" s="20" t="n"/>
    </row>
    <row r="90" ht="16.4" customHeight="1" s="828">
      <c r="A90" s="722" t="n"/>
      <c r="B90" s="989" t="n"/>
      <c r="C90" s="963" t="n"/>
      <c r="D90" s="989" t="n"/>
      <c r="E90" s="963" t="n"/>
      <c r="F90" s="989" t="n"/>
      <c r="G90" s="991" t="n"/>
      <c r="H90" s="968" t="n"/>
      <c r="I90" s="968" t="n"/>
      <c r="J90" s="968" t="n"/>
      <c r="K90" s="18" t="n"/>
      <c r="L90" s="18" t="n"/>
      <c r="M90" s="20" t="n"/>
    </row>
    <row r="91" ht="16.4" customHeight="1" s="828">
      <c r="A91" s="722" t="n"/>
      <c r="B91" s="989" t="n"/>
      <c r="C91" s="963" t="n"/>
      <c r="D91" s="989" t="n"/>
      <c r="E91" s="963" t="n"/>
      <c r="F91" s="989" t="n"/>
      <c r="G91" s="991" t="n"/>
      <c r="H91" s="968" t="n"/>
      <c r="I91" s="968" t="n"/>
      <c r="J91" s="968" t="n"/>
      <c r="K91" s="18" t="n"/>
      <c r="L91" s="18" t="n"/>
      <c r="M91" s="20" t="n"/>
    </row>
    <row r="92" ht="16.4" customHeight="1" s="828">
      <c r="A92" s="722" t="n"/>
      <c r="B92" s="989" t="n"/>
      <c r="C92" s="963" t="n"/>
      <c r="D92" s="989" t="n"/>
      <c r="E92" s="963" t="n"/>
      <c r="F92" s="989" t="n"/>
      <c r="G92" s="991" t="n"/>
      <c r="H92" s="968" t="n"/>
      <c r="I92" s="968" t="n"/>
      <c r="J92" s="968" t="n"/>
      <c r="K92" s="18" t="n"/>
      <c r="L92" s="18" t="n"/>
      <c r="M92" s="20" t="n"/>
    </row>
    <row r="93" ht="16.4" customHeight="1" s="828">
      <c r="A93" s="722" t="n"/>
      <c r="B93" s="989" t="n"/>
      <c r="C93" s="963" t="n"/>
      <c r="D93" s="989" t="n"/>
      <c r="E93" s="963" t="n"/>
      <c r="F93" s="989" t="n"/>
      <c r="G93" s="991" t="n"/>
      <c r="H93" s="968" t="n"/>
      <c r="I93" s="968" t="n"/>
      <c r="J93" s="968" t="n"/>
      <c r="K93" s="18" t="n"/>
      <c r="L93" s="18" t="n"/>
      <c r="M93" s="20" t="n"/>
    </row>
    <row r="94" ht="16.4" customHeight="1" s="828">
      <c r="A94" s="722" t="n"/>
      <c r="B94" s="989" t="n"/>
      <c r="C94" s="963" t="n"/>
      <c r="D94" s="989" t="n"/>
      <c r="E94" s="963" t="n"/>
      <c r="F94" s="989" t="n"/>
      <c r="G94" s="991" t="n"/>
      <c r="H94" s="968" t="n"/>
      <c r="I94" s="968" t="n"/>
      <c r="J94" s="968" t="n"/>
      <c r="K94" s="18" t="n"/>
      <c r="L94" s="18" t="n"/>
      <c r="M94" s="20" t="n"/>
    </row>
    <row r="95" ht="16.4" customHeight="1" s="828">
      <c r="A95" s="722" t="n"/>
      <c r="B95" s="989" t="n"/>
      <c r="C95" s="963" t="n"/>
      <c r="D95" s="989" t="n"/>
      <c r="E95" s="963" t="n"/>
      <c r="F95" s="989" t="n"/>
      <c r="G95" s="991" t="n"/>
      <c r="H95" s="968" t="n"/>
      <c r="I95" s="968" t="n"/>
      <c r="J95" s="968" t="n"/>
      <c r="K95" s="18" t="n"/>
      <c r="L95" s="18" t="n"/>
      <c r="M95" s="20" t="n"/>
    </row>
    <row r="96" ht="16.4" customHeight="1" s="828">
      <c r="A96" s="722" t="n"/>
      <c r="B96" s="989" t="n"/>
      <c r="C96" s="963" t="n"/>
      <c r="D96" s="989" t="n"/>
      <c r="E96" s="963" t="n"/>
      <c r="F96" s="989" t="n"/>
      <c r="G96" s="991" t="n"/>
      <c r="H96" s="968" t="n"/>
      <c r="I96" s="968" t="n"/>
      <c r="J96" s="968" t="n"/>
      <c r="K96" s="18" t="n"/>
      <c r="L96" s="18" t="n"/>
      <c r="M96" s="20" t="n"/>
    </row>
    <row r="97" ht="16.4" customHeight="1" s="828">
      <c r="A97" s="722" t="n"/>
      <c r="B97" s="989" t="n"/>
      <c r="C97" s="963" t="n"/>
      <c r="D97" s="989" t="n"/>
      <c r="E97" s="963" t="n"/>
      <c r="F97" s="989" t="n"/>
      <c r="G97" s="991" t="n"/>
      <c r="H97" s="968" t="n"/>
      <c r="I97" s="968" t="n"/>
      <c r="J97" s="968" t="n"/>
      <c r="K97" s="18" t="n"/>
      <c r="L97" s="18" t="n"/>
      <c r="M97" s="20" t="n"/>
    </row>
    <row r="98" ht="16.4" customHeight="1" s="828">
      <c r="A98" s="722" t="n"/>
      <c r="B98" s="989" t="n"/>
      <c r="C98" s="963" t="n"/>
      <c r="D98" s="989" t="n"/>
      <c r="E98" s="963" t="n"/>
      <c r="F98" s="989" t="n"/>
      <c r="G98" s="991" t="n"/>
      <c r="H98" s="968" t="n"/>
      <c r="I98" s="968" t="n"/>
      <c r="J98" s="968" t="n"/>
      <c r="K98" s="18" t="n"/>
      <c r="L98" s="18" t="n"/>
      <c r="M98" s="20" t="n"/>
    </row>
    <row r="99" ht="16.4" customHeight="1" s="828">
      <c r="A99" s="722" t="n"/>
      <c r="B99" s="989" t="n"/>
      <c r="C99" s="963" t="n"/>
      <c r="D99" s="989" t="n"/>
      <c r="E99" s="963" t="n"/>
      <c r="F99" s="989" t="n"/>
      <c r="G99" s="991" t="n"/>
      <c r="H99" s="968" t="n"/>
      <c r="I99" s="968" t="n"/>
      <c r="J99" s="968" t="n"/>
      <c r="K99" s="18" t="n"/>
      <c r="L99" s="18" t="n"/>
      <c r="M99" s="20" t="n"/>
    </row>
    <row r="100" ht="16.4" customHeight="1" s="828">
      <c r="A100" s="722" t="n"/>
      <c r="B100" s="989" t="n"/>
      <c r="C100" s="963" t="n"/>
      <c r="D100" s="989" t="n"/>
      <c r="E100" s="963" t="n"/>
      <c r="F100" s="989" t="n"/>
      <c r="G100" s="991" t="n"/>
      <c r="H100" s="968" t="n"/>
      <c r="I100" s="968" t="n"/>
      <c r="J100" s="968" t="n"/>
      <c r="K100" s="18" t="n"/>
      <c r="L100" s="18" t="n"/>
      <c r="M100" s="20" t="n"/>
    </row>
    <row r="101" ht="16.4" customHeight="1" s="828">
      <c r="A101" s="722" t="n"/>
      <c r="B101" s="989" t="n"/>
      <c r="C101" s="963" t="n"/>
      <c r="D101" s="989" t="n"/>
      <c r="E101" s="963" t="n"/>
      <c r="F101" s="989" t="n"/>
      <c r="G101" s="991" t="n"/>
      <c r="H101" s="968" t="n"/>
      <c r="I101" s="968" t="n"/>
      <c r="J101" s="968" t="n"/>
      <c r="K101" s="18" t="n"/>
      <c r="L101" s="18" t="n"/>
      <c r="M101" s="20" t="n"/>
    </row>
    <row r="102" ht="16.4" customHeight="1" s="828">
      <c r="A102" s="722" t="n"/>
      <c r="B102" s="989" t="n"/>
      <c r="C102" s="963" t="n"/>
      <c r="D102" s="989" t="n"/>
      <c r="E102" s="963" t="n"/>
      <c r="F102" s="989" t="n"/>
      <c r="G102" s="991" t="n"/>
      <c r="H102" s="968" t="n"/>
      <c r="I102" s="968" t="n"/>
      <c r="J102" s="968" t="n"/>
      <c r="K102" s="18" t="n"/>
      <c r="L102" s="18" t="n"/>
      <c r="M102" s="20" t="n"/>
    </row>
    <row r="103" ht="16.4" customHeight="1" s="828">
      <c r="A103" s="722" t="n"/>
      <c r="B103" s="989" t="n"/>
      <c r="C103" s="963" t="n"/>
      <c r="D103" s="989" t="n"/>
      <c r="E103" s="963" t="n"/>
      <c r="F103" s="989" t="n"/>
      <c r="G103" s="991" t="n"/>
      <c r="H103" s="968" t="n"/>
      <c r="I103" s="968" t="n"/>
      <c r="J103" s="968" t="n"/>
      <c r="K103" s="18" t="n"/>
      <c r="L103" s="18" t="n"/>
      <c r="M103" s="20" t="n"/>
    </row>
    <row r="104" ht="16.4" customHeight="1" s="828">
      <c r="A104" s="722" t="n"/>
      <c r="B104" s="989" t="n"/>
      <c r="C104" s="963" t="n"/>
      <c r="D104" s="989" t="n"/>
      <c r="E104" s="963" t="n"/>
      <c r="F104" s="989" t="n"/>
      <c r="G104" s="991" t="n"/>
      <c r="H104" s="968" t="n"/>
      <c r="I104" s="968" t="n"/>
      <c r="J104" s="968" t="n"/>
      <c r="K104" s="18" t="n"/>
      <c r="L104" s="18" t="n"/>
      <c r="M104" s="20" t="n"/>
    </row>
    <row r="105" ht="16.4" customHeight="1" s="828">
      <c r="A105" s="722" t="n"/>
      <c r="B105" s="989" t="n"/>
      <c r="C105" s="963" t="n"/>
      <c r="D105" s="989" t="n"/>
      <c r="E105" s="963" t="n"/>
      <c r="F105" s="989" t="n"/>
      <c r="G105" s="991" t="n"/>
      <c r="H105" s="968" t="n"/>
      <c r="I105" s="968" t="n"/>
      <c r="J105" s="968" t="n"/>
      <c r="K105" s="18" t="n"/>
      <c r="L105" s="18" t="n"/>
      <c r="M105" s="20" t="n"/>
    </row>
    <row r="106" ht="16.4" customHeight="1" s="828">
      <c r="A106" s="722" t="n"/>
      <c r="B106" s="989" t="n"/>
      <c r="C106" s="963" t="n"/>
      <c r="D106" s="989" t="n"/>
      <c r="E106" s="963" t="n"/>
      <c r="F106" s="989" t="n"/>
      <c r="G106" s="991" t="n"/>
      <c r="H106" s="968" t="n"/>
      <c r="I106" s="968" t="n"/>
      <c r="J106" s="968" t="n"/>
      <c r="K106" s="18" t="n"/>
      <c r="L106" s="18" t="n"/>
      <c r="M106" s="20" t="n"/>
    </row>
    <row r="107" ht="16.4" customHeight="1" s="828">
      <c r="A107" s="722" t="n"/>
      <c r="B107" s="989" t="n"/>
      <c r="C107" s="963" t="n"/>
      <c r="D107" s="989" t="n"/>
      <c r="E107" s="963" t="n"/>
      <c r="F107" s="989" t="n"/>
      <c r="G107" s="991" t="n"/>
      <c r="H107" s="968" t="n"/>
      <c r="I107" s="968" t="n"/>
      <c r="J107" s="968" t="n"/>
      <c r="K107" s="18" t="n"/>
      <c r="L107" s="18" t="n"/>
      <c r="M107" s="20" t="n"/>
    </row>
    <row r="108" ht="16.4" customHeight="1" s="828">
      <c r="A108" s="722" t="n"/>
      <c r="B108" s="989" t="n"/>
      <c r="C108" s="963" t="n"/>
      <c r="D108" s="989" t="n"/>
      <c r="E108" s="963" t="n"/>
      <c r="F108" s="989" t="n"/>
      <c r="G108" s="991" t="n"/>
      <c r="H108" s="968" t="n"/>
      <c r="I108" s="968" t="n"/>
      <c r="J108" s="968" t="n"/>
      <c r="K108" s="18" t="n"/>
      <c r="L108" s="18" t="n"/>
      <c r="M108" s="20" t="n"/>
    </row>
    <row r="109" ht="16.4" customHeight="1" s="828">
      <c r="A109" s="722" t="n"/>
      <c r="B109" s="989" t="n"/>
      <c r="C109" s="963" t="n"/>
      <c r="D109" s="989" t="n"/>
      <c r="E109" s="963" t="n"/>
      <c r="F109" s="989" t="n"/>
      <c r="G109" s="991" t="n"/>
      <c r="H109" s="968" t="n"/>
      <c r="I109" s="968" t="n"/>
      <c r="J109" s="968" t="n"/>
      <c r="K109" s="18" t="n"/>
      <c r="L109" s="18" t="n"/>
      <c r="M109" s="20" t="n"/>
    </row>
    <row r="110" ht="16.4" customHeight="1" s="828">
      <c r="A110" s="722" t="n"/>
      <c r="B110" s="989" t="n"/>
      <c r="C110" s="963" t="n"/>
      <c r="D110" s="989" t="n"/>
      <c r="E110" s="963" t="n"/>
      <c r="F110" s="989" t="n"/>
      <c r="G110" s="991" t="n"/>
      <c r="H110" s="968" t="n"/>
      <c r="I110" s="968" t="n"/>
      <c r="J110" s="968" t="n"/>
      <c r="K110" s="18" t="n"/>
      <c r="L110" s="18" t="n"/>
      <c r="M110" s="20" t="n"/>
    </row>
    <row r="111" ht="16.4" customHeight="1" s="828">
      <c r="A111" s="722" t="n"/>
      <c r="B111" s="989" t="n"/>
      <c r="C111" s="963" t="n"/>
      <c r="D111" s="989" t="n"/>
      <c r="E111" s="963" t="n"/>
      <c r="F111" s="989" t="n"/>
      <c r="G111" s="991" t="n"/>
      <c r="H111" s="968" t="n"/>
      <c r="I111" s="968" t="n"/>
      <c r="J111" s="968" t="n"/>
      <c r="K111" s="18" t="n"/>
      <c r="L111" s="18" t="n"/>
      <c r="M111" s="20" t="n"/>
    </row>
    <row r="112" ht="16.4" customHeight="1" s="828">
      <c r="A112" s="722" t="n"/>
      <c r="B112" s="989" t="n"/>
      <c r="C112" s="963" t="n"/>
      <c r="D112" s="989" t="n"/>
      <c r="E112" s="963" t="n"/>
      <c r="F112" s="989" t="n"/>
      <c r="G112" s="991" t="n"/>
      <c r="H112" s="968" t="n"/>
      <c r="I112" s="968" t="n"/>
      <c r="J112" s="968" t="n"/>
      <c r="K112" s="18" t="n"/>
      <c r="L112" s="18" t="n"/>
      <c r="M112" s="20" t="n"/>
    </row>
    <row r="113" ht="16.4" customHeight="1" s="828">
      <c r="A113" s="722" t="n"/>
      <c r="B113" s="989" t="n"/>
      <c r="C113" s="963" t="n"/>
      <c r="D113" s="989" t="n"/>
      <c r="E113" s="963" t="n"/>
      <c r="F113" s="989" t="n"/>
      <c r="G113" s="991" t="n"/>
      <c r="H113" s="968" t="n"/>
      <c r="I113" s="968" t="n"/>
      <c r="J113" s="968" t="n"/>
      <c r="K113" s="18" t="n"/>
      <c r="L113" s="18" t="n"/>
      <c r="M113" s="20" t="n"/>
    </row>
    <row r="114" ht="16.4" customHeight="1" s="828">
      <c r="A114" s="722" t="n"/>
      <c r="B114" s="989" t="n"/>
      <c r="C114" s="963" t="n"/>
      <c r="D114" s="989" t="n"/>
      <c r="E114" s="963" t="n"/>
      <c r="F114" s="989" t="n"/>
      <c r="G114" s="991" t="n"/>
      <c r="H114" s="968" t="n"/>
      <c r="I114" s="968" t="n"/>
      <c r="J114" s="968" t="n"/>
      <c r="K114" s="18" t="n"/>
      <c r="L114" s="18" t="n"/>
      <c r="M114" s="20" t="n"/>
    </row>
    <row r="115" ht="16.4" customHeight="1" s="828">
      <c r="A115" s="722" t="n"/>
      <c r="B115" s="989" t="n"/>
      <c r="C115" s="963" t="n"/>
      <c r="D115" s="989" t="n"/>
      <c r="E115" s="963" t="n"/>
      <c r="F115" s="989" t="n"/>
      <c r="G115" s="991" t="n"/>
      <c r="H115" s="968" t="n"/>
      <c r="I115" s="968" t="n"/>
      <c r="J115" s="968" t="n"/>
      <c r="K115" s="18" t="n"/>
      <c r="L115" s="18" t="n"/>
      <c r="M115" s="20" t="n"/>
    </row>
    <row r="116" ht="16.4" customHeight="1" s="828">
      <c r="A116" s="722" t="n"/>
      <c r="B116" s="989" t="n"/>
      <c r="C116" s="963" t="n"/>
      <c r="D116" s="989" t="n"/>
      <c r="E116" s="963" t="n"/>
      <c r="F116" s="989" t="n"/>
      <c r="G116" s="991" t="n"/>
      <c r="H116" s="968" t="n"/>
      <c r="I116" s="968" t="n"/>
      <c r="J116" s="968" t="n"/>
      <c r="K116" s="18" t="n"/>
      <c r="L116" s="18" t="n"/>
      <c r="M116" s="20" t="n"/>
    </row>
    <row r="117" ht="16.4" customHeight="1" s="828">
      <c r="A117" s="722" t="n"/>
      <c r="B117" s="989" t="n"/>
      <c r="C117" s="963" t="n"/>
      <c r="D117" s="989" t="n"/>
      <c r="E117" s="963" t="n"/>
      <c r="F117" s="989" t="n"/>
      <c r="G117" s="991" t="n"/>
      <c r="H117" s="968" t="n"/>
      <c r="I117" s="968" t="n"/>
      <c r="J117" s="968" t="n"/>
      <c r="K117" s="18" t="n"/>
      <c r="L117" s="18" t="n"/>
      <c r="M117" s="20" t="n"/>
    </row>
    <row r="118" ht="16.4" customHeight="1" s="828">
      <c r="A118" s="722" t="n"/>
      <c r="B118" s="989" t="n"/>
      <c r="C118" s="963" t="n"/>
      <c r="D118" s="989" t="n"/>
      <c r="E118" s="963" t="n"/>
      <c r="F118" s="989" t="n"/>
      <c r="G118" s="991" t="n"/>
      <c r="H118" s="968" t="n"/>
      <c r="I118" s="968" t="n"/>
      <c r="J118" s="968" t="n"/>
      <c r="K118" s="18" t="n"/>
      <c r="L118" s="18" t="n"/>
      <c r="M118" s="20" t="n"/>
    </row>
    <row r="119" ht="16.4" customHeight="1" s="828">
      <c r="A119" s="722" t="n"/>
      <c r="B119" s="989" t="n"/>
      <c r="C119" s="963" t="n"/>
      <c r="D119" s="989" t="n"/>
      <c r="E119" s="963" t="n"/>
      <c r="F119" s="989" t="n"/>
      <c r="G119" s="991" t="n"/>
      <c r="H119" s="968" t="n"/>
      <c r="I119" s="968" t="n"/>
      <c r="J119" s="968" t="n"/>
      <c r="K119" s="18" t="n"/>
      <c r="L119" s="18" t="n"/>
      <c r="M119" s="20" t="n"/>
    </row>
    <row r="120" ht="16.4" customHeight="1" s="828">
      <c r="A120" s="722" t="n"/>
      <c r="B120" s="989" t="n"/>
      <c r="C120" s="963" t="n"/>
      <c r="D120" s="989" t="n"/>
      <c r="E120" s="963" t="n"/>
      <c r="F120" s="989" t="n"/>
      <c r="G120" s="991" t="n"/>
      <c r="H120" s="968" t="n"/>
      <c r="I120" s="968" t="n"/>
      <c r="J120" s="968" t="n"/>
      <c r="K120" s="18" t="n"/>
      <c r="L120" s="18" t="n"/>
      <c r="M120" s="20" t="n"/>
    </row>
    <row r="121" ht="16.4" customHeight="1" s="828">
      <c r="A121" s="722" t="n"/>
      <c r="B121" s="989" t="n"/>
      <c r="C121" s="963" t="n"/>
      <c r="D121" s="989" t="n"/>
      <c r="E121" s="963" t="n"/>
      <c r="F121" s="989" t="n"/>
      <c r="G121" s="991" t="n"/>
      <c r="H121" s="968" t="n"/>
      <c r="I121" s="968" t="n"/>
      <c r="J121" s="968" t="n"/>
      <c r="K121" s="18" t="n"/>
      <c r="L121" s="18" t="n"/>
      <c r="M121" s="20" t="n"/>
    </row>
    <row r="122" ht="16.4" customHeight="1" s="828">
      <c r="A122" s="722" t="n"/>
      <c r="B122" s="989" t="n"/>
      <c r="C122" s="963" t="n"/>
      <c r="D122" s="989" t="n"/>
      <c r="E122" s="963" t="n"/>
      <c r="F122" s="989" t="n"/>
      <c r="G122" s="991" t="n"/>
      <c r="H122" s="968" t="n"/>
      <c r="I122" s="968" t="n"/>
      <c r="J122" s="968" t="n"/>
      <c r="K122" s="18" t="n"/>
      <c r="L122" s="18" t="n"/>
      <c r="M122" s="20" t="n"/>
    </row>
    <row r="123" ht="16.4" customHeight="1" s="828">
      <c r="A123" s="722" t="n"/>
      <c r="B123" s="989" t="n"/>
      <c r="C123" s="963" t="n"/>
      <c r="D123" s="989" t="n"/>
      <c r="E123" s="963" t="n"/>
      <c r="F123" s="989" t="n"/>
      <c r="G123" s="991" t="n"/>
      <c r="H123" s="968" t="n"/>
      <c r="I123" s="968" t="n"/>
      <c r="J123" s="968" t="n"/>
      <c r="K123" s="18" t="n"/>
      <c r="L123" s="18" t="n"/>
      <c r="M123" s="20" t="n"/>
    </row>
    <row r="124" ht="16.4" customHeight="1" s="828">
      <c r="A124" s="722" t="n"/>
      <c r="B124" s="989" t="n"/>
      <c r="C124" s="963" t="n"/>
      <c r="D124" s="989" t="n"/>
      <c r="E124" s="963" t="n"/>
      <c r="F124" s="989" t="n"/>
      <c r="G124" s="991" t="n"/>
      <c r="H124" s="968" t="n"/>
      <c r="I124" s="968" t="n"/>
      <c r="J124" s="968" t="n"/>
      <c r="K124" s="18" t="n"/>
      <c r="L124" s="18" t="n"/>
      <c r="M124" s="20" t="n"/>
    </row>
    <row r="125" ht="16.4" customHeight="1" s="828">
      <c r="A125" s="722" t="n"/>
      <c r="B125" s="989" t="n"/>
      <c r="C125" s="963" t="n"/>
      <c r="D125" s="989" t="n"/>
      <c r="E125" s="963" t="n"/>
      <c r="F125" s="989" t="n"/>
      <c r="G125" s="991" t="n"/>
      <c r="H125" s="968" t="n"/>
      <c r="I125" s="968" t="n"/>
      <c r="J125" s="968" t="n"/>
      <c r="K125" s="18" t="n"/>
      <c r="L125" s="18" t="n"/>
      <c r="M125" s="20" t="n"/>
    </row>
    <row r="126" ht="16.4" customHeight="1" s="828">
      <c r="A126" s="722" t="n"/>
      <c r="B126" s="989" t="n"/>
      <c r="C126" s="963" t="n"/>
      <c r="D126" s="989" t="n"/>
      <c r="E126" s="963" t="n"/>
      <c r="F126" s="989" t="n"/>
      <c r="G126" s="991" t="n"/>
      <c r="H126" s="968" t="n"/>
      <c r="I126" s="968" t="n"/>
      <c r="J126" s="968" t="n"/>
      <c r="K126" s="18" t="n"/>
      <c r="L126" s="18" t="n"/>
      <c r="M126" s="20" t="n"/>
    </row>
    <row r="127" ht="16.4" customHeight="1" s="828">
      <c r="A127" s="722" t="n"/>
      <c r="B127" s="989" t="n"/>
      <c r="C127" s="963" t="n"/>
      <c r="D127" s="989" t="n"/>
      <c r="E127" s="963" t="n"/>
      <c r="F127" s="989" t="n"/>
      <c r="G127" s="991" t="n"/>
      <c r="H127" s="968" t="n"/>
      <c r="I127" s="968" t="n"/>
      <c r="J127" s="968" t="n"/>
      <c r="K127" s="18" t="n"/>
      <c r="L127" s="18" t="n"/>
      <c r="M127" s="20" t="n"/>
    </row>
    <row r="128" ht="16.4" customHeight="1" s="828">
      <c r="A128" s="722" t="n"/>
      <c r="B128" s="989" t="n"/>
      <c r="C128" s="963" t="n"/>
      <c r="D128" s="989" t="n"/>
      <c r="E128" s="963" t="n"/>
      <c r="F128" s="989" t="n"/>
      <c r="G128" s="991" t="n"/>
      <c r="H128" s="968" t="n"/>
      <c r="I128" s="968" t="n"/>
      <c r="J128" s="968" t="n"/>
      <c r="K128" s="18" t="n"/>
      <c r="L128" s="18" t="n"/>
      <c r="M128" s="20" t="n"/>
    </row>
    <row r="129" ht="16.4" customHeight="1" s="828">
      <c r="A129" s="722" t="n"/>
      <c r="B129" s="989" t="n"/>
      <c r="C129" s="963" t="n"/>
      <c r="D129" s="989" t="n"/>
      <c r="E129" s="963" t="n"/>
      <c r="F129" s="989" t="n"/>
      <c r="G129" s="991" t="n"/>
      <c r="H129" s="968" t="n"/>
      <c r="I129" s="968" t="n"/>
      <c r="J129" s="968" t="n"/>
      <c r="K129" s="18" t="n"/>
      <c r="L129" s="18" t="n"/>
      <c r="M129" s="20" t="n"/>
    </row>
    <row r="130" ht="16.4" customHeight="1" s="828">
      <c r="A130" s="722" t="n"/>
      <c r="B130" s="989" t="n"/>
      <c r="C130" s="963" t="n"/>
      <c r="D130" s="989" t="n"/>
      <c r="E130" s="963" t="n"/>
      <c r="F130" s="989" t="n"/>
      <c r="G130" s="991" t="n"/>
      <c r="H130" s="968" t="n"/>
      <c r="I130" s="968" t="n"/>
      <c r="J130" s="968" t="n"/>
      <c r="K130" s="18" t="n"/>
      <c r="L130" s="18" t="n"/>
      <c r="M130" s="20" t="n"/>
    </row>
    <row r="131" ht="16.4" customHeight="1" s="828">
      <c r="A131" s="722" t="n"/>
      <c r="B131" s="989" t="n"/>
      <c r="C131" s="963" t="n"/>
      <c r="D131" s="989" t="n"/>
      <c r="E131" s="963" t="n"/>
      <c r="F131" s="989" t="n"/>
      <c r="G131" s="991" t="n"/>
      <c r="H131" s="968" t="n"/>
      <c r="I131" s="968" t="n"/>
      <c r="J131" s="968" t="n"/>
      <c r="K131" s="18" t="n"/>
      <c r="L131" s="18" t="n"/>
      <c r="M131" s="20" t="n"/>
    </row>
    <row r="132" ht="16.4" customHeight="1" s="828">
      <c r="A132" s="722" t="n"/>
      <c r="B132" s="989" t="n"/>
      <c r="C132" s="963" t="n"/>
      <c r="D132" s="989" t="n"/>
      <c r="E132" s="963" t="n"/>
      <c r="F132" s="989" t="n"/>
      <c r="G132" s="991" t="n"/>
      <c r="H132" s="968" t="n"/>
      <c r="I132" s="968" t="n"/>
      <c r="J132" s="968" t="n"/>
      <c r="K132" s="18" t="n"/>
      <c r="L132" s="18" t="n"/>
      <c r="M132" s="20" t="n"/>
    </row>
    <row r="133" ht="16.4" customHeight="1" s="828">
      <c r="A133" s="722" t="n"/>
      <c r="B133" s="989" t="n"/>
      <c r="C133" s="963" t="n"/>
      <c r="D133" s="989" t="n"/>
      <c r="E133" s="963" t="n"/>
      <c r="F133" s="989" t="n"/>
      <c r="G133" s="991" t="n"/>
      <c r="H133" s="968" t="n"/>
      <c r="I133" s="968" t="n"/>
      <c r="J133" s="968" t="n"/>
      <c r="K133" s="18" t="n"/>
      <c r="L133" s="18" t="n"/>
      <c r="M133" s="20" t="n"/>
    </row>
    <row r="134" ht="16.4" customHeight="1" s="828">
      <c r="A134" s="722" t="n"/>
      <c r="B134" s="989" t="n"/>
      <c r="C134" s="963" t="n"/>
      <c r="D134" s="989" t="n"/>
      <c r="E134" s="963" t="n"/>
      <c r="F134" s="989" t="n"/>
      <c r="G134" s="991" t="n"/>
      <c r="H134" s="968" t="n"/>
      <c r="I134" s="968" t="n"/>
      <c r="J134" s="968" t="n"/>
      <c r="K134" s="18" t="n"/>
      <c r="L134" s="18" t="n"/>
      <c r="M134" s="20" t="n"/>
    </row>
    <row r="135" ht="16.4" customHeight="1" s="828">
      <c r="A135" s="722" t="n"/>
      <c r="B135" s="989" t="n"/>
      <c r="C135" s="963" t="n"/>
      <c r="D135" s="989" t="n"/>
      <c r="E135" s="963" t="n"/>
      <c r="F135" s="989" t="n"/>
      <c r="G135" s="991" t="n"/>
      <c r="H135" s="968" t="n"/>
      <c r="I135" s="968" t="n"/>
      <c r="J135" s="968" t="n"/>
      <c r="K135" s="18" t="n"/>
      <c r="L135" s="18" t="n"/>
      <c r="M135" s="20" t="n"/>
    </row>
    <row r="136" ht="16.4" customHeight="1" s="828">
      <c r="A136" s="722" t="n"/>
      <c r="B136" s="989" t="n"/>
      <c r="C136" s="963" t="n"/>
      <c r="D136" s="989" t="n"/>
      <c r="E136" s="963" t="n"/>
      <c r="F136" s="989" t="n"/>
      <c r="G136" s="991" t="n"/>
      <c r="H136" s="968" t="n"/>
      <c r="I136" s="968" t="n"/>
      <c r="J136" s="968" t="n"/>
      <c r="K136" s="18" t="n"/>
      <c r="L136" s="18" t="n"/>
      <c r="M136" s="20" t="n"/>
    </row>
    <row r="137" ht="16.4" customHeight="1" s="828">
      <c r="A137" s="722" t="n"/>
      <c r="B137" s="989" t="n"/>
      <c r="C137" s="963" t="n"/>
      <c r="D137" s="989" t="n"/>
      <c r="E137" s="963" t="n"/>
      <c r="F137" s="989" t="n"/>
      <c r="G137" s="991" t="n"/>
      <c r="H137" s="968" t="n"/>
      <c r="I137" s="968" t="n"/>
      <c r="J137" s="968" t="n"/>
      <c r="K137" s="18" t="n"/>
      <c r="L137" s="18" t="n"/>
      <c r="M137" s="20" t="n"/>
    </row>
    <row r="138" ht="16.4" customHeight="1" s="828">
      <c r="A138" s="722" t="n"/>
      <c r="B138" s="989" t="n"/>
      <c r="C138" s="963" t="n"/>
      <c r="D138" s="989" t="n"/>
      <c r="E138" s="963" t="n"/>
      <c r="F138" s="989" t="n"/>
      <c r="G138" s="991" t="n"/>
      <c r="H138" s="968" t="n"/>
      <c r="I138" s="968" t="n"/>
      <c r="J138" s="968" t="n"/>
      <c r="K138" s="18" t="n"/>
      <c r="L138" s="18" t="n"/>
      <c r="M138" s="20" t="n"/>
    </row>
    <row r="139" ht="16.4" customHeight="1" s="828">
      <c r="A139" s="722" t="n"/>
      <c r="B139" s="989" t="n"/>
      <c r="C139" s="963" t="n"/>
      <c r="D139" s="989" t="n"/>
      <c r="E139" s="963" t="n"/>
      <c r="F139" s="989" t="n"/>
      <c r="G139" s="991" t="n"/>
      <c r="H139" s="968" t="n"/>
      <c r="I139" s="968" t="n"/>
      <c r="J139" s="968" t="n"/>
      <c r="K139" s="18" t="n"/>
      <c r="L139" s="18" t="n"/>
      <c r="M139" s="20" t="n"/>
    </row>
    <row r="140" ht="16.4" customHeight="1" s="828">
      <c r="A140" s="722" t="n"/>
      <c r="B140" s="989" t="n"/>
      <c r="C140" s="963" t="n"/>
      <c r="D140" s="989" t="n"/>
      <c r="E140" s="963" t="n"/>
      <c r="F140" s="989" t="n"/>
      <c r="G140" s="991" t="n"/>
      <c r="H140" s="968" t="n"/>
      <c r="I140" s="968" t="n"/>
      <c r="J140" s="968" t="n"/>
      <c r="K140" s="18" t="n"/>
      <c r="L140" s="18" t="n"/>
      <c r="M140" s="20" t="n"/>
    </row>
    <row r="141" ht="16.4" customHeight="1" s="828">
      <c r="A141" s="722" t="n"/>
      <c r="B141" s="989" t="n"/>
      <c r="C141" s="963" t="n"/>
      <c r="D141" s="989" t="n"/>
      <c r="E141" s="963" t="n"/>
      <c r="F141" s="989" t="n"/>
      <c r="G141" s="991" t="n"/>
      <c r="H141" s="968" t="n"/>
      <c r="I141" s="968" t="n"/>
      <c r="J141" s="968" t="n"/>
      <c r="K141" s="18" t="n"/>
      <c r="L141" s="18" t="n"/>
      <c r="M141" s="20" t="n"/>
    </row>
    <row r="142" ht="16.4" customHeight="1" s="828">
      <c r="A142" s="722" t="n"/>
      <c r="B142" s="989" t="n"/>
      <c r="C142" s="963" t="n"/>
      <c r="D142" s="989" t="n"/>
      <c r="E142" s="963" t="n"/>
      <c r="F142" s="989" t="n"/>
      <c r="G142" s="991" t="n"/>
      <c r="H142" s="968" t="n"/>
      <c r="I142" s="968" t="n"/>
      <c r="J142" s="968" t="n"/>
      <c r="K142" s="18" t="n"/>
      <c r="L142" s="18" t="n"/>
      <c r="M142" s="20" t="n"/>
    </row>
    <row r="143" ht="16.4" customHeight="1" s="828">
      <c r="A143" s="722" t="n"/>
      <c r="B143" s="989" t="n"/>
      <c r="C143" s="963" t="n"/>
      <c r="D143" s="989" t="n"/>
      <c r="E143" s="963" t="n"/>
      <c r="F143" s="989" t="n"/>
      <c r="G143" s="991" t="n"/>
      <c r="H143" s="968" t="n"/>
      <c r="I143" s="968" t="n"/>
      <c r="J143" s="968" t="n"/>
      <c r="K143" s="18" t="n"/>
      <c r="L143" s="18" t="n"/>
      <c r="M143" s="20" t="n"/>
    </row>
    <row r="144" ht="16.4" customHeight="1" s="828">
      <c r="A144" s="722" t="n"/>
      <c r="B144" s="989" t="n"/>
      <c r="C144" s="963" t="n"/>
      <c r="D144" s="989" t="n"/>
      <c r="E144" s="963" t="n"/>
      <c r="F144" s="989" t="n"/>
      <c r="G144" s="991" t="n"/>
      <c r="H144" s="968" t="n"/>
      <c r="I144" s="968" t="n"/>
      <c r="J144" s="968" t="n"/>
      <c r="K144" s="18" t="n"/>
      <c r="L144" s="18" t="n"/>
      <c r="M144" s="20" t="n"/>
    </row>
    <row r="145" ht="16.4" customHeight="1" s="828">
      <c r="A145" s="722" t="n"/>
      <c r="B145" s="989" t="n"/>
      <c r="C145" s="963" t="n"/>
      <c r="D145" s="989" t="n"/>
      <c r="E145" s="963" t="n"/>
      <c r="F145" s="989" t="n"/>
      <c r="G145" s="991" t="n"/>
      <c r="H145" s="968" t="n"/>
      <c r="I145" s="968" t="n"/>
      <c r="J145" s="968" t="n"/>
      <c r="K145" s="18" t="n"/>
      <c r="L145" s="18" t="n"/>
      <c r="M145" s="20" t="n"/>
    </row>
    <row r="146" ht="16.4" customHeight="1" s="828">
      <c r="A146" s="722" t="n"/>
      <c r="B146" s="989" t="n"/>
      <c r="C146" s="963" t="n"/>
      <c r="D146" s="989" t="n"/>
      <c r="E146" s="963" t="n"/>
      <c r="F146" s="989" t="n"/>
      <c r="G146" s="991" t="n"/>
      <c r="H146" s="968" t="n"/>
      <c r="I146" s="968" t="n"/>
      <c r="J146" s="968" t="n"/>
      <c r="K146" s="18" t="n"/>
      <c r="L146" s="18" t="n"/>
      <c r="M146" s="20" t="n"/>
    </row>
    <row r="147" ht="16.4" customHeight="1" s="828">
      <c r="A147" s="722" t="n"/>
      <c r="B147" s="989" t="n"/>
      <c r="C147" s="963" t="n"/>
      <c r="D147" s="989" t="n"/>
      <c r="E147" s="963" t="n"/>
      <c r="F147" s="989" t="n"/>
      <c r="G147" s="991" t="n"/>
      <c r="H147" s="968" t="n"/>
      <c r="I147" s="968" t="n"/>
      <c r="J147" s="968" t="n"/>
      <c r="K147" s="18" t="n"/>
      <c r="L147" s="18" t="n"/>
      <c r="M147" s="20" t="n"/>
    </row>
    <row r="148" ht="16.4" customHeight="1" s="828">
      <c r="A148" s="722" t="n"/>
      <c r="B148" s="989" t="n"/>
      <c r="C148" s="963" t="n"/>
      <c r="D148" s="989" t="n"/>
      <c r="E148" s="963" t="n"/>
      <c r="F148" s="989" t="n"/>
      <c r="G148" s="991" t="n"/>
      <c r="H148" s="968" t="n"/>
      <c r="I148" s="968" t="n"/>
      <c r="J148" s="968" t="n"/>
      <c r="K148" s="18" t="n"/>
      <c r="L148" s="18" t="n"/>
      <c r="M148" s="20" t="n"/>
    </row>
    <row r="149" ht="16.4" customHeight="1" s="828">
      <c r="A149" s="722" t="n"/>
      <c r="B149" s="989" t="n"/>
      <c r="C149" s="963" t="n"/>
      <c r="D149" s="989" t="n"/>
      <c r="E149" s="963" t="n"/>
      <c r="F149" s="989" t="n"/>
      <c r="G149" s="991" t="n"/>
      <c r="H149" s="968" t="n"/>
      <c r="I149" s="968" t="n"/>
      <c r="J149" s="968" t="n"/>
      <c r="K149" s="18" t="n"/>
      <c r="L149" s="18" t="n"/>
      <c r="M149" s="20" t="n"/>
    </row>
    <row r="150" ht="16.4" customHeight="1" s="828">
      <c r="A150" s="722" t="n"/>
      <c r="B150" s="989" t="n"/>
      <c r="C150" s="963" t="n"/>
      <c r="D150" s="989" t="n"/>
      <c r="E150" s="963" t="n"/>
      <c r="F150" s="989" t="n"/>
      <c r="G150" s="991" t="n"/>
      <c r="H150" s="968" t="n"/>
      <c r="I150" s="968" t="n"/>
      <c r="J150" s="968" t="n"/>
      <c r="K150" s="18" t="n"/>
      <c r="L150" s="18" t="n"/>
      <c r="M150" s="20" t="n"/>
    </row>
    <row r="151" ht="16.4" customHeight="1" s="828">
      <c r="A151" s="722" t="n"/>
      <c r="B151" s="989" t="n"/>
      <c r="C151" s="963" t="n"/>
      <c r="D151" s="989" t="n"/>
      <c r="E151" s="963" t="n"/>
      <c r="F151" s="989" t="n"/>
      <c r="G151" s="991" t="n"/>
      <c r="H151" s="968" t="n"/>
      <c r="I151" s="968" t="n"/>
      <c r="J151" s="968" t="n"/>
      <c r="K151" s="18" t="n"/>
      <c r="L151" s="18" t="n"/>
      <c r="M151" s="20" t="n"/>
    </row>
    <row r="152" ht="16.4" customHeight="1" s="828">
      <c r="A152" s="722" t="n"/>
      <c r="B152" s="989" t="n"/>
      <c r="C152" s="963" t="n"/>
      <c r="D152" s="989" t="n"/>
      <c r="E152" s="963" t="n"/>
      <c r="F152" s="989" t="n"/>
      <c r="G152" s="991" t="n"/>
      <c r="H152" s="968" t="n"/>
      <c r="I152" s="968" t="n"/>
      <c r="J152" s="968" t="n"/>
      <c r="K152" s="18" t="n"/>
      <c r="L152" s="18" t="n"/>
      <c r="M152" s="20" t="n"/>
    </row>
    <row r="153" ht="16.4" customHeight="1" s="828">
      <c r="A153" s="722" t="n"/>
      <c r="B153" s="989" t="n"/>
      <c r="C153" s="963" t="n"/>
      <c r="D153" s="989" t="n"/>
      <c r="E153" s="963" t="n"/>
      <c r="F153" s="989" t="n"/>
      <c r="G153" s="991" t="n"/>
      <c r="H153" s="968" t="n"/>
      <c r="I153" s="968" t="n"/>
      <c r="J153" s="968" t="n"/>
      <c r="K153" s="18" t="n"/>
      <c r="L153" s="18" t="n"/>
      <c r="M153" s="20" t="n"/>
    </row>
    <row r="154" ht="16.4" customHeight="1" s="828">
      <c r="A154" s="722" t="n"/>
      <c r="B154" s="989" t="n"/>
      <c r="C154" s="963" t="n"/>
      <c r="D154" s="989" t="n"/>
      <c r="E154" s="963" t="n"/>
      <c r="F154" s="989" t="n"/>
      <c r="G154" s="991" t="n"/>
      <c r="H154" s="968" t="n"/>
      <c r="I154" s="968" t="n"/>
      <c r="J154" s="968" t="n"/>
      <c r="K154" s="18" t="n"/>
      <c r="L154" s="18" t="n"/>
      <c r="M154" s="20" t="n"/>
    </row>
    <row r="155" ht="16.4" customHeight="1" s="828">
      <c r="A155" s="722" t="n"/>
      <c r="B155" s="989" t="n"/>
      <c r="C155" s="963" t="n"/>
      <c r="D155" s="989" t="n"/>
      <c r="E155" s="963" t="n"/>
      <c r="F155" s="989" t="n"/>
      <c r="G155" s="991" t="n"/>
      <c r="H155" s="968" t="n"/>
      <c r="I155" s="968" t="n"/>
      <c r="J155" s="968" t="n"/>
      <c r="K155" s="18" t="n"/>
      <c r="L155" s="18" t="n"/>
      <c r="M155" s="20" t="n"/>
    </row>
    <row r="156" ht="16.4" customHeight="1" s="828">
      <c r="A156" s="722" t="n"/>
      <c r="B156" s="989" t="n"/>
      <c r="C156" s="963" t="n"/>
      <c r="D156" s="989" t="n"/>
      <c r="E156" s="963" t="n"/>
      <c r="F156" s="989" t="n"/>
      <c r="G156" s="991" t="n"/>
      <c r="H156" s="968" t="n"/>
      <c r="I156" s="968" t="n"/>
      <c r="J156" s="968" t="n"/>
      <c r="K156" s="18" t="n"/>
      <c r="L156" s="18" t="n"/>
      <c r="M156" s="20" t="n"/>
    </row>
    <row r="157" ht="16.4" customHeight="1" s="828">
      <c r="A157" s="722" t="n"/>
      <c r="B157" s="989" t="n"/>
      <c r="C157" s="963" t="n"/>
      <c r="D157" s="989" t="n"/>
      <c r="E157" s="963" t="n"/>
      <c r="F157" s="989" t="n"/>
      <c r="G157" s="991" t="n"/>
      <c r="H157" s="968" t="n"/>
      <c r="I157" s="968" t="n"/>
      <c r="J157" s="968" t="n"/>
      <c r="K157" s="18" t="n"/>
      <c r="L157" s="18" t="n"/>
      <c r="M157" s="20" t="n"/>
    </row>
    <row r="158" ht="16.4" customHeight="1" s="828">
      <c r="A158" s="722" t="n"/>
      <c r="B158" s="989" t="n"/>
      <c r="C158" s="963" t="n"/>
      <c r="D158" s="989" t="n"/>
      <c r="E158" s="963" t="n"/>
      <c r="F158" s="989" t="n"/>
      <c r="G158" s="991" t="n"/>
      <c r="H158" s="968" t="n"/>
      <c r="I158" s="968" t="n"/>
      <c r="J158" s="968" t="n"/>
      <c r="K158" s="18" t="n"/>
      <c r="L158" s="18" t="n"/>
      <c r="M158" s="20" t="n"/>
    </row>
    <row r="159" ht="16.4" customHeight="1" s="828">
      <c r="A159" s="722" t="n"/>
      <c r="B159" s="989" t="n"/>
      <c r="C159" s="963" t="n"/>
      <c r="D159" s="989" t="n"/>
      <c r="E159" s="963" t="n"/>
      <c r="F159" s="989" t="n"/>
      <c r="G159" s="991" t="n"/>
      <c r="H159" s="968" t="n"/>
      <c r="I159" s="968" t="n"/>
      <c r="J159" s="968" t="n"/>
      <c r="K159" s="18" t="n"/>
      <c r="L159" s="18" t="n"/>
      <c r="M159" s="20" t="n"/>
    </row>
    <row r="160" ht="16.4" customHeight="1" s="828">
      <c r="A160" s="722" t="n"/>
      <c r="B160" s="989" t="n"/>
      <c r="C160" s="963" t="n"/>
      <c r="D160" s="989" t="n"/>
      <c r="E160" s="963" t="n"/>
      <c r="F160" s="989" t="n"/>
      <c r="G160" s="991" t="n"/>
      <c r="H160" s="968" t="n"/>
      <c r="I160" s="968" t="n"/>
      <c r="J160" s="968" t="n"/>
      <c r="K160" s="18" t="n"/>
      <c r="L160" s="18" t="n"/>
      <c r="M160" s="20" t="n"/>
    </row>
    <row r="161" ht="16.4" customHeight="1" s="828">
      <c r="A161" s="722" t="n"/>
      <c r="B161" s="989" t="n"/>
      <c r="C161" s="963" t="n"/>
      <c r="D161" s="989" t="n"/>
      <c r="E161" s="963" t="n"/>
      <c r="F161" s="989" t="n"/>
      <c r="G161" s="991" t="n"/>
      <c r="H161" s="968" t="n"/>
      <c r="I161" s="968" t="n"/>
      <c r="J161" s="968" t="n"/>
      <c r="K161" s="18" t="n"/>
      <c r="L161" s="18" t="n"/>
      <c r="M161" s="20" t="n"/>
    </row>
    <row r="162" ht="16.4" customHeight="1" s="828">
      <c r="A162" s="722" t="n"/>
      <c r="B162" s="989" t="n"/>
      <c r="C162" s="963" t="n"/>
      <c r="D162" s="989" t="n"/>
      <c r="E162" s="963" t="n"/>
      <c r="F162" s="989" t="n"/>
      <c r="G162" s="991" t="n"/>
      <c r="H162" s="968" t="n"/>
      <c r="I162" s="968" t="n"/>
      <c r="J162" s="968" t="n"/>
      <c r="K162" s="18" t="n"/>
      <c r="L162" s="18" t="n"/>
      <c r="M162" s="20" t="n"/>
    </row>
    <row r="163" ht="16.4" customHeight="1" s="828">
      <c r="A163" s="722" t="n"/>
      <c r="B163" s="989" t="n"/>
      <c r="C163" s="963" t="n"/>
      <c r="D163" s="989" t="n"/>
      <c r="E163" s="963" t="n"/>
      <c r="F163" s="989" t="n"/>
      <c r="G163" s="991" t="n"/>
      <c r="H163" s="968" t="n"/>
      <c r="I163" s="968" t="n"/>
      <c r="J163" s="968" t="n"/>
      <c r="K163" s="18" t="n"/>
      <c r="L163" s="18" t="n"/>
      <c r="M163" s="20" t="n"/>
    </row>
    <row r="164" ht="16.4" customHeight="1" s="828">
      <c r="A164" s="722" t="n"/>
      <c r="B164" s="989" t="n"/>
      <c r="C164" s="963" t="n"/>
      <c r="D164" s="989" t="n"/>
      <c r="E164" s="963" t="n"/>
      <c r="F164" s="989" t="n"/>
      <c r="G164" s="991" t="n"/>
      <c r="H164" s="968" t="n"/>
      <c r="I164" s="968" t="n"/>
      <c r="J164" s="968" t="n"/>
      <c r="K164" s="18" t="n"/>
      <c r="L164" s="18" t="n"/>
      <c r="M164" s="20" t="n"/>
    </row>
    <row r="165" ht="16.4" customHeight="1" s="828">
      <c r="A165" s="722" t="n"/>
      <c r="B165" s="989" t="n"/>
      <c r="C165" s="963" t="n"/>
      <c r="D165" s="989" t="n"/>
      <c r="E165" s="963" t="n"/>
      <c r="F165" s="989" t="n"/>
      <c r="G165" s="991" t="n"/>
      <c r="H165" s="968" t="n"/>
      <c r="I165" s="968" t="n"/>
      <c r="J165" s="968" t="n"/>
      <c r="K165" s="18" t="n"/>
      <c r="L165" s="18" t="n"/>
      <c r="M165" s="20" t="n"/>
    </row>
    <row r="166" ht="16.4" customHeight="1" s="828">
      <c r="A166" s="722" t="n"/>
      <c r="B166" s="989" t="n"/>
      <c r="C166" s="963" t="n"/>
      <c r="D166" s="989" t="n"/>
      <c r="E166" s="963" t="n"/>
      <c r="F166" s="989" t="n"/>
      <c r="G166" s="991" t="n"/>
      <c r="H166" s="968" t="n"/>
      <c r="I166" s="968" t="n"/>
      <c r="J166" s="968" t="n"/>
      <c r="K166" s="18" t="n"/>
      <c r="L166" s="18" t="n"/>
      <c r="M166" s="20" t="n"/>
    </row>
    <row r="167" ht="16.4" customHeight="1" s="828">
      <c r="A167" s="722" t="n"/>
      <c r="B167" s="989" t="n"/>
      <c r="C167" s="963" t="n"/>
      <c r="D167" s="989" t="n"/>
      <c r="E167" s="963" t="n"/>
      <c r="F167" s="989" t="n"/>
      <c r="G167" s="991" t="n"/>
      <c r="H167" s="968" t="n"/>
      <c r="I167" s="968" t="n"/>
      <c r="J167" s="968" t="n"/>
      <c r="K167" s="18" t="n"/>
      <c r="L167" s="18" t="n"/>
      <c r="M167" s="20" t="n"/>
    </row>
    <row r="168" ht="16.4" customHeight="1" s="828">
      <c r="A168" s="722" t="n"/>
      <c r="B168" s="989" t="n"/>
      <c r="C168" s="963" t="n"/>
      <c r="D168" s="989" t="n"/>
      <c r="E168" s="963" t="n"/>
      <c r="F168" s="989" t="n"/>
      <c r="G168" s="991" t="n"/>
      <c r="H168" s="968" t="n"/>
      <c r="I168" s="968" t="n"/>
      <c r="J168" s="968" t="n"/>
      <c r="K168" s="18" t="n"/>
      <c r="L168" s="18" t="n"/>
      <c r="M168" s="20" t="n"/>
    </row>
    <row r="169" ht="16.4" customHeight="1" s="828">
      <c r="A169" s="722" t="n"/>
      <c r="B169" s="989" t="n"/>
      <c r="C169" s="963" t="n"/>
      <c r="D169" s="989" t="n"/>
      <c r="E169" s="963" t="n"/>
      <c r="F169" s="989" t="n"/>
      <c r="G169" s="991" t="n"/>
      <c r="H169" s="968" t="n"/>
      <c r="I169" s="968" t="n"/>
      <c r="J169" s="968" t="n"/>
      <c r="K169" s="18" t="n"/>
      <c r="L169" s="18" t="n"/>
      <c r="M169" s="20" t="n"/>
    </row>
    <row r="170" ht="16.4" customHeight="1" s="828">
      <c r="A170" s="722" t="n"/>
      <c r="B170" s="989" t="n"/>
      <c r="C170" s="963" t="n"/>
      <c r="D170" s="989" t="n"/>
      <c r="E170" s="963" t="n"/>
      <c r="F170" s="989" t="n"/>
      <c r="G170" s="991" t="n"/>
      <c r="H170" s="968" t="n"/>
      <c r="I170" s="968" t="n"/>
      <c r="J170" s="968" t="n"/>
      <c r="K170" s="18" t="n"/>
      <c r="L170" s="18" t="n"/>
      <c r="M170" s="20" t="n"/>
    </row>
    <row r="171" ht="16.4" customHeight="1" s="828">
      <c r="A171" s="722" t="n"/>
      <c r="B171" s="989" t="n"/>
      <c r="C171" s="963" t="n"/>
      <c r="D171" s="989" t="n"/>
      <c r="E171" s="963" t="n"/>
      <c r="F171" s="989" t="n"/>
      <c r="G171" s="991" t="n"/>
      <c r="H171" s="968" t="n"/>
      <c r="I171" s="968" t="n"/>
      <c r="J171" s="968" t="n"/>
      <c r="K171" s="18" t="n"/>
      <c r="L171" s="18" t="n"/>
      <c r="M171" s="20" t="n"/>
    </row>
    <row r="172" ht="16.4" customHeight="1" s="828">
      <c r="A172" s="722" t="n"/>
      <c r="B172" s="989" t="n"/>
      <c r="C172" s="963" t="n"/>
      <c r="D172" s="989" t="n"/>
      <c r="E172" s="963" t="n"/>
      <c r="F172" s="989" t="n"/>
      <c r="G172" s="991" t="n"/>
      <c r="H172" s="968" t="n"/>
      <c r="I172" s="968" t="n"/>
      <c r="J172" s="968" t="n"/>
      <c r="K172" s="18" t="n"/>
      <c r="L172" s="18" t="n"/>
      <c r="M172" s="20" t="n"/>
    </row>
    <row r="173" ht="16.4" customHeight="1" s="828">
      <c r="A173" s="722" t="n"/>
      <c r="B173" s="989" t="n"/>
      <c r="C173" s="963" t="n"/>
      <c r="D173" s="989" t="n"/>
      <c r="E173" s="963" t="n"/>
      <c r="F173" s="989" t="n"/>
      <c r="G173" s="991" t="n"/>
      <c r="H173" s="968" t="n"/>
      <c r="I173" s="968" t="n"/>
      <c r="J173" s="968" t="n"/>
      <c r="K173" s="18" t="n"/>
      <c r="L173" s="18" t="n"/>
      <c r="M173" s="20" t="n"/>
    </row>
    <row r="174" ht="16.4" customHeight="1" s="828">
      <c r="A174" s="722" t="n"/>
      <c r="B174" s="989" t="n"/>
      <c r="C174" s="963" t="n"/>
      <c r="D174" s="989" t="n"/>
      <c r="E174" s="963" t="n"/>
      <c r="F174" s="989" t="n"/>
      <c r="G174" s="991" t="n"/>
      <c r="H174" s="968" t="n"/>
      <c r="I174" s="968" t="n"/>
      <c r="J174" s="968" t="n"/>
      <c r="K174" s="18" t="n"/>
      <c r="L174" s="18" t="n"/>
      <c r="M174" s="20" t="n"/>
    </row>
    <row r="175" ht="16.4" customHeight="1" s="828">
      <c r="A175" s="722" t="n"/>
      <c r="B175" s="989" t="n"/>
      <c r="C175" s="963" t="n"/>
      <c r="D175" s="989" t="n"/>
      <c r="E175" s="963" t="n"/>
      <c r="F175" s="989" t="n"/>
      <c r="G175" s="991" t="n"/>
      <c r="H175" s="968" t="n"/>
      <c r="I175" s="968" t="n"/>
      <c r="J175" s="968" t="n"/>
      <c r="K175" s="18" t="n"/>
      <c r="L175" s="18" t="n"/>
      <c r="M175" s="20" t="n"/>
    </row>
    <row r="176" ht="16.4" customHeight="1" s="828">
      <c r="A176" s="722" t="n"/>
      <c r="B176" s="989" t="n"/>
      <c r="C176" s="963" t="n"/>
      <c r="D176" s="989" t="n"/>
      <c r="E176" s="963" t="n"/>
      <c r="F176" s="989" t="n"/>
      <c r="G176" s="991" t="n"/>
      <c r="H176" s="968" t="n"/>
      <c r="I176" s="968" t="n"/>
      <c r="J176" s="968" t="n"/>
      <c r="K176" s="18" t="n"/>
      <c r="L176" s="18" t="n"/>
      <c r="M176" s="20" t="n"/>
    </row>
    <row r="177" ht="16.4" customHeight="1" s="828">
      <c r="A177" s="722" t="n"/>
      <c r="B177" s="989" t="n"/>
      <c r="C177" s="963" t="n"/>
      <c r="D177" s="989" t="n"/>
      <c r="E177" s="963" t="n"/>
      <c r="F177" s="989" t="n"/>
      <c r="G177" s="991" t="n"/>
      <c r="H177" s="968" t="n"/>
      <c r="I177" s="968" t="n"/>
      <c r="J177" s="968" t="n"/>
      <c r="K177" s="18" t="n"/>
      <c r="L177" s="18" t="n"/>
      <c r="M177" s="20" t="n"/>
    </row>
    <row r="178" ht="16.4" customHeight="1" s="828">
      <c r="A178" s="722" t="n"/>
      <c r="B178" s="989" t="n"/>
      <c r="C178" s="963" t="n"/>
      <c r="D178" s="989" t="n"/>
      <c r="E178" s="963" t="n"/>
      <c r="F178" s="989" t="n"/>
      <c r="G178" s="991" t="n"/>
      <c r="H178" s="968" t="n"/>
      <c r="I178" s="968" t="n"/>
      <c r="J178" s="968" t="n"/>
      <c r="K178" s="18" t="n"/>
      <c r="L178" s="18" t="n"/>
      <c r="M178" s="20" t="n"/>
    </row>
    <row r="179" ht="16.4" customHeight="1" s="828">
      <c r="A179" s="722" t="n"/>
      <c r="B179" s="989" t="n"/>
      <c r="C179" s="963" t="n"/>
      <c r="D179" s="989" t="n"/>
      <c r="E179" s="963" t="n"/>
      <c r="F179" s="989" t="n"/>
      <c r="G179" s="991" t="n"/>
      <c r="H179" s="968" t="n"/>
      <c r="I179" s="968" t="n"/>
      <c r="J179" s="968" t="n"/>
      <c r="K179" s="18" t="n"/>
      <c r="L179" s="18" t="n"/>
      <c r="M179" s="20" t="n"/>
    </row>
    <row r="180" ht="16.4" customHeight="1" s="828">
      <c r="A180" s="722" t="n"/>
      <c r="B180" s="989" t="n"/>
      <c r="C180" s="963" t="n"/>
      <c r="D180" s="989" t="n"/>
      <c r="E180" s="963" t="n"/>
      <c r="F180" s="989" t="n"/>
      <c r="G180" s="991" t="n"/>
      <c r="H180" s="968" t="n"/>
      <c r="I180" s="968" t="n"/>
      <c r="J180" s="968" t="n"/>
      <c r="K180" s="18" t="n"/>
      <c r="L180" s="18" t="n"/>
      <c r="M180" s="20" t="n"/>
    </row>
    <row r="181" ht="16.4" customHeight="1" s="828">
      <c r="A181" s="722" t="n"/>
      <c r="B181" s="989" t="n"/>
      <c r="C181" s="963" t="n"/>
      <c r="D181" s="989" t="n"/>
      <c r="E181" s="963" t="n"/>
      <c r="F181" s="989" t="n"/>
      <c r="G181" s="991" t="n"/>
      <c r="H181" s="968" t="n"/>
      <c r="I181" s="968" t="n"/>
      <c r="J181" s="968" t="n"/>
      <c r="K181" s="18" t="n"/>
      <c r="L181" s="18" t="n"/>
      <c r="M181" s="20" t="n"/>
    </row>
    <row r="182" ht="16.4" customHeight="1" s="828">
      <c r="A182" s="722" t="n"/>
      <c r="B182" s="989" t="n"/>
      <c r="C182" s="963" t="n"/>
      <c r="D182" s="989" t="n"/>
      <c r="E182" s="963" t="n"/>
      <c r="F182" s="989" t="n"/>
      <c r="G182" s="991" t="n"/>
      <c r="H182" s="968" t="n"/>
      <c r="I182" s="968" t="n"/>
      <c r="J182" s="968" t="n"/>
      <c r="K182" s="18" t="n"/>
      <c r="L182" s="18" t="n"/>
      <c r="M182" s="20" t="n"/>
    </row>
    <row r="183" ht="16.4" customHeight="1" s="828">
      <c r="A183" s="722" t="n"/>
      <c r="B183" s="989" t="n"/>
      <c r="C183" s="963" t="n"/>
      <c r="D183" s="989" t="n"/>
      <c r="E183" s="963" t="n"/>
      <c r="F183" s="989" t="n"/>
      <c r="G183" s="991" t="n"/>
      <c r="H183" s="968" t="n"/>
      <c r="I183" s="968" t="n"/>
      <c r="J183" s="968" t="n"/>
      <c r="K183" s="18" t="n"/>
      <c r="L183" s="18" t="n"/>
      <c r="M183" s="20" t="n"/>
    </row>
    <row r="184" ht="16.4" customHeight="1" s="828">
      <c r="A184" s="722" t="n"/>
      <c r="B184" s="989" t="n"/>
      <c r="C184" s="963" t="n"/>
      <c r="D184" s="989" t="n"/>
      <c r="E184" s="963" t="n"/>
      <c r="F184" s="989" t="n"/>
      <c r="G184" s="991" t="n"/>
      <c r="H184" s="968" t="n"/>
      <c r="I184" s="968" t="n"/>
      <c r="J184" s="968" t="n"/>
      <c r="K184" s="18" t="n"/>
      <c r="L184" s="18" t="n"/>
      <c r="M184" s="20" t="n"/>
    </row>
    <row r="185" ht="16.4" customHeight="1" s="828">
      <c r="A185" s="722" t="n"/>
      <c r="B185" s="989" t="n"/>
      <c r="C185" s="963" t="n"/>
      <c r="D185" s="989" t="n"/>
      <c r="E185" s="963" t="n"/>
      <c r="F185" s="989" t="n"/>
      <c r="G185" s="991" t="n"/>
      <c r="H185" s="968" t="n"/>
      <c r="I185" s="968" t="n"/>
      <c r="J185" s="968" t="n"/>
      <c r="K185" s="18" t="n"/>
      <c r="L185" s="18" t="n"/>
      <c r="M185" s="20" t="n"/>
    </row>
    <row r="186" ht="16.4" customHeight="1" s="828">
      <c r="A186" s="722" t="n"/>
      <c r="B186" s="989" t="n"/>
      <c r="C186" s="963" t="n"/>
      <c r="D186" s="989" t="n"/>
      <c r="E186" s="963" t="n"/>
      <c r="F186" s="989" t="n"/>
      <c r="G186" s="991" t="n"/>
      <c r="H186" s="968" t="n"/>
      <c r="I186" s="968" t="n"/>
      <c r="J186" s="968" t="n"/>
      <c r="K186" s="18" t="n"/>
      <c r="L186" s="18" t="n"/>
      <c r="M186" s="20" t="n"/>
    </row>
    <row r="187" ht="16.4" customHeight="1" s="828">
      <c r="A187" s="722" t="n"/>
      <c r="B187" s="989" t="n"/>
      <c r="C187" s="963" t="n"/>
      <c r="D187" s="989" t="n"/>
      <c r="E187" s="963" t="n"/>
      <c r="F187" s="989" t="n"/>
      <c r="G187" s="991" t="n"/>
      <c r="H187" s="968" t="n"/>
      <c r="I187" s="968" t="n"/>
      <c r="J187" s="968" t="n"/>
      <c r="K187" s="18" t="n"/>
      <c r="L187" s="18" t="n"/>
      <c r="M187" s="20" t="n"/>
    </row>
    <row r="188" ht="16.4" customHeight="1" s="828">
      <c r="A188" s="722" t="n"/>
      <c r="B188" s="989" t="n"/>
      <c r="C188" s="963" t="n"/>
      <c r="D188" s="989" t="n"/>
      <c r="E188" s="963" t="n"/>
      <c r="F188" s="989" t="n"/>
      <c r="G188" s="991" t="n"/>
      <c r="H188" s="968" t="n"/>
      <c r="I188" s="968" t="n"/>
      <c r="J188" s="968" t="n"/>
      <c r="K188" s="18" t="n"/>
      <c r="L188" s="18" t="n"/>
      <c r="M188" s="20" t="n"/>
    </row>
    <row r="189" ht="16.4" customHeight="1" s="828">
      <c r="A189" s="722" t="n"/>
      <c r="B189" s="989" t="n"/>
      <c r="C189" s="963" t="n"/>
      <c r="D189" s="989" t="n"/>
      <c r="E189" s="963" t="n"/>
      <c r="F189" s="989" t="n"/>
      <c r="G189" s="991" t="n"/>
      <c r="H189" s="968" t="n"/>
      <c r="I189" s="968" t="n"/>
      <c r="J189" s="968" t="n"/>
      <c r="K189" s="18" t="n"/>
      <c r="L189" s="18" t="n"/>
      <c r="M189" s="20" t="n"/>
    </row>
    <row r="190" ht="16.4" customHeight="1" s="828">
      <c r="A190" s="722" t="n"/>
      <c r="B190" s="989" t="n"/>
      <c r="C190" s="963" t="n"/>
      <c r="D190" s="989" t="n"/>
      <c r="E190" s="963" t="n"/>
      <c r="F190" s="989" t="n"/>
      <c r="G190" s="991" t="n"/>
      <c r="H190" s="968" t="n"/>
      <c r="I190" s="968" t="n"/>
      <c r="J190" s="968" t="n"/>
      <c r="K190" s="18" t="n"/>
      <c r="L190" s="18" t="n"/>
      <c r="M190" s="20" t="n"/>
    </row>
    <row r="191" ht="16.4" customHeight="1" s="828">
      <c r="A191" s="722" t="n"/>
      <c r="B191" s="989" t="n"/>
      <c r="C191" s="963" t="n"/>
      <c r="D191" s="989" t="n"/>
      <c r="E191" s="963" t="n"/>
      <c r="F191" s="989" t="n"/>
      <c r="G191" s="991" t="n"/>
      <c r="H191" s="968" t="n"/>
      <c r="I191" s="968" t="n"/>
      <c r="J191" s="968" t="n"/>
      <c r="K191" s="18" t="n"/>
      <c r="L191" s="18" t="n"/>
      <c r="M191" s="20" t="n"/>
    </row>
    <row r="192" ht="16.4" customHeight="1" s="828">
      <c r="A192" s="722" t="n"/>
      <c r="B192" s="989" t="n"/>
      <c r="C192" s="963" t="n"/>
      <c r="D192" s="989" t="n"/>
      <c r="E192" s="963" t="n"/>
      <c r="F192" s="989" t="n"/>
      <c r="G192" s="991" t="n"/>
      <c r="H192" s="968" t="n"/>
      <c r="I192" s="968" t="n"/>
      <c r="J192" s="968" t="n"/>
      <c r="K192" s="18" t="n"/>
      <c r="L192" s="18" t="n"/>
      <c r="M192" s="20" t="n"/>
    </row>
    <row r="193" ht="16.4" customHeight="1" s="828">
      <c r="A193" s="722" t="n"/>
      <c r="B193" s="989" t="n"/>
      <c r="C193" s="963" t="n"/>
      <c r="D193" s="989" t="n"/>
      <c r="E193" s="963" t="n"/>
      <c r="F193" s="989" t="n"/>
      <c r="G193" s="991" t="n"/>
      <c r="H193" s="968" t="n"/>
      <c r="I193" s="968" t="n"/>
      <c r="J193" s="968" t="n"/>
      <c r="K193" s="18" t="n"/>
      <c r="L193" s="18" t="n"/>
      <c r="M193" s="20" t="n"/>
    </row>
    <row r="194" ht="16.4" customHeight="1" s="828">
      <c r="A194" s="722" t="n"/>
      <c r="B194" s="989" t="n"/>
      <c r="C194" s="963" t="n"/>
      <c r="D194" s="989" t="n"/>
      <c r="E194" s="963" t="n"/>
      <c r="F194" s="989" t="n"/>
      <c r="G194" s="991" t="n"/>
      <c r="H194" s="968" t="n"/>
      <c r="I194" s="968" t="n"/>
      <c r="J194" s="968" t="n"/>
      <c r="K194" s="18" t="n"/>
      <c r="L194" s="18" t="n"/>
      <c r="M194" s="20" t="n"/>
    </row>
    <row r="195" ht="16.4" customHeight="1" s="828">
      <c r="A195" s="722" t="n"/>
      <c r="B195" s="989" t="n"/>
      <c r="C195" s="963" t="n"/>
      <c r="D195" s="989" t="n"/>
      <c r="E195" s="963" t="n"/>
      <c r="F195" s="989" t="n"/>
      <c r="G195" s="991" t="n"/>
      <c r="H195" s="968" t="n"/>
      <c r="I195" s="968" t="n"/>
      <c r="J195" s="968" t="n"/>
      <c r="K195" s="18" t="n"/>
      <c r="L195" s="18" t="n"/>
      <c r="M195" s="20" t="n"/>
    </row>
    <row r="196" ht="16.4" customHeight="1" s="828">
      <c r="A196" s="722" t="n"/>
      <c r="B196" s="989" t="n"/>
      <c r="C196" s="963" t="n"/>
      <c r="D196" s="989" t="n"/>
      <c r="E196" s="963" t="n"/>
      <c r="F196" s="989" t="n"/>
      <c r="G196" s="991" t="n"/>
      <c r="H196" s="968" t="n"/>
      <c r="I196" s="968" t="n"/>
      <c r="J196" s="968" t="n"/>
      <c r="K196" s="18" t="n"/>
      <c r="L196" s="18" t="n"/>
      <c r="M196" s="20" t="n"/>
    </row>
    <row r="197" ht="16.4" customHeight="1" s="828">
      <c r="A197" s="722" t="n"/>
      <c r="B197" s="989" t="n"/>
      <c r="C197" s="963" t="n"/>
      <c r="D197" s="989" t="n"/>
      <c r="E197" s="963" t="n"/>
      <c r="F197" s="989" t="n"/>
      <c r="G197" s="991" t="n"/>
      <c r="H197" s="968" t="n"/>
      <c r="I197" s="968" t="n"/>
      <c r="J197" s="968" t="n"/>
      <c r="K197" s="18" t="n"/>
      <c r="L197" s="18" t="n"/>
      <c r="M197" s="20" t="n"/>
    </row>
    <row r="198" ht="16.4" customHeight="1" s="828">
      <c r="A198" s="722" t="n"/>
      <c r="B198" s="989" t="n"/>
      <c r="C198" s="963" t="n"/>
      <c r="D198" s="989" t="n"/>
      <c r="E198" s="963" t="n"/>
      <c r="F198" s="989" t="n"/>
      <c r="G198" s="991" t="n"/>
      <c r="H198" s="968" t="n"/>
      <c r="I198" s="968" t="n"/>
      <c r="J198" s="968" t="n"/>
      <c r="K198" s="18" t="n"/>
      <c r="L198" s="18" t="n"/>
      <c r="M198" s="20" t="n"/>
    </row>
    <row r="199" ht="16.4" customHeight="1" s="828">
      <c r="A199" s="722" t="n"/>
      <c r="B199" s="989" t="n"/>
      <c r="C199" s="963" t="n"/>
      <c r="D199" s="989" t="n"/>
      <c r="E199" s="963" t="n"/>
      <c r="F199" s="989" t="n"/>
      <c r="G199" s="991" t="n"/>
      <c r="H199" s="968" t="n"/>
      <c r="I199" s="968" t="n"/>
      <c r="J199" s="968" t="n"/>
      <c r="K199" s="18" t="n"/>
      <c r="L199" s="18" t="n"/>
      <c r="M199" s="20" t="n"/>
    </row>
    <row r="200" ht="16.4" customHeight="1" s="828">
      <c r="A200" s="722" t="n"/>
      <c r="B200" s="989" t="n"/>
      <c r="C200" s="963" t="n"/>
      <c r="D200" s="989" t="n"/>
      <c r="E200" s="963" t="n"/>
      <c r="F200" s="989" t="n"/>
      <c r="G200" s="991" t="n"/>
      <c r="H200" s="968" t="n"/>
      <c r="I200" s="968" t="n"/>
      <c r="J200" s="968" t="n"/>
      <c r="K200" s="18" t="n"/>
      <c r="L200" s="18" t="n"/>
      <c r="M200" s="20" t="n"/>
    </row>
    <row r="201" ht="16.4" customHeight="1" s="828">
      <c r="A201" s="722" t="n"/>
      <c r="B201" s="989" t="n"/>
      <c r="C201" s="963" t="n"/>
      <c r="D201" s="989" t="n"/>
      <c r="E201" s="963" t="n"/>
      <c r="F201" s="989" t="n"/>
      <c r="G201" s="991" t="n"/>
      <c r="H201" s="968" t="n"/>
      <c r="I201" s="968" t="n"/>
      <c r="J201" s="968" t="n"/>
      <c r="K201" s="18" t="n"/>
      <c r="L201" s="18" t="n"/>
      <c r="M201" s="20" t="n"/>
    </row>
    <row r="202" ht="16.4" customHeight="1" s="828">
      <c r="A202" s="722" t="n"/>
      <c r="B202" s="989" t="n"/>
      <c r="C202" s="963" t="n"/>
      <c r="D202" s="989" t="n"/>
      <c r="E202" s="963" t="n"/>
      <c r="F202" s="989" t="n"/>
      <c r="G202" s="991" t="n"/>
      <c r="H202" s="968" t="n"/>
      <c r="I202" s="968" t="n"/>
      <c r="J202" s="968" t="n"/>
      <c r="K202" s="18" t="n"/>
      <c r="L202" s="18" t="n"/>
      <c r="M202" s="20" t="n"/>
    </row>
    <row r="203" ht="16.4" customHeight="1" s="828">
      <c r="A203" s="722" t="n"/>
      <c r="B203" s="989" t="n"/>
      <c r="C203" s="963" t="n"/>
      <c r="D203" s="989" t="n"/>
      <c r="E203" s="963" t="n"/>
      <c r="F203" s="989" t="n"/>
      <c r="G203" s="991" t="n"/>
      <c r="H203" s="968" t="n"/>
      <c r="I203" s="968" t="n"/>
      <c r="J203" s="968" t="n"/>
      <c r="K203" s="18" t="n"/>
      <c r="L203" s="18" t="n"/>
      <c r="M203" s="20" t="n"/>
    </row>
    <row r="204" ht="16.4" customHeight="1" s="828">
      <c r="A204" s="722" t="n"/>
      <c r="B204" s="989" t="n"/>
      <c r="C204" s="963" t="n"/>
      <c r="D204" s="989" t="n"/>
      <c r="E204" s="963" t="n"/>
      <c r="F204" s="989" t="n"/>
      <c r="G204" s="991" t="n"/>
      <c r="H204" s="968" t="n"/>
      <c r="I204" s="968" t="n"/>
      <c r="J204" s="968" t="n"/>
      <c r="K204" s="18" t="n"/>
      <c r="L204" s="18" t="n"/>
      <c r="M204" s="20" t="n"/>
    </row>
    <row r="205" ht="16.4" customHeight="1" s="828">
      <c r="A205" s="722" t="n"/>
      <c r="B205" s="989" t="n"/>
      <c r="C205" s="963" t="n"/>
      <c r="D205" s="989" t="n"/>
      <c r="E205" s="963" t="n"/>
      <c r="F205" s="989" t="n"/>
      <c r="G205" s="991" t="n"/>
      <c r="H205" s="968" t="n"/>
      <c r="I205" s="968" t="n"/>
      <c r="J205" s="968" t="n"/>
      <c r="K205" s="18" t="n"/>
      <c r="L205" s="18" t="n"/>
      <c r="M205" s="20" t="n"/>
    </row>
    <row r="206" ht="16.4" customHeight="1" s="828">
      <c r="A206" s="722" t="n"/>
      <c r="B206" s="989" t="n"/>
      <c r="C206" s="963" t="n"/>
      <c r="D206" s="989" t="n"/>
      <c r="E206" s="963" t="n"/>
      <c r="F206" s="989" t="n"/>
      <c r="G206" s="991" t="n"/>
      <c r="H206" s="968" t="n"/>
      <c r="I206" s="968" t="n"/>
      <c r="J206" s="968" t="n"/>
      <c r="K206" s="18" t="n"/>
      <c r="L206" s="18" t="n"/>
      <c r="M206" s="20" t="n"/>
    </row>
    <row r="207" ht="16.4" customHeight="1" s="828">
      <c r="A207" s="722" t="n"/>
      <c r="B207" s="989" t="n"/>
      <c r="C207" s="963" t="n"/>
      <c r="D207" s="989" t="n"/>
      <c r="E207" s="963" t="n"/>
      <c r="F207" s="989" t="n"/>
      <c r="G207" s="991" t="n"/>
      <c r="H207" s="968" t="n"/>
      <c r="I207" s="968" t="n"/>
      <c r="J207" s="968" t="n"/>
      <c r="K207" s="18" t="n"/>
      <c r="L207" s="18" t="n"/>
      <c r="M207" s="20" t="n"/>
    </row>
    <row r="208" ht="16.4" customHeight="1" s="828">
      <c r="A208" s="722" t="n"/>
      <c r="B208" s="989" t="n"/>
      <c r="C208" s="963" t="n"/>
      <c r="D208" s="989" t="n"/>
      <c r="E208" s="963" t="n"/>
      <c r="F208" s="989" t="n"/>
      <c r="G208" s="991" t="n"/>
      <c r="H208" s="968" t="n"/>
      <c r="I208" s="968" t="n"/>
      <c r="J208" s="968" t="n"/>
      <c r="K208" s="18" t="n"/>
      <c r="L208" s="18" t="n"/>
      <c r="M208" s="20" t="n"/>
    </row>
    <row r="209" ht="16.4" customHeight="1" s="828">
      <c r="A209" s="722" t="n"/>
      <c r="B209" s="989" t="n"/>
      <c r="C209" s="963" t="n"/>
      <c r="D209" s="989" t="n"/>
      <c r="E209" s="963" t="n"/>
      <c r="F209" s="989" t="n"/>
      <c r="G209" s="991" t="n"/>
      <c r="H209" s="968" t="n"/>
      <c r="I209" s="968" t="n"/>
      <c r="J209" s="968" t="n"/>
      <c r="K209" s="18" t="n"/>
      <c r="L209" s="18" t="n"/>
      <c r="M209" s="20" t="n"/>
    </row>
    <row r="210" ht="16.4" customHeight="1" s="828">
      <c r="A210" s="722" t="n"/>
      <c r="B210" s="989" t="n"/>
      <c r="C210" s="963" t="n"/>
      <c r="D210" s="989" t="n"/>
      <c r="E210" s="963" t="n"/>
      <c r="F210" s="989" t="n"/>
      <c r="G210" s="991" t="n"/>
      <c r="H210" s="968" t="n"/>
      <c r="I210" s="968" t="n"/>
      <c r="J210" s="968" t="n"/>
      <c r="K210" s="18" t="n"/>
      <c r="L210" s="18" t="n"/>
      <c r="M210" s="20" t="n"/>
    </row>
    <row r="211" ht="16.4" customHeight="1" s="828">
      <c r="A211" s="722" t="n"/>
      <c r="B211" s="989" t="n"/>
      <c r="C211" s="963" t="n"/>
      <c r="D211" s="989" t="n"/>
      <c r="E211" s="963" t="n"/>
      <c r="F211" s="989" t="n"/>
      <c r="G211" s="991" t="n"/>
      <c r="H211" s="968" t="n"/>
      <c r="I211" s="968" t="n"/>
      <c r="J211" s="968" t="n"/>
      <c r="K211" s="18" t="n"/>
      <c r="L211" s="18" t="n"/>
      <c r="M211" s="20" t="n"/>
    </row>
    <row r="212" ht="16.4" customHeight="1" s="828">
      <c r="A212" s="722" t="n"/>
      <c r="B212" s="989" t="n"/>
      <c r="C212" s="963" t="n"/>
      <c r="D212" s="989" t="n"/>
      <c r="E212" s="963" t="n"/>
      <c r="F212" s="989" t="n"/>
      <c r="G212" s="991" t="n"/>
      <c r="H212" s="968" t="n"/>
      <c r="I212" s="968" t="n"/>
      <c r="J212" s="968" t="n"/>
      <c r="K212" s="18" t="n"/>
      <c r="L212" s="18" t="n"/>
      <c r="M212" s="20" t="n"/>
    </row>
    <row r="213" ht="16.4" customHeight="1" s="828">
      <c r="A213" s="722" t="n"/>
      <c r="B213" s="989" t="n"/>
      <c r="C213" s="963" t="n"/>
      <c r="D213" s="989" t="n"/>
      <c r="E213" s="963" t="n"/>
      <c r="F213" s="989" t="n"/>
      <c r="G213" s="991" t="n"/>
      <c r="H213" s="968" t="n"/>
      <c r="I213" s="968" t="n"/>
      <c r="J213" s="968" t="n"/>
      <c r="K213" s="18" t="n"/>
      <c r="L213" s="18" t="n"/>
      <c r="M213" s="20" t="n"/>
    </row>
    <row r="214" ht="16.4" customHeight="1" s="828">
      <c r="A214" s="722" t="n"/>
      <c r="B214" s="989" t="n"/>
      <c r="C214" s="963" t="n"/>
      <c r="D214" s="989" t="n"/>
      <c r="E214" s="963" t="n"/>
      <c r="F214" s="989" t="n"/>
      <c r="G214" s="991" t="n"/>
      <c r="H214" s="968" t="n"/>
      <c r="I214" s="968" t="n"/>
      <c r="J214" s="968" t="n"/>
      <c r="K214" s="18" t="n"/>
      <c r="L214" s="18" t="n"/>
      <c r="M214" s="20" t="n"/>
    </row>
    <row r="215" ht="16.4" customHeight="1" s="828">
      <c r="A215" s="722" t="n"/>
      <c r="B215" s="989" t="n"/>
      <c r="C215" s="963" t="n"/>
      <c r="D215" s="989" t="n"/>
      <c r="E215" s="963" t="n"/>
      <c r="F215" s="989" t="n"/>
      <c r="G215" s="991" t="n"/>
      <c r="H215" s="968" t="n"/>
      <c r="I215" s="968" t="n"/>
      <c r="J215" s="968" t="n"/>
      <c r="K215" s="18" t="n"/>
      <c r="L215" s="18" t="n"/>
      <c r="M215" s="20" t="n"/>
    </row>
    <row r="216" ht="16.4" customHeight="1" s="828">
      <c r="A216" s="722" t="n"/>
      <c r="B216" s="989" t="n"/>
      <c r="C216" s="963" t="n"/>
      <c r="D216" s="989" t="n"/>
      <c r="E216" s="963" t="n"/>
      <c r="F216" s="989" t="n"/>
      <c r="G216" s="991" t="n"/>
      <c r="H216" s="968" t="n"/>
      <c r="I216" s="968" t="n"/>
      <c r="J216" s="968" t="n"/>
      <c r="K216" s="18" t="n"/>
      <c r="L216" s="18" t="n"/>
      <c r="M216" s="20" t="n"/>
    </row>
    <row r="217" ht="16.4" customHeight="1" s="828">
      <c r="A217" s="722" t="n"/>
      <c r="B217" s="989" t="n"/>
      <c r="C217" s="963" t="n"/>
      <c r="D217" s="989" t="n"/>
      <c r="E217" s="963" t="n"/>
      <c r="F217" s="989" t="n"/>
      <c r="G217" s="991" t="n"/>
      <c r="H217" s="968" t="n"/>
      <c r="I217" s="968" t="n"/>
      <c r="J217" s="968" t="n"/>
      <c r="K217" s="18" t="n"/>
      <c r="L217" s="18" t="n"/>
      <c r="M217" s="20" t="n"/>
    </row>
    <row r="218" ht="16.4" customFormat="1" customHeight="1" s="26">
      <c r="A218" s="687" t="n"/>
      <c r="B218" s="687" t="n"/>
      <c r="C218" s="687" t="n"/>
      <c r="D218" s="687" t="n"/>
      <c r="E218" s="687" t="n"/>
      <c r="F218" s="687" t="n"/>
      <c r="G218" s="687" t="n"/>
      <c r="H218" s="968" t="n"/>
      <c r="I218" s="968" t="n"/>
      <c r="J218" s="968" t="n"/>
      <c r="K218" s="18" t="n"/>
      <c r="L218" s="18" t="n"/>
    </row>
    <row r="219" ht="16.4" customHeight="1" s="828">
      <c r="A219" s="722" t="n"/>
      <c r="B219" s="989" t="n"/>
      <c r="C219" s="963" t="n"/>
      <c r="D219" s="989" t="n"/>
      <c r="E219" s="963" t="n"/>
      <c r="F219" s="989" t="n"/>
      <c r="G219" s="991" t="n"/>
      <c r="H219" s="968" t="n"/>
      <c r="I219" s="968" t="n"/>
      <c r="J219" s="968" t="n"/>
      <c r="K219" s="18" t="n"/>
      <c r="L219" s="18" t="n"/>
      <c r="M219" s="992" t="n"/>
      <c r="N219" s="992" t="n"/>
      <c r="O219" s="984" t="n"/>
      <c r="P219" s="984" t="n"/>
      <c r="Q219" s="984" t="n"/>
      <c r="R219" s="984" t="n"/>
    </row>
    <row r="220" ht="16.4" customHeight="1" s="828">
      <c r="A220" s="722" t="n"/>
      <c r="B220" s="989" t="n"/>
      <c r="C220" s="963" t="n"/>
      <c r="D220" s="989" t="n"/>
      <c r="E220" s="963" t="n"/>
      <c r="F220" s="989" t="n"/>
      <c r="G220" s="991" t="n"/>
      <c r="H220" s="968" t="n"/>
      <c r="I220" s="968" t="n"/>
      <c r="J220" s="968" t="n"/>
      <c r="K220" s="18" t="n"/>
      <c r="L220" s="18" t="n"/>
      <c r="M220" s="992" t="n"/>
      <c r="N220" s="992" t="n"/>
      <c r="O220" s="984" t="n"/>
      <c r="P220" s="984" t="n"/>
      <c r="Q220" s="984" t="n"/>
      <c r="R220" s="984" t="n"/>
    </row>
    <row r="221" ht="16.4" customHeight="1" s="828">
      <c r="A221" s="722" t="n"/>
      <c r="B221" s="989" t="n"/>
      <c r="C221" s="963" t="n"/>
      <c r="D221" s="989" t="n"/>
      <c r="E221" s="963" t="n"/>
      <c r="F221" s="989" t="n"/>
      <c r="G221" s="991" t="n"/>
      <c r="H221" s="968" t="n"/>
      <c r="I221" s="968" t="n"/>
      <c r="J221" s="968" t="n"/>
      <c r="K221" s="18" t="n"/>
      <c r="L221" s="18" t="n"/>
      <c r="M221" s="20" t="n"/>
    </row>
    <row r="222" ht="16.4" customHeight="1" s="828">
      <c r="A222" s="722" t="n"/>
      <c r="B222" s="989" t="n"/>
      <c r="C222" s="963" t="n"/>
      <c r="D222" s="989" t="n"/>
      <c r="E222" s="963" t="n"/>
      <c r="F222" s="989" t="n"/>
      <c r="G222" s="991" t="n"/>
      <c r="H222" s="968" t="n"/>
      <c r="I222" s="968" t="n"/>
      <c r="J222" s="968" t="n"/>
      <c r="K222" s="18" t="n"/>
      <c r="L222" s="18" t="n"/>
    </row>
    <row r="223" ht="16.4" customHeight="1" s="828">
      <c r="A223" s="722" t="n"/>
      <c r="B223" s="989" t="n"/>
      <c r="C223" s="963" t="n"/>
      <c r="D223" s="989" t="n"/>
      <c r="E223" s="963" t="n"/>
      <c r="F223" s="989" t="n"/>
      <c r="G223" s="991" t="n"/>
      <c r="H223" s="968" t="n"/>
      <c r="I223" s="968" t="n"/>
      <c r="J223" s="968" t="n"/>
      <c r="K223" s="18" t="n"/>
      <c r="L223" s="18" t="n"/>
    </row>
    <row r="224" ht="16.4" customHeight="1" s="828">
      <c r="A224" s="722" t="n"/>
      <c r="B224" s="989" t="n"/>
      <c r="C224" s="963" t="n"/>
      <c r="D224" s="989" t="n"/>
      <c r="E224" s="963" t="n"/>
      <c r="F224" s="989" t="n"/>
      <c r="G224" s="991" t="n"/>
      <c r="H224" s="968" t="n"/>
      <c r="I224" s="968" t="n"/>
      <c r="J224" s="968" t="n"/>
      <c r="K224" s="18" t="n"/>
      <c r="L224" s="18" t="n"/>
    </row>
    <row r="225" ht="16.4" customHeight="1" s="828">
      <c r="A225" s="722" t="n"/>
      <c r="B225" s="989" t="n"/>
      <c r="C225" s="963" t="n"/>
      <c r="D225" s="989" t="n"/>
      <c r="E225" s="963" t="n"/>
      <c r="F225" s="989" t="n"/>
      <c r="G225" s="991" t="n"/>
      <c r="H225" s="968" t="n"/>
      <c r="I225" s="968" t="n"/>
      <c r="J225" s="968" t="n"/>
      <c r="K225" s="18" t="n"/>
      <c r="L225" s="18" t="n"/>
    </row>
    <row r="226" ht="16.4" customHeight="1" s="828">
      <c r="A226" s="722" t="n"/>
      <c r="B226" s="989" t="n"/>
      <c r="C226" s="963" t="n"/>
      <c r="D226" s="989" t="n"/>
      <c r="E226" s="963" t="n"/>
      <c r="F226" s="989" t="n"/>
      <c r="G226" s="991" t="n"/>
      <c r="H226" s="968" t="n"/>
      <c r="I226" s="968" t="n"/>
      <c r="J226" s="968" t="n"/>
      <c r="K226" s="18" t="n"/>
      <c r="L226" s="18" t="n"/>
    </row>
    <row r="227" ht="16.4" customHeight="1" s="828">
      <c r="A227" s="722" t="n"/>
      <c r="B227" s="989" t="n"/>
      <c r="C227" s="963" t="n"/>
      <c r="D227" s="989" t="n"/>
      <c r="E227" s="963" t="n"/>
      <c r="F227" s="989" t="n"/>
      <c r="G227" s="991" t="n"/>
      <c r="H227" s="968" t="n"/>
      <c r="I227" s="968" t="n"/>
      <c r="J227" s="968" t="n"/>
      <c r="K227" s="18" t="n"/>
      <c r="L227" s="18" t="n"/>
    </row>
    <row r="228" ht="16.4" customHeight="1" s="828">
      <c r="A228" s="722" t="n"/>
      <c r="B228" s="989" t="n"/>
      <c r="C228" s="963" t="n"/>
      <c r="D228" s="989" t="n"/>
      <c r="E228" s="963" t="n"/>
      <c r="F228" s="989" t="n"/>
      <c r="G228" s="991" t="n"/>
      <c r="H228" s="968" t="n"/>
      <c r="I228" s="968" t="n"/>
      <c r="J228" s="968" t="n"/>
      <c r="K228" s="18" t="n"/>
      <c r="L228" s="18" t="n"/>
    </row>
    <row r="229" ht="16.4" customHeight="1" s="828">
      <c r="A229" s="722" t="n"/>
      <c r="B229" s="989" t="n"/>
      <c r="C229" s="963" t="n"/>
      <c r="D229" s="989" t="n"/>
      <c r="E229" s="963" t="n"/>
      <c r="F229" s="989" t="n"/>
      <c r="G229" s="991" t="n"/>
      <c r="H229" s="968" t="n"/>
      <c r="I229" s="968" t="n"/>
      <c r="J229" s="968" t="n"/>
      <c r="K229" s="18" t="n"/>
      <c r="L229" s="18" t="n"/>
    </row>
    <row r="230" ht="16.4" customHeight="1" s="828">
      <c r="A230" s="722" t="n"/>
      <c r="B230" s="989" t="n"/>
      <c r="C230" s="963" t="n"/>
      <c r="D230" s="989" t="n"/>
      <c r="E230" s="963" t="n"/>
      <c r="F230" s="989" t="n"/>
      <c r="G230" s="991" t="n"/>
      <c r="H230" s="968" t="n"/>
      <c r="I230" s="968" t="n"/>
      <c r="J230" s="968" t="n"/>
      <c r="K230" s="18" t="n"/>
      <c r="L230" s="18" t="n"/>
    </row>
    <row r="231" ht="16.4" customHeight="1" s="828">
      <c r="A231" s="722" t="n"/>
      <c r="B231" s="989" t="n"/>
      <c r="C231" s="963" t="n"/>
      <c r="D231" s="989" t="n"/>
      <c r="E231" s="963" t="n"/>
      <c r="F231" s="989" t="n"/>
      <c r="G231" s="991" t="n"/>
      <c r="H231" s="968" t="n"/>
      <c r="I231" s="968" t="n"/>
      <c r="J231" s="968" t="n"/>
      <c r="K231" s="18" t="n"/>
      <c r="L231" s="18" t="n"/>
    </row>
    <row r="232" ht="16.4" customHeight="1" s="828">
      <c r="A232" s="722" t="n"/>
      <c r="B232" s="989" t="n"/>
      <c r="C232" s="963" t="n"/>
      <c r="D232" s="989" t="n"/>
      <c r="E232" s="963" t="n"/>
      <c r="F232" s="989" t="n"/>
      <c r="G232" s="991" t="n"/>
      <c r="H232" s="968" t="n"/>
      <c r="I232" s="968" t="n"/>
      <c r="J232" s="968" t="n"/>
      <c r="K232" s="18" t="n"/>
      <c r="L232" s="18" t="n"/>
    </row>
    <row r="233" ht="16.4" customHeight="1" s="828">
      <c r="A233" s="722" t="n"/>
      <c r="B233" s="989" t="n"/>
      <c r="C233" s="963" t="n"/>
      <c r="D233" s="989" t="n"/>
      <c r="E233" s="963" t="n"/>
      <c r="F233" s="989" t="n"/>
      <c r="G233" s="991" t="n"/>
      <c r="H233" s="968" t="n"/>
      <c r="I233" s="968" t="n"/>
      <c r="J233" s="968" t="n"/>
      <c r="K233" s="18" t="n"/>
      <c r="L233" s="18" t="n"/>
    </row>
    <row r="234" ht="16.4" customHeight="1" s="828">
      <c r="A234" s="722" t="n"/>
      <c r="B234" s="989" t="n"/>
      <c r="C234" s="963" t="n"/>
      <c r="D234" s="989" t="n"/>
      <c r="E234" s="963" t="n"/>
      <c r="F234" s="989" t="n"/>
      <c r="G234" s="991" t="n"/>
      <c r="H234" s="968" t="n"/>
      <c r="I234" s="968" t="n"/>
      <c r="J234" s="968" t="n"/>
      <c r="K234" s="18" t="n"/>
      <c r="L234" s="18" t="n"/>
    </row>
    <row r="235" ht="16.4" customHeight="1" s="828">
      <c r="A235" s="722" t="n"/>
      <c r="B235" s="989" t="n"/>
      <c r="C235" s="963" t="n"/>
      <c r="D235" s="989" t="n"/>
      <c r="E235" s="963" t="n"/>
      <c r="F235" s="989" t="n"/>
      <c r="G235" s="991" t="n"/>
      <c r="H235" s="968" t="n"/>
      <c r="I235" s="968" t="n"/>
      <c r="J235" s="968" t="n"/>
      <c r="K235" s="18" t="n"/>
      <c r="L235" s="18" t="n"/>
    </row>
    <row r="236" ht="16.4" customHeight="1" s="828">
      <c r="A236" s="722" t="n"/>
      <c r="B236" s="989" t="n"/>
      <c r="C236" s="963" t="n"/>
      <c r="D236" s="989" t="n"/>
      <c r="E236" s="963" t="n"/>
      <c r="F236" s="989" t="n"/>
      <c r="G236" s="991" t="n"/>
      <c r="H236" s="968" t="n"/>
      <c r="I236" s="968" t="n"/>
      <c r="J236" s="968" t="n"/>
      <c r="K236" s="18" t="n"/>
      <c r="L236" s="18" t="n"/>
    </row>
    <row r="237" ht="16.4" customHeight="1" s="828">
      <c r="A237" s="722" t="n"/>
      <c r="B237" s="989" t="n"/>
      <c r="C237" s="963" t="n"/>
      <c r="D237" s="989" t="n"/>
      <c r="E237" s="963" t="n"/>
      <c r="F237" s="989" t="n"/>
      <c r="G237" s="991" t="n"/>
      <c r="H237" s="968" t="n"/>
      <c r="I237" s="968" t="n"/>
      <c r="J237" s="968" t="n"/>
      <c r="K237" s="18" t="n"/>
      <c r="L237" s="18" t="n"/>
    </row>
    <row r="238" ht="16.4" customHeight="1" s="828">
      <c r="A238" s="722" t="n"/>
      <c r="B238" s="989" t="n"/>
      <c r="C238" s="963" t="n"/>
      <c r="D238" s="989" t="n"/>
      <c r="E238" s="963" t="n"/>
      <c r="F238" s="989" t="n"/>
      <c r="G238" s="991" t="n"/>
      <c r="H238" s="968" t="n"/>
      <c r="I238" s="968" t="n"/>
      <c r="J238" s="968" t="n"/>
      <c r="K238" s="18" t="n"/>
      <c r="L238" s="18" t="n"/>
    </row>
    <row r="239" ht="16.4" customHeight="1" s="828">
      <c r="A239" s="722" t="n"/>
      <c r="B239" s="989" t="n"/>
      <c r="C239" s="963" t="n"/>
      <c r="D239" s="989" t="n"/>
      <c r="E239" s="963" t="n"/>
      <c r="F239" s="989" t="n"/>
      <c r="G239" s="991" t="n"/>
      <c r="H239" s="968" t="n"/>
      <c r="I239" s="968" t="n"/>
      <c r="J239" s="968" t="n"/>
      <c r="K239" s="18" t="n"/>
      <c r="L239" s="18" t="n"/>
    </row>
    <row r="240" ht="16.4" customHeight="1" s="828">
      <c r="A240" s="722" t="n"/>
      <c r="B240" s="989" t="n"/>
      <c r="C240" s="963" t="n"/>
      <c r="D240" s="989" t="n"/>
      <c r="E240" s="963" t="n"/>
      <c r="F240" s="989" t="n"/>
      <c r="G240" s="991" t="n"/>
      <c r="H240" s="968" t="n"/>
      <c r="I240" s="968" t="n"/>
      <c r="J240" s="968" t="n"/>
      <c r="K240" s="18" t="n"/>
      <c r="L240" s="18" t="n"/>
    </row>
    <row r="241" ht="16.4" customHeight="1" s="828">
      <c r="A241" s="722" t="n"/>
      <c r="B241" s="989" t="n"/>
      <c r="C241" s="963" t="n"/>
      <c r="D241" s="989" t="n"/>
      <c r="E241" s="963" t="n"/>
      <c r="F241" s="989" t="n"/>
      <c r="G241" s="991" t="n"/>
      <c r="H241" s="968" t="n"/>
      <c r="I241" s="968" t="n"/>
      <c r="J241" s="968" t="n"/>
      <c r="K241" s="18" t="n"/>
      <c r="L241" s="18" t="n"/>
    </row>
    <row r="242" ht="16.4" customHeight="1" s="828">
      <c r="A242" s="722" t="n"/>
      <c r="B242" s="989" t="n"/>
      <c r="C242" s="963" t="n"/>
      <c r="D242" s="989" t="n"/>
      <c r="E242" s="963" t="n"/>
      <c r="F242" s="989" t="n"/>
      <c r="G242" s="991" t="n"/>
      <c r="H242" s="968" t="n"/>
      <c r="I242" s="968" t="n"/>
      <c r="J242" s="968" t="n"/>
      <c r="K242" s="18" t="n"/>
      <c r="L242" s="18" t="n"/>
    </row>
    <row r="243" ht="16.4" customHeight="1" s="828">
      <c r="A243" s="722" t="n"/>
      <c r="B243" s="989" t="n"/>
      <c r="C243" s="963" t="n"/>
      <c r="D243" s="989" t="n"/>
      <c r="E243" s="963" t="n"/>
      <c r="F243" s="989" t="n"/>
      <c r="G243" s="991" t="n"/>
      <c r="H243" s="968" t="n"/>
      <c r="I243" s="968" t="n"/>
      <c r="J243" s="968" t="n"/>
      <c r="K243" s="18" t="n"/>
      <c r="L243" s="18" t="n"/>
    </row>
    <row r="244" ht="16.4" customHeight="1" s="828">
      <c r="A244" s="722" t="n"/>
      <c r="B244" s="989" t="n"/>
      <c r="C244" s="963" t="n"/>
      <c r="D244" s="989" t="n"/>
      <c r="E244" s="963" t="n"/>
      <c r="F244" s="989" t="n"/>
      <c r="G244" s="991" t="n"/>
      <c r="H244" s="968" t="n"/>
      <c r="I244" s="968" t="n"/>
      <c r="J244" s="968" t="n"/>
      <c r="K244" s="18" t="n"/>
      <c r="L244" s="18" t="n"/>
    </row>
    <row r="245" ht="16.4" customHeight="1" s="828">
      <c r="A245" s="722" t="n"/>
      <c r="B245" s="989" t="n"/>
      <c r="C245" s="963" t="n"/>
      <c r="D245" s="989" t="n"/>
      <c r="E245" s="963" t="n"/>
      <c r="F245" s="989" t="n"/>
      <c r="G245" s="991" t="n"/>
      <c r="H245" s="968" t="n"/>
      <c r="I245" s="968" t="n"/>
      <c r="J245" s="968" t="n"/>
      <c r="K245" s="18" t="n"/>
      <c r="L245" s="18" t="n"/>
    </row>
    <row r="246" ht="16.4" customHeight="1" s="828">
      <c r="A246" s="722" t="n"/>
      <c r="B246" s="989" t="n"/>
      <c r="C246" s="963" t="n"/>
      <c r="D246" s="989" t="n"/>
      <c r="E246" s="963" t="n"/>
      <c r="F246" s="989" t="n"/>
      <c r="G246" s="991" t="n"/>
      <c r="H246" s="968" t="n"/>
      <c r="I246" s="968" t="n"/>
      <c r="J246" s="968" t="n"/>
      <c r="K246" s="18" t="n"/>
      <c r="L246" s="18" t="n"/>
    </row>
    <row r="247" ht="16.4" customHeight="1" s="828">
      <c r="A247" s="722" t="n"/>
      <c r="B247" s="989" t="n"/>
      <c r="C247" s="963" t="n"/>
      <c r="D247" s="989" t="n"/>
      <c r="E247" s="963" t="n"/>
      <c r="F247" s="989" t="n"/>
      <c r="G247" s="991" t="n"/>
      <c r="H247" s="968" t="n"/>
      <c r="I247" s="968" t="n"/>
      <c r="J247" s="968" t="n"/>
      <c r="K247" s="18" t="n"/>
      <c r="L247" s="18" t="n"/>
    </row>
    <row r="248" ht="16.4" customHeight="1" s="828">
      <c r="A248" s="722" t="n"/>
      <c r="B248" s="989" t="n"/>
      <c r="C248" s="963" t="n"/>
      <c r="D248" s="989" t="n"/>
      <c r="E248" s="963" t="n"/>
      <c r="F248" s="989" t="n"/>
      <c r="G248" s="991" t="n"/>
      <c r="H248" s="968" t="n"/>
      <c r="I248" s="968" t="n"/>
      <c r="J248" s="968" t="n"/>
      <c r="K248" s="18" t="n"/>
      <c r="L248" s="18" t="n"/>
    </row>
    <row r="249" ht="16.4" customHeight="1" s="828">
      <c r="A249" s="722" t="n"/>
      <c r="B249" s="989" t="n"/>
      <c r="C249" s="963" t="n"/>
      <c r="D249" s="989" t="n"/>
      <c r="E249" s="963" t="n"/>
      <c r="F249" s="989" t="n"/>
      <c r="G249" s="991" t="n"/>
      <c r="H249" s="968" t="n"/>
      <c r="I249" s="968" t="n"/>
      <c r="J249" s="968" t="n"/>
      <c r="K249" s="18" t="n"/>
      <c r="L249" s="18" t="n"/>
    </row>
    <row r="250" ht="16.4" customHeight="1" s="828">
      <c r="A250" s="722" t="n"/>
      <c r="B250" s="989" t="n"/>
      <c r="C250" s="963" t="n"/>
      <c r="D250" s="989" t="n"/>
      <c r="E250" s="963" t="n"/>
      <c r="F250" s="989" t="n"/>
      <c r="G250" s="991" t="n"/>
      <c r="H250" s="968" t="n"/>
      <c r="I250" s="968" t="n"/>
      <c r="J250" s="968" t="n"/>
      <c r="K250" s="18" t="n"/>
      <c r="L250" s="18" t="n"/>
    </row>
    <row r="251" ht="16.4" customHeight="1" s="828">
      <c r="A251" s="722" t="n"/>
      <c r="B251" s="989" t="n"/>
      <c r="C251" s="963" t="n"/>
      <c r="D251" s="989" t="n"/>
      <c r="E251" s="963" t="n"/>
      <c r="F251" s="989" t="n"/>
      <c r="G251" s="991" t="n"/>
      <c r="H251" s="968" t="n"/>
      <c r="I251" s="968" t="n"/>
      <c r="J251" s="968" t="n"/>
      <c r="K251" s="18" t="n"/>
      <c r="L251" s="18" t="n"/>
    </row>
    <row r="252" ht="16.4" customHeight="1" s="828">
      <c r="A252" s="722" t="n"/>
      <c r="B252" s="989" t="n"/>
      <c r="C252" s="963" t="n"/>
      <c r="D252" s="989" t="n"/>
      <c r="E252" s="963" t="n"/>
      <c r="F252" s="989" t="n"/>
      <c r="G252" s="991" t="n"/>
      <c r="H252" s="968" t="n"/>
      <c r="I252" s="968" t="n"/>
      <c r="J252" s="968" t="n"/>
      <c r="K252" s="18" t="n"/>
      <c r="L252" s="18" t="n"/>
    </row>
    <row r="253" ht="16.4" customHeight="1" s="828">
      <c r="A253" s="722" t="n"/>
      <c r="B253" s="989" t="n"/>
      <c r="C253" s="963" t="n"/>
      <c r="D253" s="989" t="n"/>
      <c r="E253" s="963" t="n"/>
      <c r="F253" s="989" t="n"/>
      <c r="G253" s="991" t="n"/>
      <c r="H253" s="968" t="n"/>
      <c r="I253" s="968" t="n"/>
      <c r="J253" s="968" t="n"/>
      <c r="K253" s="18" t="n"/>
      <c r="L253" s="18" t="n"/>
    </row>
    <row r="254" ht="16.4" customHeight="1" s="828">
      <c r="A254" s="722" t="n"/>
      <c r="B254" s="989" t="n"/>
      <c r="C254" s="963" t="n"/>
      <c r="D254" s="989" t="n"/>
      <c r="E254" s="963" t="n"/>
      <c r="F254" s="989" t="n"/>
      <c r="G254" s="991" t="n"/>
      <c r="H254" s="968" t="n"/>
      <c r="I254" s="968" t="n"/>
      <c r="J254" s="968" t="n"/>
      <c r="K254" s="18" t="n"/>
      <c r="L254" s="18" t="n"/>
    </row>
    <row r="255" ht="16.4" customHeight="1" s="828">
      <c r="A255" s="722" t="n"/>
      <c r="B255" s="989" t="n"/>
      <c r="C255" s="963" t="n"/>
      <c r="D255" s="989" t="n"/>
      <c r="E255" s="963" t="n"/>
      <c r="F255" s="989" t="n"/>
      <c r="G255" s="991" t="n"/>
      <c r="H255" s="968" t="n"/>
      <c r="I255" s="968" t="n"/>
      <c r="J255" s="968" t="n"/>
      <c r="K255" s="18" t="n"/>
      <c r="L255" s="18" t="n"/>
    </row>
    <row r="256" ht="16.4" customHeight="1" s="828">
      <c r="A256" s="722" t="n"/>
      <c r="B256" s="989" t="n"/>
      <c r="C256" s="963" t="n"/>
      <c r="D256" s="989" t="n"/>
      <c r="E256" s="963" t="n"/>
      <c r="F256" s="989" t="n"/>
      <c r="G256" s="991" t="n"/>
      <c r="H256" s="968" t="n"/>
      <c r="I256" s="968" t="n"/>
      <c r="J256" s="968" t="n"/>
      <c r="K256" s="18" t="n"/>
      <c r="L256" s="18" t="n"/>
    </row>
    <row r="257" ht="16.4" customHeight="1" s="828">
      <c r="A257" s="722" t="n"/>
      <c r="B257" s="989" t="n"/>
      <c r="C257" s="963" t="n"/>
      <c r="D257" s="989" t="n"/>
      <c r="E257" s="963" t="n"/>
      <c r="F257" s="989" t="n"/>
      <c r="G257" s="991" t="n"/>
      <c r="H257" s="968" t="n"/>
      <c r="I257" s="968" t="n"/>
      <c r="J257" s="968" t="n"/>
      <c r="K257" s="18" t="n"/>
      <c r="L257" s="18" t="n"/>
    </row>
    <row r="258" ht="16.4" customHeight="1" s="828">
      <c r="A258" s="722" t="n"/>
      <c r="B258" s="989" t="n"/>
      <c r="C258" s="963" t="n"/>
      <c r="D258" s="989" t="n"/>
      <c r="E258" s="963" t="n"/>
      <c r="F258" s="989" t="n"/>
      <c r="G258" s="991" t="n"/>
      <c r="H258" s="968" t="n"/>
      <c r="I258" s="968" t="n"/>
      <c r="J258" s="968" t="n"/>
      <c r="K258" s="18" t="n"/>
      <c r="L258" s="18" t="n"/>
    </row>
    <row r="259" ht="16.4" customHeight="1" s="828">
      <c r="A259" s="722" t="n"/>
      <c r="B259" s="989" t="n"/>
      <c r="C259" s="963" t="n"/>
      <c r="D259" s="989" t="n"/>
      <c r="E259" s="963" t="n"/>
      <c r="F259" s="989" t="n"/>
      <c r="G259" s="991" t="n"/>
      <c r="H259" s="968" t="n"/>
      <c r="I259" s="968" t="n"/>
      <c r="J259" s="968" t="n"/>
      <c r="K259" s="18" t="n"/>
      <c r="L259" s="18" t="n"/>
    </row>
    <row r="260" ht="16.4" customHeight="1" s="828">
      <c r="A260" s="722" t="n"/>
      <c r="B260" s="989" t="n"/>
      <c r="C260" s="963" t="n"/>
      <c r="D260" s="989" t="n"/>
      <c r="E260" s="963" t="n"/>
      <c r="F260" s="989" t="n"/>
      <c r="G260" s="991" t="n"/>
      <c r="H260" s="968" t="n"/>
      <c r="I260" s="968" t="n"/>
      <c r="J260" s="968" t="n"/>
      <c r="K260" s="18" t="n"/>
      <c r="L260" s="18" t="n"/>
    </row>
    <row r="261" ht="16.4" customHeight="1" s="828">
      <c r="A261" s="722" t="n"/>
      <c r="B261" s="989" t="n"/>
      <c r="C261" s="963" t="n"/>
      <c r="D261" s="989" t="n"/>
      <c r="E261" s="963" t="n"/>
      <c r="F261" s="989" t="n"/>
      <c r="G261" s="991" t="n"/>
      <c r="H261" s="968" t="n"/>
      <c r="I261" s="968" t="n"/>
      <c r="J261" s="968" t="n"/>
      <c r="K261" s="18" t="n"/>
      <c r="L261" s="18" t="n"/>
    </row>
    <row r="262" ht="16.4" customHeight="1" s="828">
      <c r="A262" s="722" t="n"/>
      <c r="B262" s="989" t="n"/>
      <c r="C262" s="963" t="n"/>
      <c r="D262" s="989" t="n"/>
      <c r="E262" s="963" t="n"/>
      <c r="F262" s="989" t="n"/>
      <c r="G262" s="991" t="n"/>
      <c r="H262" s="968" t="n"/>
      <c r="I262" s="968" t="n"/>
      <c r="J262" s="968" t="n"/>
      <c r="K262" s="18" t="n"/>
      <c r="L262" s="18" t="n"/>
    </row>
    <row r="263" ht="16.4" customHeight="1" s="828">
      <c r="A263" s="722" t="n"/>
      <c r="B263" s="989" t="n"/>
      <c r="C263" s="963" t="n"/>
      <c r="D263" s="989" t="n"/>
      <c r="E263" s="963" t="n"/>
      <c r="F263" s="989" t="n"/>
      <c r="G263" s="991" t="n"/>
      <c r="H263" s="968" t="n"/>
      <c r="I263" s="968" t="n"/>
      <c r="J263" s="968" t="n"/>
      <c r="K263" s="18" t="n"/>
      <c r="L263" s="18" t="n"/>
    </row>
    <row r="264" ht="16.4" customHeight="1" s="828">
      <c r="A264" s="722" t="n"/>
      <c r="B264" s="989" t="n"/>
      <c r="C264" s="963" t="n"/>
      <c r="D264" s="989" t="n"/>
      <c r="E264" s="963" t="n"/>
      <c r="F264" s="989" t="n"/>
      <c r="G264" s="991" t="n"/>
      <c r="H264" s="968" t="n"/>
      <c r="I264" s="968" t="n"/>
      <c r="J264" s="968" t="n"/>
      <c r="K264" s="18" t="n"/>
      <c r="L264" s="18" t="n"/>
    </row>
    <row r="265" ht="16.4" customFormat="1" customHeight="1" s="18">
      <c r="A265" s="722" t="n"/>
      <c r="B265" s="989" t="n"/>
      <c r="C265" s="963" t="n"/>
      <c r="D265" s="989" t="n"/>
      <c r="E265" s="963" t="n"/>
      <c r="F265" s="989" t="n"/>
      <c r="G265" s="991" t="n"/>
      <c r="H265" s="968" t="n"/>
      <c r="I265" s="968" t="n"/>
      <c r="J265" s="968" t="n"/>
    </row>
    <row r="266" ht="16.4" customFormat="1" customHeight="1" s="18">
      <c r="A266" s="722" t="n"/>
      <c r="B266" s="989" t="n"/>
      <c r="C266" s="963" t="n"/>
      <c r="D266" s="989" t="n"/>
      <c r="E266" s="963" t="n"/>
      <c r="F266" s="989" t="n"/>
      <c r="G266" s="991" t="n"/>
      <c r="H266" s="968" t="n"/>
      <c r="I266" s="968" t="n"/>
      <c r="J266" s="968" t="n"/>
    </row>
    <row r="267" ht="16.4" customFormat="1" customHeight="1" s="18">
      <c r="A267" s="722" t="n"/>
      <c r="B267" s="989" t="n"/>
      <c r="C267" s="963" t="n"/>
      <c r="D267" s="989" t="n"/>
      <c r="E267" s="963" t="n"/>
      <c r="F267" s="989" t="n"/>
      <c r="G267" s="991" t="n"/>
      <c r="H267" s="968" t="n"/>
      <c r="I267" s="968" t="n"/>
      <c r="J267" s="968" t="n"/>
    </row>
    <row r="268" ht="16.4" customFormat="1" customHeight="1" s="18">
      <c r="A268" s="722" t="n"/>
      <c r="B268" s="989" t="n"/>
      <c r="C268" s="963" t="n"/>
      <c r="D268" s="989" t="n"/>
      <c r="E268" s="963" t="n"/>
      <c r="F268" s="989" t="n"/>
      <c r="G268" s="991" t="n"/>
      <c r="H268" s="968" t="n"/>
      <c r="I268" s="968" t="n"/>
      <c r="J268" s="968" t="n"/>
    </row>
    <row r="269" ht="16.4" customFormat="1" customHeight="1" s="18">
      <c r="A269" s="722" t="n"/>
      <c r="B269" s="989" t="n"/>
      <c r="C269" s="963" t="n"/>
      <c r="D269" s="989" t="n"/>
      <c r="E269" s="963" t="n"/>
      <c r="F269" s="989" t="n"/>
      <c r="G269" s="991" t="n"/>
      <c r="H269" s="968" t="n"/>
      <c r="I269" s="968" t="n"/>
      <c r="J269" s="968" t="n"/>
    </row>
    <row r="270" ht="16.4" customFormat="1" customHeight="1" s="18">
      <c r="A270" s="722" t="n"/>
      <c r="B270" s="989" t="n"/>
      <c r="C270" s="963" t="n"/>
      <c r="D270" s="989" t="n"/>
      <c r="E270" s="963" t="n"/>
      <c r="F270" s="989" t="n"/>
      <c r="G270" s="991" t="n"/>
      <c r="H270" s="968" t="n"/>
      <c r="I270" s="968" t="n"/>
      <c r="J270" s="968" t="n"/>
    </row>
    <row r="271" ht="16.4" customFormat="1" customHeight="1" s="18">
      <c r="A271" s="722" t="n"/>
      <c r="B271" s="989" t="n"/>
      <c r="C271" s="963" t="n"/>
      <c r="D271" s="989" t="n"/>
      <c r="E271" s="963" t="n"/>
      <c r="F271" s="989" t="n"/>
      <c r="G271" s="991" t="n"/>
      <c r="H271" s="968" t="n"/>
      <c r="I271" s="968" t="n"/>
      <c r="J271" s="968" t="n"/>
    </row>
    <row r="272" ht="16.4" customFormat="1" customHeight="1" s="18">
      <c r="A272" s="722" t="n"/>
      <c r="B272" s="989" t="n"/>
      <c r="C272" s="963" t="n"/>
      <c r="D272" s="989" t="n"/>
      <c r="E272" s="963" t="n"/>
      <c r="F272" s="989" t="n"/>
      <c r="G272" s="991" t="n"/>
      <c r="H272" s="968" t="n"/>
      <c r="I272" s="968" t="n"/>
      <c r="J272" s="968" t="n"/>
    </row>
    <row r="273" ht="16.4" customFormat="1" customHeight="1" s="18">
      <c r="A273" s="722" t="n"/>
      <c r="B273" s="989" t="n"/>
      <c r="C273" s="963" t="n"/>
      <c r="D273" s="989" t="n"/>
      <c r="E273" s="963" t="n"/>
      <c r="F273" s="989" t="n"/>
      <c r="G273" s="991" t="n"/>
      <c r="H273" s="968" t="n"/>
      <c r="I273" s="968" t="n"/>
      <c r="J273" s="968" t="n"/>
    </row>
    <row r="274" ht="16.4" customFormat="1" customHeight="1" s="18">
      <c r="A274" s="722" t="n"/>
      <c r="B274" s="989" t="n"/>
      <c r="C274" s="963" t="n"/>
      <c r="D274" s="989" t="n"/>
      <c r="E274" s="963" t="n"/>
      <c r="F274" s="989" t="n"/>
      <c r="G274" s="991" t="n"/>
      <c r="H274" s="968" t="n"/>
      <c r="I274" s="968" t="n"/>
      <c r="J274" s="968" t="n"/>
    </row>
    <row r="275" ht="16.4" customFormat="1" customHeight="1" s="18">
      <c r="A275" s="722" t="n"/>
      <c r="B275" s="989" t="n"/>
      <c r="C275" s="963" t="n"/>
      <c r="D275" s="989" t="n"/>
      <c r="E275" s="963" t="n"/>
      <c r="F275" s="989" t="n"/>
      <c r="G275" s="991" t="n"/>
      <c r="H275" s="968" t="n"/>
      <c r="I275" s="968" t="n"/>
      <c r="J275" s="968" t="n"/>
    </row>
    <row r="276" ht="16.4" customFormat="1" customHeight="1" s="18">
      <c r="A276" s="722" t="n"/>
      <c r="B276" s="989" t="n"/>
      <c r="C276" s="963" t="n"/>
      <c r="D276" s="989" t="n"/>
      <c r="E276" s="963" t="n"/>
      <c r="F276" s="989" t="n"/>
      <c r="G276" s="991" t="n"/>
      <c r="H276" s="968" t="n"/>
      <c r="I276" s="968" t="n"/>
      <c r="J276" s="968" t="n"/>
    </row>
    <row r="277" ht="16.4" customFormat="1" customHeight="1" s="18">
      <c r="A277" s="722" t="n"/>
      <c r="B277" s="989" t="n"/>
      <c r="C277" s="963" t="n"/>
      <c r="D277" s="989" t="n"/>
      <c r="E277" s="963" t="n"/>
      <c r="F277" s="989" t="n"/>
      <c r="G277" s="991" t="n"/>
      <c r="H277" s="968" t="n"/>
      <c r="I277" s="968" t="n"/>
      <c r="J277" s="968" t="n"/>
    </row>
    <row r="278" ht="16.4" customFormat="1" customHeight="1" s="18">
      <c r="A278" s="722" t="n"/>
      <c r="B278" s="989" t="n"/>
      <c r="C278" s="963" t="n"/>
      <c r="D278" s="989" t="n"/>
      <c r="E278" s="963" t="n"/>
      <c r="F278" s="989" t="n"/>
      <c r="G278" s="991" t="n"/>
      <c r="H278" s="968" t="n"/>
      <c r="I278" s="968" t="n"/>
      <c r="J278" s="968" t="n"/>
    </row>
    <row r="279" ht="16.4" customFormat="1" customHeight="1" s="18">
      <c r="A279" s="722" t="n"/>
      <c r="B279" s="989" t="n"/>
      <c r="C279" s="963" t="n"/>
      <c r="D279" s="989" t="n"/>
      <c r="E279" s="963" t="n"/>
      <c r="F279" s="989" t="n"/>
      <c r="G279" s="991" t="n"/>
      <c r="H279" s="968" t="n"/>
      <c r="I279" s="968" t="n"/>
      <c r="J279" s="968" t="n"/>
    </row>
    <row r="280" ht="16.4" customFormat="1" customHeight="1" s="18">
      <c r="A280" s="722" t="n"/>
      <c r="B280" s="989" t="n"/>
      <c r="C280" s="963" t="n"/>
      <c r="D280" s="989" t="n"/>
      <c r="E280" s="963" t="n"/>
      <c r="F280" s="989" t="n"/>
      <c r="G280" s="991" t="n"/>
      <c r="H280" s="968" t="n"/>
      <c r="I280" s="968" t="n"/>
      <c r="J280" s="968" t="n"/>
    </row>
    <row r="281" ht="16.4" customFormat="1" customHeight="1" s="18">
      <c r="A281" s="722" t="n"/>
      <c r="B281" s="989" t="n"/>
      <c r="C281" s="963" t="n"/>
      <c r="D281" s="989" t="n"/>
      <c r="E281" s="963" t="n"/>
      <c r="F281" s="989" t="n"/>
      <c r="G281" s="991" t="n"/>
      <c r="H281" s="968" t="n"/>
      <c r="I281" s="968" t="n"/>
      <c r="J281" s="968" t="n"/>
    </row>
    <row r="282" ht="16.4" customFormat="1" customHeight="1" s="18">
      <c r="A282" s="722" t="n"/>
      <c r="B282" s="989" t="n"/>
      <c r="C282" s="963" t="n"/>
      <c r="D282" s="989" t="n"/>
      <c r="E282" s="963" t="n"/>
      <c r="F282" s="989" t="n"/>
      <c r="G282" s="991" t="n"/>
      <c r="H282" s="968" t="n"/>
      <c r="I282" s="968" t="n"/>
      <c r="J282" s="968" t="n"/>
    </row>
    <row r="283" ht="16.4" customFormat="1" customHeight="1" s="18">
      <c r="A283" s="722" t="n"/>
      <c r="B283" s="989" t="n"/>
      <c r="C283" s="963" t="n"/>
      <c r="D283" s="989" t="n"/>
      <c r="E283" s="963" t="n"/>
      <c r="F283" s="989" t="n"/>
      <c r="G283" s="991" t="n"/>
      <c r="H283" s="968" t="n"/>
      <c r="I283" s="968" t="n"/>
      <c r="J283" s="968" t="n"/>
    </row>
    <row r="284" ht="16.4" customFormat="1" customHeight="1" s="18">
      <c r="A284" s="722" t="n"/>
      <c r="B284" s="989" t="n"/>
      <c r="C284" s="963" t="n"/>
      <c r="D284" s="989" t="n"/>
      <c r="E284" s="963" t="n"/>
      <c r="F284" s="989" t="n"/>
      <c r="G284" s="991" t="n"/>
      <c r="H284" s="968" t="n"/>
      <c r="I284" s="968" t="n"/>
      <c r="J284" s="968" t="n"/>
    </row>
    <row r="285" ht="16.4" customFormat="1" customHeight="1" s="18">
      <c r="A285" s="722" t="n"/>
      <c r="B285" s="989" t="n"/>
      <c r="C285" s="963" t="n"/>
      <c r="D285" s="989" t="n"/>
      <c r="E285" s="963" t="n"/>
      <c r="F285" s="989" t="n"/>
      <c r="G285" s="991" t="n"/>
      <c r="H285" s="968" t="n"/>
      <c r="I285" s="968" t="n"/>
      <c r="J285" s="968" t="n"/>
    </row>
    <row r="286" ht="16.4" customFormat="1" customHeight="1" s="18">
      <c r="A286" s="722" t="n"/>
      <c r="B286" s="989" t="n"/>
      <c r="C286" s="963" t="n"/>
      <c r="D286" s="989" t="n"/>
      <c r="E286" s="963" t="n"/>
      <c r="F286" s="989" t="n"/>
      <c r="G286" s="991" t="n"/>
      <c r="H286" s="968" t="n"/>
      <c r="I286" s="968" t="n"/>
      <c r="J286" s="968" t="n"/>
    </row>
    <row r="287" ht="16.4" customFormat="1" customHeight="1" s="18">
      <c r="A287" s="722" t="n"/>
      <c r="B287" s="989" t="n"/>
      <c r="C287" s="963" t="n"/>
      <c r="D287" s="989" t="n"/>
      <c r="E287" s="963" t="n"/>
      <c r="F287" s="989" t="n"/>
      <c r="G287" s="991" t="n"/>
      <c r="H287" s="968" t="n"/>
      <c r="I287" s="968" t="n"/>
      <c r="J287" s="968" t="n"/>
    </row>
    <row r="288" ht="16.4" customFormat="1" customHeight="1" s="18">
      <c r="A288" s="722" t="n"/>
      <c r="B288" s="989" t="n"/>
      <c r="C288" s="963" t="n"/>
      <c r="D288" s="989" t="n"/>
      <c r="E288" s="963" t="n"/>
      <c r="F288" s="989" t="n"/>
      <c r="G288" s="991" t="n"/>
      <c r="H288" s="968" t="n"/>
      <c r="I288" s="968" t="n"/>
      <c r="J288" s="968" t="n"/>
    </row>
    <row r="289" ht="16.4" customFormat="1" customHeight="1" s="18">
      <c r="A289" s="722" t="n"/>
      <c r="B289" s="989" t="n"/>
      <c r="C289" s="963" t="n"/>
      <c r="D289" s="989" t="n"/>
      <c r="E289" s="963" t="n"/>
      <c r="F289" s="989" t="n"/>
      <c r="G289" s="991" t="n"/>
      <c r="H289" s="968" t="n"/>
      <c r="I289" s="968" t="n"/>
      <c r="J289" s="968" t="n"/>
    </row>
    <row r="290" ht="16.4" customFormat="1" customHeight="1" s="18">
      <c r="A290" s="722" t="n"/>
      <c r="B290" s="989" t="n"/>
      <c r="C290" s="963" t="n"/>
      <c r="D290" s="989" t="n"/>
      <c r="E290" s="963" t="n"/>
      <c r="F290" s="989" t="n"/>
      <c r="G290" s="991" t="n"/>
      <c r="H290" s="968" t="n"/>
      <c r="I290" s="968" t="n"/>
      <c r="J290" s="968" t="n"/>
    </row>
    <row r="291" ht="16.4" customFormat="1" customHeight="1" s="18">
      <c r="A291" s="722" t="n"/>
      <c r="B291" s="989" t="n"/>
      <c r="C291" s="963" t="n"/>
      <c r="D291" s="989" t="n"/>
      <c r="E291" s="963" t="n"/>
      <c r="F291" s="989" t="n"/>
      <c r="G291" s="991" t="n"/>
      <c r="H291" s="968" t="n"/>
      <c r="I291" s="968" t="n"/>
      <c r="J291" s="968" t="n"/>
    </row>
    <row r="292" ht="16.4" customFormat="1" customHeight="1" s="18">
      <c r="A292" s="722" t="n"/>
      <c r="B292" s="989" t="n"/>
      <c r="C292" s="963" t="n"/>
      <c r="D292" s="989" t="n"/>
      <c r="E292" s="963" t="n"/>
      <c r="F292" s="989" t="n"/>
      <c r="G292" s="991" t="n"/>
      <c r="H292" s="968" t="n"/>
      <c r="I292" s="968" t="n"/>
      <c r="J292" s="968" t="n"/>
    </row>
    <row r="293" ht="16.4" customFormat="1" customHeight="1" s="18">
      <c r="A293" s="722" t="n"/>
      <c r="B293" s="989" t="n"/>
      <c r="C293" s="963" t="n"/>
      <c r="D293" s="989" t="n"/>
      <c r="E293" s="963" t="n"/>
      <c r="F293" s="989" t="n"/>
      <c r="G293" s="991" t="n"/>
      <c r="H293" s="968" t="n"/>
      <c r="I293" s="968" t="n"/>
      <c r="J293" s="968" t="n"/>
    </row>
    <row r="294" ht="16.4" customFormat="1" customHeight="1" s="18">
      <c r="A294" s="722" t="n"/>
      <c r="B294" s="989" t="n"/>
      <c r="C294" s="963" t="n"/>
      <c r="D294" s="989" t="n"/>
      <c r="E294" s="963" t="n"/>
      <c r="F294" s="989" t="n"/>
      <c r="G294" s="991" t="n"/>
      <c r="H294" s="968" t="n"/>
      <c r="I294" s="968" t="n"/>
      <c r="J294" s="968" t="n"/>
    </row>
    <row r="295" ht="16.4" customFormat="1" customHeight="1" s="18">
      <c r="A295" s="722" t="n"/>
      <c r="B295" s="989" t="n"/>
      <c r="C295" s="963" t="n"/>
      <c r="D295" s="989" t="n"/>
      <c r="E295" s="963" t="n"/>
      <c r="F295" s="989" t="n"/>
      <c r="G295" s="991" t="n"/>
      <c r="H295" s="968" t="n"/>
      <c r="I295" s="968" t="n"/>
      <c r="J295" s="968" t="n"/>
    </row>
    <row r="296" ht="16.4" customFormat="1" customHeight="1" s="18">
      <c r="A296" s="722" t="n"/>
      <c r="B296" s="989" t="n"/>
      <c r="C296" s="963" t="n"/>
      <c r="D296" s="989" t="n"/>
      <c r="E296" s="963" t="n"/>
      <c r="F296" s="989" t="n"/>
      <c r="G296" s="991" t="n"/>
      <c r="H296" s="968" t="n"/>
      <c r="I296" s="968" t="n"/>
      <c r="J296" s="968" t="n"/>
    </row>
    <row r="297" ht="16.4" customFormat="1" customHeight="1" s="18">
      <c r="A297" s="722" t="n"/>
      <c r="B297" s="989" t="n"/>
      <c r="C297" s="963" t="n"/>
      <c r="D297" s="989" t="n"/>
      <c r="E297" s="963" t="n"/>
      <c r="F297" s="989" t="n"/>
      <c r="G297" s="991" t="n"/>
      <c r="H297" s="968" t="n"/>
      <c r="I297" s="968" t="n"/>
      <c r="J297" s="968" t="n"/>
    </row>
    <row r="298" ht="16.4" customFormat="1" customHeight="1" s="18">
      <c r="A298" s="722" t="n"/>
      <c r="B298" s="989" t="n"/>
      <c r="C298" s="963" t="n"/>
      <c r="D298" s="989" t="n"/>
      <c r="E298" s="963" t="n"/>
      <c r="F298" s="989" t="n"/>
      <c r="G298" s="991" t="n"/>
      <c r="H298" s="968" t="n"/>
      <c r="I298" s="968" t="n"/>
      <c r="J298" s="968" t="n"/>
    </row>
    <row r="299" ht="16.4" customFormat="1" customHeight="1" s="18">
      <c r="A299" s="722" t="n"/>
      <c r="B299" s="989" t="n"/>
      <c r="C299" s="963" t="n"/>
      <c r="D299" s="989" t="n"/>
      <c r="E299" s="963" t="n"/>
      <c r="F299" s="989" t="n"/>
      <c r="G299" s="991" t="n"/>
      <c r="H299" s="968" t="n"/>
      <c r="I299" s="968" t="n"/>
      <c r="J299" s="968" t="n"/>
    </row>
    <row r="300" ht="16.4" customFormat="1" customHeight="1" s="18">
      <c r="A300" s="722" t="n"/>
      <c r="B300" s="989" t="n"/>
      <c r="C300" s="963" t="n"/>
      <c r="D300" s="989" t="n"/>
      <c r="E300" s="963" t="n"/>
      <c r="F300" s="989" t="n"/>
      <c r="G300" s="991" t="n"/>
      <c r="H300" s="968" t="n"/>
      <c r="I300" s="968" t="n"/>
      <c r="J300" s="968" t="n"/>
    </row>
    <row r="301" ht="16.4" customFormat="1" customHeight="1" s="18">
      <c r="A301" s="722" t="n"/>
      <c r="B301" s="989" t="n"/>
      <c r="C301" s="963" t="n"/>
      <c r="D301" s="989" t="n"/>
      <c r="E301" s="963" t="n"/>
      <c r="F301" s="989" t="n"/>
      <c r="G301" s="991" t="n"/>
      <c r="H301" s="968" t="n"/>
      <c r="I301" s="968" t="n"/>
      <c r="J301" s="968" t="n"/>
    </row>
    <row r="302" ht="16.4" customFormat="1" customHeight="1" s="18">
      <c r="A302" s="722" t="n"/>
      <c r="B302" s="989" t="n"/>
      <c r="C302" s="963" t="n"/>
      <c r="D302" s="989" t="n"/>
      <c r="E302" s="963" t="n"/>
      <c r="F302" s="989" t="n"/>
      <c r="G302" s="991" t="n"/>
      <c r="H302" s="968" t="n"/>
      <c r="I302" s="968" t="n"/>
      <c r="J302" s="968" t="n"/>
    </row>
    <row r="303" ht="16.4" customFormat="1" customHeight="1" s="18">
      <c r="A303" s="722" t="n"/>
      <c r="B303" s="989" t="n"/>
      <c r="C303" s="963" t="n"/>
      <c r="D303" s="989" t="n"/>
      <c r="E303" s="963" t="n"/>
      <c r="F303" s="989" t="n"/>
      <c r="G303" s="991" t="n"/>
      <c r="H303" s="968" t="n"/>
      <c r="I303" s="968" t="n"/>
      <c r="J303" s="968" t="n"/>
    </row>
    <row r="304" ht="16.4" customFormat="1" customHeight="1" s="18">
      <c r="A304" s="722" t="n"/>
      <c r="B304" s="989" t="n"/>
      <c r="C304" s="963" t="n"/>
      <c r="D304" s="989" t="n"/>
      <c r="E304" s="963" t="n"/>
      <c r="F304" s="989" t="n"/>
      <c r="G304" s="991" t="n"/>
      <c r="H304" s="968" t="n"/>
      <c r="I304" s="968" t="n"/>
      <c r="J304" s="968" t="n"/>
    </row>
    <row r="305" ht="16.4" customFormat="1" customHeight="1" s="18">
      <c r="A305" s="722" t="n"/>
      <c r="B305" s="989" t="n"/>
      <c r="C305" s="963" t="n"/>
      <c r="D305" s="989" t="n"/>
      <c r="E305" s="963" t="n"/>
      <c r="F305" s="989" t="n"/>
      <c r="G305" s="991" t="n"/>
      <c r="H305" s="968" t="n"/>
      <c r="I305" s="968" t="n"/>
      <c r="J305" s="968" t="n"/>
    </row>
    <row r="306" ht="16.4" customFormat="1" customHeight="1" s="18">
      <c r="A306" s="722" t="n"/>
      <c r="B306" s="989" t="n"/>
      <c r="C306" s="963" t="n"/>
      <c r="D306" s="989" t="n"/>
      <c r="E306" s="963" t="n"/>
      <c r="F306" s="989" t="n"/>
      <c r="G306" s="991" t="n"/>
      <c r="H306" s="968" t="n"/>
      <c r="I306" s="968" t="n"/>
      <c r="J306" s="968" t="n"/>
    </row>
    <row r="307" ht="16.4" customHeight="1" s="828">
      <c r="A307" s="722" t="n"/>
      <c r="B307" s="989" t="n"/>
      <c r="C307" s="963" t="n"/>
      <c r="D307" s="989" t="n"/>
      <c r="E307" s="963" t="n"/>
      <c r="F307" s="989" t="n"/>
      <c r="G307" s="991" t="n"/>
      <c r="H307" s="968" t="n"/>
      <c r="I307" s="968" t="n"/>
      <c r="J307" s="968" t="n"/>
      <c r="K307" s="18" t="n"/>
      <c r="L307" s="18" t="n"/>
    </row>
    <row r="308" ht="16.4" customHeight="1" s="828">
      <c r="A308" s="722" t="n"/>
      <c r="B308" s="989" t="n"/>
      <c r="C308" s="963" t="n"/>
      <c r="D308" s="989" t="n"/>
      <c r="E308" s="963" t="n"/>
      <c r="F308" s="989" t="n"/>
      <c r="G308" s="991" t="n"/>
      <c r="H308" s="968" t="n"/>
      <c r="I308" s="968" t="n"/>
      <c r="J308" s="968" t="n"/>
      <c r="K308" s="18" t="n"/>
      <c r="L308" s="18" t="n"/>
    </row>
    <row r="309" ht="16.4" customHeight="1" s="828">
      <c r="A309" s="722" t="n"/>
      <c r="B309" s="989" t="n"/>
      <c r="C309" s="963" t="n"/>
      <c r="D309" s="989" t="n"/>
      <c r="E309" s="963" t="n"/>
      <c r="F309" s="989" t="n"/>
      <c r="G309" s="991" t="n"/>
      <c r="H309" s="968" t="n"/>
      <c r="I309" s="968" t="n"/>
      <c r="J309" s="968" t="n"/>
      <c r="K309" s="18" t="n"/>
      <c r="L309" s="18" t="n"/>
    </row>
    <row r="310" ht="16.4" customHeight="1" s="828">
      <c r="A310" s="722" t="n"/>
      <c r="B310" s="989" t="n"/>
      <c r="C310" s="963" t="n"/>
      <c r="D310" s="989" t="n"/>
      <c r="E310" s="963" t="n"/>
      <c r="F310" s="989" t="n"/>
      <c r="G310" s="991" t="n"/>
      <c r="H310" s="968" t="n"/>
      <c r="I310" s="968" t="n"/>
      <c r="J310" s="968" t="n"/>
      <c r="K310" s="18" t="n"/>
      <c r="L310" s="18" t="n"/>
    </row>
    <row r="311" ht="16.4" customHeight="1" s="828">
      <c r="A311" s="722" t="n"/>
      <c r="B311" s="989" t="n"/>
      <c r="C311" s="963" t="n"/>
      <c r="D311" s="989" t="n"/>
      <c r="E311" s="963" t="n"/>
      <c r="F311" s="989" t="n"/>
      <c r="G311" s="991" t="n"/>
      <c r="H311" s="968" t="n"/>
      <c r="I311" s="968" t="n"/>
      <c r="J311" s="968" t="n"/>
      <c r="K311" s="18" t="n"/>
      <c r="L311" s="18" t="n"/>
    </row>
    <row r="312" ht="16.4" customHeight="1" s="828">
      <c r="A312" s="722" t="n"/>
      <c r="B312" s="989" t="n"/>
      <c r="C312" s="963" t="n"/>
      <c r="D312" s="989" t="n"/>
      <c r="E312" s="963" t="n"/>
      <c r="F312" s="989" t="n"/>
      <c r="G312" s="991" t="n"/>
      <c r="H312" s="968" t="n"/>
      <c r="I312" s="968" t="n"/>
      <c r="J312" s="968" t="n"/>
      <c r="K312" s="18" t="n"/>
      <c r="L312" s="18" t="n"/>
    </row>
    <row r="313" ht="16.4" customHeight="1" s="828">
      <c r="A313" s="722" t="n"/>
      <c r="B313" s="989" t="n"/>
      <c r="C313" s="963" t="n"/>
      <c r="D313" s="989" t="n"/>
      <c r="E313" s="963" t="n"/>
      <c r="F313" s="989" t="n"/>
      <c r="G313" s="991" t="n"/>
      <c r="H313" s="968" t="n"/>
      <c r="I313" s="968" t="n"/>
      <c r="J313" s="968" t="n"/>
      <c r="K313" s="18" t="n"/>
      <c r="L313" s="18" t="n"/>
    </row>
    <row r="314" ht="16.4" customHeight="1" s="828">
      <c r="A314" s="722" t="n"/>
      <c r="B314" s="989" t="n"/>
      <c r="C314" s="963" t="n"/>
      <c r="D314" s="989" t="n"/>
      <c r="E314" s="963" t="n"/>
      <c r="F314" s="989" t="n"/>
      <c r="G314" s="991" t="n"/>
      <c r="H314" s="968" t="n"/>
      <c r="I314" s="968" t="n"/>
      <c r="J314" s="968" t="n"/>
      <c r="K314" s="18" t="n"/>
      <c r="L314" s="18" t="n"/>
    </row>
    <row r="315" ht="16.4" customHeight="1" s="828">
      <c r="A315" s="722" t="n"/>
      <c r="B315" s="989" t="n"/>
      <c r="C315" s="963" t="n"/>
      <c r="D315" s="989" t="n"/>
      <c r="E315" s="963" t="n"/>
      <c r="F315" s="989" t="n"/>
      <c r="G315" s="991" t="n"/>
      <c r="H315" s="968" t="n"/>
      <c r="I315" s="968" t="n"/>
      <c r="J315" s="968" t="n"/>
      <c r="K315" s="18" t="n"/>
      <c r="L315" s="18" t="n"/>
    </row>
    <row r="316" ht="16.4" customHeight="1" s="828">
      <c r="A316" s="722" t="n"/>
      <c r="B316" s="989" t="n"/>
      <c r="C316" s="963" t="n"/>
      <c r="D316" s="989" t="n"/>
      <c r="E316" s="963" t="n"/>
      <c r="F316" s="989" t="n"/>
      <c r="G316" s="991" t="n"/>
      <c r="H316" s="968" t="n"/>
      <c r="I316" s="968" t="n"/>
      <c r="J316" s="968" t="n"/>
      <c r="K316" s="18" t="n"/>
      <c r="L316" s="18" t="n"/>
    </row>
    <row r="317" ht="16.4" customHeight="1" s="828">
      <c r="A317" s="722" t="n"/>
      <c r="B317" s="989" t="n"/>
      <c r="C317" s="963" t="n"/>
      <c r="D317" s="989" t="n"/>
      <c r="E317" s="963" t="n"/>
      <c r="F317" s="989" t="n"/>
      <c r="G317" s="991" t="n"/>
      <c r="H317" s="968" t="n"/>
      <c r="I317" s="968" t="n"/>
      <c r="J317" s="968" t="n"/>
      <c r="K317" s="18" t="n"/>
      <c r="L317" s="18" t="n"/>
    </row>
    <row r="318" ht="16.4" customHeight="1" s="828">
      <c r="A318" s="722" t="n"/>
      <c r="B318" s="989" t="n"/>
      <c r="C318" s="963" t="n"/>
      <c r="D318" s="989" t="n"/>
      <c r="E318" s="963" t="n"/>
      <c r="F318" s="989" t="n"/>
      <c r="G318" s="991" t="n"/>
      <c r="H318" s="968" t="n"/>
      <c r="I318" s="968" t="n"/>
      <c r="J318" s="968" t="n"/>
      <c r="K318" s="18" t="n"/>
      <c r="L318" s="18" t="n"/>
      <c r="M318" s="20" t="n"/>
    </row>
    <row r="319" ht="16.4" customHeight="1" s="828">
      <c r="A319" s="722" t="n"/>
      <c r="B319" s="989" t="n"/>
      <c r="C319" s="963" t="n"/>
      <c r="D319" s="989" t="n"/>
      <c r="E319" s="963" t="n"/>
      <c r="F319" s="989" t="n"/>
      <c r="G319" s="991" t="n"/>
      <c r="H319" s="968" t="n"/>
      <c r="I319" s="968" t="n"/>
      <c r="J319" s="968" t="n"/>
      <c r="K319" s="18" t="n"/>
      <c r="L319" s="18" t="n"/>
      <c r="M319" s="20" t="n"/>
    </row>
    <row r="320" ht="16.4" customHeight="1" s="828">
      <c r="A320" s="722" t="n"/>
      <c r="B320" s="989" t="n"/>
      <c r="C320" s="963" t="n"/>
      <c r="D320" s="989" t="n"/>
      <c r="E320" s="963" t="n"/>
      <c r="F320" s="989" t="n"/>
      <c r="G320" s="991" t="n"/>
      <c r="H320" s="968" t="n"/>
      <c r="I320" s="968" t="n"/>
      <c r="J320" s="968" t="n"/>
      <c r="K320" s="18" t="n"/>
      <c r="L320" s="18" t="n"/>
    </row>
    <row r="321" ht="16.4" customHeight="1" s="828">
      <c r="A321" s="722" t="n"/>
      <c r="B321" s="989" t="n"/>
      <c r="C321" s="963" t="n"/>
      <c r="D321" s="989" t="n"/>
      <c r="E321" s="963" t="n"/>
      <c r="F321" s="989" t="n"/>
      <c r="G321" s="991" t="n"/>
      <c r="H321" s="968" t="n"/>
      <c r="I321" s="968" t="n"/>
      <c r="J321" s="968" t="n"/>
      <c r="K321" s="18" t="n"/>
      <c r="L321" s="18" t="n"/>
    </row>
    <row r="322" ht="16.4" customHeight="1" s="828">
      <c r="A322" s="722" t="n"/>
      <c r="B322" s="989" t="n"/>
      <c r="C322" s="963" t="n"/>
      <c r="D322" s="989" t="n"/>
      <c r="E322" s="963" t="n"/>
      <c r="F322" s="989" t="n"/>
      <c r="G322" s="991" t="n"/>
      <c r="H322" s="968" t="n"/>
      <c r="I322" s="968" t="n"/>
      <c r="J322" s="968" t="n"/>
      <c r="K322" s="18" t="n"/>
      <c r="L322" s="18" t="n"/>
    </row>
    <row r="323" ht="16.4" customHeight="1" s="828">
      <c r="A323" s="722" t="n"/>
      <c r="B323" s="989" t="n"/>
      <c r="C323" s="963" t="n"/>
      <c r="D323" s="989" t="n"/>
      <c r="E323" s="963" t="n"/>
      <c r="F323" s="989" t="n"/>
      <c r="G323" s="991" t="n"/>
      <c r="H323" s="968" t="n"/>
      <c r="I323" s="968" t="n"/>
      <c r="J323" s="968" t="n"/>
      <c r="K323" s="18" t="n"/>
      <c r="L323" s="18" t="n"/>
    </row>
    <row r="324" ht="16.4" customHeight="1" s="828">
      <c r="A324" s="722" t="n"/>
      <c r="B324" s="989" t="n"/>
      <c r="C324" s="963" t="n"/>
      <c r="D324" s="989" t="n"/>
      <c r="E324" s="963" t="n"/>
      <c r="F324" s="989" t="n"/>
      <c r="G324" s="991" t="n"/>
      <c r="H324" s="968" t="n"/>
      <c r="I324" s="968" t="n"/>
      <c r="J324" s="968" t="n"/>
      <c r="K324" s="18" t="n"/>
      <c r="L324" s="18" t="n"/>
    </row>
    <row r="325" ht="16.4" customHeight="1" s="828">
      <c r="A325" s="722" t="n"/>
      <c r="B325" s="989" t="n"/>
      <c r="C325" s="963" t="n"/>
      <c r="D325" s="989" t="n"/>
      <c r="E325" s="963" t="n"/>
      <c r="F325" s="989" t="n"/>
      <c r="G325" s="991" t="n"/>
      <c r="H325" s="968" t="n"/>
      <c r="I325" s="968" t="n"/>
      <c r="J325" s="968" t="n"/>
      <c r="K325" s="18" t="n"/>
      <c r="L325" s="18" t="n"/>
    </row>
    <row r="326" ht="16.4" customHeight="1" s="828">
      <c r="A326" s="722" t="n"/>
      <c r="B326" s="989" t="n"/>
      <c r="C326" s="963" t="n"/>
      <c r="D326" s="989" t="n"/>
      <c r="E326" s="963" t="n"/>
      <c r="F326" s="989" t="n"/>
      <c r="G326" s="991" t="n"/>
      <c r="H326" s="968" t="n"/>
      <c r="I326" s="968" t="n"/>
      <c r="J326" s="968" t="n"/>
      <c r="K326" s="18" t="n"/>
      <c r="L326" s="18" t="n"/>
    </row>
    <row r="327" ht="16.4" customHeight="1" s="828">
      <c r="A327" s="722" t="n"/>
      <c r="B327" s="989" t="n"/>
      <c r="C327" s="963" t="n"/>
      <c r="D327" s="989" t="n"/>
      <c r="E327" s="963" t="n"/>
      <c r="F327" s="989" t="n"/>
      <c r="G327" s="991" t="n"/>
      <c r="H327" s="968" t="n"/>
      <c r="I327" s="968" t="n"/>
      <c r="J327" s="968" t="n"/>
      <c r="K327" s="18" t="n"/>
      <c r="L327" s="18" t="n"/>
    </row>
    <row r="328" ht="16.4" customHeight="1" s="828">
      <c r="A328" s="722" t="n"/>
      <c r="B328" s="989" t="n"/>
      <c r="C328" s="963" t="n"/>
      <c r="D328" s="989" t="n"/>
      <c r="E328" s="963" t="n"/>
      <c r="F328" s="989" t="n"/>
      <c r="G328" s="991" t="n"/>
      <c r="H328" s="968" t="n"/>
      <c r="I328" s="968" t="n"/>
      <c r="J328" s="968" t="n"/>
      <c r="K328" s="18" t="n"/>
      <c r="L328" s="18" t="n"/>
    </row>
    <row r="329" ht="16.4" customHeight="1" s="828">
      <c r="A329" s="722" t="n"/>
      <c r="B329" s="989" t="n"/>
      <c r="C329" s="963" t="n"/>
      <c r="D329" s="989" t="n"/>
      <c r="E329" s="963" t="n"/>
      <c r="F329" s="989" t="n"/>
      <c r="G329" s="991" t="n"/>
      <c r="H329" s="968" t="n"/>
      <c r="I329" s="968" t="n"/>
      <c r="J329" s="968" t="n"/>
      <c r="K329" s="18" t="n"/>
      <c r="L329" s="18" t="n"/>
    </row>
    <row r="330" ht="16.4" customHeight="1" s="828">
      <c r="A330" s="722" t="n"/>
      <c r="B330" s="989" t="n"/>
      <c r="C330" s="963" t="n"/>
      <c r="D330" s="989" t="n"/>
      <c r="E330" s="963" t="n"/>
      <c r="F330" s="989" t="n"/>
      <c r="G330" s="991" t="n"/>
      <c r="H330" s="968" t="n"/>
      <c r="I330" s="968" t="n"/>
      <c r="J330" s="968" t="n"/>
      <c r="K330" s="18" t="n"/>
      <c r="L330" s="18" t="n"/>
    </row>
    <row r="331" ht="16.4" customHeight="1" s="828">
      <c r="A331" s="722" t="n"/>
      <c r="B331" s="989" t="n"/>
      <c r="C331" s="963" t="n"/>
      <c r="D331" s="989" t="n"/>
      <c r="E331" s="963" t="n"/>
      <c r="F331" s="989" t="n"/>
      <c r="G331" s="991" t="n"/>
      <c r="H331" s="968" t="n"/>
      <c r="I331" s="968" t="n"/>
      <c r="J331" s="968" t="n"/>
      <c r="K331" s="18" t="n"/>
      <c r="L331" s="18" t="n"/>
    </row>
    <row r="332" ht="16.4" customHeight="1" s="828">
      <c r="A332" s="722" t="n"/>
      <c r="B332" s="989" t="n"/>
      <c r="C332" s="963" t="n"/>
      <c r="D332" s="989" t="n"/>
      <c r="E332" s="963" t="n"/>
      <c r="F332" s="989" t="n"/>
      <c r="G332" s="991" t="n"/>
      <c r="H332" s="968" t="n"/>
      <c r="I332" s="968" t="n"/>
      <c r="J332" s="968" t="n"/>
      <c r="K332" s="18" t="n"/>
      <c r="L332" s="18" t="n"/>
    </row>
    <row r="333" ht="16.4" customHeight="1" s="828">
      <c r="A333" s="722" t="n"/>
      <c r="B333" s="989" t="n"/>
      <c r="C333" s="963" t="n"/>
      <c r="D333" s="989" t="n"/>
      <c r="E333" s="963" t="n"/>
      <c r="F333" s="989" t="n"/>
      <c r="G333" s="991" t="n"/>
      <c r="H333" s="968" t="n"/>
      <c r="I333" s="968" t="n"/>
      <c r="J333" s="968" t="n"/>
      <c r="K333" s="18" t="n"/>
      <c r="L333" s="18" t="n"/>
    </row>
    <row r="334" ht="16.4" customHeight="1" s="828">
      <c r="A334" s="722" t="n"/>
      <c r="B334" s="989" t="n"/>
      <c r="C334" s="963" t="n"/>
      <c r="D334" s="989" t="n"/>
      <c r="E334" s="963" t="n"/>
      <c r="F334" s="989" t="n"/>
      <c r="G334" s="991" t="n"/>
      <c r="H334" s="968" t="n"/>
      <c r="I334" s="968" t="n"/>
      <c r="J334" s="968" t="n"/>
      <c r="K334" s="18" t="n"/>
      <c r="L334" s="18" t="n"/>
    </row>
    <row r="335" ht="16.4" customHeight="1" s="828">
      <c r="A335" s="722" t="n"/>
      <c r="B335" s="989" t="n"/>
      <c r="C335" s="963" t="n"/>
      <c r="D335" s="989" t="n"/>
      <c r="E335" s="963" t="n"/>
      <c r="F335" s="989" t="n"/>
      <c r="G335" s="991" t="n"/>
      <c r="H335" s="968" t="n"/>
      <c r="I335" s="968" t="n"/>
      <c r="J335" s="968" t="n"/>
      <c r="K335" s="18" t="n"/>
      <c r="L335" s="18" t="n"/>
    </row>
    <row r="336" ht="16.4" customHeight="1" s="828">
      <c r="A336" s="722" t="n"/>
      <c r="B336" s="989" t="n"/>
      <c r="C336" s="963" t="n"/>
      <c r="D336" s="989" t="n"/>
      <c r="E336" s="963" t="n"/>
      <c r="F336" s="989" t="n"/>
      <c r="G336" s="991" t="n"/>
      <c r="H336" s="968" t="n"/>
      <c r="I336" s="968" t="n"/>
      <c r="J336" s="968" t="n"/>
      <c r="K336" s="18" t="n"/>
      <c r="L336" s="18" t="n"/>
    </row>
    <row r="337" ht="16.4" customHeight="1" s="828">
      <c r="A337" s="722" t="n"/>
      <c r="B337" s="989" t="n"/>
      <c r="C337" s="963" t="n"/>
      <c r="D337" s="989" t="n"/>
      <c r="E337" s="963" t="n"/>
      <c r="F337" s="989" t="n"/>
      <c r="G337" s="991" t="n"/>
      <c r="H337" s="988" t="n"/>
      <c r="I337" s="988" t="n"/>
      <c r="J337" s="987" t="n"/>
      <c r="K337" s="18" t="n"/>
      <c r="L337" s="18" t="n"/>
    </row>
    <row r="338" ht="16.4" customHeight="1" s="828">
      <c r="A338" s="722" t="n"/>
      <c r="B338" s="989" t="n"/>
      <c r="C338" s="963" t="n"/>
      <c r="D338" s="989" t="n"/>
      <c r="E338" s="963" t="n"/>
      <c r="F338" s="989" t="n"/>
      <c r="G338" s="991" t="n"/>
      <c r="H338" s="988" t="n"/>
      <c r="I338" s="988" t="n"/>
      <c r="J338" s="987" t="n"/>
      <c r="K338" s="18" t="n"/>
      <c r="L338" s="18" t="n"/>
    </row>
    <row r="339" ht="16.4" customHeight="1" s="828">
      <c r="A339" s="714" t="n"/>
      <c r="B339" s="993" t="n"/>
      <c r="C339" s="966" t="n"/>
      <c r="D339" s="993" t="n"/>
      <c r="E339" s="966" t="n"/>
      <c r="F339" s="993" t="n"/>
      <c r="G339" s="994" t="n"/>
      <c r="H339" s="988" t="n"/>
      <c r="I339" s="988" t="n"/>
      <c r="J339" s="987" t="n"/>
      <c r="K339" s="18" t="n"/>
      <c r="L339" s="18" t="n"/>
    </row>
    <row r="340" ht="16.4" customHeight="1" s="828">
      <c r="A340" s="722" t="n"/>
      <c r="B340" s="989" t="n"/>
      <c r="C340" s="963" t="n"/>
      <c r="D340" s="989" t="n"/>
      <c r="E340" s="963" t="n"/>
      <c r="F340" s="989" t="n"/>
      <c r="G340" s="991" t="n"/>
      <c r="H340" s="988" t="n"/>
      <c r="I340" s="988" t="n"/>
      <c r="J340" s="987" t="n"/>
      <c r="K340" s="18" t="n"/>
      <c r="L340" s="18" t="n"/>
    </row>
    <row r="341" ht="16.4" customHeight="1" s="828">
      <c r="A341" s="722" t="n"/>
      <c r="B341" s="989" t="n"/>
      <c r="C341" s="963" t="n"/>
      <c r="D341" s="989" t="n"/>
      <c r="E341" s="963" t="n"/>
      <c r="F341" s="989" t="n"/>
      <c r="G341" s="991" t="n"/>
      <c r="H341" s="988" t="n"/>
      <c r="I341" s="988" t="n"/>
      <c r="J341" s="987" t="n"/>
      <c r="K341" s="18" t="n"/>
      <c r="L341" s="18" t="n"/>
    </row>
    <row r="342" ht="16.4" customHeight="1" s="828">
      <c r="A342" s="722" t="n"/>
      <c r="B342" s="989" t="n"/>
      <c r="C342" s="963" t="n"/>
      <c r="D342" s="989" t="n"/>
      <c r="E342" s="963" t="n"/>
      <c r="F342" s="989" t="n"/>
      <c r="G342" s="991" t="n"/>
      <c r="H342" s="988" t="n"/>
      <c r="I342" s="988" t="n"/>
      <c r="J342" s="987" t="n"/>
      <c r="K342" s="18" t="n"/>
      <c r="L342" s="18" t="n"/>
    </row>
    <row r="343" ht="16.4" customHeight="1" s="828">
      <c r="A343" s="722" t="n"/>
      <c r="B343" s="989" t="n"/>
      <c r="C343" s="963" t="n"/>
      <c r="D343" s="989" t="n"/>
      <c r="E343" s="963" t="n"/>
      <c r="F343" s="989" t="n"/>
      <c r="G343" s="991" t="n"/>
      <c r="H343" s="988" t="n"/>
      <c r="I343" s="988" t="n"/>
      <c r="J343" s="987" t="n"/>
      <c r="K343" s="18" t="n"/>
      <c r="L343" s="18" t="n"/>
    </row>
    <row r="344" ht="16.4" customHeight="1" s="828">
      <c r="A344" s="722" t="n"/>
      <c r="B344" s="989" t="n"/>
      <c r="C344" s="963" t="n"/>
      <c r="D344" s="989" t="n"/>
      <c r="E344" s="963" t="n"/>
      <c r="F344" s="989" t="n"/>
      <c r="G344" s="991" t="n"/>
      <c r="H344" s="988" t="n"/>
      <c r="I344" s="988" t="n"/>
      <c r="J344" s="987" t="n"/>
      <c r="K344" s="18" t="n"/>
      <c r="L344" s="18" t="n"/>
    </row>
    <row r="345" ht="16.4" customHeight="1" s="828">
      <c r="A345" s="722" t="n"/>
      <c r="B345" s="989" t="n"/>
      <c r="C345" s="963" t="n"/>
      <c r="D345" s="989" t="n"/>
      <c r="E345" s="963" t="n"/>
      <c r="F345" s="989" t="n"/>
      <c r="G345" s="991" t="n"/>
      <c r="H345" s="988" t="n"/>
      <c r="I345" s="988" t="n"/>
      <c r="J345" s="987" t="n"/>
      <c r="K345" s="18" t="n"/>
      <c r="L345" s="18" t="n"/>
    </row>
    <row r="346" ht="16.4" customHeight="1" s="828">
      <c r="A346" s="722" t="n"/>
      <c r="B346" s="989" t="n"/>
      <c r="C346" s="963" t="n"/>
      <c r="D346" s="989" t="n"/>
      <c r="E346" s="963" t="n"/>
      <c r="F346" s="989" t="n"/>
      <c r="G346" s="991" t="n"/>
      <c r="H346" s="988" t="n"/>
      <c r="I346" s="988" t="n"/>
      <c r="J346" s="987" t="n"/>
      <c r="K346" s="18" t="n"/>
      <c r="L346" s="18" t="n"/>
    </row>
    <row r="347" ht="16.4" customHeight="1" s="828">
      <c r="A347" s="722" t="n"/>
      <c r="B347" s="989" t="n"/>
      <c r="C347" s="963" t="n"/>
      <c r="D347" s="989" t="n"/>
      <c r="E347" s="963" t="n"/>
      <c r="F347" s="989" t="n"/>
      <c r="G347" s="991" t="n"/>
      <c r="H347" s="988" t="n"/>
      <c r="I347" s="988" t="n"/>
      <c r="J347" s="987" t="n"/>
      <c r="K347" s="18" t="n"/>
      <c r="L347" s="18" t="n"/>
    </row>
    <row r="348" ht="16.4" customHeight="1" s="828">
      <c r="A348" s="722" t="n"/>
      <c r="B348" s="989" t="n"/>
      <c r="C348" s="963" t="n"/>
      <c r="D348" s="989" t="n"/>
      <c r="E348" s="963" t="n"/>
      <c r="F348" s="989" t="n"/>
      <c r="G348" s="991" t="n"/>
      <c r="H348" s="988" t="n"/>
      <c r="I348" s="988" t="n"/>
      <c r="J348" s="987" t="n"/>
      <c r="K348" s="18" t="n"/>
      <c r="L348" s="18" t="n"/>
    </row>
    <row r="349" ht="16.4" customHeight="1" s="828">
      <c r="A349" s="722" t="n"/>
      <c r="B349" s="989" t="n"/>
      <c r="C349" s="963" t="n"/>
      <c r="D349" s="989" t="n"/>
      <c r="E349" s="963" t="n"/>
      <c r="F349" s="989" t="n"/>
      <c r="G349" s="991" t="n"/>
      <c r="H349" s="988" t="n"/>
      <c r="I349" s="988" t="n"/>
      <c r="J349" s="987" t="n"/>
      <c r="K349" s="18" t="n"/>
      <c r="L349" s="18" t="n"/>
    </row>
    <row r="350" ht="16.4" customHeight="1" s="828">
      <c r="A350" s="722" t="n"/>
      <c r="B350" s="989" t="n"/>
      <c r="C350" s="963" t="n"/>
      <c r="D350" s="989" t="n"/>
      <c r="E350" s="963" t="n"/>
      <c r="F350" s="989" t="n"/>
      <c r="G350" s="991" t="n"/>
      <c r="H350" s="988" t="n"/>
      <c r="I350" s="988" t="n"/>
      <c r="J350" s="987" t="n"/>
      <c r="K350" s="18" t="n"/>
      <c r="L350" s="18" t="n"/>
    </row>
    <row r="351" ht="16.4" customHeight="1" s="828">
      <c r="A351" s="722" t="n"/>
      <c r="B351" s="989" t="n"/>
      <c r="C351" s="963" t="n"/>
      <c r="D351" s="989" t="n"/>
      <c r="E351" s="963" t="n"/>
      <c r="F351" s="989" t="n"/>
      <c r="G351" s="991" t="n"/>
      <c r="H351" s="988" t="n"/>
      <c r="I351" s="988" t="n"/>
      <c r="J351" s="987" t="n"/>
      <c r="K351" s="18" t="n"/>
      <c r="L351" s="18" t="n"/>
    </row>
    <row r="352" ht="16.4" customHeight="1" s="828">
      <c r="A352" s="722" t="n"/>
      <c r="B352" s="989" t="n"/>
      <c r="C352" s="963" t="n"/>
      <c r="D352" s="989" t="n"/>
      <c r="E352" s="963" t="n"/>
      <c r="F352" s="989" t="n"/>
      <c r="G352" s="991" t="n"/>
      <c r="H352" s="988" t="n"/>
      <c r="I352" s="988" t="n"/>
      <c r="J352" s="987" t="n"/>
      <c r="K352" s="18" t="n"/>
      <c r="L352" s="18" t="n"/>
    </row>
    <row r="353" ht="16.4" customHeight="1" s="828">
      <c r="A353" s="722" t="n"/>
      <c r="B353" s="989" t="n"/>
      <c r="C353" s="963" t="n"/>
      <c r="D353" s="989" t="n"/>
      <c r="E353" s="963" t="n"/>
      <c r="F353" s="989" t="n"/>
      <c r="G353" s="991" t="n"/>
      <c r="H353" s="988" t="n"/>
      <c r="I353" s="988" t="n"/>
      <c r="J353" s="987" t="n"/>
      <c r="K353" s="18" t="n"/>
      <c r="L353" s="18" t="n"/>
    </row>
    <row r="354" ht="16.4" customHeight="1" s="828">
      <c r="A354" s="722" t="n"/>
      <c r="B354" s="989" t="n"/>
      <c r="C354" s="963" t="n"/>
      <c r="D354" s="989" t="n"/>
      <c r="E354" s="963" t="n"/>
      <c r="F354" s="989" t="n"/>
      <c r="G354" s="991" t="n"/>
      <c r="H354" s="988" t="n"/>
      <c r="I354" s="988" t="n"/>
      <c r="J354" s="987" t="n"/>
      <c r="K354" s="18" t="n"/>
      <c r="L354" s="18" t="n"/>
    </row>
    <row r="355" ht="16.4" customHeight="1" s="828">
      <c r="A355" s="722" t="n"/>
      <c r="B355" s="989" t="n"/>
      <c r="C355" s="963" t="n"/>
      <c r="D355" s="989" t="n"/>
      <c r="E355" s="963" t="n"/>
      <c r="F355" s="989" t="n"/>
      <c r="G355" s="991" t="n"/>
      <c r="H355" s="988" t="n"/>
      <c r="I355" s="988" t="n"/>
      <c r="J355" s="987" t="n"/>
      <c r="K355" s="18" t="n"/>
      <c r="L355" s="18" t="n"/>
    </row>
    <row r="356" ht="16.4" customHeight="1" s="828">
      <c r="A356" s="722" t="n"/>
      <c r="B356" s="989" t="n"/>
      <c r="C356" s="963" t="n"/>
      <c r="D356" s="989" t="n"/>
      <c r="E356" s="963" t="n"/>
      <c r="F356" s="989" t="n"/>
      <c r="G356" s="991" t="n"/>
      <c r="H356" s="988" t="n"/>
      <c r="I356" s="988" t="n"/>
      <c r="J356" s="987" t="n"/>
      <c r="K356" s="18" t="n"/>
      <c r="L356" s="18" t="n"/>
    </row>
    <row r="357" ht="16.4" customHeight="1" s="828">
      <c r="A357" s="722" t="n"/>
      <c r="B357" s="989" t="n"/>
      <c r="C357" s="963" t="n"/>
      <c r="D357" s="989" t="n"/>
      <c r="E357" s="963" t="n"/>
      <c r="F357" s="989" t="n"/>
      <c r="G357" s="991" t="n"/>
      <c r="H357" s="988" t="n"/>
      <c r="I357" s="988" t="n"/>
      <c r="J357" s="987" t="n"/>
      <c r="K357" s="18" t="n"/>
      <c r="L357" s="18" t="n"/>
    </row>
    <row r="358" ht="16.4" customHeight="1" s="828">
      <c r="A358" s="722" t="n"/>
      <c r="B358" s="989" t="n"/>
      <c r="C358" s="963" t="n"/>
      <c r="D358" s="989" t="n"/>
      <c r="E358" s="963" t="n"/>
      <c r="F358" s="989" t="n"/>
      <c r="G358" s="991" t="n"/>
      <c r="H358" s="988" t="n"/>
      <c r="I358" s="988" t="n"/>
      <c r="J358" s="987" t="n"/>
      <c r="K358" s="18" t="n"/>
      <c r="L358" s="18" t="n"/>
    </row>
    <row r="359" ht="16.4" customHeight="1" s="828">
      <c r="A359" s="722" t="n"/>
      <c r="B359" s="989" t="n"/>
      <c r="C359" s="963" t="n"/>
      <c r="D359" s="989" t="n"/>
      <c r="E359" s="963" t="n"/>
      <c r="F359" s="989" t="n"/>
      <c r="G359" s="991" t="n"/>
      <c r="H359" s="988" t="n"/>
      <c r="I359" s="988" t="n"/>
      <c r="J359" s="987" t="n"/>
      <c r="K359" s="18" t="n"/>
      <c r="L359" s="18" t="n"/>
    </row>
    <row r="360" ht="16.4" customHeight="1" s="828">
      <c r="A360" s="722" t="n"/>
      <c r="B360" s="989" t="n"/>
      <c r="C360" s="963" t="n"/>
      <c r="D360" s="989" t="n"/>
      <c r="E360" s="963" t="n"/>
      <c r="F360" s="989" t="n"/>
      <c r="G360" s="991" t="n"/>
      <c r="H360" s="988" t="n"/>
      <c r="I360" s="988" t="n"/>
      <c r="J360" s="987" t="n"/>
      <c r="K360" s="18" t="n"/>
      <c r="L360" s="18" t="n"/>
    </row>
    <row r="361" ht="16.4" customHeight="1" s="828">
      <c r="A361" s="722" t="n"/>
      <c r="B361" s="989" t="n"/>
      <c r="C361" s="963" t="n"/>
      <c r="D361" s="989" t="n"/>
      <c r="E361" s="963" t="n"/>
      <c r="F361" s="989" t="n"/>
      <c r="G361" s="991" t="n"/>
      <c r="H361" s="988" t="n"/>
      <c r="I361" s="988" t="n"/>
      <c r="J361" s="987" t="n"/>
      <c r="K361" s="18" t="n"/>
      <c r="L361" s="18" t="n"/>
    </row>
    <row r="362" ht="16.4" customHeight="1" s="828">
      <c r="A362" s="722" t="n"/>
      <c r="B362" s="989" t="n"/>
      <c r="C362" s="963" t="n"/>
      <c r="D362" s="989" t="n"/>
      <c r="E362" s="963" t="n"/>
      <c r="F362" s="989" t="n"/>
      <c r="G362" s="991" t="n"/>
      <c r="H362" s="988" t="n"/>
      <c r="I362" s="988" t="n"/>
      <c r="J362" s="987" t="n"/>
      <c r="K362" s="18" t="n"/>
      <c r="L362" s="18" t="n"/>
    </row>
    <row r="363" ht="16.4" customHeight="1" s="828">
      <c r="A363" s="722" t="n"/>
      <c r="B363" s="989" t="n"/>
      <c r="C363" s="963" t="n"/>
      <c r="D363" s="989" t="n"/>
      <c r="E363" s="963" t="n"/>
      <c r="F363" s="989" t="n"/>
      <c r="G363" s="991" t="n"/>
      <c r="H363" s="988" t="n"/>
      <c r="I363" s="988" t="n"/>
      <c r="J363" s="987" t="n"/>
      <c r="K363" s="18" t="n"/>
      <c r="L363" s="18" t="n"/>
    </row>
    <row r="364" ht="16.4" customHeight="1" s="828">
      <c r="A364" s="722" t="n"/>
      <c r="B364" s="989" t="n"/>
      <c r="C364" s="963" t="n"/>
      <c r="D364" s="989" t="n"/>
      <c r="E364" s="963" t="n"/>
      <c r="F364" s="989" t="n"/>
      <c r="G364" s="991" t="n"/>
      <c r="H364" s="988" t="n"/>
      <c r="I364" s="988" t="n"/>
      <c r="J364" s="987" t="n"/>
      <c r="K364" s="18" t="n"/>
      <c r="L364" s="18" t="n"/>
    </row>
    <row r="365" ht="16.4" customHeight="1" s="828">
      <c r="A365" s="722" t="n"/>
      <c r="B365" s="989" t="n"/>
      <c r="C365" s="963" t="n"/>
      <c r="D365" s="989" t="n"/>
      <c r="E365" s="963" t="n"/>
      <c r="F365" s="989" t="n"/>
      <c r="G365" s="991" t="n"/>
      <c r="H365" s="988" t="n"/>
      <c r="I365" s="988" t="n"/>
      <c r="J365" s="987" t="n"/>
      <c r="K365" s="18" t="n"/>
      <c r="L365" s="18" t="n"/>
    </row>
    <row r="366" ht="16.4" customHeight="1" s="828">
      <c r="A366" s="722" t="n"/>
      <c r="B366" s="989" t="n"/>
      <c r="C366" s="963" t="n"/>
      <c r="D366" s="989" t="n"/>
      <c r="E366" s="963" t="n"/>
      <c r="F366" s="989" t="n"/>
      <c r="G366" s="991" t="n"/>
      <c r="H366" s="988" t="n"/>
      <c r="I366" s="988" t="n"/>
      <c r="J366" s="987" t="n"/>
      <c r="K366" s="18" t="n"/>
      <c r="L366" s="18" t="n"/>
    </row>
    <row r="367" ht="16.4" customHeight="1" s="828">
      <c r="A367" s="722" t="n"/>
      <c r="B367" s="989" t="n"/>
      <c r="C367" s="963" t="n"/>
      <c r="D367" s="989" t="n"/>
      <c r="E367" s="963" t="n"/>
      <c r="F367" s="989" t="n"/>
      <c r="G367" s="991" t="n"/>
      <c r="H367" s="986" t="n"/>
      <c r="I367" s="986" t="n"/>
      <c r="J367" s="995" t="n"/>
      <c r="K367" s="25" t="n"/>
      <c r="L367" s="25" t="n"/>
    </row>
    <row r="368" ht="16.4" customHeight="1" s="828">
      <c r="A368" s="722" t="n"/>
      <c r="B368" s="989" t="n"/>
      <c r="C368" s="963" t="n"/>
      <c r="D368" s="989" t="n"/>
      <c r="E368" s="963" t="n"/>
      <c r="F368" s="989" t="n"/>
      <c r="G368" s="991" t="n"/>
      <c r="H368" s="996" t="n"/>
      <c r="I368" s="996" t="n"/>
      <c r="J368" s="996" t="n"/>
      <c r="K368" s="25" t="n"/>
      <c r="L368" s="25" t="n"/>
    </row>
    <row r="369" ht="16.4" customHeight="1" s="828">
      <c r="A369" s="722" t="n"/>
      <c r="B369" s="989" t="n"/>
      <c r="C369" s="963" t="n"/>
      <c r="D369" s="989" t="n"/>
      <c r="E369" s="963" t="n"/>
      <c r="F369" s="989" t="n"/>
      <c r="G369" s="991" t="n"/>
      <c r="H369" s="996" t="n"/>
      <c r="I369" s="996" t="n"/>
      <c r="J369" s="996" t="n"/>
      <c r="K369" s="25" t="n"/>
      <c r="L369" s="25" t="n"/>
    </row>
    <row r="370" ht="16.4" customHeight="1" s="828">
      <c r="A370" s="722" t="n"/>
      <c r="B370" s="989" t="n"/>
      <c r="C370" s="963" t="n"/>
      <c r="D370" s="989" t="n"/>
      <c r="E370" s="963" t="n"/>
      <c r="F370" s="989" t="n"/>
      <c r="G370" s="991" t="n"/>
      <c r="H370" s="996" t="n"/>
      <c r="I370" s="996" t="n"/>
      <c r="J370" s="996" t="n"/>
      <c r="K370" s="25" t="n"/>
      <c r="L370" s="25" t="n"/>
    </row>
    <row r="371" ht="16.4" customHeight="1" s="828">
      <c r="A371" s="722" t="n"/>
      <c r="B371" s="989" t="n"/>
      <c r="C371" s="963" t="n"/>
      <c r="D371" s="989" t="n"/>
      <c r="E371" s="963" t="n"/>
      <c r="F371" s="989" t="n"/>
      <c r="G371" s="991" t="n"/>
      <c r="H371" s="116" t="n"/>
      <c r="I371" s="116" t="n"/>
      <c r="J371" s="116" t="n"/>
      <c r="K371" s="116" t="n"/>
      <c r="L371" s="18" t="n"/>
    </row>
    <row r="372" ht="16.4" customHeight="1" s="828">
      <c r="A372" s="722" t="n"/>
      <c r="B372" s="989" t="n"/>
      <c r="C372" s="963" t="n"/>
      <c r="D372" s="989" t="n"/>
      <c r="E372" s="963" t="n"/>
      <c r="F372" s="989" t="n"/>
      <c r="G372" s="991" t="n"/>
      <c r="H372" s="187" t="n"/>
      <c r="I372" s="187" t="n"/>
      <c r="J372" s="187" t="n"/>
      <c r="K372" s="187" t="n"/>
      <c r="L372" s="187" t="n"/>
      <c r="M372" s="187" t="n"/>
    </row>
    <row r="373" ht="16.4" customHeight="1" s="828">
      <c r="A373" s="722" t="n"/>
      <c r="B373" s="989" t="n"/>
      <c r="C373" s="963" t="n"/>
      <c r="D373" s="989" t="n"/>
      <c r="E373" s="963" t="n"/>
      <c r="F373" s="989" t="n"/>
      <c r="G373" s="991" t="n"/>
      <c r="H373" s="968" t="n"/>
      <c r="I373" s="968" t="n"/>
      <c r="J373" s="968" t="n"/>
    </row>
    <row r="374" ht="16.4" customHeight="1" s="828">
      <c r="A374" s="722" t="n"/>
      <c r="B374" s="989" t="n"/>
      <c r="C374" s="963" t="n"/>
      <c r="D374" s="989" t="n"/>
      <c r="E374" s="963" t="n"/>
      <c r="F374" s="989" t="n"/>
      <c r="G374" s="991" t="n"/>
      <c r="H374" s="968" t="n"/>
      <c r="I374" s="968" t="n"/>
      <c r="J374" s="968" t="n"/>
    </row>
    <row r="375" ht="16.4" customHeight="1" s="828">
      <c r="A375" s="722" t="n"/>
      <c r="B375" s="989" t="n"/>
      <c r="C375" s="963" t="n"/>
      <c r="D375" s="989" t="n"/>
      <c r="E375" s="963" t="n"/>
      <c r="F375" s="989" t="n"/>
      <c r="G375" s="991" t="n"/>
      <c r="H375" s="968" t="n"/>
      <c r="I375" s="968" t="n"/>
      <c r="J375" s="968" t="n"/>
    </row>
    <row r="376" ht="16.4" customHeight="1" s="828">
      <c r="A376" s="722" t="n"/>
      <c r="B376" s="989" t="n"/>
      <c r="C376" s="963" t="n"/>
      <c r="D376" s="989" t="n"/>
      <c r="E376" s="963" t="n"/>
      <c r="F376" s="989" t="n"/>
      <c r="G376" s="991" t="n"/>
      <c r="H376" s="968" t="n"/>
      <c r="I376" s="968" t="n"/>
      <c r="J376" s="968" t="n"/>
    </row>
    <row r="377" ht="16.4" customHeight="1" s="828">
      <c r="A377" s="722" t="n"/>
      <c r="B377" s="989" t="n"/>
      <c r="C377" s="963" t="n"/>
      <c r="D377" s="989" t="n"/>
      <c r="E377" s="963" t="n"/>
      <c r="F377" s="997" t="n"/>
      <c r="G377" s="998" t="n"/>
      <c r="H377" s="968" t="n"/>
      <c r="I377" s="968" t="n"/>
      <c r="J377" s="968" t="n"/>
    </row>
    <row r="378" ht="16.4" customHeight="1" s="828">
      <c r="A378" s="722" t="n"/>
      <c r="B378" s="989" t="n"/>
      <c r="C378" s="963" t="n"/>
      <c r="D378" s="989" t="n"/>
      <c r="E378" s="963" t="n"/>
      <c r="F378" s="997" t="n"/>
      <c r="G378" s="998" t="n"/>
      <c r="H378" s="968" t="n"/>
      <c r="I378" s="968" t="n"/>
      <c r="J378" s="968" t="n"/>
    </row>
    <row r="379" ht="16.4" customHeight="1" s="828">
      <c r="A379" s="722" t="n"/>
      <c r="B379" s="989" t="n"/>
      <c r="C379" s="963" t="n"/>
      <c r="D379" s="989" t="n"/>
      <c r="E379" s="963" t="n"/>
      <c r="F379" s="989" t="n"/>
      <c r="G379" s="991" t="n"/>
      <c r="H379" s="968" t="n"/>
      <c r="I379" s="968" t="n"/>
      <c r="J379" s="968" t="n"/>
    </row>
    <row r="380" ht="16.4" customHeight="1" s="828">
      <c r="A380" s="722" t="n"/>
      <c r="B380" s="989" t="n"/>
      <c r="C380" s="963" t="n"/>
      <c r="D380" s="989" t="n"/>
      <c r="E380" s="963" t="n"/>
      <c r="F380" s="989" t="n"/>
      <c r="G380" s="991" t="n"/>
      <c r="H380" s="968" t="n"/>
      <c r="I380" s="968" t="n"/>
      <c r="J380" s="968" t="n"/>
    </row>
    <row r="381" ht="16.4" customHeight="1" s="828">
      <c r="A381" s="722" t="n"/>
      <c r="B381" s="989" t="n"/>
      <c r="C381" s="963" t="n"/>
      <c r="D381" s="989" t="n"/>
      <c r="E381" s="963" t="n"/>
      <c r="F381" s="989" t="n"/>
      <c r="G381" s="991" t="n"/>
      <c r="H381" s="968" t="n"/>
      <c r="I381" s="968" t="n"/>
      <c r="J381" s="968" t="n"/>
    </row>
    <row r="382" ht="16.4" customHeight="1" s="828">
      <c r="A382" s="722" t="n"/>
      <c r="B382" s="989" t="n"/>
      <c r="C382" s="963" t="n"/>
      <c r="D382" s="989" t="n"/>
      <c r="E382" s="963" t="n"/>
      <c r="F382" s="997" t="n"/>
      <c r="G382" s="998" t="n"/>
      <c r="H382" s="968" t="n"/>
      <c r="I382" s="968" t="n"/>
      <c r="J382" s="968" t="n"/>
    </row>
    <row r="383" ht="16.4" customHeight="1" s="828">
      <c r="A383" s="722" t="n"/>
      <c r="B383" s="989" t="n"/>
      <c r="C383" s="963" t="n"/>
      <c r="D383" s="989" t="n"/>
      <c r="E383" s="963" t="n"/>
      <c r="F383" s="989" t="n"/>
      <c r="G383" s="991" t="n"/>
      <c r="H383" s="968" t="n"/>
      <c r="I383" s="968" t="n"/>
      <c r="J383" s="968" t="n"/>
    </row>
    <row r="384" ht="16.4" customHeight="1" s="828">
      <c r="A384" s="722" t="n"/>
      <c r="B384" s="989" t="n"/>
      <c r="C384" s="963" t="n"/>
      <c r="D384" s="989" t="n"/>
      <c r="E384" s="963" t="n"/>
      <c r="F384" s="989" t="n"/>
      <c r="G384" s="991" t="n"/>
      <c r="H384" s="968" t="n"/>
      <c r="I384" s="968" t="n"/>
      <c r="J384" s="968" t="n"/>
    </row>
    <row r="385" ht="16.4" customHeight="1" s="828">
      <c r="A385" s="722" t="n"/>
      <c r="B385" s="989" t="n"/>
      <c r="C385" s="963" t="n"/>
      <c r="D385" s="989" t="n"/>
      <c r="E385" s="963" t="n"/>
      <c r="F385" s="989" t="n"/>
      <c r="G385" s="991" t="n"/>
      <c r="H385" s="968" t="n"/>
      <c r="I385" s="968" t="n"/>
      <c r="J385" s="968" t="n"/>
    </row>
    <row r="386" ht="16.4" customHeight="1" s="828">
      <c r="A386" s="722" t="n"/>
      <c r="B386" s="989" t="n"/>
      <c r="C386" s="963" t="n"/>
      <c r="D386" s="989" t="n"/>
      <c r="E386" s="963" t="n"/>
      <c r="F386" s="989" t="n"/>
      <c r="G386" s="991" t="n"/>
      <c r="H386" s="968" t="n"/>
      <c r="I386" s="968" t="n"/>
      <c r="J386" s="968" t="n"/>
    </row>
    <row r="387" ht="16.4" customHeight="1" s="828">
      <c r="A387" s="722" t="n"/>
      <c r="B387" s="989" t="n"/>
      <c r="C387" s="963" t="n"/>
      <c r="D387" s="989" t="n"/>
      <c r="E387" s="963" t="n"/>
      <c r="F387" s="997" t="n"/>
      <c r="G387" s="998" t="n"/>
      <c r="H387" s="968" t="n"/>
      <c r="I387" s="968" t="n"/>
      <c r="J387" s="968" t="n"/>
    </row>
    <row r="388" ht="16.4" customHeight="1" s="828">
      <c r="A388" s="722" t="n"/>
      <c r="B388" s="989" t="n"/>
      <c r="C388" s="963" t="n"/>
      <c r="D388" s="989" t="n"/>
      <c r="E388" s="963" t="n"/>
      <c r="F388" s="997" t="n"/>
      <c r="G388" s="998" t="n"/>
      <c r="H388" s="968" t="n"/>
      <c r="I388" s="968" t="n"/>
      <c r="J388" s="968" t="n"/>
    </row>
    <row r="389" ht="16.4" customHeight="1" s="828">
      <c r="A389" s="722" t="n"/>
      <c r="B389" s="989" t="n"/>
      <c r="C389" s="963" t="n"/>
      <c r="D389" s="989" t="n"/>
      <c r="E389" s="963" t="n"/>
      <c r="F389" s="997" t="n"/>
      <c r="G389" s="998" t="n"/>
      <c r="H389" s="968" t="n"/>
      <c r="I389" s="968" t="n"/>
      <c r="J389" s="968" t="n"/>
    </row>
    <row r="390" ht="16.4" customHeight="1" s="828">
      <c r="A390" s="722" t="n"/>
      <c r="B390" s="989" t="n"/>
      <c r="C390" s="963" t="n"/>
      <c r="D390" s="989" t="n"/>
      <c r="E390" s="963" t="n"/>
      <c r="F390" s="997" t="n"/>
      <c r="G390" s="998" t="n"/>
      <c r="H390" s="968" t="n"/>
      <c r="I390" s="968" t="n"/>
      <c r="J390" s="968" t="n"/>
    </row>
    <row r="391" ht="16.4" customHeight="1" s="828">
      <c r="A391" s="722" t="n"/>
      <c r="B391" s="989" t="n"/>
      <c r="C391" s="963" t="n"/>
      <c r="D391" s="989" t="n"/>
      <c r="E391" s="963" t="n"/>
      <c r="F391" s="989" t="n"/>
      <c r="G391" s="991" t="n"/>
      <c r="H391" s="968" t="n"/>
      <c r="I391" s="968" t="n"/>
      <c r="J391" s="968" t="n"/>
    </row>
    <row r="392" ht="16.4" customHeight="1" s="828">
      <c r="A392" s="722" t="n"/>
      <c r="B392" s="989" t="n"/>
      <c r="C392" s="963" t="n"/>
      <c r="D392" s="989" t="n"/>
      <c r="E392" s="963" t="n"/>
      <c r="F392" s="989" t="n"/>
      <c r="G392" s="991" t="n"/>
      <c r="H392" s="968" t="n"/>
      <c r="I392" s="968" t="n"/>
      <c r="J392" s="968" t="n"/>
    </row>
    <row r="393" ht="16.4" customHeight="1" s="828">
      <c r="A393" s="722" t="n"/>
      <c r="B393" s="989" t="n"/>
      <c r="C393" s="963" t="n"/>
      <c r="D393" s="989" t="n"/>
      <c r="E393" s="963" t="n"/>
      <c r="F393" s="997" t="n"/>
      <c r="G393" s="998" t="n"/>
      <c r="H393" s="968" t="n"/>
      <c r="I393" s="968" t="n"/>
      <c r="J393" s="968" t="n"/>
    </row>
    <row r="394" ht="16.4" customHeight="1" s="828">
      <c r="A394" s="722" t="n"/>
      <c r="B394" s="989" t="n"/>
      <c r="C394" s="963" t="n"/>
      <c r="D394" s="997" t="n"/>
      <c r="E394" s="967" t="n"/>
      <c r="F394" s="997" t="n"/>
      <c r="G394" s="998" t="n"/>
      <c r="H394" s="968" t="n"/>
      <c r="I394" s="968" t="n"/>
      <c r="J394" s="968" t="n"/>
    </row>
    <row r="395" ht="16.4" customHeight="1" s="828">
      <c r="A395" s="722" t="n"/>
      <c r="B395" s="989" t="n"/>
      <c r="C395" s="963" t="n"/>
      <c r="D395" s="997" t="n"/>
      <c r="E395" s="967" t="n"/>
      <c r="F395" s="997" t="n"/>
      <c r="G395" s="998" t="n"/>
      <c r="H395" s="968" t="n"/>
      <c r="I395" s="968" t="n"/>
      <c r="J395" s="968" t="n"/>
    </row>
    <row r="396" ht="16.4" customHeight="1" s="828">
      <c r="A396" s="722" t="n"/>
      <c r="B396" s="989" t="n"/>
      <c r="C396" s="963" t="n"/>
      <c r="D396" s="989" t="n"/>
      <c r="E396" s="963" t="n"/>
      <c r="F396" s="997" t="n"/>
      <c r="G396" s="998" t="n"/>
      <c r="H396" s="968" t="n"/>
      <c r="I396" s="968" t="n"/>
      <c r="J396" s="968" t="n"/>
    </row>
    <row r="397" ht="16.4" customHeight="1" s="828">
      <c r="A397" s="722" t="n"/>
      <c r="B397" s="989" t="n"/>
      <c r="C397" s="963" t="n"/>
      <c r="D397" s="989" t="n"/>
      <c r="E397" s="963" t="n"/>
      <c r="F397" s="989" t="n"/>
      <c r="G397" s="991" t="n"/>
      <c r="H397" s="968" t="n"/>
      <c r="I397" s="968" t="n"/>
      <c r="J397" s="968" t="n"/>
    </row>
    <row r="398" ht="16.4" customHeight="1" s="828">
      <c r="A398" s="722" t="n"/>
      <c r="B398" s="989" t="n"/>
      <c r="C398" s="963" t="n"/>
      <c r="D398" s="989" t="n"/>
      <c r="E398" s="963" t="n"/>
      <c r="F398" s="989" t="n"/>
      <c r="G398" s="991" t="n"/>
      <c r="H398" s="968" t="n"/>
      <c r="I398" s="968" t="n"/>
      <c r="J398" s="968" t="n"/>
    </row>
    <row r="399" ht="16.4" customHeight="1" s="828">
      <c r="A399" s="722" t="n"/>
      <c r="B399" s="989" t="n"/>
      <c r="C399" s="963" t="n"/>
      <c r="D399" s="989" t="n"/>
      <c r="E399" s="963" t="n"/>
      <c r="F399" s="989" t="n"/>
      <c r="G399" s="991" t="n"/>
      <c r="H399" s="968" t="n"/>
      <c r="I399" s="968" t="n"/>
      <c r="J399" s="968" t="n"/>
    </row>
    <row r="400" ht="16.4" customHeight="1" s="828">
      <c r="A400" s="722" t="n"/>
      <c r="B400" s="989" t="n"/>
      <c r="C400" s="963" t="n"/>
      <c r="D400" s="989" t="n"/>
      <c r="E400" s="963" t="n"/>
      <c r="F400" s="997" t="n"/>
      <c r="G400" s="998" t="n"/>
      <c r="H400" s="968" t="n"/>
      <c r="I400" s="968" t="n"/>
      <c r="J400" s="968" t="n"/>
    </row>
    <row r="401" ht="16.4" customHeight="1" s="828">
      <c r="A401" s="722" t="n"/>
      <c r="B401" s="989" t="n"/>
      <c r="C401" s="963" t="n"/>
      <c r="D401" s="989" t="n"/>
      <c r="E401" s="963" t="n"/>
      <c r="F401" s="997" t="n"/>
      <c r="G401" s="998" t="n"/>
      <c r="H401" s="968" t="n"/>
      <c r="I401" s="968" t="n"/>
      <c r="J401" s="968" t="n"/>
    </row>
    <row r="402" ht="16.4" customHeight="1" s="828">
      <c r="A402" s="722" t="n"/>
      <c r="B402" s="989" t="n"/>
      <c r="C402" s="963" t="n"/>
      <c r="D402" s="989" t="n"/>
      <c r="E402" s="963" t="n"/>
      <c r="F402" s="997" t="n"/>
      <c r="G402" s="998" t="n"/>
      <c r="H402" s="968" t="n"/>
      <c r="I402" s="968" t="n"/>
      <c r="J402" s="968" t="n"/>
    </row>
    <row r="403" ht="16.4" customHeight="1" s="828">
      <c r="A403" s="722" t="n"/>
      <c r="B403" s="989" t="n"/>
      <c r="C403" s="963" t="n"/>
      <c r="D403" s="989" t="n"/>
      <c r="E403" s="963" t="n"/>
      <c r="F403" s="989" t="n"/>
      <c r="G403" s="991" t="n"/>
      <c r="H403" s="968" t="n"/>
      <c r="I403" s="968" t="n"/>
      <c r="J403" s="968" t="n"/>
    </row>
    <row r="404" ht="16.4" customHeight="1" s="828">
      <c r="A404" s="722" t="n"/>
      <c r="B404" s="989" t="n"/>
      <c r="C404" s="963" t="n"/>
      <c r="D404" s="989" t="n"/>
      <c r="E404" s="963" t="n"/>
      <c r="F404" s="989" t="n"/>
      <c r="G404" s="991" t="n"/>
      <c r="H404" s="968" t="n"/>
      <c r="I404" s="968" t="n"/>
      <c r="J404" s="968" t="n"/>
    </row>
    <row r="405" ht="16.4" customHeight="1" s="828">
      <c r="A405" s="722" t="n"/>
      <c r="B405" s="989" t="n"/>
      <c r="C405" s="963" t="n"/>
      <c r="D405" s="989" t="n"/>
      <c r="E405" s="963" t="n"/>
      <c r="F405" s="989" t="n"/>
      <c r="G405" s="991" t="n"/>
      <c r="H405" s="968" t="n"/>
      <c r="I405" s="968" t="n"/>
      <c r="J405" s="968" t="n"/>
    </row>
    <row r="406" ht="16.4" customHeight="1" s="828">
      <c r="A406" s="722" t="n"/>
      <c r="B406" s="989" t="n"/>
      <c r="C406" s="963" t="n"/>
      <c r="D406" s="989" t="n"/>
      <c r="E406" s="963" t="n"/>
      <c r="F406" s="989" t="n"/>
      <c r="G406" s="991" t="n"/>
      <c r="H406" s="968" t="n"/>
      <c r="I406" s="968" t="n"/>
      <c r="J406" s="968" t="n"/>
    </row>
    <row r="407" ht="16" customHeight="1" s="828">
      <c r="A407" s="722" t="n"/>
      <c r="B407" s="989" t="n"/>
      <c r="C407" s="963" t="n"/>
      <c r="D407" s="989" t="n"/>
      <c r="E407" s="963" t="n"/>
      <c r="F407" s="989" t="n"/>
      <c r="G407" s="991" t="n"/>
      <c r="H407" s="968" t="n"/>
      <c r="I407" s="968" t="n"/>
      <c r="J407" s="968" t="n"/>
    </row>
    <row r="408" ht="12.5" customHeight="1" s="828">
      <c r="A408" s="722" t="n"/>
      <c r="B408" s="989" t="n"/>
      <c r="C408" s="963" t="n"/>
      <c r="D408" s="989" t="n"/>
      <c r="E408" s="963" t="n"/>
      <c r="F408" s="989" t="n"/>
      <c r="G408" s="991" t="n"/>
      <c r="L408" s="978" t="n"/>
    </row>
    <row r="409" ht="12.5" customHeight="1" s="828">
      <c r="A409" s="722" t="n"/>
      <c r="B409" s="989" t="n"/>
      <c r="C409" s="963" t="n"/>
      <c r="D409" s="989" t="n"/>
      <c r="E409" s="963" t="n"/>
      <c r="F409" s="989" t="n"/>
      <c r="G409" s="991" t="n"/>
      <c r="L409" s="978" t="n"/>
    </row>
    <row r="410" ht="12.5" customHeight="1" s="828">
      <c r="A410" s="722" t="n"/>
      <c r="B410" s="989" t="n"/>
      <c r="C410" s="963" t="n"/>
      <c r="D410" s="989" t="n"/>
      <c r="E410" s="963" t="n"/>
      <c r="F410" s="989" t="n"/>
      <c r="G410" s="991" t="n"/>
    </row>
    <row r="411" ht="12.5" customHeight="1" s="828">
      <c r="A411" s="722" t="n"/>
      <c r="B411" s="989" t="n"/>
      <c r="C411" s="963" t="n"/>
      <c r="D411" s="989" t="n"/>
      <c r="E411" s="963" t="n"/>
      <c r="F411" s="989" t="n"/>
      <c r="G411" s="991" t="n"/>
    </row>
    <row r="412" ht="12.5" customHeight="1" s="828">
      <c r="A412" s="722" t="n"/>
      <c r="B412" s="989" t="n"/>
      <c r="C412" s="963" t="n"/>
      <c r="D412" s="989" t="n"/>
      <c r="E412" s="963" t="n"/>
      <c r="F412" s="989" t="n"/>
      <c r="G412" s="991" t="n"/>
    </row>
    <row r="413" ht="12.5" customHeight="1" s="828">
      <c r="A413" s="722" t="n"/>
      <c r="B413" s="989" t="n"/>
      <c r="C413" s="963" t="n"/>
      <c r="D413" s="989" t="n"/>
      <c r="E413" s="963" t="n"/>
      <c r="F413" s="989" t="n"/>
      <c r="G413" s="991" t="n"/>
    </row>
    <row r="414" ht="12.5" customHeight="1" s="828">
      <c r="A414" s="722" t="n"/>
      <c r="B414" s="989" t="n"/>
      <c r="C414" s="963" t="n"/>
      <c r="D414" s="989" t="n"/>
      <c r="E414" s="963" t="n"/>
      <c r="F414" s="989" t="n"/>
      <c r="G414" s="991" t="n"/>
      <c r="H414" s="999" t="n"/>
    </row>
    <row r="415" ht="16" customHeight="1" s="828">
      <c r="A415" s="722" t="n"/>
      <c r="B415" s="989" t="n"/>
      <c r="C415" s="963" t="n"/>
      <c r="D415" s="989" t="n"/>
      <c r="E415" s="963" t="n"/>
      <c r="F415" s="989" t="n"/>
      <c r="G415" s="991" t="n"/>
      <c r="H415" s="968" t="n"/>
      <c r="I415" s="968" t="n"/>
      <c r="J415" s="968" t="n"/>
    </row>
    <row r="416" ht="16" customHeight="1" s="828">
      <c r="A416" s="722" t="n"/>
      <c r="B416" s="989" t="n"/>
      <c r="C416" s="963" t="n"/>
      <c r="D416" s="989" t="n"/>
      <c r="E416" s="963" t="n"/>
      <c r="F416" s="989" t="n"/>
      <c r="G416" s="991" t="n"/>
      <c r="H416" s="968" t="n"/>
      <c r="I416" s="968" t="n"/>
      <c r="J416" s="968" t="n"/>
    </row>
    <row r="417" ht="16.4" customFormat="1" customHeight="1" s="978">
      <c r="A417" s="722" t="n"/>
      <c r="B417" s="989" t="n"/>
      <c r="C417" s="963" t="n"/>
      <c r="D417" s="989" t="n"/>
      <c r="E417" s="963" t="n"/>
      <c r="F417" s="989" t="n"/>
      <c r="G417" s="991" t="n"/>
      <c r="H417" s="968" t="n"/>
      <c r="I417" s="968" t="n"/>
      <c r="J417" s="968" t="n"/>
      <c r="N417" s="20" t="n"/>
      <c r="O417" s="20" t="n"/>
      <c r="P417" s="20" t="n"/>
      <c r="Q417" s="20" t="n"/>
      <c r="R417" s="20" t="n"/>
    </row>
    <row r="418" ht="16.4" customFormat="1" customHeight="1" s="978">
      <c r="A418" s="722" t="n"/>
      <c r="B418" s="989" t="n"/>
      <c r="C418" s="963" t="n"/>
      <c r="D418" s="989" t="n"/>
      <c r="E418" s="963" t="n"/>
      <c r="F418" s="989" t="n"/>
      <c r="G418" s="991" t="n"/>
      <c r="H418" s="1000" t="n"/>
      <c r="I418" s="968" t="n"/>
      <c r="J418" s="968" t="n"/>
      <c r="N418" s="20" t="n"/>
      <c r="O418" s="20" t="n"/>
      <c r="P418" s="20" t="n"/>
      <c r="Q418" s="20" t="n"/>
      <c r="R418" s="20" t="n"/>
    </row>
    <row r="419" ht="16.4" customFormat="1" customHeight="1" s="978">
      <c r="A419" s="714" t="n"/>
      <c r="B419" s="993" t="n"/>
      <c r="C419" s="966" t="n"/>
      <c r="D419" s="993" t="n"/>
      <c r="E419" s="966" t="n"/>
      <c r="F419" s="993" t="n"/>
      <c r="G419" s="994" t="n"/>
      <c r="H419" s="968" t="n"/>
      <c r="I419" s="968" t="n"/>
      <c r="J419" s="968" t="n"/>
      <c r="N419" s="20" t="n"/>
      <c r="O419" s="20" t="n"/>
      <c r="P419" s="20" t="n"/>
      <c r="Q419" s="20" t="n"/>
      <c r="R419" s="20" t="n"/>
    </row>
    <row r="420" ht="16.4" customFormat="1" customHeight="1" s="978">
      <c r="A420" s="1001" t="n"/>
      <c r="B420" s="996" t="n"/>
      <c r="C420" s="25" t="n"/>
      <c r="D420" s="25" t="n"/>
      <c r="E420" s="25" t="n"/>
      <c r="F420" s="25" t="n"/>
      <c r="G420" s="25" t="n"/>
      <c r="H420" s="968" t="n"/>
      <c r="I420" s="968" t="n"/>
      <c r="J420" s="968" t="n"/>
      <c r="N420" s="20" t="n"/>
      <c r="O420" s="20" t="n"/>
      <c r="P420" s="20" t="n"/>
      <c r="Q420" s="20" t="n"/>
      <c r="R420" s="20" t="n"/>
    </row>
    <row r="421" ht="16.4" customFormat="1" customHeight="1" s="978">
      <c r="A421" s="157" t="n"/>
      <c r="B421" s="968" t="n"/>
      <c r="C421" s="18" t="n"/>
      <c r="D421" s="18" t="n"/>
      <c r="E421" s="18" t="n"/>
      <c r="F421" s="18" t="n"/>
      <c r="G421" s="18" t="n"/>
      <c r="H421" s="968" t="n"/>
      <c r="I421" s="968" t="n"/>
      <c r="J421" s="968" t="n"/>
      <c r="N421" s="20" t="n"/>
      <c r="O421" s="20" t="n"/>
      <c r="P421" s="20" t="n"/>
      <c r="Q421" s="20" t="n"/>
      <c r="R421" s="20" t="n"/>
    </row>
    <row r="422" ht="16.4" customFormat="1" customHeight="1" s="978">
      <c r="A422" s="18" t="n"/>
      <c r="B422" s="18" t="n"/>
      <c r="C422" s="18" t="n"/>
      <c r="D422" s="18" t="n"/>
      <c r="E422" s="1002" t="n"/>
      <c r="F422" s="18" t="n"/>
      <c r="G422" s="1002" t="n"/>
      <c r="H422" s="968" t="n"/>
      <c r="I422" s="968" t="n"/>
      <c r="J422" s="968" t="n"/>
      <c r="N422" s="20" t="n"/>
      <c r="O422" s="20" t="n"/>
      <c r="P422" s="20" t="n"/>
      <c r="Q422" s="20" t="n"/>
      <c r="R422" s="20" t="n"/>
    </row>
    <row r="423" ht="16.4" customFormat="1" customHeight="1" s="978">
      <c r="A423" s="141" t="n"/>
      <c r="B423" s="18" t="n"/>
      <c r="C423" s="18" t="n"/>
      <c r="D423" s="18" t="n"/>
      <c r="E423" s="1002" t="n"/>
      <c r="F423" s="18" t="n"/>
      <c r="G423" s="1002" t="n"/>
      <c r="H423" s="968" t="n"/>
      <c r="I423" s="968" t="n"/>
      <c r="J423" s="968" t="n"/>
      <c r="N423" s="20" t="n"/>
      <c r="O423" s="20" t="n"/>
      <c r="P423" s="20" t="n"/>
      <c r="Q423" s="20" t="n"/>
      <c r="R423" s="20" t="n"/>
    </row>
    <row r="424" ht="16.4" customFormat="1" customHeight="1" s="978">
      <c r="A424" s="142" t="n"/>
      <c r="B424" s="18" t="n"/>
      <c r="C424" s="18" t="n"/>
      <c r="D424" s="18" t="n"/>
      <c r="E424" s="1002" t="n"/>
      <c r="F424" s="18" t="n"/>
      <c r="G424" s="1002" t="n"/>
      <c r="H424" s="968" t="n"/>
      <c r="I424" s="968" t="n"/>
      <c r="J424" s="968" t="n"/>
      <c r="N424" s="20" t="n"/>
      <c r="O424" s="20" t="n"/>
      <c r="P424" s="20" t="n"/>
      <c r="Q424" s="20" t="n"/>
      <c r="R424" s="20" t="n"/>
    </row>
    <row r="425" ht="16.4" customFormat="1" customHeight="1" s="978">
      <c r="A425" s="143" t="n"/>
      <c r="B425" s="18" t="n"/>
      <c r="C425" s="18" t="n"/>
      <c r="D425" s="18" t="n"/>
      <c r="E425" s="1002" t="n"/>
      <c r="F425" s="18" t="n"/>
      <c r="G425" s="1002" t="n"/>
      <c r="H425" s="968" t="n"/>
      <c r="I425" s="968" t="n"/>
      <c r="J425" s="968" t="n"/>
      <c r="N425" s="20" t="n"/>
      <c r="O425" s="20" t="n"/>
      <c r="P425" s="20" t="n"/>
      <c r="Q425" s="20" t="n"/>
      <c r="R425" s="20" t="n"/>
    </row>
    <row r="426" ht="16.4" customFormat="1" customHeight="1" s="978">
      <c r="A426" s="144" t="n"/>
      <c r="B426" s="18" t="n"/>
      <c r="C426" s="18" t="n"/>
      <c r="D426" s="18" t="n"/>
      <c r="E426" s="1002" t="n"/>
      <c r="F426" s="18" t="n"/>
      <c r="G426" s="1002" t="n"/>
      <c r="H426" s="968" t="n"/>
      <c r="I426" s="968" t="n"/>
      <c r="J426" s="968" t="n"/>
      <c r="N426" s="20" t="n"/>
      <c r="O426" s="20" t="n"/>
      <c r="P426" s="20" t="n"/>
      <c r="Q426" s="20" t="n"/>
      <c r="R426" s="20" t="n"/>
    </row>
    <row r="427" ht="16.4" customFormat="1" customHeight="1" s="978">
      <c r="A427" s="18" t="n"/>
      <c r="B427" s="18" t="n"/>
      <c r="C427" s="18" t="n"/>
      <c r="D427" s="18" t="n"/>
      <c r="E427" s="1002" t="n"/>
      <c r="F427" s="18" t="n"/>
      <c r="G427" s="1002" t="n"/>
      <c r="H427" s="968" t="n"/>
      <c r="I427" s="968" t="n"/>
      <c r="J427" s="968" t="n"/>
      <c r="N427" s="20" t="n"/>
      <c r="O427" s="20" t="n"/>
      <c r="P427" s="20" t="n"/>
      <c r="Q427" s="20" t="n"/>
      <c r="R427" s="20" t="n"/>
    </row>
    <row r="428" ht="16.4" customFormat="1" customHeight="1" s="978">
      <c r="A428" s="18" t="n"/>
      <c r="B428" s="18" t="n"/>
      <c r="C428" s="18" t="n"/>
      <c r="D428" s="18" t="n"/>
      <c r="E428" s="1002" t="n"/>
      <c r="F428" s="18" t="n"/>
      <c r="G428" s="1002" t="n"/>
      <c r="H428" s="968" t="n"/>
      <c r="I428" s="968" t="n"/>
      <c r="J428" s="968" t="n"/>
      <c r="N428" s="20" t="n"/>
      <c r="O428" s="20" t="n"/>
      <c r="P428" s="20" t="n"/>
      <c r="Q428" s="20" t="n"/>
      <c r="R428" s="20" t="n"/>
    </row>
    <row r="429" ht="16.4" customFormat="1" customHeight="1" s="978">
      <c r="A429" s="18" t="n"/>
      <c r="B429" s="18" t="n"/>
      <c r="C429" s="18" t="n"/>
      <c r="D429" s="18" t="n"/>
      <c r="E429" s="1002" t="n"/>
      <c r="F429" s="18" t="n"/>
      <c r="G429" s="1002" t="n"/>
      <c r="H429" s="968" t="n"/>
      <c r="I429" s="968" t="n"/>
      <c r="J429" s="968" t="n"/>
      <c r="N429" s="20" t="n"/>
      <c r="O429" s="20" t="n"/>
      <c r="P429" s="20" t="n"/>
      <c r="Q429" s="20" t="n"/>
      <c r="R429" s="20" t="n"/>
    </row>
    <row r="430" ht="16.4" customFormat="1" customHeight="1" s="978">
      <c r="A430" s="18" t="n"/>
      <c r="B430" s="18" t="n"/>
      <c r="C430" s="18" t="n"/>
      <c r="D430" s="18" t="n"/>
      <c r="E430" s="1002" t="n"/>
      <c r="F430" s="18" t="n"/>
      <c r="G430" s="1002" t="n"/>
      <c r="H430" s="968" t="n"/>
      <c r="I430" s="968" t="n"/>
      <c r="J430" s="968" t="n"/>
      <c r="N430" s="20" t="n"/>
      <c r="O430" s="20" t="n"/>
      <c r="P430" s="20" t="n"/>
      <c r="Q430" s="20" t="n"/>
      <c r="R430" s="20" t="n"/>
    </row>
    <row r="431" ht="16.4" customFormat="1" customHeight="1" s="978">
      <c r="A431" s="18" t="n"/>
      <c r="B431" s="18" t="n"/>
      <c r="C431" s="18" t="n"/>
      <c r="D431" s="18" t="n"/>
      <c r="E431" s="1002" t="n"/>
      <c r="F431" s="18" t="n"/>
      <c r="G431" s="1002" t="n"/>
      <c r="H431" s="968" t="n"/>
      <c r="I431" s="968" t="n"/>
      <c r="J431" s="968" t="n"/>
      <c r="N431" s="20" t="n"/>
      <c r="O431" s="20" t="n"/>
      <c r="P431" s="20" t="n"/>
      <c r="Q431" s="20" t="n"/>
      <c r="R431" s="20" t="n"/>
    </row>
    <row r="432" ht="16.4" customFormat="1" customHeight="1" s="978">
      <c r="A432" s="18" t="n"/>
      <c r="B432" s="18" t="n"/>
      <c r="C432" s="18" t="n"/>
      <c r="D432" s="18" t="n"/>
      <c r="E432" s="1002" t="n"/>
      <c r="F432" s="18" t="n"/>
      <c r="G432" s="1002" t="n"/>
      <c r="H432" s="968" t="n"/>
      <c r="I432" s="968" t="n"/>
      <c r="J432" s="968" t="n"/>
      <c r="N432" s="20" t="n"/>
      <c r="O432" s="20" t="n"/>
      <c r="P432" s="20" t="n"/>
      <c r="Q432" s="20" t="n"/>
      <c r="R432" s="20" t="n"/>
    </row>
    <row r="433" ht="16.4" customFormat="1" customHeight="1" s="978">
      <c r="A433" s="18" t="n"/>
      <c r="B433" s="18" t="n"/>
      <c r="C433" s="18" t="n"/>
      <c r="D433" s="18" t="n"/>
      <c r="E433" s="1002" t="n"/>
      <c r="F433" s="18" t="n"/>
      <c r="G433" s="1002" t="n"/>
      <c r="H433" s="968" t="n"/>
      <c r="I433" s="968" t="n"/>
      <c r="J433" s="968" t="n"/>
      <c r="N433" s="20" t="n"/>
      <c r="O433" s="20" t="n"/>
      <c r="P433" s="20" t="n"/>
      <c r="Q433" s="20" t="n"/>
      <c r="R433" s="20" t="n"/>
    </row>
    <row r="434" ht="16.4" customFormat="1" customHeight="1" s="978">
      <c r="A434" s="18" t="n"/>
      <c r="B434" s="18" t="n"/>
      <c r="C434" s="18" t="n"/>
      <c r="D434" s="18" t="n"/>
      <c r="E434" s="1002" t="n"/>
      <c r="F434" s="18" t="n"/>
      <c r="G434" s="1002" t="n"/>
      <c r="H434" s="968" t="n"/>
      <c r="I434" s="968" t="n"/>
      <c r="J434" s="968" t="n"/>
      <c r="N434" s="20" t="n"/>
      <c r="O434" s="20" t="n"/>
      <c r="P434" s="20" t="n"/>
      <c r="Q434" s="20" t="n"/>
      <c r="R434" s="20" t="n"/>
    </row>
    <row r="435" ht="16.4" customFormat="1" customHeight="1" s="978">
      <c r="A435" s="18" t="n"/>
      <c r="B435" s="18" t="n"/>
      <c r="C435" s="18" t="n"/>
      <c r="D435" s="18" t="n"/>
      <c r="E435" s="1002" t="n"/>
      <c r="F435" s="18" t="n"/>
      <c r="G435" s="1002" t="n"/>
      <c r="H435" s="968" t="n"/>
      <c r="I435" s="968" t="n"/>
      <c r="J435" s="968" t="n"/>
      <c r="N435" s="20" t="n"/>
      <c r="O435" s="20" t="n"/>
      <c r="P435" s="20" t="n"/>
      <c r="Q435" s="20" t="n"/>
      <c r="R435" s="20" t="n"/>
    </row>
    <row r="436" ht="16.4" customFormat="1" customHeight="1" s="978">
      <c r="A436" s="18" t="n"/>
      <c r="B436" s="18" t="n"/>
      <c r="C436" s="18" t="n"/>
      <c r="D436" s="18" t="n"/>
      <c r="E436" s="1002" t="n"/>
      <c r="F436" s="18" t="n"/>
      <c r="G436" s="1002" t="n"/>
      <c r="H436" s="968" t="n"/>
      <c r="I436" s="968" t="n"/>
      <c r="J436" s="968" t="n"/>
      <c r="N436" s="20" t="n"/>
      <c r="O436" s="20" t="n"/>
      <c r="P436" s="20" t="n"/>
      <c r="Q436" s="20" t="n"/>
      <c r="R436" s="20" t="n"/>
    </row>
    <row r="437" ht="16.4" customFormat="1" customHeight="1" s="978">
      <c r="A437" s="18" t="n"/>
      <c r="B437" s="18" t="n"/>
      <c r="C437" s="18" t="n"/>
      <c r="D437" s="18" t="n"/>
      <c r="E437" s="1002" t="n"/>
      <c r="F437" s="18" t="n"/>
      <c r="G437" s="1002" t="n"/>
      <c r="H437" s="968" t="n"/>
      <c r="I437" s="968" t="n"/>
      <c r="J437" s="968" t="n"/>
      <c r="N437" s="20" t="n"/>
      <c r="O437" s="20" t="n"/>
      <c r="P437" s="20" t="n"/>
      <c r="Q437" s="20" t="n"/>
      <c r="R437" s="20" t="n"/>
    </row>
    <row r="438" ht="16.4" customFormat="1" customHeight="1" s="978">
      <c r="A438" s="18" t="n"/>
      <c r="B438" s="18" t="n"/>
      <c r="C438" s="18" t="n"/>
      <c r="D438" s="18" t="n"/>
      <c r="E438" s="1002" t="n"/>
      <c r="F438" s="18" t="n"/>
      <c r="G438" s="1002" t="n"/>
      <c r="H438" s="968" t="n"/>
      <c r="I438" s="968" t="n"/>
      <c r="J438" s="968" t="n"/>
      <c r="N438" s="20" t="n"/>
      <c r="O438" s="20" t="n"/>
      <c r="P438" s="20" t="n"/>
      <c r="Q438" s="20" t="n"/>
      <c r="R438" s="20" t="n"/>
    </row>
    <row r="439" ht="16.4" customFormat="1" customHeight="1" s="978">
      <c r="A439" s="18" t="n"/>
      <c r="B439" s="18" t="n"/>
      <c r="C439" s="18" t="n"/>
      <c r="D439" s="18" t="n"/>
      <c r="E439" s="1002" t="n"/>
      <c r="F439" s="18" t="n"/>
      <c r="G439" s="1002" t="n"/>
      <c r="H439" s="968" t="n"/>
      <c r="I439" s="968" t="n"/>
      <c r="J439" s="968" t="n"/>
      <c r="N439" s="20" t="n"/>
      <c r="O439" s="20" t="n"/>
      <c r="P439" s="20" t="n"/>
      <c r="Q439" s="20" t="n"/>
      <c r="R439" s="20" t="n"/>
    </row>
    <row r="440" ht="16.4" customFormat="1" customHeight="1" s="978">
      <c r="A440" s="18" t="n"/>
      <c r="B440" s="18" t="n"/>
      <c r="C440" s="18" t="n"/>
      <c r="D440" s="18" t="n"/>
      <c r="E440" s="1002" t="n"/>
      <c r="F440" s="18" t="n"/>
      <c r="G440" s="1002" t="n"/>
      <c r="H440" s="968" t="n"/>
      <c r="I440" s="968" t="n"/>
      <c r="J440" s="968" t="n"/>
      <c r="N440" s="20" t="n"/>
      <c r="O440" s="20" t="n"/>
      <c r="P440" s="20" t="n"/>
      <c r="Q440" s="20" t="n"/>
      <c r="R440" s="20" t="n"/>
    </row>
    <row r="441" ht="16.4" customFormat="1" customHeight="1" s="978">
      <c r="A441" s="18" t="n"/>
      <c r="B441" s="18" t="n"/>
      <c r="C441" s="18" t="n"/>
      <c r="D441" s="18" t="n"/>
      <c r="E441" s="1002" t="n"/>
      <c r="F441" s="18" t="n"/>
      <c r="G441" s="1002" t="n"/>
      <c r="H441" s="968" t="n"/>
      <c r="I441" s="968" t="n"/>
      <c r="J441" s="968" t="n"/>
      <c r="N441" s="20" t="n"/>
      <c r="O441" s="20" t="n"/>
      <c r="P441" s="20" t="n"/>
      <c r="Q441" s="20" t="n"/>
      <c r="R441" s="20" t="n"/>
    </row>
    <row r="442" ht="16.4" customFormat="1" customHeight="1" s="978">
      <c r="A442" s="18" t="n"/>
      <c r="B442" s="18" t="n"/>
      <c r="C442" s="18" t="n"/>
      <c r="D442" s="18" t="n"/>
      <c r="E442" s="1002" t="n"/>
      <c r="F442" s="18" t="n"/>
      <c r="G442" s="1002" t="n"/>
      <c r="H442" s="968" t="n"/>
      <c r="I442" s="968" t="n"/>
      <c r="J442" s="968" t="n"/>
      <c r="N442" s="20" t="n"/>
      <c r="O442" s="20" t="n"/>
      <c r="P442" s="20" t="n"/>
      <c r="Q442" s="20" t="n"/>
      <c r="R442" s="20" t="n"/>
    </row>
    <row r="443" ht="16.4" customFormat="1" customHeight="1" s="978">
      <c r="A443" s="18" t="n"/>
      <c r="B443" s="18" t="n"/>
      <c r="C443" s="18" t="n"/>
      <c r="D443" s="18" t="n"/>
      <c r="E443" s="1002" t="n"/>
      <c r="F443" s="18" t="n"/>
      <c r="G443" s="1002" t="n"/>
      <c r="H443" s="968" t="n"/>
      <c r="I443" s="968" t="n"/>
      <c r="J443" s="968" t="n"/>
      <c r="N443" s="20" t="n"/>
      <c r="O443" s="20" t="n"/>
      <c r="P443" s="20" t="n"/>
      <c r="Q443" s="20" t="n"/>
      <c r="R443" s="20" t="n"/>
    </row>
    <row r="444" ht="16.4" customFormat="1" customHeight="1" s="978">
      <c r="A444" s="18" t="n"/>
      <c r="B444" s="18" t="n"/>
      <c r="C444" s="18" t="n"/>
      <c r="D444" s="18" t="n"/>
      <c r="E444" s="1002" t="n"/>
      <c r="F444" s="18" t="n"/>
      <c r="G444" s="1002" t="n"/>
      <c r="H444" s="968" t="n"/>
      <c r="I444" s="968" t="n"/>
      <c r="J444" s="968" t="n"/>
      <c r="N444" s="20" t="n"/>
      <c r="O444" s="20" t="n"/>
      <c r="P444" s="20" t="n"/>
      <c r="Q444" s="20" t="n"/>
      <c r="R444" s="20" t="n"/>
    </row>
    <row r="445" ht="16.4" customFormat="1" customHeight="1" s="978">
      <c r="A445" s="18" t="n"/>
      <c r="B445" s="18" t="n"/>
      <c r="C445" s="18" t="n"/>
      <c r="D445" s="18" t="n"/>
      <c r="E445" s="1002" t="n"/>
      <c r="F445" s="18" t="n"/>
      <c r="G445" s="1002" t="n"/>
      <c r="H445" s="968" t="n"/>
      <c r="I445" s="968" t="n"/>
      <c r="J445" s="968" t="n"/>
      <c r="N445" s="20" t="n"/>
      <c r="O445" s="20" t="n"/>
      <c r="P445" s="20" t="n"/>
      <c r="Q445" s="20" t="n"/>
      <c r="R445" s="20" t="n"/>
    </row>
    <row r="446" ht="16.4" customFormat="1" customHeight="1" s="978">
      <c r="A446" s="18" t="n"/>
      <c r="B446" s="18" t="n"/>
      <c r="C446" s="18" t="n"/>
      <c r="D446" s="18" t="n"/>
      <c r="E446" s="1002" t="n"/>
      <c r="F446" s="18" t="n"/>
      <c r="G446" s="1002" t="n"/>
      <c r="H446" s="968" t="n"/>
      <c r="I446" s="968" t="n"/>
      <c r="J446" s="968" t="n"/>
      <c r="N446" s="20" t="n"/>
      <c r="O446" s="20" t="n"/>
      <c r="P446" s="20" t="n"/>
      <c r="Q446" s="20" t="n"/>
      <c r="R446" s="20" t="n"/>
    </row>
    <row r="447" ht="16.4" customFormat="1" customHeight="1" s="978">
      <c r="A447" s="18" t="n"/>
      <c r="B447" s="18" t="n"/>
      <c r="C447" s="18" t="n"/>
      <c r="D447" s="18" t="n"/>
      <c r="E447" s="1002" t="n"/>
      <c r="F447" s="18" t="n"/>
      <c r="G447" s="1002" t="n"/>
      <c r="H447" s="968" t="n"/>
      <c r="I447" s="968" t="n"/>
      <c r="J447" s="968" t="n"/>
      <c r="N447" s="20" t="n"/>
      <c r="O447" s="20" t="n"/>
      <c r="P447" s="20" t="n"/>
      <c r="Q447" s="20" t="n"/>
      <c r="R447" s="20" t="n"/>
    </row>
    <row r="448" ht="16.4" customFormat="1" customHeight="1" s="978">
      <c r="A448" s="18" t="n"/>
      <c r="B448" s="18" t="n"/>
      <c r="C448" s="18" t="n"/>
      <c r="D448" s="18" t="n"/>
      <c r="E448" s="1002" t="n"/>
      <c r="F448" s="18" t="n"/>
      <c r="G448" s="1002" t="n"/>
      <c r="H448" s="968" t="n"/>
      <c r="I448" s="968" t="n"/>
      <c r="J448" s="968" t="n"/>
      <c r="N448" s="20" t="n"/>
      <c r="O448" s="20" t="n"/>
      <c r="P448" s="20" t="n"/>
      <c r="Q448" s="20" t="n"/>
      <c r="R448" s="20" t="n"/>
    </row>
    <row r="449" ht="16.4" customFormat="1" customHeight="1" s="978">
      <c r="A449" s="18" t="n"/>
      <c r="B449" s="18" t="n"/>
      <c r="C449" s="18" t="n"/>
      <c r="D449" s="18" t="n"/>
      <c r="E449" s="1002" t="n"/>
      <c r="F449" s="18" t="n"/>
      <c r="G449" s="1002" t="n"/>
      <c r="H449" s="968" t="n"/>
      <c r="I449" s="968" t="n"/>
      <c r="J449" s="968" t="n"/>
      <c r="N449" s="20" t="n"/>
      <c r="O449" s="20" t="n"/>
      <c r="P449" s="20" t="n"/>
      <c r="Q449" s="20" t="n"/>
      <c r="R449" s="20" t="n"/>
    </row>
    <row r="450" ht="16.4" customFormat="1" customHeight="1" s="978">
      <c r="A450" s="18" t="n"/>
      <c r="B450" s="18" t="n"/>
      <c r="C450" s="18" t="n"/>
      <c r="D450" s="18" t="n"/>
      <c r="E450" s="1002" t="n"/>
      <c r="F450" s="18" t="n"/>
      <c r="G450" s="1002" t="n"/>
      <c r="H450" s="968" t="n"/>
      <c r="I450" s="968" t="n"/>
      <c r="J450" s="968" t="n"/>
      <c r="N450" s="20" t="n"/>
      <c r="O450" s="20" t="n"/>
      <c r="P450" s="20" t="n"/>
      <c r="Q450" s="20" t="n"/>
      <c r="R450" s="20" t="n"/>
    </row>
    <row r="451" ht="16.4" customFormat="1" customHeight="1" s="978">
      <c r="A451" s="18" t="n"/>
      <c r="B451" s="18" t="n"/>
      <c r="C451" s="18" t="n"/>
      <c r="D451" s="18" t="n"/>
      <c r="E451" s="1002" t="n"/>
      <c r="F451" s="18" t="n"/>
      <c r="G451" s="1002" t="n"/>
      <c r="N451" s="20" t="n"/>
      <c r="O451" s="20" t="n"/>
      <c r="P451" s="20" t="n"/>
      <c r="Q451" s="20" t="n"/>
      <c r="R451" s="20" t="n"/>
    </row>
    <row r="452" ht="16.4" customFormat="1" customHeight="1" s="978">
      <c r="A452" s="18" t="n"/>
      <c r="B452" s="18" t="n"/>
      <c r="C452" s="18" t="n"/>
      <c r="D452" s="18" t="n"/>
      <c r="E452" s="1002" t="n"/>
      <c r="F452" s="18" t="n"/>
      <c r="G452" s="1002" t="n"/>
      <c r="N452" s="20" t="n"/>
      <c r="O452" s="20" t="n"/>
      <c r="P452" s="20" t="n"/>
      <c r="Q452" s="20" t="n"/>
      <c r="R452" s="20" t="n"/>
    </row>
    <row r="453" ht="16.4" customFormat="1" customHeight="1" s="978">
      <c r="A453" s="18" t="n"/>
      <c r="B453" s="18" t="n"/>
      <c r="C453" s="18" t="n"/>
      <c r="D453" s="18" t="n"/>
      <c r="E453" s="1002" t="n"/>
      <c r="F453" s="18" t="n"/>
      <c r="G453" s="1002" t="n"/>
      <c r="N453" s="20" t="n"/>
      <c r="O453" s="20" t="n"/>
      <c r="P453" s="20" t="n"/>
      <c r="Q453" s="20" t="n"/>
      <c r="R453" s="20" t="n"/>
    </row>
    <row r="454" ht="16.4" customFormat="1" customHeight="1" s="978">
      <c r="A454" s="18" t="n"/>
      <c r="B454" s="18" t="n"/>
      <c r="C454" s="18" t="n"/>
      <c r="D454" s="18" t="n"/>
      <c r="E454" s="1002" t="n"/>
      <c r="F454" s="18" t="n"/>
      <c r="G454" s="1002" t="n"/>
      <c r="N454" s="20" t="n"/>
      <c r="O454" s="20" t="n"/>
      <c r="P454" s="20" t="n"/>
      <c r="Q454" s="20" t="n"/>
      <c r="R454" s="20" t="n"/>
    </row>
    <row r="455" ht="16.4" customFormat="1" customHeight="1" s="978">
      <c r="A455" s="18" t="n"/>
      <c r="B455" s="18" t="n"/>
      <c r="C455" s="18" t="n"/>
      <c r="D455" s="18" t="n"/>
      <c r="E455" s="1002" t="n"/>
      <c r="F455" s="18" t="n"/>
      <c r="G455" s="1002" t="n"/>
      <c r="N455" s="20" t="n"/>
      <c r="O455" s="20" t="n"/>
      <c r="P455" s="20" t="n"/>
      <c r="Q455" s="20" t="n"/>
      <c r="R455" s="20" t="n"/>
    </row>
    <row r="456" ht="16.4" customFormat="1" customHeight="1" s="978">
      <c r="A456" s="18" t="n"/>
      <c r="B456" s="18" t="n"/>
      <c r="C456" s="18" t="n"/>
      <c r="D456" s="18" t="n"/>
      <c r="E456" s="1002" t="n"/>
      <c r="F456" s="18" t="n"/>
      <c r="G456" s="1002" t="n"/>
      <c r="N456" s="20" t="n"/>
      <c r="O456" s="20" t="n"/>
      <c r="P456" s="20" t="n"/>
      <c r="Q456" s="20" t="n"/>
      <c r="R456" s="20" t="n"/>
    </row>
    <row r="457" ht="16.4" customFormat="1" customHeight="1" s="978">
      <c r="A457" s="18" t="n"/>
      <c r="B457" s="18" t="n"/>
      <c r="C457" s="18" t="n"/>
      <c r="D457" s="18" t="n"/>
      <c r="E457" s="1002" t="n"/>
      <c r="F457" s="18" t="n"/>
      <c r="G457" s="1002" t="n"/>
      <c r="N457" s="20" t="n"/>
      <c r="O457" s="20" t="n"/>
      <c r="P457" s="20" t="n"/>
      <c r="Q457" s="20" t="n"/>
      <c r="R457" s="20" t="n"/>
    </row>
    <row r="458" ht="16.4" customFormat="1" customHeight="1" s="978">
      <c r="A458" s="18" t="n"/>
      <c r="B458" s="18" t="n"/>
      <c r="C458" s="18" t="n"/>
      <c r="D458" s="18" t="n"/>
      <c r="E458" s="1002" t="n"/>
      <c r="F458" s="18" t="n"/>
      <c r="G458" s="1002" t="n"/>
      <c r="N458" s="20" t="n"/>
      <c r="O458" s="20" t="n"/>
      <c r="P458" s="20" t="n"/>
      <c r="Q458" s="20" t="n"/>
      <c r="R458" s="20" t="n"/>
    </row>
    <row r="459" ht="16.4" customFormat="1" customHeight="1" s="978">
      <c r="A459" s="18" t="n"/>
      <c r="B459" s="18" t="n"/>
      <c r="C459" s="18" t="n"/>
      <c r="D459" s="18" t="n"/>
      <c r="E459" s="1002" t="n"/>
      <c r="F459" s="18" t="n"/>
      <c r="G459" s="1002" t="n"/>
      <c r="N459" s="20" t="n"/>
      <c r="O459" s="20" t="n"/>
      <c r="P459" s="20" t="n"/>
      <c r="Q459" s="20" t="n"/>
      <c r="R459" s="20" t="n"/>
    </row>
    <row r="460" ht="16.4" customFormat="1" customHeight="1" s="978">
      <c r="A460" s="18" t="n"/>
      <c r="B460" s="18" t="n"/>
      <c r="C460" s="18" t="n"/>
      <c r="D460" s="18" t="n"/>
      <c r="E460" s="1002" t="n"/>
      <c r="F460" s="18" t="n"/>
      <c r="G460" s="1002" t="n"/>
      <c r="N460" s="20" t="n"/>
      <c r="O460" s="20" t="n"/>
      <c r="P460" s="20" t="n"/>
      <c r="Q460" s="20" t="n"/>
      <c r="R460" s="20" t="n"/>
    </row>
    <row r="461" ht="16.4" customFormat="1" customHeight="1" s="978">
      <c r="A461" s="18" t="n"/>
      <c r="B461" s="18" t="n"/>
      <c r="C461" s="18" t="n"/>
      <c r="D461" s="18" t="n"/>
      <c r="E461" s="1002" t="n"/>
      <c r="F461" s="18" t="n"/>
      <c r="G461" s="1002" t="n"/>
      <c r="N461" s="20" t="n"/>
      <c r="O461" s="20" t="n"/>
      <c r="P461" s="20" t="n"/>
      <c r="Q461" s="20" t="n"/>
      <c r="R461" s="20" t="n"/>
    </row>
    <row r="462" ht="16.4" customFormat="1" customHeight="1" s="978">
      <c r="A462" s="18" t="n"/>
      <c r="B462" s="18" t="n"/>
      <c r="C462" s="18" t="n"/>
      <c r="D462" s="18" t="n"/>
      <c r="E462" s="1002" t="n"/>
      <c r="F462" s="18" t="n"/>
      <c r="G462" s="1002" t="n"/>
      <c r="N462" s="20" t="n"/>
      <c r="O462" s="20" t="n"/>
      <c r="P462" s="20" t="n"/>
      <c r="Q462" s="20" t="n"/>
      <c r="R462" s="20" t="n"/>
    </row>
    <row r="463" ht="16.4" customFormat="1" customHeight="1" s="978">
      <c r="A463" s="18" t="n"/>
      <c r="B463" s="18" t="n"/>
      <c r="C463" s="18" t="n"/>
      <c r="D463" s="18" t="n"/>
      <c r="E463" s="1002" t="n"/>
      <c r="F463" s="18" t="n"/>
      <c r="G463" s="1002" t="n"/>
      <c r="N463" s="20" t="n"/>
      <c r="O463" s="20" t="n"/>
      <c r="P463" s="20" t="n"/>
      <c r="Q463" s="20" t="n"/>
      <c r="R463" s="20" t="n"/>
    </row>
    <row r="464" ht="16.4" customFormat="1" customHeight="1" s="978">
      <c r="A464" s="18" t="n"/>
      <c r="B464" s="18" t="n"/>
      <c r="C464" s="18" t="n"/>
      <c r="D464" s="18" t="n"/>
      <c r="E464" s="1002" t="n"/>
      <c r="F464" s="18" t="n"/>
      <c r="G464" s="1002" t="n"/>
      <c r="N464" s="20" t="n"/>
      <c r="O464" s="20" t="n"/>
      <c r="P464" s="20" t="n"/>
      <c r="Q464" s="20" t="n"/>
      <c r="R464" s="20" t="n"/>
    </row>
    <row r="465" ht="16.4" customFormat="1" customHeight="1" s="978">
      <c r="A465" s="18" t="n"/>
      <c r="B465" s="18" t="n"/>
      <c r="C465" s="18" t="n"/>
      <c r="D465" s="18" t="n"/>
      <c r="E465" s="1002" t="n"/>
      <c r="F465" s="18" t="n"/>
      <c r="G465" s="1002" t="n"/>
      <c r="N465" s="20" t="n"/>
      <c r="O465" s="20" t="n"/>
      <c r="P465" s="20" t="n"/>
      <c r="Q465" s="20" t="n"/>
      <c r="R465" s="20" t="n"/>
    </row>
    <row r="466" ht="16.4" customFormat="1" customHeight="1" s="978">
      <c r="A466" s="18" t="n"/>
      <c r="B466" s="18" t="n"/>
      <c r="C466" s="18" t="n"/>
      <c r="D466" s="18" t="n"/>
      <c r="E466" s="1002" t="n"/>
      <c r="F466" s="18" t="n"/>
      <c r="G466" s="1002" t="n"/>
      <c r="N466" s="20" t="n"/>
      <c r="O466" s="20" t="n"/>
      <c r="P466" s="20" t="n"/>
      <c r="Q466" s="20" t="n"/>
      <c r="R466" s="20" t="n"/>
    </row>
    <row r="467" ht="16.4" customFormat="1" customHeight="1" s="978">
      <c r="A467" s="18" t="n"/>
      <c r="B467" s="18" t="n"/>
      <c r="C467" s="18" t="n"/>
      <c r="D467" s="18" t="n"/>
      <c r="E467" s="1002" t="n"/>
      <c r="F467" s="18" t="n"/>
      <c r="G467" s="1002" t="n"/>
      <c r="N467" s="20" t="n"/>
      <c r="O467" s="20" t="n"/>
      <c r="P467" s="20" t="n"/>
      <c r="Q467" s="20" t="n"/>
      <c r="R467" s="20" t="n"/>
    </row>
    <row r="468" ht="16.4" customFormat="1" customHeight="1" s="978">
      <c r="A468" s="18" t="n"/>
      <c r="B468" s="18" t="n"/>
      <c r="C468" s="18" t="n"/>
      <c r="D468" s="18" t="n"/>
      <c r="E468" s="1002" t="n"/>
      <c r="F468" s="18" t="n"/>
      <c r="G468" s="1002" t="n"/>
      <c r="N468" s="20" t="n"/>
      <c r="O468" s="20" t="n"/>
      <c r="P468" s="20" t="n"/>
      <c r="Q468" s="20" t="n"/>
      <c r="R468" s="20" t="n"/>
    </row>
    <row r="469" ht="16.4" customFormat="1" customHeight="1" s="978">
      <c r="A469" s="18" t="n"/>
      <c r="B469" s="18" t="n"/>
      <c r="C469" s="18" t="n"/>
      <c r="D469" s="18" t="n"/>
      <c r="E469" s="1002" t="n"/>
      <c r="F469" s="18" t="n"/>
      <c r="G469" s="1002" t="n"/>
      <c r="N469" s="20" t="n"/>
      <c r="O469" s="20" t="n"/>
      <c r="P469" s="20" t="n"/>
      <c r="Q469" s="20" t="n"/>
      <c r="R469" s="20" t="n"/>
    </row>
    <row r="470" ht="16.4" customFormat="1" customHeight="1" s="978">
      <c r="A470" s="18" t="n"/>
      <c r="B470" s="18" t="n"/>
      <c r="C470" s="18" t="n"/>
      <c r="D470" s="18" t="n"/>
      <c r="E470" s="1002" t="n"/>
      <c r="F470" s="18" t="n"/>
      <c r="G470" s="1002" t="n"/>
      <c r="N470" s="20" t="n"/>
      <c r="O470" s="20" t="n"/>
      <c r="P470" s="20" t="n"/>
      <c r="Q470" s="20" t="n"/>
      <c r="R470" s="20" t="n"/>
    </row>
    <row r="471" ht="16.4" customFormat="1" customHeight="1" s="978">
      <c r="A471" s="18" t="n"/>
      <c r="B471" s="18" t="n"/>
      <c r="C471" s="18" t="n"/>
      <c r="D471" s="18" t="n"/>
      <c r="E471" s="1002" t="n"/>
      <c r="F471" s="18" t="n"/>
      <c r="G471" s="1002" t="n"/>
      <c r="N471" s="20" t="n"/>
      <c r="O471" s="20" t="n"/>
      <c r="P471" s="20" t="n"/>
      <c r="Q471" s="20" t="n"/>
      <c r="R471" s="20" t="n"/>
    </row>
    <row r="472" ht="16.4" customFormat="1" customHeight="1" s="978">
      <c r="A472" s="18" t="n"/>
      <c r="B472" s="18" t="n"/>
      <c r="C472" s="18" t="n"/>
      <c r="D472" s="18" t="n"/>
      <c r="E472" s="1002" t="n"/>
      <c r="F472" s="18" t="n"/>
      <c r="G472" s="1002" t="n"/>
      <c r="N472" s="20" t="n"/>
      <c r="O472" s="20" t="n"/>
      <c r="P472" s="20" t="n"/>
      <c r="Q472" s="20" t="n"/>
      <c r="R472" s="20" t="n"/>
    </row>
    <row r="473" ht="16.4" customFormat="1" customHeight="1" s="978">
      <c r="A473" s="18" t="n"/>
      <c r="B473" s="18" t="n"/>
      <c r="C473" s="18" t="n"/>
      <c r="D473" s="18" t="n"/>
      <c r="E473" s="1002" t="n"/>
      <c r="F473" s="18" t="n"/>
      <c r="G473" s="1002" t="n"/>
      <c r="N473" s="20" t="n"/>
      <c r="O473" s="20" t="n"/>
      <c r="P473" s="20" t="n"/>
      <c r="Q473" s="20" t="n"/>
      <c r="R473" s="20" t="n"/>
    </row>
    <row r="474" ht="16.4" customFormat="1" customHeight="1" s="978">
      <c r="A474" s="18" t="n"/>
      <c r="B474" s="18" t="n"/>
      <c r="C474" s="18" t="n"/>
      <c r="D474" s="18" t="n"/>
      <c r="E474" s="1002" t="n"/>
      <c r="F474" s="18" t="n"/>
      <c r="G474" s="1002" t="n"/>
      <c r="N474" s="20" t="n"/>
      <c r="O474" s="20" t="n"/>
      <c r="P474" s="20" t="n"/>
      <c r="Q474" s="20" t="n"/>
      <c r="R474" s="20" t="n"/>
    </row>
    <row r="475" ht="16.4" customFormat="1" customHeight="1" s="978">
      <c r="A475" s="18" t="n"/>
      <c r="B475" s="18" t="n"/>
      <c r="C475" s="18" t="n"/>
      <c r="D475" s="18" t="n"/>
      <c r="E475" s="1002" t="n"/>
      <c r="F475" s="18" t="n"/>
      <c r="G475" s="1002" t="n"/>
      <c r="N475" s="20" t="n"/>
      <c r="O475" s="20" t="n"/>
      <c r="P475" s="20" t="n"/>
      <c r="Q475" s="20" t="n"/>
      <c r="R475" s="20" t="n"/>
    </row>
    <row r="476" ht="16.4" customFormat="1" customHeight="1" s="978">
      <c r="A476" s="18" t="n"/>
      <c r="B476" s="18" t="n"/>
      <c r="C476" s="18" t="n"/>
      <c r="D476" s="18" t="n"/>
      <c r="E476" s="1002" t="n"/>
      <c r="F476" s="18" t="n"/>
      <c r="G476" s="1002" t="n"/>
      <c r="N476" s="20" t="n"/>
      <c r="O476" s="20" t="n"/>
      <c r="P476" s="20" t="n"/>
      <c r="Q476" s="20" t="n"/>
      <c r="R476" s="20" t="n"/>
    </row>
    <row r="477" ht="16.4" customFormat="1" customHeight="1" s="978">
      <c r="A477" s="18" t="n"/>
      <c r="B477" s="18" t="n"/>
      <c r="C477" s="18" t="n"/>
      <c r="D477" s="18" t="n"/>
      <c r="E477" s="1002" t="n"/>
      <c r="F477" s="18" t="n"/>
      <c r="G477" s="1002" t="n"/>
      <c r="N477" s="20" t="n"/>
      <c r="O477" s="20" t="n"/>
      <c r="P477" s="20" t="n"/>
      <c r="Q477" s="20" t="n"/>
      <c r="R477" s="20" t="n"/>
    </row>
    <row r="478" ht="16.4" customFormat="1" customHeight="1" s="978">
      <c r="A478" s="18" t="n"/>
      <c r="B478" s="18" t="n"/>
      <c r="C478" s="18" t="n"/>
      <c r="D478" s="18" t="n"/>
      <c r="E478" s="1002" t="n"/>
      <c r="F478" s="18" t="n"/>
      <c r="G478" s="1002" t="n"/>
      <c r="N478" s="20" t="n"/>
      <c r="O478" s="20" t="n"/>
      <c r="P478" s="20" t="n"/>
      <c r="Q478" s="20" t="n"/>
      <c r="R478" s="20" t="n"/>
    </row>
    <row r="479" ht="16.4" customFormat="1" customHeight="1" s="978">
      <c r="A479" s="18" t="n"/>
      <c r="B479" s="18" t="n"/>
      <c r="C479" s="18" t="n"/>
      <c r="D479" s="18" t="n"/>
      <c r="E479" s="1002" t="n"/>
      <c r="F479" s="18" t="n"/>
      <c r="G479" s="1002" t="n"/>
      <c r="N479" s="20" t="n"/>
      <c r="O479" s="20" t="n"/>
      <c r="P479" s="20" t="n"/>
      <c r="Q479" s="20" t="n"/>
      <c r="R479" s="20" t="n"/>
    </row>
    <row r="480" ht="16.4" customFormat="1" customHeight="1" s="978">
      <c r="A480" s="18" t="n"/>
      <c r="B480" s="18" t="n"/>
      <c r="C480" s="18" t="n"/>
      <c r="D480" s="18" t="n"/>
      <c r="E480" s="1002" t="n"/>
      <c r="F480" s="18" t="n"/>
      <c r="G480" s="1002" t="n"/>
      <c r="N480" s="20" t="n"/>
      <c r="O480" s="20" t="n"/>
      <c r="P480" s="20" t="n"/>
      <c r="Q480" s="20" t="n"/>
      <c r="R480" s="20" t="n"/>
    </row>
    <row r="481" ht="16.4" customFormat="1" customHeight="1" s="978">
      <c r="A481" s="18" t="n"/>
      <c r="B481" s="18" t="n"/>
      <c r="C481" s="18" t="n"/>
      <c r="D481" s="18" t="n"/>
      <c r="E481" s="1002" t="n"/>
      <c r="F481" s="18" t="n"/>
      <c r="G481" s="1002" t="n"/>
      <c r="N481" s="20" t="n"/>
      <c r="O481" s="20" t="n"/>
      <c r="P481" s="20" t="n"/>
      <c r="Q481" s="20" t="n"/>
      <c r="R481" s="20" t="n"/>
    </row>
    <row r="482" ht="16.4" customFormat="1" customHeight="1" s="978">
      <c r="A482" s="18" t="n"/>
      <c r="B482" s="18" t="n"/>
      <c r="C482" s="18" t="n"/>
      <c r="D482" s="18" t="n"/>
      <c r="E482" s="1002" t="n"/>
      <c r="F482" s="18" t="n"/>
      <c r="G482" s="1002" t="n"/>
      <c r="N482" s="20" t="n"/>
      <c r="O482" s="20" t="n"/>
      <c r="P482" s="20" t="n"/>
      <c r="Q482" s="20" t="n"/>
      <c r="R482" s="20" t="n"/>
    </row>
    <row r="483" ht="16.4" customFormat="1" customHeight="1" s="978">
      <c r="A483" s="18" t="n"/>
      <c r="B483" s="18" t="n"/>
      <c r="C483" s="18" t="n"/>
      <c r="D483" s="18" t="n"/>
      <c r="E483" s="1002" t="n"/>
      <c r="F483" s="18" t="n"/>
      <c r="G483" s="1002" t="n"/>
      <c r="N483" s="20" t="n"/>
      <c r="O483" s="20" t="n"/>
      <c r="P483" s="20" t="n"/>
      <c r="Q483" s="20" t="n"/>
      <c r="R483" s="20" t="n"/>
    </row>
    <row r="484" ht="16.4" customFormat="1" customHeight="1" s="978">
      <c r="A484" s="18" t="n"/>
      <c r="B484" s="18" t="n"/>
      <c r="C484" s="18" t="n"/>
      <c r="D484" s="18" t="n"/>
      <c r="E484" s="1002" t="n"/>
      <c r="F484" s="18" t="n"/>
      <c r="G484" s="1002" t="n"/>
      <c r="N484" s="20" t="n"/>
      <c r="O484" s="20" t="n"/>
      <c r="P484" s="20" t="n"/>
      <c r="Q484" s="20" t="n"/>
      <c r="R484" s="20" t="n"/>
    </row>
    <row r="485" ht="16.4" customFormat="1" customHeight="1" s="978">
      <c r="A485" s="18" t="n"/>
      <c r="B485" s="18" t="n"/>
      <c r="C485" s="18" t="n"/>
      <c r="D485" s="18" t="n"/>
      <c r="E485" s="1002" t="n"/>
      <c r="F485" s="18" t="n"/>
      <c r="G485" s="1002" t="n"/>
      <c r="N485" s="20" t="n"/>
      <c r="O485" s="20" t="n"/>
      <c r="P485" s="20" t="n"/>
      <c r="Q485" s="20" t="n"/>
      <c r="R485" s="20" t="n"/>
    </row>
    <row r="486" ht="16.4" customFormat="1" customHeight="1" s="978">
      <c r="A486" s="18" t="n"/>
      <c r="B486" s="18" t="n"/>
      <c r="C486" s="18" t="n"/>
      <c r="D486" s="18" t="n"/>
      <c r="E486" s="1002" t="n"/>
      <c r="F486" s="18" t="n"/>
      <c r="G486" s="1002" t="n"/>
      <c r="N486" s="20" t="n"/>
      <c r="O486" s="20" t="n"/>
      <c r="P486" s="20" t="n"/>
      <c r="Q486" s="20" t="n"/>
      <c r="R486" s="20" t="n"/>
    </row>
    <row r="487" ht="16.4" customFormat="1" customHeight="1" s="978">
      <c r="A487" s="18" t="n"/>
      <c r="B487" s="18" t="n"/>
      <c r="C487" s="18" t="n"/>
      <c r="D487" s="18" t="n"/>
      <c r="E487" s="1002" t="n"/>
      <c r="F487" s="18" t="n"/>
      <c r="G487" s="1002" t="n"/>
      <c r="N487" s="20" t="n"/>
      <c r="O487" s="20" t="n"/>
      <c r="P487" s="20" t="n"/>
      <c r="Q487" s="20" t="n"/>
      <c r="R487" s="20" t="n"/>
    </row>
    <row r="488" ht="16.4" customFormat="1" customHeight="1" s="978">
      <c r="A488" s="18" t="n"/>
      <c r="B488" s="18" t="n"/>
      <c r="C488" s="18" t="n"/>
      <c r="D488" s="18" t="n"/>
      <c r="E488" s="1002" t="n"/>
      <c r="F488" s="18" t="n"/>
      <c r="G488" s="1002" t="n"/>
      <c r="N488" s="20" t="n"/>
      <c r="O488" s="20" t="n"/>
      <c r="P488" s="20" t="n"/>
      <c r="Q488" s="20" t="n"/>
      <c r="R488" s="20" t="n"/>
    </row>
    <row r="489" ht="16.4" customFormat="1" customHeight="1" s="978">
      <c r="A489" s="18" t="n"/>
      <c r="B489" s="18" t="n"/>
      <c r="C489" s="18" t="n"/>
      <c r="D489" s="18" t="n"/>
      <c r="E489" s="1002" t="n"/>
      <c r="F489" s="18" t="n"/>
      <c r="G489" s="1002" t="n"/>
      <c r="N489" s="20" t="n"/>
      <c r="O489" s="20" t="n"/>
      <c r="P489" s="20" t="n"/>
      <c r="Q489" s="20" t="n"/>
      <c r="R489" s="20" t="n"/>
    </row>
    <row r="490" ht="16.4" customFormat="1" customHeight="1" s="978">
      <c r="A490" s="18" t="n"/>
      <c r="B490" s="18" t="n"/>
      <c r="C490" s="18" t="n"/>
      <c r="D490" s="18" t="n"/>
      <c r="E490" s="1002" t="n"/>
      <c r="F490" s="18" t="n"/>
      <c r="G490" s="1002" t="n"/>
      <c r="N490" s="20" t="n"/>
      <c r="O490" s="20" t="n"/>
      <c r="P490" s="20" t="n"/>
      <c r="Q490" s="20" t="n"/>
      <c r="R490" s="20" t="n"/>
    </row>
    <row r="491" ht="16.4" customFormat="1" customHeight="1" s="978">
      <c r="A491" s="18" t="n"/>
      <c r="B491" s="18" t="n"/>
      <c r="C491" s="18" t="n"/>
      <c r="D491" s="18" t="n"/>
      <c r="E491" s="1002" t="n"/>
      <c r="F491" s="18" t="n"/>
      <c r="G491" s="1002" t="n"/>
      <c r="N491" s="20" t="n"/>
      <c r="O491" s="20" t="n"/>
      <c r="P491" s="20" t="n"/>
      <c r="Q491" s="20" t="n"/>
      <c r="R491" s="20" t="n"/>
    </row>
    <row r="492" ht="16.4" customFormat="1" customHeight="1" s="978">
      <c r="A492" s="18" t="n"/>
      <c r="B492" s="18" t="n"/>
      <c r="C492" s="18" t="n"/>
      <c r="D492" s="18" t="n"/>
      <c r="E492" s="1002" t="n"/>
      <c r="F492" s="18" t="n"/>
      <c r="G492" s="1002" t="n"/>
      <c r="N492" s="20" t="n"/>
      <c r="O492" s="20" t="n"/>
      <c r="P492" s="20" t="n"/>
      <c r="Q492" s="20" t="n"/>
      <c r="R492" s="20" t="n"/>
    </row>
    <row r="493" ht="16.4" customFormat="1" customHeight="1" s="978">
      <c r="A493" s="18" t="n"/>
      <c r="B493" s="18" t="n"/>
      <c r="C493" s="18" t="n"/>
      <c r="D493" s="18" t="n"/>
      <c r="E493" s="1002" t="n"/>
      <c r="F493" s="18" t="n"/>
      <c r="G493" s="1002" t="n"/>
      <c r="N493" s="20" t="n"/>
      <c r="O493" s="20" t="n"/>
      <c r="P493" s="20" t="n"/>
      <c r="Q493" s="20" t="n"/>
      <c r="R493" s="20" t="n"/>
    </row>
  </sheetData>
  <mergeCells count="9">
    <mergeCell ref="B13:C13"/>
    <mergeCell ref="D1:E1"/>
    <mergeCell ref="D13:E13"/>
    <mergeCell ref="I10:J10"/>
    <mergeCell ref="A12:G12"/>
    <mergeCell ref="B10:C10"/>
    <mergeCell ref="F13:G13"/>
    <mergeCell ref="B1:C1"/>
    <mergeCell ref="F1:G1"/>
  </mergeCells>
  <printOptions gridLines="1" gridLinesSet="0"/>
  <pageMargins left="0.75" right="0.75" top="1" bottom="1" header="0.5" footer="0.5"/>
  <pageSetup orientation="portrait" paperSize="9" scale="64" horizontalDpi="4294967292"/>
</worksheet>
</file>

<file path=xl/worksheets/sheet9.xml><?xml version="1.0" encoding="utf-8"?>
<worksheet xmlns="http://schemas.openxmlformats.org/spreadsheetml/2006/main">
  <sheetPr codeName="Sheet317">
    <tabColor rgb="FF00B0F0"/>
    <outlinePr summaryBelow="1" summaryRight="1"/>
    <pageSetUpPr fitToPage="1"/>
  </sheetPr>
  <dimension ref="A1:AX493"/>
  <sheetViews>
    <sheetView workbookViewId="0">
      <selection activeCell="A1" sqref="A1"/>
    </sheetView>
  </sheetViews>
  <sheetFormatPr baseColWidth="8" defaultColWidth="9.453125" defaultRowHeight="13"/>
  <cols>
    <col width="24.54296875" customWidth="1" style="20" min="1" max="1"/>
    <col width="16.453125" customWidth="1" style="20" min="2" max="2"/>
    <col width="11.54296875" customWidth="1" style="20" min="3" max="4"/>
    <col width="11.54296875" customWidth="1" style="977" min="5" max="5"/>
    <col width="11.54296875" customWidth="1" style="20" min="6" max="6"/>
    <col width="11.54296875" customWidth="1" style="977" min="7" max="7"/>
    <col width="16.54296875" customWidth="1" style="20" min="8" max="8"/>
    <col width="11.54296875" customWidth="1" style="977" min="9" max="9"/>
    <col width="11.54296875" customWidth="1" style="20" min="10" max="10"/>
    <col width="11.54296875" customWidth="1" style="977" min="11" max="12"/>
    <col width="11.54296875" customWidth="1" style="20" min="13" max="13"/>
    <col width="11.54296875" customWidth="1" style="71" min="14" max="16"/>
    <col width="11.54296875" customWidth="1" style="20" min="17" max="24"/>
    <col width="11.54296875" customWidth="1" style="977" min="25" max="25"/>
    <col width="11.54296875" customWidth="1" style="20" min="26" max="26"/>
    <col width="11.54296875" customWidth="1" style="977" min="27" max="27"/>
    <col width="11.54296875" customWidth="1" style="20" min="28" max="28"/>
    <col width="11.54296875" customWidth="1" style="977" min="29" max="29"/>
    <col width="11.54296875" customWidth="1" style="20" min="30" max="30"/>
    <col width="11.54296875" customWidth="1" style="977" min="31" max="31"/>
    <col width="11.54296875" customWidth="1" style="1003" min="32" max="32"/>
    <col width="11.54296875" customWidth="1" style="71" min="33" max="34"/>
    <col width="11.54296875" customWidth="1" style="20" min="35" max="35"/>
    <col width="13.1796875" customWidth="1" style="20" min="36" max="36"/>
    <col width="11.54296875" customWidth="1" style="20" min="37" max="42"/>
    <col width="13.1796875" customWidth="1" style="20" min="43" max="43"/>
    <col width="11.54296875" customWidth="1" style="20" min="44" max="49"/>
    <col width="9.453125" customWidth="1" style="20" min="50" max="16384"/>
  </cols>
  <sheetData>
    <row r="1">
      <c r="B1" s="411" t="n"/>
      <c r="C1" s="837" t="inlineStr">
        <is>
          <t>Economic inactivity by reason (thousands)</t>
        </is>
      </c>
      <c r="D1" s="1004" t="n"/>
      <c r="E1" s="1004" t="n"/>
      <c r="F1" s="1004" t="n"/>
      <c r="G1" s="1004" t="n"/>
      <c r="H1" s="1004" t="n"/>
      <c r="I1" s="489" t="n"/>
      <c r="J1" s="836" t="n"/>
      <c r="K1" s="489" t="n"/>
      <c r="L1" s="416" t="n"/>
      <c r="M1" s="837" t="inlineStr">
        <is>
          <t>Percentage of economically inactive (%)</t>
        </is>
      </c>
      <c r="N1" s="1004" t="n"/>
      <c r="O1" s="1004" t="n"/>
      <c r="P1" s="1004" t="n"/>
      <c r="Q1" s="1004" t="n"/>
      <c r="R1" s="1004" t="n"/>
      <c r="S1" s="489" t="n"/>
      <c r="T1" s="416" t="n"/>
      <c r="U1" s="416" t="n"/>
      <c r="V1" s="417" t="n"/>
      <c r="W1" s="837" t="inlineStr">
        <is>
          <t>Economic inactivity by wants a job (thousands)</t>
        </is>
      </c>
      <c r="X1" s="1004" t="n"/>
      <c r="Y1" s="1004" t="n"/>
      <c r="Z1" s="1004" t="n"/>
      <c r="AA1" s="1004" t="n"/>
      <c r="AB1" s="489" t="n"/>
      <c r="AC1" s="417" t="n"/>
      <c r="AD1" s="840" t="inlineStr">
        <is>
          <t>Percentage of economically inactive by wants a job (%)</t>
        </is>
      </c>
      <c r="AE1" s="1004" t="n"/>
      <c r="AF1" s="1004" t="n"/>
      <c r="AG1" s="1004" t="n"/>
      <c r="AH1" s="1004" t="n"/>
      <c r="AI1" s="489" t="n"/>
      <c r="AJ1" s="417" t="n"/>
      <c r="AK1" s="837" t="inlineStr">
        <is>
          <t>Economic inactivity by does not want a job (thousands)</t>
        </is>
      </c>
      <c r="AL1" s="1004" t="n"/>
      <c r="AM1" s="1004" t="n"/>
      <c r="AN1" s="1004" t="n"/>
      <c r="AO1" s="1004" t="n"/>
      <c r="AP1" s="489" t="n"/>
      <c r="AQ1" s="417" t="n"/>
      <c r="AR1" s="840" t="inlineStr">
        <is>
          <t>Percentage of economically inactive by does not want a job (%)</t>
        </is>
      </c>
      <c r="AS1" s="1004" t="n"/>
      <c r="AT1" s="1004" t="n"/>
      <c r="AU1" s="1004" t="n"/>
      <c r="AV1" s="1004" t="n"/>
      <c r="AW1" s="489" t="n"/>
    </row>
    <row r="2" ht="75" customHeight="1" s="828">
      <c r="B2" s="415" t="inlineStr">
        <is>
          <t>Total economically inactive aged 16-64 (thousands)4</t>
        </is>
      </c>
      <c r="C2" s="415" t="inlineStr">
        <is>
          <t>Student</t>
        </is>
      </c>
      <c r="D2" s="415" t="inlineStr">
        <is>
          <t>Looking after family / home</t>
        </is>
      </c>
      <c r="E2" s="415" t="inlineStr">
        <is>
          <t>Temp sick</t>
        </is>
      </c>
      <c r="F2" s="415" t="inlineStr">
        <is>
          <t>Long-term sick</t>
        </is>
      </c>
      <c r="G2" s="415" t="inlineStr">
        <is>
          <t>Discouraged workers1</t>
        </is>
      </c>
      <c r="H2" s="415" t="inlineStr">
        <is>
          <t>Retired</t>
        </is>
      </c>
      <c r="I2" s="415" t="inlineStr">
        <is>
          <t>Other2</t>
        </is>
      </c>
      <c r="J2" s="415" t="inlineStr">
        <is>
          <t>Does not want job (thousands)</t>
        </is>
      </c>
      <c r="K2" s="415" t="inlineStr">
        <is>
          <t>Wants a job (thousands)</t>
        </is>
      </c>
      <c r="L2" s="415" t="inlineStr">
        <is>
          <t>Total economically inactive
aged 16-64</t>
        </is>
      </c>
      <c r="M2" s="415" t="inlineStr">
        <is>
          <t>Student</t>
        </is>
      </c>
      <c r="N2" s="415" t="inlineStr">
        <is>
          <t>Looking after family / home</t>
        </is>
      </c>
      <c r="O2" s="415" t="inlineStr">
        <is>
          <t>Temp sick</t>
        </is>
      </c>
      <c r="P2" s="415" t="inlineStr">
        <is>
          <t>Long-term sick</t>
        </is>
      </c>
      <c r="Q2" s="415" t="inlineStr">
        <is>
          <t>Discouraged workers1</t>
        </is>
      </c>
      <c r="R2" s="415" t="inlineStr">
        <is>
          <t>Retired</t>
        </is>
      </c>
      <c r="S2" s="415" t="inlineStr">
        <is>
          <t>Other2</t>
        </is>
      </c>
      <c r="T2" s="415" t="inlineStr">
        <is>
          <t>Does not want job (%age of economically inactive)</t>
        </is>
      </c>
      <c r="U2" s="415" t="inlineStr">
        <is>
          <t>Wants a job (%age of economically inactive)</t>
        </is>
      </c>
      <c r="V2" s="415" t="inlineStr">
        <is>
          <t>Total economically inactive wants a job aged 16-64 (thousands)</t>
        </is>
      </c>
      <c r="W2" s="415" t="inlineStr">
        <is>
          <t>Student</t>
        </is>
      </c>
      <c r="X2" s="415" t="inlineStr">
        <is>
          <t>Looking after family / home</t>
        </is>
      </c>
      <c r="Y2" s="415" t="inlineStr">
        <is>
          <t>Temp sick</t>
        </is>
      </c>
      <c r="Z2" s="415" t="inlineStr">
        <is>
          <t>Long-term sick</t>
        </is>
      </c>
      <c r="AA2" s="415" t="inlineStr">
        <is>
          <t>Discouraged workers1</t>
        </is>
      </c>
      <c r="AB2" s="415" t="inlineStr">
        <is>
          <t>Other2</t>
        </is>
      </c>
      <c r="AC2" s="415" t="inlineStr">
        <is>
          <t>Total wants a job aged 16-64</t>
        </is>
      </c>
      <c r="AD2" s="415" t="inlineStr">
        <is>
          <t>Student</t>
        </is>
      </c>
      <c r="AE2" s="415" t="inlineStr">
        <is>
          <t>Looking after family / home</t>
        </is>
      </c>
      <c r="AF2" s="415" t="inlineStr">
        <is>
          <t>Temp sick</t>
        </is>
      </c>
      <c r="AG2" s="415" t="inlineStr">
        <is>
          <t>Long-term sick</t>
        </is>
      </c>
      <c r="AH2" s="415" t="inlineStr">
        <is>
          <t>Discouraged workers1</t>
        </is>
      </c>
      <c r="AI2" s="415" t="inlineStr">
        <is>
          <t>Other2</t>
        </is>
      </c>
      <c r="AJ2" s="415" t="inlineStr">
        <is>
          <t>Total economically inactive does not want a job aged 16-64 (thousands)</t>
        </is>
      </c>
      <c r="AK2" s="415" t="inlineStr">
        <is>
          <t>Student</t>
        </is>
      </c>
      <c r="AL2" s="415" t="inlineStr">
        <is>
          <t>Looking after family / home</t>
        </is>
      </c>
      <c r="AM2" s="415" t="inlineStr">
        <is>
          <t>Temp sick</t>
        </is>
      </c>
      <c r="AN2" s="415" t="inlineStr">
        <is>
          <t>Long-term sick</t>
        </is>
      </c>
      <c r="AO2" s="415" t="inlineStr">
        <is>
          <t>Retired</t>
        </is>
      </c>
      <c r="AP2" s="415" t="inlineStr">
        <is>
          <t>Other2</t>
        </is>
      </c>
      <c r="AQ2" s="415" t="inlineStr">
        <is>
          <t>Total does not want a job aged 16-64</t>
        </is>
      </c>
      <c r="AR2" s="415" t="inlineStr">
        <is>
          <t>Student</t>
        </is>
      </c>
      <c r="AS2" s="415" t="inlineStr">
        <is>
          <t>Looking after family / home</t>
        </is>
      </c>
      <c r="AT2" s="415" t="inlineStr">
        <is>
          <t>Temp sick</t>
        </is>
      </c>
      <c r="AU2" s="415" t="inlineStr">
        <is>
          <t>Long-term sick</t>
        </is>
      </c>
      <c r="AV2" s="415" t="inlineStr">
        <is>
          <t>Retired</t>
        </is>
      </c>
      <c r="AW2" s="415" t="inlineStr">
        <is>
          <t>Other2</t>
        </is>
      </c>
    </row>
    <row r="3">
      <c r="A3" s="412" t="inlineStr">
        <is>
          <t>Current</t>
        </is>
      </c>
      <c r="B3" s="1005">
        <f t="array" ref="B3">INDEX(B$18:B$1048576,COUNTA(B$18:B$1048576))</f>
        <v/>
      </c>
      <c r="C3" s="1005">
        <f t="array" ref="C3">INDEX(C$30:C$1048576,COUNTA(C$30:C$1048576))</f>
        <v/>
      </c>
      <c r="D3" s="1005">
        <f t="array" ref="D3">INDEX(D$30:D$1048576,COUNTA(D$30:D$1048576))</f>
        <v/>
      </c>
      <c r="E3" s="1005">
        <f t="array" ref="E3">INDEX(E$30:E$1048576,COUNTA(E$30:E$1048576))</f>
        <v/>
      </c>
      <c r="F3" s="1005">
        <f t="array" ref="F3">INDEX(F$30:F$1048576,COUNTA(F$30:F$1048576))</f>
        <v/>
      </c>
      <c r="G3" s="1005">
        <f t="array" ref="G3">INDEX(G$30:G$1048576,COUNTA(G$30:G$1048576))</f>
        <v/>
      </c>
      <c r="H3" s="1005">
        <f t="array" ref="H3">INDEX(H$30:H$1048576,COUNTA(H$30:H$1048576))</f>
        <v/>
      </c>
      <c r="I3" s="1005">
        <f t="array" ref="I3">INDEX(I$30:I$1048576,COUNTA(I$30:I$1048576))</f>
        <v/>
      </c>
      <c r="J3" s="1005">
        <f t="array" ref="J3">INDEX(J$30:J$1048576,COUNTA(J$30:J$1048576))</f>
        <v/>
      </c>
      <c r="K3" s="1005">
        <f t="array" ref="K3">INDEX(K$30:K$1048576,COUNTA(K$30:K$1048576))</f>
        <v/>
      </c>
      <c r="L3" s="1006">
        <f t="array" ref="L3">INDEX(L$18:L$1048576,COUNTA(L$18:L$1048576))</f>
        <v/>
      </c>
      <c r="M3" s="1006">
        <f t="array" ref="M3">INDEX(M$30:M$1048576,COUNTA(M$30:M$1048576))</f>
        <v/>
      </c>
      <c r="N3" s="1006">
        <f t="array" ref="N3">INDEX(N$30:N$1048576,COUNTA(N$30:N$1048576))</f>
        <v/>
      </c>
      <c r="O3" s="1006">
        <f t="array" ref="O3">INDEX(O$30:O$1048576,COUNTA(O$30:O$1048576))</f>
        <v/>
      </c>
      <c r="P3" s="1006">
        <f t="array" ref="P3">INDEX(P$30:P$1048576,COUNTA(P$30:P$1048576))</f>
        <v/>
      </c>
      <c r="Q3" s="1006">
        <f t="array" ref="Q3">INDEX(Q$30:Q$1048576,COUNTA(Q$30:Q$1048576))</f>
        <v/>
      </c>
      <c r="R3" s="1006">
        <f t="array" ref="R3">INDEX(R$30:R$1048576,COUNTA(R$30:R$1048576))</f>
        <v/>
      </c>
      <c r="S3" s="1006">
        <f t="array" ref="S3">INDEX(S$30:S$1048576,COUNTA(S$30:S$1048576))</f>
        <v/>
      </c>
      <c r="T3" s="1006">
        <f t="array" ref="T3">INDEX(T$30:T$1048576,COUNTA(T$30:T$1048576))</f>
        <v/>
      </c>
      <c r="U3" s="1006">
        <f t="array" ref="U3">INDEX(U$30:U$1048576,COUNTA(U$30:U$1048576))</f>
        <v/>
      </c>
      <c r="V3" s="1005">
        <f t="array" ref="V3">INDEX(V$18:V$1048576,COUNTA(V$18:V$1048576))</f>
        <v/>
      </c>
      <c r="W3" s="1005">
        <f t="array" ref="W3">INDEX(W$18:W$1048576,COUNTA(W$18:W$1048576))</f>
        <v/>
      </c>
      <c r="X3" s="1005">
        <f t="array" ref="X3">INDEX(X$18:X$1048576,COUNTA(X$18:X$1048576))</f>
        <v/>
      </c>
      <c r="Y3" s="1005">
        <f t="array" ref="Y3">INDEX(Y$18:Y$1048576,COUNTA(Y$18:Y$1048576))</f>
        <v/>
      </c>
      <c r="Z3" s="1005">
        <f t="array" ref="Z3">INDEX(Z$18:Z$1048576,COUNTA(Z$18:Z$1048576))</f>
        <v/>
      </c>
      <c r="AA3" s="1005">
        <f t="array" ref="AA3">INDEX(AA$18:AA$1048576,COUNTA(AA$18:AA$1048576))</f>
        <v/>
      </c>
      <c r="AB3" s="1005">
        <f t="array" ref="AB3">INDEX(AB$18:AB$1048576,COUNTA(AB$18:AB$1048576))</f>
        <v/>
      </c>
      <c r="AC3" s="1006">
        <f t="array" ref="AC3">INDEX(AC$18:AC$1048576,COUNTA(AC$18:AC$1048576))</f>
        <v/>
      </c>
      <c r="AD3" s="1006">
        <f t="array" ref="AD3">INDEX(AD$18:AD$1048576,COUNTA(AD$18:AD$1048576))</f>
        <v/>
      </c>
      <c r="AE3" s="1006">
        <f t="array" ref="AE3">INDEX(AE$18:AE$1048576,COUNTA(AE$18:AE$1048576))</f>
        <v/>
      </c>
      <c r="AF3" s="1006">
        <f t="array" ref="AF3">INDEX(AF$18:AF$1048576,COUNTA(AF$18:AF$1048576))</f>
        <v/>
      </c>
      <c r="AG3" s="1006">
        <f t="array" ref="AG3">INDEX(AG$18:AG$1048576,COUNTA(AG$18:AG$1048576))</f>
        <v/>
      </c>
      <c r="AH3" s="1007">
        <f t="array" ref="AH3">INDEX(AH$18:AH$1048576,COUNTA(AH$18:AH$1048576))</f>
        <v/>
      </c>
      <c r="AI3" s="1006">
        <f t="array" ref="AI3">INDEX(AI$18:AI$1048576,COUNTA(AI$18:AI$1048576))</f>
        <v/>
      </c>
      <c r="AJ3" s="1005">
        <f t="array" ref="AJ3">INDEX(AJ$18:AJ$1048576,COUNTA(AJ$18:AJ$1048576))</f>
        <v/>
      </c>
      <c r="AK3" s="1005">
        <f t="array" ref="AK3">INDEX(AK$18:AK$1048576,COUNTA(AK$18:AK$1048576))</f>
        <v/>
      </c>
      <c r="AL3" s="1005">
        <f t="array" ref="AL3">INDEX(AL$18:AL$1048576,COUNTA(AL$18:AL$1048576))</f>
        <v/>
      </c>
      <c r="AM3" s="1005">
        <f t="array" ref="AM3">INDEX(AM$18:AM$1048576,COUNTA(AM$18:AM$1048576))</f>
        <v/>
      </c>
      <c r="AN3" s="1005">
        <f t="array" ref="AN3">INDEX(AN$18:AN$1048576,COUNTA(AN$18:AN$1048576))</f>
        <v/>
      </c>
      <c r="AO3" s="1005">
        <f t="array" ref="AO3">INDEX(AO$18:AO$1048576,COUNTA(AO$18:AO$1048576))</f>
        <v/>
      </c>
      <c r="AP3" s="1005">
        <f t="array" ref="AP3">INDEX(AP$18:AP$1048576,COUNTA(AP$18:AP$1048576))</f>
        <v/>
      </c>
      <c r="AQ3" s="1006">
        <f t="array" ref="AQ3">INDEX(AQ$18:AQ$1048576,COUNTA(AQ$18:AQ$1048576))</f>
        <v/>
      </c>
      <c r="AR3" s="1006">
        <f t="array" ref="AR3">INDEX(AR$18:AR$1048576,COUNTA(AR$18:AR$1048576))</f>
        <v/>
      </c>
      <c r="AS3" s="1006">
        <f t="array" ref="AS3">INDEX(AS$18:AS$1048576,COUNTA(AS$18:AS$1048576))</f>
        <v/>
      </c>
      <c r="AT3" s="1006">
        <f t="array" ref="AT3">INDEX(AT$18:AT$1048576,COUNTA(AT$18:AT$1048576))</f>
        <v/>
      </c>
      <c r="AU3" s="1006">
        <f t="array" ref="AU3">INDEX(AU$18:AU$1048576,COUNTA(AU$18:AU$1048576))</f>
        <v/>
      </c>
      <c r="AV3" s="1006">
        <f t="array" ref="AV3">INDEX(AV$18:AV$1048576,COUNTA(AV$18:AV$1048576))</f>
        <v/>
      </c>
      <c r="AW3" s="1006">
        <f t="array" ref="AW3">INDEX(AW$18:AW$1048576,COUNTA(AW$18:AW$1048576))</f>
        <v/>
      </c>
    </row>
    <row r="4">
      <c r="A4" s="412" t="inlineStr">
        <is>
          <t>Quarterly change</t>
        </is>
      </c>
      <c r="B4" s="1008">
        <f t="array" ref="B4">INDEX(B$18:B$1048576,COUNTA(B$18:B$1048576))-INDEX(B$18:B$1048576,COUNTA(B$18:B$1048576)-3)</f>
        <v/>
      </c>
      <c r="C4" s="1008">
        <f t="array" ref="C4">INDEX(C$18:C$1048576,COUNTA(C$18:C$1048576))-INDEX(C$18:C$1048576,COUNTA(C$18:C$1048576)-3)</f>
        <v/>
      </c>
      <c r="D4" s="1008">
        <f t="array" ref="D4">INDEX(D$18:D$1048576,COUNTA(D$18:D$1048576))-INDEX(D$18:D$1048576,COUNTA(D$18:D$1048576)-3)</f>
        <v/>
      </c>
      <c r="E4" s="1008">
        <f t="array" ref="E4">INDEX(E$18:E$1048576,COUNTA(E$18:E$1048576))-INDEX(E$18:E$1048576,COUNTA(E$18:E$1048576)-3)</f>
        <v/>
      </c>
      <c r="F4" s="1008">
        <f t="array" ref="F4">INDEX(F$18:F$1048576,COUNTA(F$18:F$1048576))-INDEX(F$18:F$1048576,COUNTA(F$18:F$1048576)-3)</f>
        <v/>
      </c>
      <c r="G4" s="1008">
        <f t="array" ref="G4">INDEX(G$18:G$1048576,COUNTA(G$18:G$1048576))-INDEX(G$18:G$1048576,COUNTA(G$18:G$1048576)-3)</f>
        <v/>
      </c>
      <c r="H4" s="1008">
        <f t="array" ref="H4">INDEX(H$18:H$1048576,COUNTA(H$18:H$1048576))-INDEX(H$18:H$1048576,COUNTA(H$18:H$1048576)-3)</f>
        <v/>
      </c>
      <c r="I4" s="1008">
        <f t="array" ref="I4">INDEX(I$18:I$1048576,COUNTA(I$18:I$1048576))-INDEX(I$18:I$1048576,COUNTA(I$18:I$1048576)-3)</f>
        <v/>
      </c>
      <c r="J4" s="1008">
        <f t="array" ref="J4">INDEX(J$18:J$1048576,COUNTA(J$18:J$1048576))-INDEX(J$18:J$1048576,COUNTA(J$18:J$1048576)-3)</f>
        <v/>
      </c>
      <c r="K4" s="1008">
        <f t="array" ref="K4">INDEX(K$18:K$1048576,COUNTA(K$18:K$1048576))-INDEX(K$18:K$1048576,COUNTA(K$18:K$1048576)-3)</f>
        <v/>
      </c>
      <c r="L4" s="1008">
        <f t="array" ref="L4">INDEX(L$18:L$1048576,COUNTA(L$18:L$1048576))-INDEX(L$18:L$1048576,COUNTA(L$18:L$1048576)-3)</f>
        <v/>
      </c>
      <c r="M4" s="1008">
        <f t="array" ref="M4">INDEX(M$18:M$1048576,COUNTA(M$18:M$1048576))-INDEX(M$18:M$1048576,COUNTA(M$18:M$1048576)-3)</f>
        <v/>
      </c>
      <c r="N4" s="1008">
        <f t="array" ref="N4">INDEX(N$18:N$1048576,COUNTA(N$18:N$1048576))-INDEX(N$18:N$1048576,COUNTA(N$18:N$1048576)-3)</f>
        <v/>
      </c>
      <c r="O4" s="1008">
        <f t="array" ref="O4">INDEX(O$18:O$1048576,COUNTA(O$18:O$1048576))-INDEX(O$18:O$1048576,COUNTA(O$18:O$1048576)-3)</f>
        <v/>
      </c>
      <c r="P4" s="1008">
        <f t="array" ref="P4">INDEX(P$18:P$1048576,COUNTA(P$18:P$1048576))-INDEX(P$18:P$1048576,COUNTA(P$18:P$1048576)-3)</f>
        <v/>
      </c>
      <c r="Q4" s="1008">
        <f t="array" ref="Q4">INDEX(Q$18:Q$1048576,COUNTA(Q$18:Q$1048576))-INDEX(Q$18:Q$1048576,COUNTA(Q$18:Q$1048576)-3)</f>
        <v/>
      </c>
      <c r="R4" s="1008">
        <f t="array" ref="R4">INDEX(R$18:R$1048576,COUNTA(R$18:R$1048576))-INDEX(R$18:R$1048576,COUNTA(R$18:R$1048576)-3)</f>
        <v/>
      </c>
      <c r="S4" s="1008">
        <f t="array" ref="S4">INDEX(S$18:S$1048576,COUNTA(S$18:S$1048576))-INDEX(S$18:S$1048576,COUNTA(S$18:S$1048576)-3)</f>
        <v/>
      </c>
      <c r="T4" s="1008">
        <f t="array" ref="T4">INDEX(T$18:T$1048576,COUNTA(T$18:T$1048576))-INDEX(T$18:T$1048576,COUNTA(T$18:T$1048576)-3)</f>
        <v/>
      </c>
      <c r="U4" s="1008">
        <f t="array" ref="U4">INDEX(U$18:U$1048576,COUNTA(U$18:U$1048576))-INDEX(U$18:U$1048576,COUNTA(U$18:U$1048576)-3)</f>
        <v/>
      </c>
      <c r="V4" s="1008">
        <f t="array" ref="V4">INDEX(V$18:V$1048576,COUNTA(V$18:V$1048576))-INDEX(V$18:V$1048576,COUNTA(V$18:V$1048576)-3)</f>
        <v/>
      </c>
      <c r="W4" s="1008">
        <f t="array" ref="W4">INDEX(W$18:W$1048576,COUNTA(W$18:W$1048576))-INDEX(W$18:W$1048576,COUNTA(W$18:W$1048576)-3)</f>
        <v/>
      </c>
      <c r="X4" s="1008">
        <f t="array" ref="X4">INDEX(X$18:X$1048576,COUNTA(X$18:X$1048576))-INDEX(X$18:X$1048576,COUNTA(X$18:X$1048576)-3)</f>
        <v/>
      </c>
      <c r="Y4" s="1008">
        <f t="array" ref="Y4">INDEX(Y$18:Y$1048576,COUNTA(Y$18:Y$1048576))-INDEX(Y$18:Y$1048576,COUNTA(Y$18:Y$1048576)-3)</f>
        <v/>
      </c>
      <c r="Z4" s="1008">
        <f t="array" ref="Z4">INDEX(Z$18:Z$1048576,COUNTA(Z$18:Z$1048576))-INDEX(Z$18:Z$1048576,COUNTA(Z$18:Z$1048576)-3)</f>
        <v/>
      </c>
      <c r="AA4" s="1008">
        <f t="array" ref="AA4">INDEX(AA$18:AA$1048576,COUNTA(AA$18:AA$1048576))-INDEX(AA$18:AA$1048576,COUNTA(AA$18:AA$1048576)-3)</f>
        <v/>
      </c>
      <c r="AB4" s="1008">
        <f t="array" ref="AB4">INDEX(AB$18:AB$1048576,COUNTA(AB$18:AB$1048576))-INDEX(AB$18:AB$1048576,COUNTA(AB$18:AB$1048576)-3)</f>
        <v/>
      </c>
      <c r="AC4" s="1009">
        <f t="array" ref="AC4">INDEX(AC$18:AC$1048576,COUNTA(AC$18:AC$1048576))-INDEX(AC$18:AC$1048576,COUNTA(AC$18:AC$1048576)-3)</f>
        <v/>
      </c>
      <c r="AD4" s="1009">
        <f t="array" ref="AD4">INDEX(AD$18:AD$1048576,COUNTA(AD$18:AD$1048576))-INDEX(AD$18:AD$1048576,COUNTA(AD$18:AD$1048576)-3)</f>
        <v/>
      </c>
      <c r="AE4" s="1009">
        <f t="array" ref="AE4">INDEX(AE$18:AE$1048576,COUNTA(AE$18:AE$1048576))-INDEX(AE$18:AE$1048576,COUNTA(AE$18:AE$1048576)-3)</f>
        <v/>
      </c>
      <c r="AF4" s="1009">
        <f t="array" ref="AF4">INDEX(AF$18:AF$1048576,COUNTA(AF$18:AF$1048576))-INDEX(AF$18:AF$1048576,COUNTA(AF$18:AF$1048576)-3)</f>
        <v/>
      </c>
      <c r="AG4" s="1009">
        <f t="array" ref="AG4">INDEX(AG$18:AG$1048576,COUNTA(AG$18:AG$1048576))-INDEX(AG$18:AG$1048576,COUNTA(AG$18:AG$1048576)-3)</f>
        <v/>
      </c>
      <c r="AH4" s="1010">
        <f t="array" ref="AH4">INDEX(AH$18:AH$1048576,COUNTA(AH$18:AH$1048576))-INDEX(AH$18:AH$1048576,COUNTA(AH$18:AH$1048576)-3)</f>
        <v/>
      </c>
      <c r="AI4" s="1011">
        <f t="array" ref="AI4">INDEX(AI$18:AI$1048576,COUNTA(AI$18:AI$1048576))-INDEX(AI$18:AI$1048576,COUNTA(AI$18:AI$1048576)-3)</f>
        <v/>
      </c>
      <c r="AJ4" s="1008">
        <f t="array" ref="AJ4">INDEX(AJ$18:AJ$1048576,COUNTA(AJ$18:AJ$1048576))-INDEX(AJ$18:AJ$1048576,COUNTA(AJ$18:AJ$1048576)-3)</f>
        <v/>
      </c>
      <c r="AK4" s="1008">
        <f t="array" ref="AK4">INDEX(AK$18:AK$1048576,COUNTA(AK$18:AK$1048576))-INDEX(AK$18:AK$1048576,COUNTA(AK$18:AK$1048576)-3)</f>
        <v/>
      </c>
      <c r="AL4" s="1008">
        <f t="array" ref="AL4">INDEX(AL$18:AL$1048576,COUNTA(AL$18:AL$1048576))-INDEX(AL$18:AL$1048576,COUNTA(AL$18:AL$1048576)-3)</f>
        <v/>
      </c>
      <c r="AM4" s="1008">
        <f t="array" ref="AM4">INDEX(AM$18:AM$1048576,COUNTA(AM$18:AM$1048576))-INDEX(AM$18:AM$1048576,COUNTA(AM$18:AM$1048576)-3)</f>
        <v/>
      </c>
      <c r="AN4" s="1008">
        <f t="array" ref="AN4">INDEX(AN$18:AN$1048576,COUNTA(AN$18:AN$1048576))-INDEX(AN$18:AN$1048576,COUNTA(AN$18:AN$1048576)-3)</f>
        <v/>
      </c>
      <c r="AO4" s="1008">
        <f t="array" ref="AO4">INDEX(AO$18:AO$1048576,COUNTA(AO$18:AO$1048576))-INDEX(AO$18:AO$1048576,COUNTA(AO$18:AO$1048576)-3)</f>
        <v/>
      </c>
      <c r="AP4" s="1008">
        <f t="array" ref="AP4">INDEX(AP$18:AP$1048576,COUNTA(AP$18:AP$1048576))-INDEX(AP$18:AP$1048576,COUNTA(AP$18:AP$1048576)-3)</f>
        <v/>
      </c>
      <c r="AQ4" s="1008">
        <f t="array" ref="AQ4">INDEX(AQ$18:AQ$1048576,COUNTA(AQ$18:AQ$1048576))-INDEX(AQ$18:AQ$1048576,COUNTA(AQ$18:AQ$1048576)-3)</f>
        <v/>
      </c>
      <c r="AR4" s="1008">
        <f t="array" ref="AR4">INDEX(AR$18:AR$1048576,COUNTA(AR$18:AR$1048576))-INDEX(AR$18:AR$1048576,COUNTA(AR$18:AR$1048576)-3)</f>
        <v/>
      </c>
      <c r="AS4" s="1008">
        <f t="array" ref="AS4">INDEX(AS$18:AS$1048576,COUNTA(AS$18:AS$1048576))-INDEX(AS$18:AS$1048576,COUNTA(AS$18:AS$1048576)-3)</f>
        <v/>
      </c>
      <c r="AT4" s="1008">
        <f t="array" ref="AT4">INDEX(AT$18:AT$1048576,COUNTA(AT$18:AT$1048576))-INDEX(AT$18:AT$1048576,COUNTA(AT$18:AT$1048576)-3)</f>
        <v/>
      </c>
      <c r="AU4" s="1008">
        <f t="array" ref="AU4">INDEX(AU$18:AU$1048576,COUNTA(AU$18:AU$1048576))-INDEX(AU$18:AU$1048576,COUNTA(AU$18:AU$1048576)-3)</f>
        <v/>
      </c>
      <c r="AV4" s="1008">
        <f t="array" ref="AV4">INDEX(AV$18:AV$1048576,COUNTA(AV$18:AV$1048576))-INDEX(AV$18:AV$1048576,COUNTA(AV$18:AV$1048576)-3)</f>
        <v/>
      </c>
      <c r="AW4" s="1008">
        <f t="array" ref="AW4">INDEX(AW$18:AW$1048576,COUNTA(AW$18:AW$1048576))-INDEX(AW$18:AW$1048576,COUNTA(AW$18:AW$1048576)-3)</f>
        <v/>
      </c>
    </row>
    <row r="5">
      <c r="A5" s="412" t="inlineStr">
        <is>
          <t>year on year change</t>
        </is>
      </c>
      <c r="B5" s="1008">
        <f t="array" ref="B5">INDEX(B$18:B$1048576,COUNTA(B$18:B$1048576))-INDEX(B$18:B$1048576,COUNTA(B$18:B$1048576)-12)</f>
        <v/>
      </c>
      <c r="C5" s="1008">
        <f t="array" ref="C5">INDEX(C$18:C$1048576,COUNTA(C$18:C$1048576))-INDEX(C$18:C$1048576,COUNTA(C$18:C$1048576)-12)</f>
        <v/>
      </c>
      <c r="D5" s="1008">
        <f t="array" ref="D5">INDEX(D$18:D$1048576,COUNTA(D$18:D$1048576))-INDEX(D$18:D$1048576,COUNTA(D$18:D$1048576)-12)</f>
        <v/>
      </c>
      <c r="E5" s="1008">
        <f t="array" ref="E5">INDEX(E$18:E$1048576,COUNTA(E$18:E$1048576))-INDEX(E$18:E$1048576,COUNTA(E$18:E$1048576)-12)</f>
        <v/>
      </c>
      <c r="F5" s="1008">
        <f t="array" ref="F5">INDEX(F$18:F$1048576,COUNTA(F$18:F$1048576))-INDEX(F$18:F$1048576,COUNTA(F$18:F$1048576)-12)</f>
        <v/>
      </c>
      <c r="G5" s="1008">
        <f t="array" ref="G5">INDEX(G$18:G$1048576,COUNTA(G$18:G$1048576))-INDEX(G$18:G$1048576,COUNTA(G$18:G$1048576)-12)</f>
        <v/>
      </c>
      <c r="H5" s="1008">
        <f t="array" ref="H5">INDEX(H$18:H$1048576,COUNTA(H$18:H$1048576))-INDEX(H$18:H$1048576,COUNTA(H$18:H$1048576)-12)</f>
        <v/>
      </c>
      <c r="I5" s="1008">
        <f t="array" ref="I5">INDEX(I$18:I$1048576,COUNTA(I$18:I$1048576))-INDEX(I$18:I$1048576,COUNTA(I$18:I$1048576)-12)</f>
        <v/>
      </c>
      <c r="J5" s="1008">
        <f t="array" ref="J5">INDEX(J$18:J$1048576,COUNTA(J$18:J$1048576))-INDEX(J$18:J$1048576,COUNTA(J$18:J$1048576)-12)</f>
        <v/>
      </c>
      <c r="K5" s="1008">
        <f t="array" ref="K5">INDEX(K$18:K$1048576,COUNTA(K$18:K$1048576))-INDEX(K$18:K$1048576,COUNTA(K$18:K$1048576)-12)</f>
        <v/>
      </c>
      <c r="L5" s="1008">
        <f t="array" ref="L5">INDEX(L$18:L$1048576,COUNTA(L$18:L$1048576))-INDEX(L$18:L$1048576,COUNTA(L$18:L$1048576)-12)</f>
        <v/>
      </c>
      <c r="M5" s="1008">
        <f t="array" ref="M5">INDEX(M$18:M$1048576,COUNTA(M$18:M$1048576))-INDEX(M$18:M$1048576,COUNTA(M$18:M$1048576)-12)</f>
        <v/>
      </c>
      <c r="N5" s="1008">
        <f t="array" ref="N5">INDEX(N$18:N$1048576,COUNTA(N$18:N$1048576))-INDEX(N$18:N$1048576,COUNTA(N$18:N$1048576)-12)</f>
        <v/>
      </c>
      <c r="O5" s="1008">
        <f t="array" ref="O5">INDEX(O$18:O$1048576,COUNTA(O$18:O$1048576))-INDEX(O$18:O$1048576,COUNTA(O$18:O$1048576)-12)</f>
        <v/>
      </c>
      <c r="P5" s="1008">
        <f t="array" ref="P5">INDEX(P$18:P$1048576,COUNTA(P$18:P$1048576))-INDEX(P$18:P$1048576,COUNTA(P$18:P$1048576)-12)</f>
        <v/>
      </c>
      <c r="Q5" s="1008">
        <f t="array" ref="Q5">INDEX(Q$18:Q$1048576,COUNTA(Q$18:Q$1048576))-INDEX(Q$18:Q$1048576,COUNTA(Q$18:Q$1048576)-12)</f>
        <v/>
      </c>
      <c r="R5" s="1008">
        <f t="array" ref="R5">INDEX(R$18:R$1048576,COUNTA(R$18:R$1048576))-INDEX(R$18:R$1048576,COUNTA(R$18:R$1048576)-12)</f>
        <v/>
      </c>
      <c r="S5" s="1008">
        <f t="array" ref="S5">INDEX(S$18:S$1048576,COUNTA(S$18:S$1048576))-INDEX(S$18:S$1048576,COUNTA(S$18:S$1048576)-12)</f>
        <v/>
      </c>
      <c r="T5" s="1008">
        <f t="array" ref="T5">INDEX(T$18:T$1048576,COUNTA(T$18:T$1048576))-INDEX(T$18:T$1048576,COUNTA(T$18:T$1048576)-12)</f>
        <v/>
      </c>
      <c r="U5" s="1008">
        <f t="array" ref="U5">INDEX(U$18:U$1048576,COUNTA(U$18:U$1048576))-INDEX(U$18:U$1048576,COUNTA(U$18:U$1048576)-12)</f>
        <v/>
      </c>
      <c r="V5" s="1008">
        <f t="array" ref="V5">INDEX(V$18:V$1048576,COUNTA(V$18:V$1048576))-INDEX(V$18:V$1048576,COUNTA(V$18:V$1048576)-12)</f>
        <v/>
      </c>
      <c r="W5" s="1008">
        <f t="array" ref="W5">INDEX(W$18:W$1048576,COUNTA(W$18:W$1048576))-INDEX(W$18:W$1048576,COUNTA(W$18:W$1048576)-12)</f>
        <v/>
      </c>
      <c r="X5" s="1008">
        <f t="array" ref="X5">INDEX(X$18:X$1048576,COUNTA(X$18:X$1048576))-INDEX(X$18:X$1048576,COUNTA(X$18:X$1048576)-12)</f>
        <v/>
      </c>
      <c r="Y5" s="1008">
        <f t="array" ref="Y5">INDEX(Y$18:Y$1048576,COUNTA(Y$18:Y$1048576))-INDEX(Y$18:Y$1048576,COUNTA(Y$18:Y$1048576)-12)</f>
        <v/>
      </c>
      <c r="Z5" s="1008">
        <f t="array" ref="Z5">INDEX(Z$18:Z$1048576,COUNTA(Z$18:Z$1048576))-INDEX(Z$18:Z$1048576,COUNTA(Z$18:Z$1048576)-12)</f>
        <v/>
      </c>
      <c r="AA5" s="1008">
        <f t="array" ref="AA5">INDEX(AA$18:AA$1048576,COUNTA(AA$18:AA$1048576))-INDEX(AA$18:AA$1048576,COUNTA(AA$18:AA$1048576)-12)</f>
        <v/>
      </c>
      <c r="AB5" s="1008">
        <f t="array" ref="AB5">INDEX(AB$18:AB$1048576,COUNTA(AB$18:AB$1048576))-INDEX(AB$18:AB$1048576,COUNTA(AB$18:AB$1048576)-12)</f>
        <v/>
      </c>
      <c r="AC5" s="1009">
        <f t="array" ref="AC5">INDEX(AC$18:AC$1048576,COUNTA(AC$18:AC$1048576))-INDEX(AC$18:AC$1048576,COUNTA(AC$18:AC$1048576)-12)</f>
        <v/>
      </c>
      <c r="AD5" s="1009">
        <f t="array" ref="AD5">INDEX(AD$18:AD$1048576,COUNTA(AD$18:AD$1048576))-INDEX(AD$18:AD$1048576,COUNTA(AD$18:AD$1048576)-12)</f>
        <v/>
      </c>
      <c r="AE5" s="1009">
        <f t="array" ref="AE5">INDEX(AE$18:AE$1048576,COUNTA(AE$18:AE$1048576))-INDEX(AE$18:AE$1048576,COUNTA(AE$18:AE$1048576)-12)</f>
        <v/>
      </c>
      <c r="AF5" s="1009">
        <f t="array" ref="AF5">INDEX(AF$18:AF$1048576,COUNTA(AF$18:AF$1048576))-INDEX(AF$18:AF$1048576,COUNTA(AF$18:AF$1048576)-12)</f>
        <v/>
      </c>
      <c r="AG5" s="1009">
        <f t="array" ref="AG5">INDEX(AG$18:AG$1048576,COUNTA(AG$18:AG$1048576))-INDEX(AG$18:AG$1048576,COUNTA(AG$18:AG$1048576)-12)</f>
        <v/>
      </c>
      <c r="AH5" s="1010">
        <f t="array" ref="AH5">INDEX(AH$18:AH$1048576,COUNTA(AH$18:AH$1048576))-INDEX(AH$18:AH$1048576,COUNTA(AH$18:AH$1048576)-12)</f>
        <v/>
      </c>
      <c r="AI5" s="1011">
        <f t="array" ref="AI5">INDEX(AI$18:AI$1048576,COUNTA(AI$18:AI$1048576))-INDEX(AI$18:AI$1048576,COUNTA(AI$18:AI$1048576)-12)</f>
        <v/>
      </c>
      <c r="AJ5" s="1008">
        <f t="array" ref="AJ5">INDEX(AJ$18:AJ$1048576,COUNTA(AJ$18:AJ$1048576))-INDEX(AJ$18:AJ$1048576,COUNTA(AJ$18:AJ$1048576)-12)</f>
        <v/>
      </c>
      <c r="AK5" s="1008">
        <f t="array" ref="AK5">INDEX(AK$18:AK$1048576,COUNTA(AK$18:AK$1048576))-INDEX(AK$18:AK$1048576,COUNTA(AK$18:AK$1048576)-12)</f>
        <v/>
      </c>
      <c r="AL5" s="1008">
        <f t="array" ref="AL5">INDEX(AL$18:AL$1048576,COUNTA(AL$18:AL$1048576))-INDEX(AL$18:AL$1048576,COUNTA(AL$18:AL$1048576)-12)</f>
        <v/>
      </c>
      <c r="AM5" s="1008">
        <f t="array" ref="AM5">INDEX(AM$18:AM$1048576,COUNTA(AM$18:AM$1048576))-INDEX(AM$18:AM$1048576,COUNTA(AM$18:AM$1048576)-12)</f>
        <v/>
      </c>
      <c r="AN5" s="1008">
        <f t="array" ref="AN5">INDEX(AN$18:AN$1048576,COUNTA(AN$18:AN$1048576))-INDEX(AN$18:AN$1048576,COUNTA(AN$18:AN$1048576)-12)</f>
        <v/>
      </c>
      <c r="AO5" s="1008">
        <f t="array" ref="AO5">INDEX(AO$18:AO$1048576,COUNTA(AO$18:AO$1048576))-INDEX(AO$18:AO$1048576,COUNTA(AO$18:AO$1048576)-12)</f>
        <v/>
      </c>
      <c r="AP5" s="1008">
        <f t="array" ref="AP5">INDEX(AP$18:AP$1048576,COUNTA(AP$18:AP$1048576))-INDEX(AP$18:AP$1048576,COUNTA(AP$18:AP$1048576)-12)</f>
        <v/>
      </c>
      <c r="AQ5" s="1008">
        <f t="array" ref="AQ5">INDEX(AQ$18:AQ$1048576,COUNTA(AQ$18:AQ$1048576))-INDEX(AQ$18:AQ$1048576,COUNTA(AQ$18:AQ$1048576)-12)</f>
        <v/>
      </c>
      <c r="AR5" s="1008">
        <f t="array" ref="AR5">INDEX(AR$18:AR$1048576,COUNTA(AR$18:AR$1048576))-INDEX(AR$18:AR$1048576,COUNTA(AR$18:AR$1048576)-12)</f>
        <v/>
      </c>
      <c r="AS5" s="1008">
        <f t="array" ref="AS5">INDEX(AS$18:AS$1048576,COUNTA(AS$18:AS$1048576))-INDEX(AS$18:AS$1048576,COUNTA(AS$18:AS$1048576)-12)</f>
        <v/>
      </c>
      <c r="AT5" s="1008">
        <f t="array" ref="AT5">INDEX(AT$18:AT$1048576,COUNTA(AT$18:AT$1048576))-INDEX(AT$18:AT$1048576,COUNTA(AT$18:AT$1048576)-12)</f>
        <v/>
      </c>
      <c r="AU5" s="1008">
        <f t="array" ref="AU5">INDEX(AU$18:AU$1048576,COUNTA(AU$18:AU$1048576))-INDEX(AU$18:AU$1048576,COUNTA(AU$18:AU$1048576)-12)</f>
        <v/>
      </c>
      <c r="AV5" s="1008">
        <f t="array" ref="AV5">INDEX(AV$18:AV$1048576,COUNTA(AV$18:AV$1048576))-INDEX(AV$18:AV$1048576,COUNTA(AV$18:AV$1048576)-12)</f>
        <v/>
      </c>
      <c r="AW5" s="1008">
        <f t="array" ref="AW5">INDEX(AW$18:AW$1048576,COUNTA(AW$18:AW$1048576))-INDEX(AW$18:AW$1048576,COUNTA(AW$18:AW$1048576)-12)</f>
        <v/>
      </c>
    </row>
    <row r="6">
      <c r="A6" s="412" t="inlineStr">
        <is>
          <t>Since pandemic</t>
        </is>
      </c>
      <c r="B6" s="1008">
        <f t="array" ref="B6">INDEX(B$18:B$1048576,COUNTA(B$18:B$1048576))-B$351</f>
        <v/>
      </c>
      <c r="C6" s="1008">
        <f t="array" ref="C6">INDEX(C$18:C$1048576,COUNTA(C$18:C$1048576))-C$351</f>
        <v/>
      </c>
      <c r="D6" s="1008">
        <f t="array" ref="D6">INDEX(D$18:D$1048576,COUNTA(D$18:D$1048576))-D$351</f>
        <v/>
      </c>
      <c r="E6" s="1008">
        <f t="array" ref="E6">INDEX(E$18:E$1048576,COUNTA(E$18:E$1048576))-E$351</f>
        <v/>
      </c>
      <c r="F6" s="1008">
        <f t="array" ref="F6">INDEX(F$18:F$1048576,COUNTA(F$18:F$1048576))-F$351</f>
        <v/>
      </c>
      <c r="G6" s="1008">
        <f t="array" ref="G6">INDEX(G$18:G$1048576,COUNTA(G$18:G$1048576))-G$351</f>
        <v/>
      </c>
      <c r="H6" s="1008">
        <f t="array" ref="H6">INDEX(H$18:H$1048576,COUNTA(H$18:H$1048576))-H$351</f>
        <v/>
      </c>
      <c r="I6" s="1008">
        <f t="array" ref="I6">INDEX(I$18:I$1048576,COUNTA(I$18:I$1048576))-I$351</f>
        <v/>
      </c>
      <c r="J6" s="1008">
        <f t="array" ref="J6">INDEX(J$18:J$1048576,COUNTA(J$18:J$1048576))-J$351</f>
        <v/>
      </c>
      <c r="K6" s="1008">
        <f t="array" ref="K6">INDEX(K$18:K$1048576,COUNTA(K$18:K$1048576))-K$351</f>
        <v/>
      </c>
      <c r="L6" s="1008">
        <f t="array" ref="L6">INDEX(L$18:L$1048576,COUNTA(L$18:L$1048576))-L$351</f>
        <v/>
      </c>
      <c r="M6" s="1008">
        <f t="array" ref="M6">INDEX(M$18:M$1048576,COUNTA(M$18:M$1048576))-M$351</f>
        <v/>
      </c>
      <c r="N6" s="1008">
        <f t="array" ref="N6">INDEX(N$18:N$1048576,COUNTA(N$18:N$1048576))-N$351</f>
        <v/>
      </c>
      <c r="O6" s="1008">
        <f t="array" ref="O6">INDEX(O$18:O$1048576,COUNTA(O$18:O$1048576))-O$351</f>
        <v/>
      </c>
      <c r="P6" s="1008">
        <f t="array" ref="P6">INDEX(P$18:P$1048576,COUNTA(P$18:P$1048576))-P$351</f>
        <v/>
      </c>
      <c r="Q6" s="1008">
        <f t="array" ref="Q6">INDEX(Q$18:Q$1048576,COUNTA(Q$18:Q$1048576))-Q$351</f>
        <v/>
      </c>
      <c r="R6" s="1008">
        <f t="array" ref="R6">INDEX(R$18:R$1048576,COUNTA(R$18:R$1048576))-R$351</f>
        <v/>
      </c>
      <c r="S6" s="1008">
        <f t="array" ref="S6">INDEX(S$18:S$1048576,COUNTA(S$18:S$1048576))-S$351</f>
        <v/>
      </c>
      <c r="T6" s="1008">
        <f t="array" ref="T6">INDEX(T$18:T$1048576,COUNTA(T$18:T$1048576))-T$351</f>
        <v/>
      </c>
      <c r="U6" s="1008">
        <f t="array" ref="U6">INDEX(U$18:U$1048576,COUNTA(U$18:U$1048576))-U$351</f>
        <v/>
      </c>
      <c r="V6" s="1008">
        <f t="array" ref="V6">INDEX(V$18:V$1048576,COUNTA(V$18:V$1048576))-V$351</f>
        <v/>
      </c>
      <c r="W6" s="1008">
        <f t="array" ref="W6">INDEX(W$18:W$1048576,COUNTA(W$18:W$1048576))-W$351</f>
        <v/>
      </c>
      <c r="X6" s="1008">
        <f t="array" ref="X6">INDEX(X$18:X$1048576,COUNTA(X$18:X$1048576))-X$351</f>
        <v/>
      </c>
      <c r="Y6" s="1008">
        <f t="array" ref="Y6">INDEX(Y$18:Y$1048576,COUNTA(Y$18:Y$1048576))-Y$351</f>
        <v/>
      </c>
      <c r="Z6" s="1008">
        <f t="array" ref="Z6">INDEX(Z$18:Z$1048576,COUNTA(Z$18:Z$1048576))-Z$351</f>
        <v/>
      </c>
      <c r="AA6" s="1008">
        <f t="array" ref="AA6">INDEX(AA$18:AA$1048576,COUNTA(AA$18:AA$1048576))-AA$351</f>
        <v/>
      </c>
      <c r="AB6" s="1008">
        <f t="array" ref="AB6">INDEX(AB$18:AB$1048576,COUNTA(AB$18:AB$1048576))-AB$351</f>
        <v/>
      </c>
      <c r="AC6" s="1009">
        <f t="array" ref="AC6">INDEX(AC$18:AC$1048576,COUNTA(AC$18:AC$1048576))-AC$351</f>
        <v/>
      </c>
      <c r="AD6" s="1009">
        <f t="array" ref="AD6">INDEX(AD$18:AD$1048576,COUNTA(AD$18:AD$1048576))-AD$351</f>
        <v/>
      </c>
      <c r="AE6" s="1009">
        <f t="array" ref="AE6">INDEX(AE$18:AE$1048576,COUNTA(AE$18:AE$1048576))-AE$351</f>
        <v/>
      </c>
      <c r="AF6" s="1009">
        <f t="array" ref="AF6">INDEX(AF$18:AF$1048576,COUNTA(AF$18:AF$1048576))-AF$351</f>
        <v/>
      </c>
      <c r="AG6" s="1009">
        <f t="array" ref="AG6">INDEX(AG$18:AG$1048576,COUNTA(AG$18:AG$1048576))-AG$351</f>
        <v/>
      </c>
      <c r="AH6" s="1010">
        <f t="array" ref="AH6">INDEX(AH$18:AH$1048576,COUNTA(AH$18:AH$1048576))-AH$351</f>
        <v/>
      </c>
      <c r="AI6" s="1011">
        <f t="array" ref="AI6">INDEX(AI$18:AI$1048576,COUNTA(AI$18:AI$1048576))-AI$351</f>
        <v/>
      </c>
      <c r="AJ6" s="1008">
        <f t="array" ref="AJ6">INDEX(AJ$18:AJ$1048576,COUNTA(AJ$18:AJ$1048576))-AJ$351</f>
        <v/>
      </c>
      <c r="AK6" s="1008">
        <f t="array" ref="AK6">INDEX(AK$18:AK$1048576,COUNTA(AK$18:AK$1048576))-AK$351</f>
        <v/>
      </c>
      <c r="AL6" s="1008">
        <f t="array" ref="AL6">INDEX(AL$18:AL$1048576,COUNTA(AL$18:AL$1048576))-AL$351</f>
        <v/>
      </c>
      <c r="AM6" s="1008">
        <f t="array" ref="AM6">INDEX(AM$18:AM$1048576,COUNTA(AM$18:AM$1048576))-AM$351</f>
        <v/>
      </c>
      <c r="AN6" s="1008">
        <f t="array" ref="AN6">INDEX(AN$18:AN$1048576,COUNTA(AN$18:AN$1048576))-AN$351</f>
        <v/>
      </c>
      <c r="AO6" s="1008">
        <f t="array" ref="AO6">INDEX(AO$18:AO$1048576,COUNTA(AO$18:AO$1048576))-AO$351</f>
        <v/>
      </c>
      <c r="AP6" s="1008">
        <f t="array" ref="AP6">INDEX(AP$18:AP$1048576,COUNTA(AP$18:AP$1048576))-AP$351</f>
        <v/>
      </c>
      <c r="AQ6" s="1008">
        <f t="array" ref="AQ6">INDEX(AQ$18:AQ$1048576,COUNTA(AQ$18:AQ$1048576))-AQ$351</f>
        <v/>
      </c>
      <c r="AR6" s="1008">
        <f t="array" ref="AR6">INDEX(AR$18:AR$1048576,COUNTA(AR$18:AR$1048576))-AR$351</f>
        <v/>
      </c>
      <c r="AS6" s="1008">
        <f t="array" ref="AS6">INDEX(AS$18:AS$1048576,COUNTA(AS$18:AS$1048576))-AS$351</f>
        <v/>
      </c>
      <c r="AT6" s="1008">
        <f t="array" ref="AT6">INDEX(AT$18:AT$1048576,COUNTA(AT$18:AT$1048576))-AT$351</f>
        <v/>
      </c>
      <c r="AU6" s="1008">
        <f t="array" ref="AU6">INDEX(AU$18:AU$1048576,COUNTA(AU$18:AU$1048576))-AU$351</f>
        <v/>
      </c>
      <c r="AV6" s="1008">
        <f t="array" ref="AV6">INDEX(AV$18:AV$1048576,COUNTA(AV$18:AV$1048576))-AV$351</f>
        <v/>
      </c>
      <c r="AW6" s="1008">
        <f t="array" ref="AW6">INDEX(AW$18:AW$1048576,COUNTA(AW$18:AW$1048576))-AW$351</f>
        <v/>
      </c>
    </row>
    <row r="7">
      <c r="A7" s="412" t="inlineStr">
        <is>
          <t>Since 2010 election</t>
        </is>
      </c>
      <c r="B7" s="1008">
        <f t="array" ref="B7">INDEX(B$18:B$1048576,COUNTA(B$18:B$1048576))-B$233</f>
        <v/>
      </c>
      <c r="C7" s="1008">
        <f t="array" ref="C7">INDEX(C$18:C$1048576,COUNTA(C$18:C$1048576))-C$233</f>
        <v/>
      </c>
      <c r="D7" s="1008">
        <f t="array" ref="D7">INDEX(D$18:D$1048576,COUNTA(D$18:D$1048576))-D$233</f>
        <v/>
      </c>
      <c r="E7" s="1008">
        <f t="array" ref="E7">INDEX(E$18:E$1048576,COUNTA(E$18:E$1048576))-E$233</f>
        <v/>
      </c>
      <c r="F7" s="1008">
        <f t="array" ref="F7">INDEX(F$18:F$1048576,COUNTA(F$18:F$1048576))-F$233</f>
        <v/>
      </c>
      <c r="G7" s="1008">
        <f t="array" ref="G7">INDEX(G$18:G$1048576,COUNTA(G$18:G$1048576))-G$233</f>
        <v/>
      </c>
      <c r="H7" s="1008">
        <f t="array" ref="H7">INDEX(H$18:H$1048576,COUNTA(H$18:H$1048576))-H$233</f>
        <v/>
      </c>
      <c r="I7" s="1008">
        <f t="array" ref="I7">INDEX(I$18:I$1048576,COUNTA(I$18:I$1048576))-I$233</f>
        <v/>
      </c>
      <c r="J7" s="1008">
        <f t="array" ref="J7">INDEX(J$18:J$1048576,COUNTA(J$18:J$1048576))-J$233</f>
        <v/>
      </c>
      <c r="K7" s="1008">
        <f t="array" ref="K7">INDEX(K$18:K$1048576,COUNTA(K$18:K$1048576))-K$233</f>
        <v/>
      </c>
      <c r="L7" s="1008">
        <f t="array" ref="L7">INDEX(L$18:L$1048576,COUNTA(L$18:L$1048576))-L$233</f>
        <v/>
      </c>
      <c r="M7" s="1008">
        <f t="array" ref="M7">INDEX(M$18:M$1048576,COUNTA(M$18:M$1048576))-M$233</f>
        <v/>
      </c>
      <c r="N7" s="1008">
        <f t="array" ref="N7">INDEX(N$18:N$1048576,COUNTA(N$18:N$1048576))-N$233</f>
        <v/>
      </c>
      <c r="O7" s="1008">
        <f t="array" ref="O7">INDEX(O$18:O$1048576,COUNTA(O$18:O$1048576))-O$233</f>
        <v/>
      </c>
      <c r="P7" s="1008">
        <f t="array" ref="P7">INDEX(P$18:P$1048576,COUNTA(P$18:P$1048576))-P$233</f>
        <v/>
      </c>
      <c r="Q7" s="1008">
        <f t="array" ref="Q7">INDEX(Q$18:Q$1048576,COUNTA(Q$18:Q$1048576))-Q$233</f>
        <v/>
      </c>
      <c r="R7" s="1008">
        <f t="array" ref="R7">INDEX(R$18:R$1048576,COUNTA(R$18:R$1048576))-R$233</f>
        <v/>
      </c>
      <c r="S7" s="1008">
        <f t="array" ref="S7">INDEX(S$18:S$1048576,COUNTA(S$18:S$1048576))-S$233</f>
        <v/>
      </c>
      <c r="T7" s="1008">
        <f t="array" ref="T7">INDEX(T$18:T$1048576,COUNTA(T$18:T$1048576))-T$233</f>
        <v/>
      </c>
      <c r="U7" s="1008">
        <f t="array" ref="U7">INDEX(U$18:U$1048576,COUNTA(U$18:U$1048576))-U$233</f>
        <v/>
      </c>
      <c r="V7" s="1008">
        <f t="array" ref="V7">INDEX(V$18:V$1048576,COUNTA(V$18:V$1048576))-V$233</f>
        <v/>
      </c>
      <c r="W7" s="1008">
        <f t="array" ref="W7">INDEX(W$18:W$1048576,COUNTA(W$18:W$1048576))-W$233</f>
        <v/>
      </c>
      <c r="X7" s="1008">
        <f t="array" ref="X7">INDEX(X$18:X$1048576,COUNTA(X$18:X$1048576))-X$233</f>
        <v/>
      </c>
      <c r="Y7" s="1008">
        <f t="array" ref="Y7">INDEX(Y$18:Y$1048576,COUNTA(Y$18:Y$1048576))-Y$233</f>
        <v/>
      </c>
      <c r="Z7" s="1008">
        <f t="array" ref="Z7">INDEX(Z$18:Z$1048576,COUNTA(Z$18:Z$1048576))-Z$233</f>
        <v/>
      </c>
      <c r="AA7" s="1008">
        <f t="array" ref="AA7">INDEX(AA$18:AA$1048576,COUNTA(AA$18:AA$1048576))-AA$233</f>
        <v/>
      </c>
      <c r="AB7" s="1008">
        <f t="array" ref="AB7">INDEX(AB$18:AB$1048576,COUNTA(AB$18:AB$1048576))-AB$233</f>
        <v/>
      </c>
      <c r="AC7" s="1009">
        <f t="array" ref="AC7">INDEX(AC$18:AC$1048576,COUNTA(AC$18:AC$1048576))-AC$233</f>
        <v/>
      </c>
      <c r="AD7" s="1009">
        <f t="array" ref="AD7">INDEX(AD$18:AD$1048576,COUNTA(AD$18:AD$1048576))-AD$233</f>
        <v/>
      </c>
      <c r="AE7" s="1009">
        <f t="array" ref="AE7">INDEX(AE$18:AE$1048576,COUNTA(AE$18:AE$1048576))-AE$233</f>
        <v/>
      </c>
      <c r="AF7" s="1009">
        <f t="array" ref="AF7">INDEX(AF$18:AF$1048576,COUNTA(AF$18:AF$1048576))-AF$233</f>
        <v/>
      </c>
      <c r="AG7" s="1009">
        <f t="array" ref="AG7">INDEX(AG$18:AG$1048576,COUNTA(AG$18:AG$1048576))-AG$233</f>
        <v/>
      </c>
      <c r="AH7" s="1010">
        <f t="array" ref="AH7">INDEX(AH$18:AH$1048576,COUNTA(AH$18:AH$1048576))-AH$233</f>
        <v/>
      </c>
      <c r="AI7" s="1011">
        <f t="array" ref="AI7">INDEX(AI$18:AI$1048576,COUNTA(AI$18:AI$1048576))-AI$233</f>
        <v/>
      </c>
      <c r="AJ7" s="1008">
        <f t="array" ref="AJ7">INDEX(AJ$18:AJ$1048576,COUNTA(AJ$18:AJ$1048576))-AJ$233</f>
        <v/>
      </c>
      <c r="AK7" s="1008">
        <f t="array" ref="AK7">INDEX(AK$18:AK$1048576,COUNTA(AK$18:AK$1048576))-AK$233</f>
        <v/>
      </c>
      <c r="AL7" s="1008">
        <f t="array" ref="AL7">INDEX(AL$18:AL$1048576,COUNTA(AL$18:AL$1048576))-AL$233</f>
        <v/>
      </c>
      <c r="AM7" s="1008">
        <f t="array" ref="AM7">INDEX(AM$18:AM$1048576,COUNTA(AM$18:AM$1048576))-AM$233</f>
        <v/>
      </c>
      <c r="AN7" s="1008">
        <f t="array" ref="AN7">INDEX(AN$18:AN$1048576,COUNTA(AN$18:AN$1048576))-AN$233</f>
        <v/>
      </c>
      <c r="AO7" s="1008">
        <f t="array" ref="AO7">INDEX(AO$18:AO$1048576,COUNTA(AO$18:AO$1048576))-AO$233</f>
        <v/>
      </c>
      <c r="AP7" s="1008">
        <f t="array" ref="AP7">INDEX(AP$18:AP$1048576,COUNTA(AP$18:AP$1048576))-AP$233</f>
        <v/>
      </c>
      <c r="AQ7" s="1008">
        <f t="array" ref="AQ7">INDEX(AQ$18:AQ$1048576,COUNTA(AQ$18:AQ$1048576))-AQ$233</f>
        <v/>
      </c>
      <c r="AR7" s="1008">
        <f t="array" ref="AR7">INDEX(AR$18:AR$1048576,COUNTA(AR$18:AR$1048576))-AR$233</f>
        <v/>
      </c>
      <c r="AS7" s="1008">
        <f t="array" ref="AS7">INDEX(AS$18:AS$1048576,COUNTA(AS$18:AS$1048576))-AS$233</f>
        <v/>
      </c>
      <c r="AT7" s="1008">
        <f t="array" ref="AT7">INDEX(AT$18:AT$1048576,COUNTA(AT$18:AT$1048576))-AT$233</f>
        <v/>
      </c>
      <c r="AU7" s="1008">
        <f t="array" ref="AU7">INDEX(AU$18:AU$1048576,COUNTA(AU$18:AU$1048576))-AU$233</f>
        <v/>
      </c>
      <c r="AV7" s="1008">
        <f t="array" ref="AV7">INDEX(AV$18:AV$1048576,COUNTA(AV$18:AV$1048576))-AV$233</f>
        <v/>
      </c>
      <c r="AW7" s="1008">
        <f t="array" ref="AW7">INDEX(AW$18:AW$1048576,COUNTA(AW$18:AW$1048576))-AW$233</f>
        <v/>
      </c>
    </row>
    <row r="8" ht="16.4" customHeight="1" s="828">
      <c r="A8" s="18" t="n"/>
      <c r="B8" s="987" t="n"/>
      <c r="C8" s="987" t="n"/>
      <c r="D8" s="987" t="n"/>
      <c r="E8" s="987" t="n"/>
      <c r="F8" s="987" t="n"/>
      <c r="G8" s="987" t="n"/>
      <c r="H8" s="987" t="n"/>
      <c r="I8" s="987" t="n"/>
      <c r="J8" s="987" t="n"/>
      <c r="K8" s="987" t="n"/>
      <c r="L8" s="988" t="n"/>
      <c r="M8" s="988" t="n"/>
      <c r="N8" s="988" t="n"/>
      <c r="O8" s="988" t="n"/>
      <c r="P8" s="988" t="n"/>
      <c r="Q8" s="988" t="n"/>
      <c r="R8" s="988" t="n"/>
      <c r="S8" s="988" t="n"/>
      <c r="T8" s="988" t="n"/>
      <c r="U8" s="988" t="n"/>
      <c r="V8" s="987" t="n"/>
      <c r="W8" s="987" t="n"/>
      <c r="X8" s="987" t="n"/>
      <c r="Y8" s="987" t="n"/>
      <c r="Z8" s="987" t="n"/>
      <c r="AA8" s="1012" t="n"/>
      <c r="AB8" s="987" t="n"/>
      <c r="AC8" s="988" t="n"/>
      <c r="AD8" s="988" t="n"/>
      <c r="AE8" s="988" t="n"/>
      <c r="AF8" s="988" t="n"/>
      <c r="AG8" s="988" t="n"/>
      <c r="AH8" s="1013" t="n"/>
      <c r="AI8" s="988" t="n"/>
      <c r="AJ8" s="987" t="n"/>
      <c r="AK8" s="987" t="n"/>
      <c r="AL8" s="987" t="n"/>
      <c r="AM8" s="987" t="n"/>
      <c r="AN8" s="987" t="n"/>
      <c r="AO8" s="987" t="n"/>
      <c r="AP8" s="987" t="n"/>
      <c r="AQ8" s="988" t="n"/>
      <c r="AR8" s="988" t="n"/>
      <c r="AS8" s="988" t="n"/>
      <c r="AT8" s="988" t="n"/>
      <c r="AU8" s="988" t="n"/>
      <c r="AV8" s="988" t="n"/>
      <c r="AW8" s="988" t="n"/>
    </row>
    <row r="9" ht="19.5" customFormat="1" customHeight="1" s="11">
      <c r="A9" s="182" t="inlineStr">
        <is>
          <t xml:space="preserve">Table 11: Economic inactivity for those aged from 16 to 64 (seasonally adjusted) </t>
        </is>
      </c>
      <c r="G9" s="12" t="n"/>
      <c r="H9" s="12" t="n"/>
      <c r="I9" s="181" t="n"/>
      <c r="K9" s="1014" t="n"/>
      <c r="M9" s="1014" t="n"/>
      <c r="W9" s="20" t="n"/>
      <c r="X9" s="20" t="n"/>
      <c r="Y9" s="977" t="n"/>
      <c r="Z9" s="20" t="n"/>
      <c r="AA9" s="977" t="n"/>
      <c r="AB9" s="20" t="n"/>
      <c r="AC9" s="977" t="n"/>
      <c r="AD9" s="20" t="n"/>
      <c r="AE9" s="977" t="n"/>
      <c r="AF9" s="1003" t="n"/>
      <c r="AG9" s="71" t="n"/>
      <c r="AH9" s="71" t="n"/>
      <c r="AI9" s="20" t="n"/>
      <c r="AJ9" s="20" t="n"/>
      <c r="AK9" s="20" t="n"/>
      <c r="AL9" s="20" t="n"/>
      <c r="AM9" s="977" t="n"/>
      <c r="AN9" s="20" t="n"/>
      <c r="AO9" s="977" t="n"/>
      <c r="AP9" s="20" t="n"/>
      <c r="AQ9" s="977" t="n"/>
      <c r="AR9" s="20" t="n"/>
      <c r="AS9" s="977" t="inlineStr">
        <is>
          <t> </t>
        </is>
      </c>
      <c r="AT9" s="1003" t="n"/>
      <c r="AU9" s="1015" t="n"/>
      <c r="AV9" s="1015" t="n"/>
      <c r="AW9" s="20" t="n"/>
    </row>
    <row r="10" ht="19.5" customFormat="1" customHeight="1" s="11">
      <c r="A10" s="853" t="n"/>
      <c r="B10" s="954" t="n"/>
      <c r="D10" s="853" t="n"/>
      <c r="E10" s="853" t="n"/>
      <c r="F10" s="853" t="n"/>
      <c r="G10" s="853" t="n"/>
      <c r="H10" s="853" t="n"/>
      <c r="I10" s="954" t="n"/>
      <c r="K10" s="853" t="n"/>
      <c r="L10" s="853" t="n"/>
      <c r="M10" s="853" t="n"/>
      <c r="N10" s="853" t="n"/>
      <c r="O10" s="853" t="n"/>
      <c r="P10" s="853" t="n"/>
      <c r="Q10" s="853" t="n"/>
      <c r="R10" s="853" t="n"/>
      <c r="S10" s="853" t="n"/>
      <c r="T10" s="853" t="n"/>
      <c r="U10" s="853" t="n"/>
      <c r="V10" s="853" t="n"/>
      <c r="W10" s="853" t="n"/>
      <c r="X10" s="853" t="n"/>
      <c r="Y10" s="853" t="n"/>
      <c r="Z10" s="853" t="n"/>
      <c r="AA10" s="853" t="n"/>
      <c r="AB10" s="853" t="n"/>
      <c r="AC10" s="853" t="n"/>
      <c r="AD10" s="853" t="n"/>
      <c r="AE10" s="853" t="n"/>
      <c r="AF10" s="853" t="n"/>
      <c r="AG10" s="853" t="n"/>
      <c r="AH10" s="853" t="n"/>
      <c r="AI10" s="853" t="n"/>
      <c r="AJ10" s="853" t="n"/>
      <c r="AK10" s="853" t="n"/>
      <c r="AL10" s="853" t="n"/>
      <c r="AM10" s="853" t="n"/>
      <c r="AN10" s="853" t="n"/>
      <c r="AO10" s="853" t="n"/>
      <c r="AP10" s="853" t="n"/>
      <c r="AQ10" s="853" t="n"/>
      <c r="AR10" s="853" t="n"/>
      <c r="AS10" s="853" t="n"/>
      <c r="AT10" s="853" t="n"/>
      <c r="AU10" s="853" t="n"/>
      <c r="AV10" s="853" t="n"/>
      <c r="AW10" s="853" t="n"/>
    </row>
    <row r="11" ht="19.5" customFormat="1" customHeight="1" s="176">
      <c r="A11" s="15" t="n"/>
      <c r="B11" s="178" t="n"/>
      <c r="C11" s="15" t="n"/>
      <c r="D11" s="16" t="n"/>
      <c r="E11" s="16" t="n"/>
      <c r="F11" s="17" t="n"/>
      <c r="G11" s="16" t="n"/>
      <c r="H11" s="983" t="n"/>
      <c r="I11" s="983" t="n"/>
      <c r="K11" s="983" t="n"/>
      <c r="L11" s="16" t="n"/>
      <c r="M11" s="983" t="n"/>
      <c r="N11" s="16" t="n"/>
      <c r="O11" s="16" t="n"/>
      <c r="P11" s="16" t="n"/>
      <c r="Q11" s="16" t="n"/>
      <c r="R11" s="16" t="n"/>
      <c r="S11" s="16" t="n"/>
      <c r="T11" s="16" t="n"/>
      <c r="U11" s="16" t="n"/>
      <c r="V11" s="16" t="n"/>
      <c r="W11" s="18" t="n"/>
      <c r="X11" s="18" t="n"/>
      <c r="Y11" s="1002" t="n"/>
      <c r="Z11" s="18" t="n"/>
      <c r="AA11" s="1002" t="n"/>
      <c r="AB11" s="18" t="n"/>
      <c r="AC11" s="1002" t="n"/>
      <c r="AD11" s="18" t="n"/>
      <c r="AE11" s="1002" t="n"/>
      <c r="AF11" s="1016" t="n"/>
      <c r="AG11" s="153" t="n"/>
      <c r="AH11" s="153" t="n"/>
      <c r="AI11" s="18" t="n"/>
      <c r="AJ11" s="18" t="n"/>
      <c r="AK11" s="18" t="n"/>
      <c r="AL11" s="18" t="n"/>
      <c r="AM11" s="1002" t="n"/>
      <c r="AN11" s="18" t="n"/>
      <c r="AO11" s="1002" t="n"/>
      <c r="AP11" s="18" t="n"/>
      <c r="AQ11" s="1002" t="n"/>
      <c r="AR11" s="18" t="n"/>
      <c r="AS11" s="1002" t="n"/>
      <c r="AT11" s="1016" t="n"/>
      <c r="AU11" s="1017" t="n"/>
      <c r="AV11" s="1017" t="n"/>
      <c r="AW11" s="18" t="n"/>
    </row>
    <row r="12" ht="30" customFormat="1" customHeight="1" s="11" thickBot="1">
      <c r="A12" s="838" t="n"/>
      <c r="B12" s="956" t="n"/>
      <c r="C12" s="956" t="n"/>
      <c r="D12" s="956" t="n"/>
      <c r="E12" s="956" t="n"/>
      <c r="F12" s="956" t="n"/>
      <c r="G12" s="956" t="n"/>
      <c r="H12" s="956" t="n"/>
      <c r="I12" s="956" t="n"/>
      <c r="J12" s="956" t="n"/>
      <c r="K12" s="956" t="n"/>
      <c r="L12" s="956" t="n"/>
      <c r="M12" s="956" t="n"/>
      <c r="N12" s="956" t="n"/>
      <c r="O12" s="956" t="n"/>
      <c r="P12" s="956" t="n"/>
      <c r="Q12" s="956" t="n"/>
      <c r="R12" s="956" t="n"/>
      <c r="S12" s="956" t="n"/>
      <c r="T12" s="956" t="n"/>
      <c r="U12" s="956" t="n"/>
      <c r="V12" s="956" t="n"/>
      <c r="W12" s="956" t="n"/>
      <c r="X12" s="956" t="n"/>
      <c r="Y12" s="956" t="n"/>
      <c r="Z12" s="956" t="n"/>
      <c r="AA12" s="956" t="n"/>
      <c r="AB12" s="956" t="n"/>
      <c r="AC12" s="956" t="n"/>
      <c r="AD12" s="956" t="n"/>
      <c r="AE12" s="956" t="n"/>
      <c r="AF12" s="956" t="n"/>
      <c r="AG12" s="956" t="n"/>
      <c r="AH12" s="956" t="n"/>
      <c r="AI12" s="956" t="n"/>
      <c r="AJ12" s="956" t="n"/>
      <c r="AK12" s="956" t="n"/>
      <c r="AL12" s="956" t="n"/>
      <c r="AM12" s="956" t="n"/>
      <c r="AN12" s="956" t="n"/>
      <c r="AO12" s="956" t="n"/>
      <c r="AP12" s="956" t="n"/>
      <c r="AQ12" s="956" t="n"/>
      <c r="AR12" s="956" t="n"/>
      <c r="AS12" s="956" t="n"/>
      <c r="AT12" s="956" t="n"/>
      <c r="AU12" s="956" t="n"/>
      <c r="AV12" s="956" t="n"/>
      <c r="AW12" s="956" t="n"/>
      <c r="AX12" s="853" t="n"/>
    </row>
    <row r="13" ht="18" customHeight="1" s="828">
      <c r="A13" s="175" t="n"/>
      <c r="B13" s="171" t="n"/>
      <c r="C13" s="841" t="n"/>
      <c r="D13" s="925" t="n"/>
      <c r="E13" s="925" t="n"/>
      <c r="F13" s="925" t="n"/>
      <c r="G13" s="925" t="n"/>
      <c r="H13" s="925" t="n"/>
      <c r="I13" s="925" t="n"/>
      <c r="J13" s="844" t="n"/>
      <c r="K13" s="926" t="n"/>
      <c r="L13" s="174" t="n"/>
      <c r="M13" s="841" t="n"/>
      <c r="N13" s="925" t="n"/>
      <c r="O13" s="925" t="n"/>
      <c r="P13" s="925" t="n"/>
      <c r="Q13" s="925" t="n"/>
      <c r="R13" s="925" t="n"/>
      <c r="S13" s="925" t="n"/>
      <c r="T13" s="173" t="n"/>
      <c r="U13" s="172" t="n"/>
      <c r="V13" s="171" t="n"/>
      <c r="W13" s="842" t="n"/>
      <c r="X13" s="925" t="n"/>
      <c r="Y13" s="925" t="n"/>
      <c r="Z13" s="925" t="n"/>
      <c r="AA13" s="925" t="n"/>
      <c r="AB13" s="926" t="n"/>
      <c r="AC13" s="170" t="n"/>
      <c r="AD13" s="846" t="n"/>
      <c r="AE13" s="925" t="n"/>
      <c r="AF13" s="925" t="n"/>
      <c r="AG13" s="925" t="n"/>
      <c r="AH13" s="925" t="n"/>
      <c r="AI13" s="926" t="n"/>
      <c r="AJ13" s="170" t="n"/>
      <c r="AK13" s="842" t="n"/>
      <c r="AL13" s="925" t="n"/>
      <c r="AM13" s="925" t="n"/>
      <c r="AN13" s="925" t="n"/>
      <c r="AO13" s="925" t="n"/>
      <c r="AP13" s="926" t="n"/>
      <c r="AQ13" s="170" t="n"/>
      <c r="AR13" s="846" t="n"/>
      <c r="AS13" s="925" t="n"/>
      <c r="AT13" s="925" t="n"/>
      <c r="AU13" s="925" t="n"/>
      <c r="AV13" s="925" t="n"/>
      <c r="AW13" s="926" t="n"/>
      <c r="AX13" s="18" t="n"/>
    </row>
    <row r="14" ht="105" customFormat="1" customHeight="1" s="136">
      <c r="A14" s="137" t="n"/>
      <c r="B14" s="140" t="n"/>
      <c r="C14" s="140" t="n"/>
      <c r="D14" s="140" t="n"/>
      <c r="E14" s="140" t="n"/>
      <c r="F14" s="140" t="n"/>
      <c r="G14" s="140" t="n"/>
      <c r="H14" s="140" t="n"/>
      <c r="I14" s="140" t="n"/>
      <c r="J14" s="140" t="n"/>
      <c r="K14" s="169" t="n"/>
      <c r="L14" s="140" t="n"/>
      <c r="M14" s="140" t="n"/>
      <c r="N14" s="140" t="n"/>
      <c r="O14" s="140" t="n"/>
      <c r="P14" s="140" t="n"/>
      <c r="Q14" s="140" t="n"/>
      <c r="R14" s="140" t="n"/>
      <c r="S14" s="140" t="n"/>
      <c r="T14" s="140" t="n"/>
      <c r="U14" s="169" t="n"/>
      <c r="V14" s="140" t="n"/>
      <c r="W14" s="140" t="n"/>
      <c r="X14" s="140" t="n"/>
      <c r="Y14" s="140" t="n"/>
      <c r="Z14" s="140" t="n"/>
      <c r="AA14" s="140" t="n"/>
      <c r="AB14" s="169" t="n"/>
      <c r="AC14" s="140" t="n"/>
      <c r="AD14" s="140" t="n"/>
      <c r="AE14" s="140" t="n"/>
      <c r="AF14" s="140" t="n"/>
      <c r="AG14" s="140" t="n"/>
      <c r="AH14" s="140" t="n"/>
      <c r="AI14" s="169" t="n"/>
      <c r="AJ14" s="140" t="n"/>
      <c r="AK14" s="140" t="n"/>
      <c r="AL14" s="140" t="n"/>
      <c r="AM14" s="140" t="n"/>
      <c r="AN14" s="140" t="n"/>
      <c r="AO14" s="140" t="n"/>
      <c r="AP14" s="169" t="n"/>
      <c r="AQ14" s="140" t="n"/>
      <c r="AR14" s="140" t="n"/>
      <c r="AS14" s="140" t="n"/>
      <c r="AT14" s="140" t="n"/>
      <c r="AU14" s="140" t="n"/>
      <c r="AV14" s="140" t="n"/>
      <c r="AW14" s="169" t="n"/>
      <c r="AX14" s="137" t="n"/>
    </row>
    <row r="15" ht="13.4" customFormat="1" customHeight="1" s="136">
      <c r="A15" s="137" t="n"/>
      <c r="B15" s="168" t="n"/>
      <c r="C15" s="168" t="n"/>
      <c r="D15" s="168" t="n"/>
      <c r="E15" s="168" t="n"/>
      <c r="F15" s="168" t="n"/>
      <c r="G15" s="168" t="n"/>
      <c r="H15" s="168" t="n"/>
      <c r="I15" s="168" t="n"/>
      <c r="J15" s="168" t="n"/>
      <c r="K15" s="167" t="n"/>
      <c r="L15" s="168" t="n"/>
      <c r="M15" s="168" t="n"/>
      <c r="N15" s="168" t="n"/>
      <c r="O15" s="168" t="n"/>
      <c r="P15" s="168" t="n"/>
      <c r="Q15" s="168" t="n"/>
      <c r="R15" s="168" t="n"/>
      <c r="S15" s="168" t="n"/>
      <c r="T15" s="168" t="n"/>
      <c r="U15" s="167" t="n"/>
      <c r="V15" s="168" t="n"/>
      <c r="W15" s="168" t="n"/>
      <c r="X15" s="168" t="n"/>
      <c r="Y15" s="168" t="n"/>
      <c r="Z15" s="168" t="n"/>
      <c r="AA15" s="168" t="n"/>
      <c r="AB15" s="167" t="n"/>
      <c r="AC15" s="168" t="n"/>
      <c r="AD15" s="168" t="n"/>
      <c r="AE15" s="168" t="n"/>
      <c r="AF15" s="168" t="n"/>
      <c r="AG15" s="168" t="n"/>
      <c r="AH15" s="168" t="n"/>
      <c r="AI15" s="167" t="n"/>
      <c r="AJ15" s="168" t="n"/>
      <c r="AK15" s="168" t="n"/>
      <c r="AL15" s="168" t="n"/>
      <c r="AM15" s="168" t="n"/>
      <c r="AN15" s="168" t="n"/>
      <c r="AO15" s="168" t="n"/>
      <c r="AP15" s="167" t="n"/>
      <c r="AQ15" s="168" t="n"/>
      <c r="AR15" s="168" t="n"/>
      <c r="AS15" s="168" t="n"/>
      <c r="AT15" s="168" t="n"/>
      <c r="AU15" s="168" t="n"/>
      <c r="AV15" s="168" t="n"/>
      <c r="AW15" s="167" t="n"/>
      <c r="AX15" s="137" t="n"/>
    </row>
    <row r="16" ht="15" customFormat="1" customHeight="1" s="163">
      <c r="A16" s="985" t="n"/>
      <c r="B16" s="986" t="n"/>
      <c r="C16" s="164" t="n"/>
      <c r="D16" s="986" t="n"/>
      <c r="E16" s="1018" t="n"/>
      <c r="F16" s="986" t="n"/>
      <c r="G16" s="986" t="n"/>
      <c r="H16" s="986" t="n"/>
      <c r="I16" s="986" t="n"/>
      <c r="J16" s="986" t="n"/>
      <c r="K16" s="1019" t="n"/>
      <c r="L16" s="986" t="n"/>
      <c r="M16" s="986" t="n"/>
      <c r="N16" s="986" t="n"/>
      <c r="O16" s="1018" t="n"/>
      <c r="P16" s="1018" t="n"/>
      <c r="Q16" s="986" t="n"/>
      <c r="R16" s="986" t="n"/>
      <c r="S16" s="986" t="n"/>
      <c r="T16" s="986" t="n"/>
      <c r="U16" s="1019" t="n"/>
      <c r="V16" s="986" t="n"/>
      <c r="W16" s="164" t="n"/>
      <c r="X16" s="986" t="n"/>
      <c r="Y16" s="1018" t="n"/>
      <c r="Z16" s="986" t="n"/>
      <c r="AA16" s="986" t="n"/>
      <c r="AB16" s="1019" t="n"/>
      <c r="AC16" s="986" t="n"/>
      <c r="AD16" s="986" t="n"/>
      <c r="AE16" s="986" t="n"/>
      <c r="AF16" s="1018" t="n"/>
      <c r="AG16" s="1018" t="n"/>
      <c r="AH16" s="986" t="n"/>
      <c r="AI16" s="1019" t="n"/>
      <c r="AJ16" s="986" t="n"/>
      <c r="AK16" s="164" t="n"/>
      <c r="AL16" s="986" t="n"/>
      <c r="AM16" s="1018" t="n"/>
      <c r="AN16" s="986" t="n"/>
      <c r="AO16" s="986" t="n"/>
      <c r="AP16" s="1019" t="n"/>
      <c r="AQ16" s="986" t="n"/>
      <c r="AR16" s="986" t="n"/>
      <c r="AS16" s="986" t="n"/>
      <c r="AT16" s="1018" t="n"/>
      <c r="AU16" s="1018" t="n"/>
      <c r="AV16" s="986" t="n"/>
      <c r="AW16" s="1019" t="n"/>
      <c r="AX16" s="164" t="n"/>
    </row>
    <row r="17" ht="12.5" customHeight="1" s="828">
      <c r="A17" s="18" t="n"/>
      <c r="B17" s="18" t="n"/>
      <c r="C17" s="18" t="n"/>
      <c r="D17" s="18" t="n"/>
      <c r="E17" s="18" t="n"/>
      <c r="F17" s="18" t="n"/>
      <c r="G17" s="18" t="n"/>
      <c r="H17" s="18" t="n"/>
      <c r="I17" s="18" t="n"/>
      <c r="J17" s="18" t="n"/>
      <c r="K17" s="162" t="n"/>
      <c r="L17" s="18" t="n"/>
      <c r="M17" s="18" t="n"/>
      <c r="N17" s="1020" t="n"/>
      <c r="O17" s="987" t="n"/>
      <c r="P17" s="987" t="n"/>
      <c r="Q17" s="988" t="n"/>
      <c r="R17" s="988" t="n"/>
      <c r="S17" s="988" t="n"/>
      <c r="T17" s="988" t="n"/>
      <c r="U17" s="162" t="n"/>
      <c r="V17" s="18" t="n"/>
      <c r="W17" s="18" t="n"/>
      <c r="X17" s="18" t="n"/>
      <c r="Y17" s="18" t="n"/>
      <c r="Z17" s="18" t="n"/>
      <c r="AA17" s="18" t="n"/>
      <c r="AB17" s="162" t="n"/>
      <c r="AC17" s="18" t="n"/>
      <c r="AD17" s="18" t="n"/>
      <c r="AE17" s="153" t="n"/>
      <c r="AF17" s="153" t="n"/>
      <c r="AG17" s="153" t="n"/>
      <c r="AH17" s="18" t="n"/>
      <c r="AI17" s="162" t="n"/>
      <c r="AJ17" s="18" t="n"/>
      <c r="AK17" s="18" t="n"/>
      <c r="AL17" s="18" t="n"/>
      <c r="AM17" s="18" t="n"/>
      <c r="AN17" s="18" t="n"/>
      <c r="AO17" s="18" t="n"/>
      <c r="AP17" s="162" t="n"/>
      <c r="AQ17" s="18" t="n"/>
      <c r="AR17" s="18" t="n"/>
      <c r="AS17" s="1017" t="n"/>
      <c r="AT17" s="1017" t="n"/>
      <c r="AU17" s="1017" t="n"/>
      <c r="AV17" s="18" t="n"/>
      <c r="AW17" s="162" t="n"/>
      <c r="AX17" s="18" t="n"/>
    </row>
    <row r="18" ht="16.4" customHeight="1" s="828">
      <c r="A18" s="722" t="n"/>
      <c r="B18" s="1021" t="n"/>
      <c r="C18" s="989" t="n"/>
      <c r="D18" s="989" t="n"/>
      <c r="E18" s="989" t="n"/>
      <c r="F18" s="989" t="n"/>
      <c r="G18" s="989" t="n"/>
      <c r="H18" s="989" t="n"/>
      <c r="I18" s="989" t="n"/>
      <c r="J18" s="989" t="n"/>
      <c r="K18" s="990" t="n"/>
      <c r="L18" s="963" t="n"/>
      <c r="M18" s="963" t="n"/>
      <c r="N18" s="963" t="n"/>
      <c r="O18" s="963" t="n"/>
      <c r="P18" s="963" t="n"/>
      <c r="Q18" s="963" t="n"/>
      <c r="R18" s="963" t="n"/>
      <c r="S18" s="963" t="n"/>
      <c r="T18" s="963" t="n"/>
      <c r="U18" s="991" t="n"/>
      <c r="V18" s="1021" t="n"/>
      <c r="W18" s="989" t="n"/>
      <c r="X18" s="989" t="n"/>
      <c r="Y18" s="989" t="n"/>
      <c r="Z18" s="989" t="n"/>
      <c r="AA18" s="963" t="n"/>
      <c r="AB18" s="991" t="n"/>
      <c r="AC18" s="963" t="n"/>
      <c r="AD18" s="989" t="n"/>
      <c r="AE18" s="989" t="n"/>
      <c r="AF18" s="989" t="n"/>
      <c r="AG18" s="989" t="n"/>
      <c r="AH18" s="963" t="n"/>
      <c r="AI18" s="991" t="n"/>
      <c r="AJ18" s="1021" t="n"/>
      <c r="AK18" s="989" t="n"/>
      <c r="AL18" s="989" t="n"/>
      <c r="AM18" s="989" t="n"/>
      <c r="AN18" s="989" t="n"/>
      <c r="AO18" s="963" t="n"/>
      <c r="AP18" s="991" t="n"/>
      <c r="AQ18" s="963" t="n"/>
      <c r="AR18" s="989" t="n"/>
      <c r="AS18" s="989" t="n"/>
      <c r="AT18" s="989" t="n"/>
      <c r="AU18" s="989" t="n"/>
      <c r="AV18" s="963" t="n"/>
      <c r="AW18" s="991" t="n"/>
      <c r="AX18" s="18" t="n"/>
    </row>
    <row r="19" ht="16.4" customHeight="1" s="828">
      <c r="A19" s="722" t="n"/>
      <c r="B19" s="1021" t="n"/>
      <c r="C19" s="989" t="n"/>
      <c r="D19" s="989" t="n"/>
      <c r="E19" s="989" t="n"/>
      <c r="F19" s="989" t="n"/>
      <c r="G19" s="989" t="n"/>
      <c r="H19" s="989" t="n"/>
      <c r="I19" s="989" t="n"/>
      <c r="J19" s="989" t="n"/>
      <c r="K19" s="990" t="n"/>
      <c r="L19" s="963" t="n"/>
      <c r="M19" s="963" t="n"/>
      <c r="N19" s="963" t="n"/>
      <c r="O19" s="963" t="n"/>
      <c r="P19" s="963" t="n"/>
      <c r="Q19" s="963" t="n"/>
      <c r="R19" s="963" t="n"/>
      <c r="S19" s="963" t="n"/>
      <c r="T19" s="963" t="n"/>
      <c r="U19" s="991" t="n"/>
      <c r="V19" s="1021" t="n"/>
      <c r="W19" s="989" t="n"/>
      <c r="X19" s="989" t="n"/>
      <c r="Y19" s="989" t="n"/>
      <c r="Z19" s="989" t="n"/>
      <c r="AA19" s="963" t="n"/>
      <c r="AB19" s="991" t="n"/>
      <c r="AC19" s="963" t="n"/>
      <c r="AD19" s="989" t="n"/>
      <c r="AE19" s="989" t="n"/>
      <c r="AF19" s="989" t="n"/>
      <c r="AG19" s="989" t="n"/>
      <c r="AH19" s="963" t="n"/>
      <c r="AI19" s="991" t="n"/>
      <c r="AJ19" s="1021" t="n"/>
      <c r="AK19" s="989" t="n"/>
      <c r="AL19" s="989" t="n"/>
      <c r="AM19" s="989" t="n"/>
      <c r="AN19" s="989" t="n"/>
      <c r="AO19" s="963" t="n"/>
      <c r="AP19" s="991" t="n"/>
      <c r="AQ19" s="963" t="n"/>
      <c r="AR19" s="989" t="n"/>
      <c r="AS19" s="989" t="n"/>
      <c r="AT19" s="989" t="n"/>
      <c r="AU19" s="989" t="n"/>
      <c r="AV19" s="963" t="n"/>
      <c r="AW19" s="991" t="n"/>
      <c r="AX19" s="18" t="n"/>
    </row>
    <row r="20" ht="16.4" customHeight="1" s="828">
      <c r="A20" s="722" t="n"/>
      <c r="B20" s="1021" t="n"/>
      <c r="C20" s="989" t="n"/>
      <c r="D20" s="989" t="n"/>
      <c r="E20" s="989" t="n"/>
      <c r="F20" s="989" t="n"/>
      <c r="G20" s="989" t="n"/>
      <c r="H20" s="989" t="n"/>
      <c r="I20" s="989" t="n"/>
      <c r="J20" s="989" t="n"/>
      <c r="K20" s="990" t="n"/>
      <c r="L20" s="963" t="n"/>
      <c r="M20" s="963" t="n"/>
      <c r="N20" s="963" t="n"/>
      <c r="O20" s="963" t="n"/>
      <c r="P20" s="963" t="n"/>
      <c r="Q20" s="963" t="n"/>
      <c r="R20" s="963" t="n"/>
      <c r="S20" s="963" t="n"/>
      <c r="T20" s="963" t="n"/>
      <c r="U20" s="991" t="n"/>
      <c r="V20" s="1021" t="n"/>
      <c r="W20" s="989" t="n"/>
      <c r="X20" s="989" t="n"/>
      <c r="Y20" s="989" t="n"/>
      <c r="Z20" s="989" t="n"/>
      <c r="AA20" s="963" t="n"/>
      <c r="AB20" s="991" t="n"/>
      <c r="AC20" s="963" t="n"/>
      <c r="AD20" s="989" t="n"/>
      <c r="AE20" s="989" t="n"/>
      <c r="AF20" s="989" t="n"/>
      <c r="AG20" s="989" t="n"/>
      <c r="AH20" s="963" t="n"/>
      <c r="AI20" s="991" t="n"/>
      <c r="AJ20" s="1021" t="n"/>
      <c r="AK20" s="989" t="n"/>
      <c r="AL20" s="989" t="n"/>
      <c r="AM20" s="989" t="n"/>
      <c r="AN20" s="989" t="n"/>
      <c r="AO20" s="963" t="n"/>
      <c r="AP20" s="991" t="n"/>
      <c r="AQ20" s="963" t="n"/>
      <c r="AR20" s="989" t="n"/>
      <c r="AS20" s="989" t="n"/>
      <c r="AT20" s="989" t="n"/>
      <c r="AU20" s="989" t="n"/>
      <c r="AV20" s="963" t="n"/>
      <c r="AW20" s="991" t="n"/>
      <c r="AX20" s="18" t="n"/>
    </row>
    <row r="21" ht="16.4" customHeight="1" s="828">
      <c r="A21" s="722" t="n"/>
      <c r="B21" s="1021" t="n"/>
      <c r="C21" s="989" t="n"/>
      <c r="D21" s="989" t="n"/>
      <c r="E21" s="989" t="n"/>
      <c r="F21" s="989" t="n"/>
      <c r="G21" s="989" t="n"/>
      <c r="H21" s="989" t="n"/>
      <c r="I21" s="989" t="n"/>
      <c r="J21" s="989" t="n"/>
      <c r="K21" s="990" t="n"/>
      <c r="L21" s="963" t="n"/>
      <c r="M21" s="963" t="n"/>
      <c r="N21" s="963" t="n"/>
      <c r="O21" s="963" t="n"/>
      <c r="P21" s="963" t="n"/>
      <c r="Q21" s="963" t="n"/>
      <c r="R21" s="963" t="n"/>
      <c r="S21" s="963" t="n"/>
      <c r="T21" s="963" t="n"/>
      <c r="U21" s="991" t="n"/>
      <c r="V21" s="1021" t="n"/>
      <c r="W21" s="989" t="n"/>
      <c r="X21" s="989" t="n"/>
      <c r="Y21" s="989" t="n"/>
      <c r="Z21" s="989" t="n"/>
      <c r="AA21" s="963" t="n"/>
      <c r="AB21" s="991" t="n"/>
      <c r="AC21" s="963" t="n"/>
      <c r="AD21" s="989" t="n"/>
      <c r="AE21" s="989" t="n"/>
      <c r="AF21" s="989" t="n"/>
      <c r="AG21" s="989" t="n"/>
      <c r="AH21" s="963" t="n"/>
      <c r="AI21" s="991" t="n"/>
      <c r="AJ21" s="1021" t="n"/>
      <c r="AK21" s="989" t="n"/>
      <c r="AL21" s="989" t="n"/>
      <c r="AM21" s="989" t="n"/>
      <c r="AN21" s="989" t="n"/>
      <c r="AO21" s="963" t="n"/>
      <c r="AP21" s="991" t="n"/>
      <c r="AQ21" s="963" t="n"/>
      <c r="AR21" s="989" t="n"/>
      <c r="AS21" s="989" t="n"/>
      <c r="AT21" s="989" t="n"/>
      <c r="AU21" s="989" t="n"/>
      <c r="AV21" s="963" t="n"/>
      <c r="AW21" s="991" t="n"/>
      <c r="AX21" s="18" t="n"/>
    </row>
    <row r="22" ht="16.4" customHeight="1" s="828">
      <c r="A22" s="722" t="n"/>
      <c r="B22" s="1021" t="n"/>
      <c r="C22" s="989" t="n"/>
      <c r="D22" s="989" t="n"/>
      <c r="E22" s="989" t="n"/>
      <c r="F22" s="989" t="n"/>
      <c r="G22" s="989" t="n"/>
      <c r="H22" s="989" t="n"/>
      <c r="I22" s="989" t="n"/>
      <c r="J22" s="989" t="n"/>
      <c r="K22" s="990" t="n"/>
      <c r="L22" s="963" t="n"/>
      <c r="M22" s="963" t="n"/>
      <c r="N22" s="963" t="n"/>
      <c r="O22" s="963" t="n"/>
      <c r="P22" s="963" t="n"/>
      <c r="Q22" s="963" t="n"/>
      <c r="R22" s="963" t="n"/>
      <c r="S22" s="963" t="n"/>
      <c r="T22" s="963" t="n"/>
      <c r="U22" s="991" t="n"/>
      <c r="V22" s="1021" t="n"/>
      <c r="W22" s="989" t="n"/>
      <c r="X22" s="989" t="n"/>
      <c r="Y22" s="989" t="n"/>
      <c r="Z22" s="989" t="n"/>
      <c r="AA22" s="963" t="n"/>
      <c r="AB22" s="991" t="n"/>
      <c r="AC22" s="963" t="n"/>
      <c r="AD22" s="989" t="n"/>
      <c r="AE22" s="989" t="n"/>
      <c r="AF22" s="989" t="n"/>
      <c r="AG22" s="989" t="n"/>
      <c r="AH22" s="963" t="n"/>
      <c r="AI22" s="991" t="n"/>
      <c r="AJ22" s="1021" t="n"/>
      <c r="AK22" s="989" t="n"/>
      <c r="AL22" s="989" t="n"/>
      <c r="AM22" s="989" t="n"/>
      <c r="AN22" s="989" t="n"/>
      <c r="AO22" s="963" t="n"/>
      <c r="AP22" s="991" t="n"/>
      <c r="AQ22" s="963" t="n"/>
      <c r="AR22" s="989" t="n"/>
      <c r="AS22" s="989" t="n"/>
      <c r="AT22" s="989" t="n"/>
      <c r="AU22" s="989" t="n"/>
      <c r="AV22" s="963" t="n"/>
      <c r="AW22" s="991" t="n"/>
      <c r="AX22" s="18" t="n"/>
    </row>
    <row r="23" ht="16.4" customHeight="1" s="828">
      <c r="A23" s="722" t="n"/>
      <c r="B23" s="1021" t="n"/>
      <c r="C23" s="989" t="n"/>
      <c r="D23" s="989" t="n"/>
      <c r="E23" s="989" t="n"/>
      <c r="F23" s="989" t="n"/>
      <c r="G23" s="989" t="n"/>
      <c r="H23" s="989" t="n"/>
      <c r="I23" s="989" t="n"/>
      <c r="J23" s="989" t="n"/>
      <c r="K23" s="990" t="n"/>
      <c r="L23" s="963" t="n"/>
      <c r="M23" s="963" t="n"/>
      <c r="N23" s="963" t="n"/>
      <c r="O23" s="963" t="n"/>
      <c r="P23" s="963" t="n"/>
      <c r="Q23" s="963" t="n"/>
      <c r="R23" s="963" t="n"/>
      <c r="S23" s="963" t="n"/>
      <c r="T23" s="963" t="n"/>
      <c r="U23" s="991" t="n"/>
      <c r="V23" s="1021" t="n"/>
      <c r="W23" s="989" t="n"/>
      <c r="X23" s="989" t="n"/>
      <c r="Y23" s="989" t="n"/>
      <c r="Z23" s="989" t="n"/>
      <c r="AA23" s="963" t="n"/>
      <c r="AB23" s="991" t="n"/>
      <c r="AC23" s="963" t="n"/>
      <c r="AD23" s="989" t="n"/>
      <c r="AE23" s="989" t="n"/>
      <c r="AF23" s="989" t="n"/>
      <c r="AG23" s="989" t="n"/>
      <c r="AH23" s="963" t="n"/>
      <c r="AI23" s="991" t="n"/>
      <c r="AJ23" s="1021" t="n"/>
      <c r="AK23" s="989" t="n"/>
      <c r="AL23" s="989" t="n"/>
      <c r="AM23" s="989" t="n"/>
      <c r="AN23" s="989" t="n"/>
      <c r="AO23" s="963" t="n"/>
      <c r="AP23" s="991" t="n"/>
      <c r="AQ23" s="963" t="n"/>
      <c r="AR23" s="989" t="n"/>
      <c r="AS23" s="989" t="n"/>
      <c r="AT23" s="989" t="n"/>
      <c r="AU23" s="989" t="n"/>
      <c r="AV23" s="963" t="n"/>
      <c r="AW23" s="991" t="n"/>
      <c r="AX23" s="18" t="n"/>
    </row>
    <row r="24" ht="16.4" customHeight="1" s="828">
      <c r="A24" s="722" t="n"/>
      <c r="B24" s="1021" t="n"/>
      <c r="C24" s="989" t="n"/>
      <c r="D24" s="989" t="n"/>
      <c r="E24" s="989" t="n"/>
      <c r="F24" s="989" t="n"/>
      <c r="G24" s="989" t="n"/>
      <c r="H24" s="989" t="n"/>
      <c r="I24" s="989" t="n"/>
      <c r="J24" s="989" t="n"/>
      <c r="K24" s="990" t="n"/>
      <c r="L24" s="963" t="n"/>
      <c r="M24" s="963" t="n"/>
      <c r="N24" s="963" t="n"/>
      <c r="O24" s="963" t="n"/>
      <c r="P24" s="963" t="n"/>
      <c r="Q24" s="963" t="n"/>
      <c r="R24" s="963" t="n"/>
      <c r="S24" s="963" t="n"/>
      <c r="T24" s="963" t="n"/>
      <c r="U24" s="991" t="n"/>
      <c r="V24" s="1021" t="n"/>
      <c r="W24" s="989" t="n"/>
      <c r="X24" s="989" t="n"/>
      <c r="Y24" s="989" t="n"/>
      <c r="Z24" s="989" t="n"/>
      <c r="AA24" s="963" t="n"/>
      <c r="AB24" s="991" t="n"/>
      <c r="AC24" s="963" t="n"/>
      <c r="AD24" s="989" t="n"/>
      <c r="AE24" s="989" t="n"/>
      <c r="AF24" s="989" t="n"/>
      <c r="AG24" s="989" t="n"/>
      <c r="AH24" s="963" t="n"/>
      <c r="AI24" s="991" t="n"/>
      <c r="AJ24" s="1021" t="n"/>
      <c r="AK24" s="989" t="n"/>
      <c r="AL24" s="989" t="n"/>
      <c r="AM24" s="989" t="n"/>
      <c r="AN24" s="989" t="n"/>
      <c r="AO24" s="963" t="n"/>
      <c r="AP24" s="991" t="n"/>
      <c r="AQ24" s="963" t="n"/>
      <c r="AR24" s="989" t="n"/>
      <c r="AS24" s="989" t="n"/>
      <c r="AT24" s="989" t="n"/>
      <c r="AU24" s="989" t="n"/>
      <c r="AV24" s="963" t="n"/>
      <c r="AW24" s="991" t="n"/>
      <c r="AX24" s="18" t="n"/>
    </row>
    <row r="25" ht="16.4" customHeight="1" s="828">
      <c r="A25" s="722" t="n"/>
      <c r="B25" s="1021" t="n"/>
      <c r="C25" s="989" t="n"/>
      <c r="D25" s="989" t="n"/>
      <c r="E25" s="989" t="n"/>
      <c r="F25" s="989" t="n"/>
      <c r="G25" s="989" t="n"/>
      <c r="H25" s="989" t="n"/>
      <c r="I25" s="989" t="n"/>
      <c r="J25" s="989" t="n"/>
      <c r="K25" s="990" t="n"/>
      <c r="L25" s="963" t="n"/>
      <c r="M25" s="963" t="n"/>
      <c r="N25" s="963" t="n"/>
      <c r="O25" s="963" t="n"/>
      <c r="P25" s="963" t="n"/>
      <c r="Q25" s="963" t="n"/>
      <c r="R25" s="963" t="n"/>
      <c r="S25" s="963" t="n"/>
      <c r="T25" s="963" t="n"/>
      <c r="U25" s="991" t="n"/>
      <c r="V25" s="1021" t="n"/>
      <c r="W25" s="989" t="n"/>
      <c r="X25" s="989" t="n"/>
      <c r="Y25" s="989" t="n"/>
      <c r="Z25" s="989" t="n"/>
      <c r="AA25" s="963" t="n"/>
      <c r="AB25" s="991" t="n"/>
      <c r="AC25" s="963" t="n"/>
      <c r="AD25" s="989" t="n"/>
      <c r="AE25" s="989" t="n"/>
      <c r="AF25" s="989" t="n"/>
      <c r="AG25" s="989" t="n"/>
      <c r="AH25" s="963" t="n"/>
      <c r="AI25" s="991" t="n"/>
      <c r="AJ25" s="1021" t="n"/>
      <c r="AK25" s="989" t="n"/>
      <c r="AL25" s="989" t="n"/>
      <c r="AM25" s="989" t="n"/>
      <c r="AN25" s="989" t="n"/>
      <c r="AO25" s="963" t="n"/>
      <c r="AP25" s="991" t="n"/>
      <c r="AQ25" s="963" t="n"/>
      <c r="AR25" s="989" t="n"/>
      <c r="AS25" s="989" t="n"/>
      <c r="AT25" s="989" t="n"/>
      <c r="AU25" s="989" t="n"/>
      <c r="AV25" s="963" t="n"/>
      <c r="AW25" s="991" t="n"/>
      <c r="AX25" s="18" t="n"/>
    </row>
    <row r="26" ht="16.4" customHeight="1" s="828">
      <c r="A26" s="722" t="n"/>
      <c r="B26" s="1021" t="n"/>
      <c r="C26" s="989" t="n"/>
      <c r="D26" s="989" t="n"/>
      <c r="E26" s="989" t="n"/>
      <c r="F26" s="989" t="n"/>
      <c r="G26" s="989" t="n"/>
      <c r="H26" s="989" t="n"/>
      <c r="I26" s="989" t="n"/>
      <c r="J26" s="989" t="n"/>
      <c r="K26" s="990" t="n"/>
      <c r="L26" s="963" t="n"/>
      <c r="M26" s="963" t="n"/>
      <c r="N26" s="963" t="n"/>
      <c r="O26" s="963" t="n"/>
      <c r="P26" s="963" t="n"/>
      <c r="Q26" s="963" t="n"/>
      <c r="R26" s="963" t="n"/>
      <c r="S26" s="963" t="n"/>
      <c r="T26" s="963" t="n"/>
      <c r="U26" s="991" t="n"/>
      <c r="V26" s="1021" t="n"/>
      <c r="W26" s="989" t="n"/>
      <c r="X26" s="989" t="n"/>
      <c r="Y26" s="989" t="n"/>
      <c r="Z26" s="989" t="n"/>
      <c r="AA26" s="963" t="n"/>
      <c r="AB26" s="991" t="n"/>
      <c r="AC26" s="963" t="n"/>
      <c r="AD26" s="989" t="n"/>
      <c r="AE26" s="989" t="n"/>
      <c r="AF26" s="989" t="n"/>
      <c r="AG26" s="989" t="n"/>
      <c r="AH26" s="963" t="n"/>
      <c r="AI26" s="991" t="n"/>
      <c r="AJ26" s="1021" t="n"/>
      <c r="AK26" s="989" t="n"/>
      <c r="AL26" s="989" t="n"/>
      <c r="AM26" s="989" t="n"/>
      <c r="AN26" s="989" t="n"/>
      <c r="AO26" s="963" t="n"/>
      <c r="AP26" s="991" t="n"/>
      <c r="AQ26" s="963" t="n"/>
      <c r="AR26" s="989" t="n"/>
      <c r="AS26" s="989" t="n"/>
      <c r="AT26" s="989" t="n"/>
      <c r="AU26" s="989" t="n"/>
      <c r="AV26" s="963" t="n"/>
      <c r="AW26" s="991" t="n"/>
      <c r="AX26" s="18" t="n"/>
    </row>
    <row r="27" ht="16.4" customHeight="1" s="828">
      <c r="A27" s="722" t="n"/>
      <c r="B27" s="1021" t="n"/>
      <c r="C27" s="989" t="n"/>
      <c r="D27" s="989" t="n"/>
      <c r="E27" s="989" t="n"/>
      <c r="F27" s="989" t="n"/>
      <c r="G27" s="989" t="n"/>
      <c r="H27" s="989" t="n"/>
      <c r="I27" s="989" t="n"/>
      <c r="J27" s="989" t="n"/>
      <c r="K27" s="990" t="n"/>
      <c r="L27" s="963" t="n"/>
      <c r="M27" s="963" t="n"/>
      <c r="N27" s="963" t="n"/>
      <c r="O27" s="963" t="n"/>
      <c r="P27" s="963" t="n"/>
      <c r="Q27" s="963" t="n"/>
      <c r="R27" s="963" t="n"/>
      <c r="S27" s="963" t="n"/>
      <c r="T27" s="963" t="n"/>
      <c r="U27" s="991" t="n"/>
      <c r="V27" s="1021" t="n"/>
      <c r="W27" s="989" t="n"/>
      <c r="X27" s="989" t="n"/>
      <c r="Y27" s="989" t="n"/>
      <c r="Z27" s="989" t="n"/>
      <c r="AA27" s="963" t="n"/>
      <c r="AB27" s="991" t="n"/>
      <c r="AC27" s="963" t="n"/>
      <c r="AD27" s="989" t="n"/>
      <c r="AE27" s="989" t="n"/>
      <c r="AF27" s="989" t="n"/>
      <c r="AG27" s="989" t="n"/>
      <c r="AH27" s="963" t="n"/>
      <c r="AI27" s="991" t="n"/>
      <c r="AJ27" s="1021" t="n"/>
      <c r="AK27" s="989" t="n"/>
      <c r="AL27" s="989" t="n"/>
      <c r="AM27" s="989" t="n"/>
      <c r="AN27" s="989" t="n"/>
      <c r="AO27" s="963" t="n"/>
      <c r="AP27" s="991" t="n"/>
      <c r="AQ27" s="963" t="n"/>
      <c r="AR27" s="989" t="n"/>
      <c r="AS27" s="989" t="n"/>
      <c r="AT27" s="989" t="n"/>
      <c r="AU27" s="989" t="n"/>
      <c r="AV27" s="963" t="n"/>
      <c r="AW27" s="991" t="n"/>
      <c r="AX27" s="18" t="n"/>
    </row>
    <row r="28" ht="16.4" customHeight="1" s="828">
      <c r="A28" s="722" t="n"/>
      <c r="B28" s="1021" t="n"/>
      <c r="C28" s="989" t="n"/>
      <c r="D28" s="989" t="n"/>
      <c r="E28" s="989" t="n"/>
      <c r="F28" s="989" t="n"/>
      <c r="G28" s="989" t="n"/>
      <c r="H28" s="989" t="n"/>
      <c r="I28" s="989" t="n"/>
      <c r="J28" s="989" t="n"/>
      <c r="K28" s="990" t="n"/>
      <c r="L28" s="963" t="n"/>
      <c r="M28" s="963" t="n"/>
      <c r="N28" s="963" t="n"/>
      <c r="O28" s="963" t="n"/>
      <c r="P28" s="963" t="n"/>
      <c r="Q28" s="963" t="n"/>
      <c r="R28" s="963" t="n"/>
      <c r="S28" s="963" t="n"/>
      <c r="T28" s="963" t="n"/>
      <c r="U28" s="991" t="n"/>
      <c r="V28" s="1021" t="n"/>
      <c r="W28" s="989" t="n"/>
      <c r="X28" s="989" t="n"/>
      <c r="Y28" s="989" t="n"/>
      <c r="Z28" s="989" t="n"/>
      <c r="AA28" s="963" t="n"/>
      <c r="AB28" s="991" t="n"/>
      <c r="AC28" s="963" t="n"/>
      <c r="AD28" s="989" t="n"/>
      <c r="AE28" s="989" t="n"/>
      <c r="AF28" s="989" t="n"/>
      <c r="AG28" s="989" t="n"/>
      <c r="AH28" s="963" t="n"/>
      <c r="AI28" s="991" t="n"/>
      <c r="AJ28" s="1021" t="n"/>
      <c r="AK28" s="989" t="n"/>
      <c r="AL28" s="989" t="n"/>
      <c r="AM28" s="989" t="n"/>
      <c r="AN28" s="989" t="n"/>
      <c r="AO28" s="963" t="n"/>
      <c r="AP28" s="991" t="n"/>
      <c r="AQ28" s="963" t="n"/>
      <c r="AR28" s="989" t="n"/>
      <c r="AS28" s="989" t="n"/>
      <c r="AT28" s="989" t="n"/>
      <c r="AU28" s="989" t="n"/>
      <c r="AV28" s="963" t="n"/>
      <c r="AW28" s="991" t="n"/>
      <c r="AX28" s="18" t="n"/>
    </row>
    <row r="29" ht="16.4" customHeight="1" s="828">
      <c r="A29" s="722" t="n"/>
      <c r="B29" s="1021" t="n"/>
      <c r="C29" s="989" t="n"/>
      <c r="D29" s="989" t="n"/>
      <c r="E29" s="989" t="n"/>
      <c r="F29" s="989" t="n"/>
      <c r="G29" s="989" t="n"/>
      <c r="H29" s="989" t="n"/>
      <c r="I29" s="989" t="n"/>
      <c r="J29" s="989" t="n"/>
      <c r="K29" s="990" t="n"/>
      <c r="L29" s="963" t="n"/>
      <c r="M29" s="963" t="n"/>
      <c r="N29" s="963" t="n"/>
      <c r="O29" s="963" t="n"/>
      <c r="P29" s="963" t="n"/>
      <c r="Q29" s="963" t="n"/>
      <c r="R29" s="963" t="n"/>
      <c r="S29" s="963" t="n"/>
      <c r="T29" s="963" t="n"/>
      <c r="U29" s="991" t="n"/>
      <c r="V29" s="1021" t="n"/>
      <c r="W29" s="989" t="n"/>
      <c r="X29" s="989" t="n"/>
      <c r="Y29" s="989" t="n"/>
      <c r="Z29" s="989" t="n"/>
      <c r="AA29" s="963" t="n"/>
      <c r="AB29" s="991" t="n"/>
      <c r="AC29" s="963" t="n"/>
      <c r="AD29" s="989" t="n"/>
      <c r="AE29" s="989" t="n"/>
      <c r="AF29" s="989" t="n"/>
      <c r="AG29" s="989" t="n"/>
      <c r="AH29" s="963" t="n"/>
      <c r="AI29" s="991" t="n"/>
      <c r="AJ29" s="1021" t="n"/>
      <c r="AK29" s="989" t="n"/>
      <c r="AL29" s="989" t="n"/>
      <c r="AM29" s="989" t="n"/>
      <c r="AN29" s="989" t="n"/>
      <c r="AO29" s="963" t="n"/>
      <c r="AP29" s="991" t="n"/>
      <c r="AQ29" s="963" t="n"/>
      <c r="AR29" s="989" t="n"/>
      <c r="AS29" s="989" t="n"/>
      <c r="AT29" s="989" t="n"/>
      <c r="AU29" s="989" t="n"/>
      <c r="AV29" s="963" t="n"/>
      <c r="AW29" s="991" t="n"/>
      <c r="AX29" s="18" t="n"/>
    </row>
    <row r="30" ht="16.4" customHeight="1" s="828">
      <c r="A30" s="722" t="n"/>
      <c r="B30" s="1021" t="n"/>
      <c r="C30" s="1021" t="n"/>
      <c r="D30" s="1021" t="n"/>
      <c r="E30" s="1021" t="n"/>
      <c r="F30" s="1021" t="n"/>
      <c r="G30" s="1021" t="n"/>
      <c r="H30" s="1021" t="n"/>
      <c r="I30" s="1021" t="n"/>
      <c r="J30" s="1021" t="n"/>
      <c r="K30" s="1022" t="n"/>
      <c r="L30" s="963" t="n"/>
      <c r="M30" s="963" t="n"/>
      <c r="N30" s="963" t="n"/>
      <c r="O30" s="963" t="n"/>
      <c r="P30" s="963" t="n"/>
      <c r="Q30" s="963" t="n"/>
      <c r="R30" s="963" t="n"/>
      <c r="S30" s="963" t="n"/>
      <c r="T30" s="963" t="n"/>
      <c r="U30" s="991" t="n"/>
      <c r="V30" s="1021" t="n"/>
      <c r="W30" s="1021" t="n"/>
      <c r="X30" s="1021" t="n"/>
      <c r="Y30" s="1021" t="n"/>
      <c r="Z30" s="1021" t="n"/>
      <c r="AA30" s="989" t="n"/>
      <c r="AB30" s="1022" t="n"/>
      <c r="AC30" s="963" t="n"/>
      <c r="AD30" s="963" t="n"/>
      <c r="AE30" s="963" t="n"/>
      <c r="AF30" s="963" t="n"/>
      <c r="AG30" s="963" t="n"/>
      <c r="AH30" s="963" t="n"/>
      <c r="AI30" s="991" t="n"/>
      <c r="AJ30" s="1021" t="n"/>
      <c r="AK30" s="1021" t="n"/>
      <c r="AL30" s="1021" t="n"/>
      <c r="AM30" s="1021" t="n"/>
      <c r="AN30" s="1021" t="n"/>
      <c r="AO30" s="1021" t="n"/>
      <c r="AP30" s="1022" t="n"/>
      <c r="AQ30" s="963" t="n"/>
      <c r="AR30" s="963" t="n"/>
      <c r="AS30" s="963" t="n"/>
      <c r="AT30" s="963" t="n"/>
      <c r="AU30" s="963" t="n"/>
      <c r="AV30" s="963" t="n"/>
      <c r="AW30" s="991" t="n"/>
      <c r="AX30" s="18" t="n"/>
    </row>
    <row r="31" ht="16.4" customHeight="1" s="828">
      <c r="A31" s="722" t="n"/>
      <c r="B31" s="1021" t="n"/>
      <c r="C31" s="1021" t="n"/>
      <c r="D31" s="1021" t="n"/>
      <c r="E31" s="1021" t="n"/>
      <c r="F31" s="1021" t="n"/>
      <c r="G31" s="1021" t="n"/>
      <c r="H31" s="1021" t="n"/>
      <c r="I31" s="1021" t="n"/>
      <c r="J31" s="1021" t="n"/>
      <c r="K31" s="1022" t="n"/>
      <c r="L31" s="963" t="n"/>
      <c r="M31" s="963" t="n"/>
      <c r="N31" s="963" t="n"/>
      <c r="O31" s="963" t="n"/>
      <c r="P31" s="963" t="n"/>
      <c r="Q31" s="963" t="n"/>
      <c r="R31" s="963" t="n"/>
      <c r="S31" s="963" t="n"/>
      <c r="T31" s="963" t="n"/>
      <c r="U31" s="991" t="n"/>
      <c r="V31" s="1021" t="n"/>
      <c r="W31" s="1021" t="n"/>
      <c r="X31" s="1021" t="n"/>
      <c r="Y31" s="1021" t="n"/>
      <c r="Z31" s="1021" t="n"/>
      <c r="AA31" s="989" t="n"/>
      <c r="AB31" s="1022" t="n"/>
      <c r="AC31" s="963" t="n"/>
      <c r="AD31" s="963" t="n"/>
      <c r="AE31" s="963" t="n"/>
      <c r="AF31" s="963" t="n"/>
      <c r="AG31" s="963" t="n"/>
      <c r="AH31" s="963" t="n"/>
      <c r="AI31" s="991" t="n"/>
      <c r="AJ31" s="1021" t="n"/>
      <c r="AK31" s="1021" t="n"/>
      <c r="AL31" s="1021" t="n"/>
      <c r="AM31" s="1021" t="n"/>
      <c r="AN31" s="1021" t="n"/>
      <c r="AO31" s="1021" t="n"/>
      <c r="AP31" s="1022" t="n"/>
      <c r="AQ31" s="963" t="n"/>
      <c r="AR31" s="963" t="n"/>
      <c r="AS31" s="963" t="n"/>
      <c r="AT31" s="963" t="n"/>
      <c r="AU31" s="963" t="n"/>
      <c r="AV31" s="963" t="n"/>
      <c r="AW31" s="991" t="n"/>
      <c r="AX31" s="18" t="n"/>
    </row>
    <row r="32" ht="16.4" customHeight="1" s="828">
      <c r="A32" s="722" t="n"/>
      <c r="B32" s="1021" t="n"/>
      <c r="C32" s="1021" t="n"/>
      <c r="D32" s="1021" t="n"/>
      <c r="E32" s="1021" t="n"/>
      <c r="F32" s="1021" t="n"/>
      <c r="G32" s="1021" t="n"/>
      <c r="H32" s="1021" t="n"/>
      <c r="I32" s="1021" t="n"/>
      <c r="J32" s="1021" t="n"/>
      <c r="K32" s="1022" t="n"/>
      <c r="L32" s="963" t="n"/>
      <c r="M32" s="963" t="n"/>
      <c r="N32" s="963" t="n"/>
      <c r="O32" s="963" t="n"/>
      <c r="P32" s="963" t="n"/>
      <c r="Q32" s="963" t="n"/>
      <c r="R32" s="963" t="n"/>
      <c r="S32" s="963" t="n"/>
      <c r="T32" s="963" t="n"/>
      <c r="U32" s="991" t="n"/>
      <c r="V32" s="1021" t="n"/>
      <c r="W32" s="1021" t="n"/>
      <c r="X32" s="1021" t="n"/>
      <c r="Y32" s="1021" t="n"/>
      <c r="Z32" s="1021" t="n"/>
      <c r="AA32" s="989" t="n"/>
      <c r="AB32" s="1022" t="n"/>
      <c r="AC32" s="963" t="n"/>
      <c r="AD32" s="963" t="n"/>
      <c r="AE32" s="963" t="n"/>
      <c r="AF32" s="963" t="n"/>
      <c r="AG32" s="963" t="n"/>
      <c r="AH32" s="963" t="n"/>
      <c r="AI32" s="991" t="n"/>
      <c r="AJ32" s="1021" t="n"/>
      <c r="AK32" s="1021" t="n"/>
      <c r="AL32" s="1021" t="n"/>
      <c r="AM32" s="1021" t="n"/>
      <c r="AN32" s="1021" t="n"/>
      <c r="AO32" s="1021" t="n"/>
      <c r="AP32" s="1022" t="n"/>
      <c r="AQ32" s="963" t="n"/>
      <c r="AR32" s="963" t="n"/>
      <c r="AS32" s="963" t="n"/>
      <c r="AT32" s="963" t="n"/>
      <c r="AU32" s="963" t="n"/>
      <c r="AV32" s="963" t="n"/>
      <c r="AW32" s="991" t="n"/>
      <c r="AX32" s="18" t="n"/>
    </row>
    <row r="33" ht="16.4" customHeight="1" s="828">
      <c r="A33" s="722" t="n"/>
      <c r="B33" s="1021" t="n"/>
      <c r="C33" s="1021" t="n"/>
      <c r="D33" s="1021" t="n"/>
      <c r="E33" s="1021" t="n"/>
      <c r="F33" s="1021" t="n"/>
      <c r="G33" s="1021" t="n"/>
      <c r="H33" s="1021" t="n"/>
      <c r="I33" s="1021" t="n"/>
      <c r="J33" s="1021" t="n"/>
      <c r="K33" s="1022" t="n"/>
      <c r="L33" s="963" t="n"/>
      <c r="M33" s="963" t="n"/>
      <c r="N33" s="963" t="n"/>
      <c r="O33" s="963" t="n"/>
      <c r="P33" s="963" t="n"/>
      <c r="Q33" s="963" t="n"/>
      <c r="R33" s="963" t="n"/>
      <c r="S33" s="963" t="n"/>
      <c r="T33" s="963" t="n"/>
      <c r="U33" s="991" t="n"/>
      <c r="V33" s="1021" t="n"/>
      <c r="W33" s="1021" t="n"/>
      <c r="X33" s="1021" t="n"/>
      <c r="Y33" s="1021" t="n"/>
      <c r="Z33" s="1021" t="n"/>
      <c r="AA33" s="989" t="n"/>
      <c r="AB33" s="1022" t="n"/>
      <c r="AC33" s="963" t="n"/>
      <c r="AD33" s="963" t="n"/>
      <c r="AE33" s="963" t="n"/>
      <c r="AF33" s="963" t="n"/>
      <c r="AG33" s="963" t="n"/>
      <c r="AH33" s="963" t="n"/>
      <c r="AI33" s="991" t="n"/>
      <c r="AJ33" s="1021" t="n"/>
      <c r="AK33" s="1021" t="n"/>
      <c r="AL33" s="1021" t="n"/>
      <c r="AM33" s="1021" t="n"/>
      <c r="AN33" s="1021" t="n"/>
      <c r="AO33" s="1021" t="n"/>
      <c r="AP33" s="1022" t="n"/>
      <c r="AQ33" s="963" t="n"/>
      <c r="AR33" s="963" t="n"/>
      <c r="AS33" s="963" t="n"/>
      <c r="AT33" s="963" t="n"/>
      <c r="AU33" s="963" t="n"/>
      <c r="AV33" s="963" t="n"/>
      <c r="AW33" s="991" t="n"/>
      <c r="AX33" s="18" t="n"/>
    </row>
    <row r="34" ht="16.4" customHeight="1" s="828">
      <c r="A34" s="722" t="n"/>
      <c r="B34" s="1021" t="n"/>
      <c r="C34" s="1021" t="n"/>
      <c r="D34" s="1021" t="n"/>
      <c r="E34" s="1021" t="n"/>
      <c r="F34" s="1021" t="n"/>
      <c r="G34" s="1021" t="n"/>
      <c r="H34" s="1021" t="n"/>
      <c r="I34" s="1021" t="n"/>
      <c r="J34" s="1021" t="n"/>
      <c r="K34" s="1022" t="n"/>
      <c r="L34" s="963" t="n"/>
      <c r="M34" s="963" t="n"/>
      <c r="N34" s="963" t="n"/>
      <c r="O34" s="963" t="n"/>
      <c r="P34" s="963" t="n"/>
      <c r="Q34" s="963" t="n"/>
      <c r="R34" s="963" t="n"/>
      <c r="S34" s="963" t="n"/>
      <c r="T34" s="963" t="n"/>
      <c r="U34" s="991" t="n"/>
      <c r="V34" s="1021" t="n"/>
      <c r="W34" s="1021" t="n"/>
      <c r="X34" s="1021" t="n"/>
      <c r="Y34" s="1021" t="n"/>
      <c r="Z34" s="1021" t="n"/>
      <c r="AA34" s="989" t="n"/>
      <c r="AB34" s="1022" t="n"/>
      <c r="AC34" s="963" t="n"/>
      <c r="AD34" s="963" t="n"/>
      <c r="AE34" s="963" t="n"/>
      <c r="AF34" s="963" t="n"/>
      <c r="AG34" s="963" t="n"/>
      <c r="AH34" s="963" t="n"/>
      <c r="AI34" s="991" t="n"/>
      <c r="AJ34" s="1021" t="n"/>
      <c r="AK34" s="1021" t="n"/>
      <c r="AL34" s="1021" t="n"/>
      <c r="AM34" s="1021" t="n"/>
      <c r="AN34" s="1021" t="n"/>
      <c r="AO34" s="1021" t="n"/>
      <c r="AP34" s="1022" t="n"/>
      <c r="AQ34" s="963" t="n"/>
      <c r="AR34" s="963" t="n"/>
      <c r="AS34" s="963" t="n"/>
      <c r="AT34" s="963" t="n"/>
      <c r="AU34" s="963" t="n"/>
      <c r="AV34" s="963" t="n"/>
      <c r="AW34" s="991" t="n"/>
      <c r="AX34" s="18" t="n"/>
    </row>
    <row r="35" ht="16.4" customHeight="1" s="828">
      <c r="A35" s="722" t="n"/>
      <c r="B35" s="1021" t="n"/>
      <c r="C35" s="1021" t="n"/>
      <c r="D35" s="1021" t="n"/>
      <c r="E35" s="1021" t="n"/>
      <c r="F35" s="1021" t="n"/>
      <c r="G35" s="1021" t="n"/>
      <c r="H35" s="1021" t="n"/>
      <c r="I35" s="1021" t="n"/>
      <c r="J35" s="1021" t="n"/>
      <c r="K35" s="1022" t="n"/>
      <c r="L35" s="963" t="n"/>
      <c r="M35" s="963" t="n"/>
      <c r="N35" s="963" t="n"/>
      <c r="O35" s="963" t="n"/>
      <c r="P35" s="963" t="n"/>
      <c r="Q35" s="963" t="n"/>
      <c r="R35" s="963" t="n"/>
      <c r="S35" s="963" t="n"/>
      <c r="T35" s="963" t="n"/>
      <c r="U35" s="991" t="n"/>
      <c r="V35" s="1021" t="n"/>
      <c r="W35" s="1021" t="n"/>
      <c r="X35" s="1021" t="n"/>
      <c r="Y35" s="1021" t="n"/>
      <c r="Z35" s="1021" t="n"/>
      <c r="AA35" s="989" t="n"/>
      <c r="AB35" s="1022" t="n"/>
      <c r="AC35" s="963" t="n"/>
      <c r="AD35" s="963" t="n"/>
      <c r="AE35" s="963" t="n"/>
      <c r="AF35" s="963" t="n"/>
      <c r="AG35" s="963" t="n"/>
      <c r="AH35" s="963" t="n"/>
      <c r="AI35" s="991" t="n"/>
      <c r="AJ35" s="1021" t="n"/>
      <c r="AK35" s="1021" t="n"/>
      <c r="AL35" s="1021" t="n"/>
      <c r="AM35" s="1021" t="n"/>
      <c r="AN35" s="1021" t="n"/>
      <c r="AO35" s="1021" t="n"/>
      <c r="AP35" s="1022" t="n"/>
      <c r="AQ35" s="963" t="n"/>
      <c r="AR35" s="963" t="n"/>
      <c r="AS35" s="963" t="n"/>
      <c r="AT35" s="963" t="n"/>
      <c r="AU35" s="963" t="n"/>
      <c r="AV35" s="963" t="n"/>
      <c r="AW35" s="991" t="n"/>
      <c r="AX35" s="18" t="n"/>
    </row>
    <row r="36" ht="16.4" customHeight="1" s="828">
      <c r="A36" s="722" t="n"/>
      <c r="B36" s="1021" t="n"/>
      <c r="C36" s="1021" t="n"/>
      <c r="D36" s="1021" t="n"/>
      <c r="E36" s="1021" t="n"/>
      <c r="F36" s="1021" t="n"/>
      <c r="G36" s="1021" t="n"/>
      <c r="H36" s="1021" t="n"/>
      <c r="I36" s="1021" t="n"/>
      <c r="J36" s="1021" t="n"/>
      <c r="K36" s="1022" t="n"/>
      <c r="L36" s="963" t="n"/>
      <c r="M36" s="963" t="n"/>
      <c r="N36" s="963" t="n"/>
      <c r="O36" s="963" t="n"/>
      <c r="P36" s="963" t="n"/>
      <c r="Q36" s="963" t="n"/>
      <c r="R36" s="963" t="n"/>
      <c r="S36" s="963" t="n"/>
      <c r="T36" s="963" t="n"/>
      <c r="U36" s="991" t="n"/>
      <c r="V36" s="1021" t="n"/>
      <c r="W36" s="1021" t="n"/>
      <c r="X36" s="1021" t="n"/>
      <c r="Y36" s="1021" t="n"/>
      <c r="Z36" s="1021" t="n"/>
      <c r="AA36" s="989" t="n"/>
      <c r="AB36" s="1022" t="n"/>
      <c r="AC36" s="963" t="n"/>
      <c r="AD36" s="963" t="n"/>
      <c r="AE36" s="963" t="n"/>
      <c r="AF36" s="963" t="n"/>
      <c r="AG36" s="963" t="n"/>
      <c r="AH36" s="963" t="n"/>
      <c r="AI36" s="991" t="n"/>
      <c r="AJ36" s="1021" t="n"/>
      <c r="AK36" s="1021" t="n"/>
      <c r="AL36" s="1021" t="n"/>
      <c r="AM36" s="1021" t="n"/>
      <c r="AN36" s="1021" t="n"/>
      <c r="AO36" s="1021" t="n"/>
      <c r="AP36" s="1022" t="n"/>
      <c r="AQ36" s="963" t="n"/>
      <c r="AR36" s="963" t="n"/>
      <c r="AS36" s="963" t="n"/>
      <c r="AT36" s="963" t="n"/>
      <c r="AU36" s="963" t="n"/>
      <c r="AV36" s="963" t="n"/>
      <c r="AW36" s="991" t="n"/>
      <c r="AX36" s="18" t="n"/>
    </row>
    <row r="37" ht="16.4" customHeight="1" s="828">
      <c r="A37" s="722" t="n"/>
      <c r="B37" s="1021" t="n"/>
      <c r="C37" s="1021" t="n"/>
      <c r="D37" s="1021" t="n"/>
      <c r="E37" s="1021" t="n"/>
      <c r="F37" s="1021" t="n"/>
      <c r="G37" s="1021" t="n"/>
      <c r="H37" s="1021" t="n"/>
      <c r="I37" s="1021" t="n"/>
      <c r="J37" s="1021" t="n"/>
      <c r="K37" s="1022" t="n"/>
      <c r="L37" s="963" t="n"/>
      <c r="M37" s="963" t="n"/>
      <c r="N37" s="963" t="n"/>
      <c r="O37" s="963" t="n"/>
      <c r="P37" s="963" t="n"/>
      <c r="Q37" s="963" t="n"/>
      <c r="R37" s="963" t="n"/>
      <c r="S37" s="963" t="n"/>
      <c r="T37" s="963" t="n"/>
      <c r="U37" s="991" t="n"/>
      <c r="V37" s="1021" t="n"/>
      <c r="W37" s="1021" t="n"/>
      <c r="X37" s="1021" t="n"/>
      <c r="Y37" s="1021" t="n"/>
      <c r="Z37" s="1021" t="n"/>
      <c r="AA37" s="989" t="n"/>
      <c r="AB37" s="1022" t="n"/>
      <c r="AC37" s="963" t="n"/>
      <c r="AD37" s="963" t="n"/>
      <c r="AE37" s="963" t="n"/>
      <c r="AF37" s="963" t="n"/>
      <c r="AG37" s="963" t="n"/>
      <c r="AH37" s="963" t="n"/>
      <c r="AI37" s="991" t="n"/>
      <c r="AJ37" s="1021" t="n"/>
      <c r="AK37" s="1021" t="n"/>
      <c r="AL37" s="1021" t="n"/>
      <c r="AM37" s="1021" t="n"/>
      <c r="AN37" s="1021" t="n"/>
      <c r="AO37" s="1021" t="n"/>
      <c r="AP37" s="1022" t="n"/>
      <c r="AQ37" s="963" t="n"/>
      <c r="AR37" s="963" t="n"/>
      <c r="AS37" s="963" t="n"/>
      <c r="AT37" s="963" t="n"/>
      <c r="AU37" s="963" t="n"/>
      <c r="AV37" s="963" t="n"/>
      <c r="AW37" s="991" t="n"/>
      <c r="AX37" s="18" t="n"/>
    </row>
    <row r="38" ht="16.4" customHeight="1" s="828">
      <c r="A38" s="722" t="n"/>
      <c r="B38" s="1021" t="n"/>
      <c r="C38" s="1021" t="n"/>
      <c r="D38" s="1021" t="n"/>
      <c r="E38" s="1021" t="n"/>
      <c r="F38" s="1021" t="n"/>
      <c r="G38" s="1021" t="n"/>
      <c r="H38" s="1021" t="n"/>
      <c r="I38" s="1021" t="n"/>
      <c r="J38" s="1021" t="n"/>
      <c r="K38" s="1022" t="n"/>
      <c r="L38" s="963" t="n"/>
      <c r="M38" s="963" t="n"/>
      <c r="N38" s="963" t="n"/>
      <c r="O38" s="963" t="n"/>
      <c r="P38" s="963" t="n"/>
      <c r="Q38" s="963" t="n"/>
      <c r="R38" s="963" t="n"/>
      <c r="S38" s="963" t="n"/>
      <c r="T38" s="963" t="n"/>
      <c r="U38" s="991" t="n"/>
      <c r="V38" s="1021" t="n"/>
      <c r="W38" s="1021" t="n"/>
      <c r="X38" s="1021" t="n"/>
      <c r="Y38" s="1021" t="n"/>
      <c r="Z38" s="1021" t="n"/>
      <c r="AA38" s="989" t="n"/>
      <c r="AB38" s="1022" t="n"/>
      <c r="AC38" s="963" t="n"/>
      <c r="AD38" s="963" t="n"/>
      <c r="AE38" s="963" t="n"/>
      <c r="AF38" s="963" t="n"/>
      <c r="AG38" s="963" t="n"/>
      <c r="AH38" s="963" t="n"/>
      <c r="AI38" s="991" t="n"/>
      <c r="AJ38" s="1021" t="n"/>
      <c r="AK38" s="1021" t="n"/>
      <c r="AL38" s="1021" t="n"/>
      <c r="AM38" s="1021" t="n"/>
      <c r="AN38" s="1021" t="n"/>
      <c r="AO38" s="1021" t="n"/>
      <c r="AP38" s="1022" t="n"/>
      <c r="AQ38" s="963" t="n"/>
      <c r="AR38" s="963" t="n"/>
      <c r="AS38" s="963" t="n"/>
      <c r="AT38" s="963" t="n"/>
      <c r="AU38" s="963" t="n"/>
      <c r="AV38" s="963" t="n"/>
      <c r="AW38" s="991" t="n"/>
      <c r="AX38" s="18" t="n"/>
    </row>
    <row r="39" ht="16.4" customHeight="1" s="828">
      <c r="A39" s="722" t="n"/>
      <c r="B39" s="1021" t="n"/>
      <c r="C39" s="1021" t="n"/>
      <c r="D39" s="1021" t="n"/>
      <c r="E39" s="1021" t="n"/>
      <c r="F39" s="1021" t="n"/>
      <c r="G39" s="1021" t="n"/>
      <c r="H39" s="1021" t="n"/>
      <c r="I39" s="1021" t="n"/>
      <c r="J39" s="1021" t="n"/>
      <c r="K39" s="1022" t="n"/>
      <c r="L39" s="963" t="n"/>
      <c r="M39" s="963" t="n"/>
      <c r="N39" s="963" t="n"/>
      <c r="O39" s="963" t="n"/>
      <c r="P39" s="963" t="n"/>
      <c r="Q39" s="963" t="n"/>
      <c r="R39" s="963" t="n"/>
      <c r="S39" s="963" t="n"/>
      <c r="T39" s="963" t="n"/>
      <c r="U39" s="991" t="n"/>
      <c r="V39" s="1021" t="n"/>
      <c r="W39" s="1021" t="n"/>
      <c r="X39" s="1021" t="n"/>
      <c r="Y39" s="1021" t="n"/>
      <c r="Z39" s="1021" t="n"/>
      <c r="AA39" s="989" t="n"/>
      <c r="AB39" s="1022" t="n"/>
      <c r="AC39" s="963" t="n"/>
      <c r="AD39" s="963" t="n"/>
      <c r="AE39" s="963" t="n"/>
      <c r="AF39" s="963" t="n"/>
      <c r="AG39" s="963" t="n"/>
      <c r="AH39" s="963" t="n"/>
      <c r="AI39" s="991" t="n"/>
      <c r="AJ39" s="1021" t="n"/>
      <c r="AK39" s="1021" t="n"/>
      <c r="AL39" s="1021" t="n"/>
      <c r="AM39" s="1021" t="n"/>
      <c r="AN39" s="1021" t="n"/>
      <c r="AO39" s="1021" t="n"/>
      <c r="AP39" s="1022" t="n"/>
      <c r="AQ39" s="963" t="n"/>
      <c r="AR39" s="963" t="n"/>
      <c r="AS39" s="963" t="n"/>
      <c r="AT39" s="963" t="n"/>
      <c r="AU39" s="963" t="n"/>
      <c r="AV39" s="963" t="n"/>
      <c r="AW39" s="991" t="n"/>
      <c r="AX39" s="18" t="n"/>
    </row>
    <row r="40" ht="16.4" customHeight="1" s="828">
      <c r="A40" s="722" t="n"/>
      <c r="B40" s="1021" t="n"/>
      <c r="C40" s="1021" t="n"/>
      <c r="D40" s="1021" t="n"/>
      <c r="E40" s="1021" t="n"/>
      <c r="F40" s="1021" t="n"/>
      <c r="G40" s="1021" t="n"/>
      <c r="H40" s="1021" t="n"/>
      <c r="I40" s="1021" t="n"/>
      <c r="J40" s="1021" t="n"/>
      <c r="K40" s="1022" t="n"/>
      <c r="L40" s="963" t="n"/>
      <c r="M40" s="963" t="n"/>
      <c r="N40" s="963" t="n"/>
      <c r="O40" s="963" t="n"/>
      <c r="P40" s="963" t="n"/>
      <c r="Q40" s="963" t="n"/>
      <c r="R40" s="963" t="n"/>
      <c r="S40" s="963" t="n"/>
      <c r="T40" s="963" t="n"/>
      <c r="U40" s="991" t="n"/>
      <c r="V40" s="1021" t="n"/>
      <c r="W40" s="1021" t="n"/>
      <c r="X40" s="1021" t="n"/>
      <c r="Y40" s="1021" t="n"/>
      <c r="Z40" s="1021" t="n"/>
      <c r="AA40" s="989" t="n"/>
      <c r="AB40" s="1022" t="n"/>
      <c r="AC40" s="963" t="n"/>
      <c r="AD40" s="963" t="n"/>
      <c r="AE40" s="963" t="n"/>
      <c r="AF40" s="963" t="n"/>
      <c r="AG40" s="963" t="n"/>
      <c r="AH40" s="963" t="n"/>
      <c r="AI40" s="991" t="n"/>
      <c r="AJ40" s="1021" t="n"/>
      <c r="AK40" s="1021" t="n"/>
      <c r="AL40" s="1021" t="n"/>
      <c r="AM40" s="1021" t="n"/>
      <c r="AN40" s="1021" t="n"/>
      <c r="AO40" s="1021" t="n"/>
      <c r="AP40" s="1022" t="n"/>
      <c r="AQ40" s="963" t="n"/>
      <c r="AR40" s="963" t="n"/>
      <c r="AS40" s="963" t="n"/>
      <c r="AT40" s="963" t="n"/>
      <c r="AU40" s="963" t="n"/>
      <c r="AV40" s="963" t="n"/>
      <c r="AW40" s="991" t="n"/>
      <c r="AX40" s="18" t="n"/>
    </row>
    <row r="41" ht="16.4" customHeight="1" s="828">
      <c r="A41" s="722" t="n"/>
      <c r="B41" s="1021" t="n"/>
      <c r="C41" s="1021" t="n"/>
      <c r="D41" s="1021" t="n"/>
      <c r="E41" s="1021" t="n"/>
      <c r="F41" s="1021" t="n"/>
      <c r="G41" s="1021" t="n"/>
      <c r="H41" s="1021" t="n"/>
      <c r="I41" s="1021" t="n"/>
      <c r="J41" s="1021" t="n"/>
      <c r="K41" s="1022" t="n"/>
      <c r="L41" s="963" t="n"/>
      <c r="M41" s="963" t="n"/>
      <c r="N41" s="963" t="n"/>
      <c r="O41" s="963" t="n"/>
      <c r="P41" s="963" t="n"/>
      <c r="Q41" s="963" t="n"/>
      <c r="R41" s="963" t="n"/>
      <c r="S41" s="963" t="n"/>
      <c r="T41" s="963" t="n"/>
      <c r="U41" s="991" t="n"/>
      <c r="V41" s="1021" t="n"/>
      <c r="W41" s="1021" t="n"/>
      <c r="X41" s="1021" t="n"/>
      <c r="Y41" s="1021" t="n"/>
      <c r="Z41" s="1021" t="n"/>
      <c r="AA41" s="989" t="n"/>
      <c r="AB41" s="1022" t="n"/>
      <c r="AC41" s="963" t="n"/>
      <c r="AD41" s="963" t="n"/>
      <c r="AE41" s="963" t="n"/>
      <c r="AF41" s="963" t="n"/>
      <c r="AG41" s="963" t="n"/>
      <c r="AH41" s="963" t="n"/>
      <c r="AI41" s="991" t="n"/>
      <c r="AJ41" s="1021" t="n"/>
      <c r="AK41" s="1021" t="n"/>
      <c r="AL41" s="1021" t="n"/>
      <c r="AM41" s="1021" t="n"/>
      <c r="AN41" s="1021" t="n"/>
      <c r="AO41" s="1021" t="n"/>
      <c r="AP41" s="1022" t="n"/>
      <c r="AQ41" s="963" t="n"/>
      <c r="AR41" s="963" t="n"/>
      <c r="AS41" s="963" t="n"/>
      <c r="AT41" s="963" t="n"/>
      <c r="AU41" s="963" t="n"/>
      <c r="AV41" s="963" t="n"/>
      <c r="AW41" s="991" t="n"/>
      <c r="AX41" s="18" t="n"/>
    </row>
    <row r="42" ht="16.4" customHeight="1" s="828">
      <c r="A42" s="722" t="n"/>
      <c r="B42" s="1021" t="n"/>
      <c r="C42" s="1021" t="n"/>
      <c r="D42" s="1021" t="n"/>
      <c r="E42" s="1021" t="n"/>
      <c r="F42" s="1021" t="n"/>
      <c r="G42" s="1021" t="n"/>
      <c r="H42" s="1021" t="n"/>
      <c r="I42" s="1021" t="n"/>
      <c r="J42" s="1021" t="n"/>
      <c r="K42" s="1022" t="n"/>
      <c r="L42" s="963" t="n"/>
      <c r="M42" s="963" t="n"/>
      <c r="N42" s="963" t="n"/>
      <c r="O42" s="963" t="n"/>
      <c r="P42" s="963" t="n"/>
      <c r="Q42" s="963" t="n"/>
      <c r="R42" s="963" t="n"/>
      <c r="S42" s="963" t="n"/>
      <c r="T42" s="963" t="n"/>
      <c r="U42" s="991" t="n"/>
      <c r="V42" s="1021" t="n"/>
      <c r="W42" s="1021" t="n"/>
      <c r="X42" s="1021" t="n"/>
      <c r="Y42" s="1021" t="n"/>
      <c r="Z42" s="1021" t="n"/>
      <c r="AA42" s="989" t="n"/>
      <c r="AB42" s="1022" t="n"/>
      <c r="AC42" s="963" t="n"/>
      <c r="AD42" s="963" t="n"/>
      <c r="AE42" s="963" t="n"/>
      <c r="AF42" s="963" t="n"/>
      <c r="AG42" s="963" t="n"/>
      <c r="AH42" s="963" t="n"/>
      <c r="AI42" s="991" t="n"/>
      <c r="AJ42" s="1021" t="n"/>
      <c r="AK42" s="1021" t="n"/>
      <c r="AL42" s="1021" t="n"/>
      <c r="AM42" s="1021" t="n"/>
      <c r="AN42" s="1021" t="n"/>
      <c r="AO42" s="1021" t="n"/>
      <c r="AP42" s="1022" t="n"/>
      <c r="AQ42" s="963" t="n"/>
      <c r="AR42" s="963" t="n"/>
      <c r="AS42" s="963" t="n"/>
      <c r="AT42" s="963" t="n"/>
      <c r="AU42" s="963" t="n"/>
      <c r="AV42" s="963" t="n"/>
      <c r="AW42" s="991" t="n"/>
      <c r="AX42" s="18" t="n"/>
    </row>
    <row r="43" ht="16.4" customHeight="1" s="828">
      <c r="A43" s="722" t="n"/>
      <c r="B43" s="1021" t="n"/>
      <c r="C43" s="1021" t="n"/>
      <c r="D43" s="1021" t="n"/>
      <c r="E43" s="1021" t="n"/>
      <c r="F43" s="1021" t="n"/>
      <c r="G43" s="1021" t="n"/>
      <c r="H43" s="1021" t="n"/>
      <c r="I43" s="1021" t="n"/>
      <c r="J43" s="1021" t="n"/>
      <c r="K43" s="1022" t="n"/>
      <c r="L43" s="963" t="n"/>
      <c r="M43" s="963" t="n"/>
      <c r="N43" s="963" t="n"/>
      <c r="O43" s="963" t="n"/>
      <c r="P43" s="963" t="n"/>
      <c r="Q43" s="963" t="n"/>
      <c r="R43" s="963" t="n"/>
      <c r="S43" s="963" t="n"/>
      <c r="T43" s="963" t="n"/>
      <c r="U43" s="991" t="n"/>
      <c r="V43" s="1021" t="n"/>
      <c r="W43" s="1021" t="n"/>
      <c r="X43" s="1021" t="n"/>
      <c r="Y43" s="1021" t="n"/>
      <c r="Z43" s="1021" t="n"/>
      <c r="AA43" s="989" t="n"/>
      <c r="AB43" s="1022" t="n"/>
      <c r="AC43" s="963" t="n"/>
      <c r="AD43" s="963" t="n"/>
      <c r="AE43" s="963" t="n"/>
      <c r="AF43" s="963" t="n"/>
      <c r="AG43" s="963" t="n"/>
      <c r="AH43" s="963" t="n"/>
      <c r="AI43" s="991" t="n"/>
      <c r="AJ43" s="1021" t="n"/>
      <c r="AK43" s="1021" t="n"/>
      <c r="AL43" s="1021" t="n"/>
      <c r="AM43" s="1021" t="n"/>
      <c r="AN43" s="1021" t="n"/>
      <c r="AO43" s="1021" t="n"/>
      <c r="AP43" s="1022" t="n"/>
      <c r="AQ43" s="963" t="n"/>
      <c r="AR43" s="963" t="n"/>
      <c r="AS43" s="963" t="n"/>
      <c r="AT43" s="963" t="n"/>
      <c r="AU43" s="963" t="n"/>
      <c r="AV43" s="963" t="n"/>
      <c r="AW43" s="991" t="n"/>
      <c r="AX43" s="18" t="n"/>
    </row>
    <row r="44" ht="16.4" customHeight="1" s="828">
      <c r="A44" s="722" t="n"/>
      <c r="B44" s="1021" t="n"/>
      <c r="C44" s="1021" t="n"/>
      <c r="D44" s="1021" t="n"/>
      <c r="E44" s="1021" t="n"/>
      <c r="F44" s="1021" t="n"/>
      <c r="G44" s="1021" t="n"/>
      <c r="H44" s="1021" t="n"/>
      <c r="I44" s="1021" t="n"/>
      <c r="J44" s="1021" t="n"/>
      <c r="K44" s="1022" t="n"/>
      <c r="L44" s="963" t="n"/>
      <c r="M44" s="963" t="n"/>
      <c r="N44" s="963" t="n"/>
      <c r="O44" s="963" t="n"/>
      <c r="P44" s="963" t="n"/>
      <c r="Q44" s="963" t="n"/>
      <c r="R44" s="963" t="n"/>
      <c r="S44" s="963" t="n"/>
      <c r="T44" s="963" t="n"/>
      <c r="U44" s="991" t="n"/>
      <c r="V44" s="1021" t="n"/>
      <c r="W44" s="1021" t="n"/>
      <c r="X44" s="1021" t="n"/>
      <c r="Y44" s="1021" t="n"/>
      <c r="Z44" s="1021" t="n"/>
      <c r="AA44" s="989" t="n"/>
      <c r="AB44" s="1022" t="n"/>
      <c r="AC44" s="963" t="n"/>
      <c r="AD44" s="963" t="n"/>
      <c r="AE44" s="963" t="n"/>
      <c r="AF44" s="963" t="n"/>
      <c r="AG44" s="963" t="n"/>
      <c r="AH44" s="963" t="n"/>
      <c r="AI44" s="991" t="n"/>
      <c r="AJ44" s="1021" t="n"/>
      <c r="AK44" s="1021" t="n"/>
      <c r="AL44" s="1021" t="n"/>
      <c r="AM44" s="1021" t="n"/>
      <c r="AN44" s="1021" t="n"/>
      <c r="AO44" s="1021" t="n"/>
      <c r="AP44" s="1022" t="n"/>
      <c r="AQ44" s="963" t="n"/>
      <c r="AR44" s="963" t="n"/>
      <c r="AS44" s="963" t="n"/>
      <c r="AT44" s="963" t="n"/>
      <c r="AU44" s="963" t="n"/>
      <c r="AV44" s="963" t="n"/>
      <c r="AW44" s="991" t="n"/>
      <c r="AX44" s="18" t="n"/>
    </row>
    <row r="45" ht="16.4" customHeight="1" s="828">
      <c r="A45" s="722" t="n"/>
      <c r="B45" s="1021" t="n"/>
      <c r="C45" s="1021" t="n"/>
      <c r="D45" s="1021" t="n"/>
      <c r="E45" s="1021" t="n"/>
      <c r="F45" s="1021" t="n"/>
      <c r="G45" s="1021" t="n"/>
      <c r="H45" s="1021" t="n"/>
      <c r="I45" s="1021" t="n"/>
      <c r="J45" s="1021" t="n"/>
      <c r="K45" s="1022" t="n"/>
      <c r="L45" s="963" t="n"/>
      <c r="M45" s="963" t="n"/>
      <c r="N45" s="963" t="n"/>
      <c r="O45" s="963" t="n"/>
      <c r="P45" s="963" t="n"/>
      <c r="Q45" s="963" t="n"/>
      <c r="R45" s="963" t="n"/>
      <c r="S45" s="963" t="n"/>
      <c r="T45" s="963" t="n"/>
      <c r="U45" s="991" t="n"/>
      <c r="V45" s="1021" t="n"/>
      <c r="W45" s="1021" t="n"/>
      <c r="X45" s="1021" t="n"/>
      <c r="Y45" s="1021" t="n"/>
      <c r="Z45" s="1021" t="n"/>
      <c r="AA45" s="989" t="n"/>
      <c r="AB45" s="1022" t="n"/>
      <c r="AC45" s="963" t="n"/>
      <c r="AD45" s="963" t="n"/>
      <c r="AE45" s="963" t="n"/>
      <c r="AF45" s="963" t="n"/>
      <c r="AG45" s="963" t="n"/>
      <c r="AH45" s="963" t="n"/>
      <c r="AI45" s="991" t="n"/>
      <c r="AJ45" s="1021" t="n"/>
      <c r="AK45" s="1021" t="n"/>
      <c r="AL45" s="1021" t="n"/>
      <c r="AM45" s="1021" t="n"/>
      <c r="AN45" s="1021" t="n"/>
      <c r="AO45" s="1021" t="n"/>
      <c r="AP45" s="1022" t="n"/>
      <c r="AQ45" s="963" t="n"/>
      <c r="AR45" s="963" t="n"/>
      <c r="AS45" s="963" t="n"/>
      <c r="AT45" s="963" t="n"/>
      <c r="AU45" s="963" t="n"/>
      <c r="AV45" s="963" t="n"/>
      <c r="AW45" s="991" t="n"/>
      <c r="AX45" s="18" t="n"/>
    </row>
    <row r="46" ht="16.4" customHeight="1" s="828">
      <c r="A46" s="722" t="n"/>
      <c r="B46" s="1021" t="n"/>
      <c r="C46" s="1021" t="n"/>
      <c r="D46" s="1021" t="n"/>
      <c r="E46" s="1021" t="n"/>
      <c r="F46" s="1021" t="n"/>
      <c r="G46" s="1021" t="n"/>
      <c r="H46" s="1021" t="n"/>
      <c r="I46" s="1021" t="n"/>
      <c r="J46" s="1021" t="n"/>
      <c r="K46" s="1022" t="n"/>
      <c r="L46" s="963" t="n"/>
      <c r="M46" s="963" t="n"/>
      <c r="N46" s="963" t="n"/>
      <c r="O46" s="963" t="n"/>
      <c r="P46" s="963" t="n"/>
      <c r="Q46" s="963" t="n"/>
      <c r="R46" s="963" t="n"/>
      <c r="S46" s="963" t="n"/>
      <c r="T46" s="963" t="n"/>
      <c r="U46" s="991" t="n"/>
      <c r="V46" s="1021" t="n"/>
      <c r="W46" s="1021" t="n"/>
      <c r="X46" s="1021" t="n"/>
      <c r="Y46" s="1021" t="n"/>
      <c r="Z46" s="1021" t="n"/>
      <c r="AA46" s="989" t="n"/>
      <c r="AB46" s="1022" t="n"/>
      <c r="AC46" s="963" t="n"/>
      <c r="AD46" s="963" t="n"/>
      <c r="AE46" s="963" t="n"/>
      <c r="AF46" s="963" t="n"/>
      <c r="AG46" s="963" t="n"/>
      <c r="AH46" s="963" t="n"/>
      <c r="AI46" s="991" t="n"/>
      <c r="AJ46" s="1021" t="n"/>
      <c r="AK46" s="1021" t="n"/>
      <c r="AL46" s="1021" t="n"/>
      <c r="AM46" s="1021" t="n"/>
      <c r="AN46" s="1021" t="n"/>
      <c r="AO46" s="1021" t="n"/>
      <c r="AP46" s="1022" t="n"/>
      <c r="AQ46" s="963" t="n"/>
      <c r="AR46" s="963" t="n"/>
      <c r="AS46" s="963" t="n"/>
      <c r="AT46" s="963" t="n"/>
      <c r="AU46" s="963" t="n"/>
      <c r="AV46" s="963" t="n"/>
      <c r="AW46" s="991" t="n"/>
      <c r="AX46" s="18" t="n"/>
    </row>
    <row r="47" ht="16.4" customHeight="1" s="828">
      <c r="A47" s="722" t="n"/>
      <c r="B47" s="1021" t="n"/>
      <c r="C47" s="1021" t="n"/>
      <c r="D47" s="1021" t="n"/>
      <c r="E47" s="1021" t="n"/>
      <c r="F47" s="1021" t="n"/>
      <c r="G47" s="1021" t="n"/>
      <c r="H47" s="1021" t="n"/>
      <c r="I47" s="1021" t="n"/>
      <c r="J47" s="1021" t="n"/>
      <c r="K47" s="1022" t="n"/>
      <c r="L47" s="963" t="n"/>
      <c r="M47" s="963" t="n"/>
      <c r="N47" s="963" t="n"/>
      <c r="O47" s="963" t="n"/>
      <c r="P47" s="963" t="n"/>
      <c r="Q47" s="963" t="n"/>
      <c r="R47" s="963" t="n"/>
      <c r="S47" s="963" t="n"/>
      <c r="T47" s="963" t="n"/>
      <c r="U47" s="991" t="n"/>
      <c r="V47" s="1021" t="n"/>
      <c r="W47" s="1021" t="n"/>
      <c r="X47" s="1021" t="n"/>
      <c r="Y47" s="1021" t="n"/>
      <c r="Z47" s="1021" t="n"/>
      <c r="AA47" s="989" t="n"/>
      <c r="AB47" s="1022" t="n"/>
      <c r="AC47" s="963" t="n"/>
      <c r="AD47" s="963" t="n"/>
      <c r="AE47" s="963" t="n"/>
      <c r="AF47" s="963" t="n"/>
      <c r="AG47" s="963" t="n"/>
      <c r="AH47" s="963" t="n"/>
      <c r="AI47" s="991" t="n"/>
      <c r="AJ47" s="1021" t="n"/>
      <c r="AK47" s="1021" t="n"/>
      <c r="AL47" s="1021" t="n"/>
      <c r="AM47" s="1021" t="n"/>
      <c r="AN47" s="1021" t="n"/>
      <c r="AO47" s="1021" t="n"/>
      <c r="AP47" s="1022" t="n"/>
      <c r="AQ47" s="963" t="n"/>
      <c r="AR47" s="963" t="n"/>
      <c r="AS47" s="963" t="n"/>
      <c r="AT47" s="963" t="n"/>
      <c r="AU47" s="963" t="n"/>
      <c r="AV47" s="963" t="n"/>
      <c r="AW47" s="991" t="n"/>
      <c r="AX47" s="18" t="n"/>
    </row>
    <row r="48" ht="16.4" customHeight="1" s="828">
      <c r="A48" s="722" t="n"/>
      <c r="B48" s="1021" t="n"/>
      <c r="C48" s="1021" t="n"/>
      <c r="D48" s="1021" t="n"/>
      <c r="E48" s="1021" t="n"/>
      <c r="F48" s="1021" t="n"/>
      <c r="G48" s="1021" t="n"/>
      <c r="H48" s="1021" t="n"/>
      <c r="I48" s="1021" t="n"/>
      <c r="J48" s="1021" t="n"/>
      <c r="K48" s="1022" t="n"/>
      <c r="L48" s="963" t="n"/>
      <c r="M48" s="963" t="n"/>
      <c r="N48" s="963" t="n"/>
      <c r="O48" s="963" t="n"/>
      <c r="P48" s="963" t="n"/>
      <c r="Q48" s="963" t="n"/>
      <c r="R48" s="963" t="n"/>
      <c r="S48" s="963" t="n"/>
      <c r="T48" s="963" t="n"/>
      <c r="U48" s="991" t="n"/>
      <c r="V48" s="1021" t="n"/>
      <c r="W48" s="1021" t="n"/>
      <c r="X48" s="1021" t="n"/>
      <c r="Y48" s="1021" t="n"/>
      <c r="Z48" s="1021" t="n"/>
      <c r="AA48" s="989" t="n"/>
      <c r="AB48" s="1022" t="n"/>
      <c r="AC48" s="963" t="n"/>
      <c r="AD48" s="963" t="n"/>
      <c r="AE48" s="963" t="n"/>
      <c r="AF48" s="963" t="n"/>
      <c r="AG48" s="963" t="n"/>
      <c r="AH48" s="963" t="n"/>
      <c r="AI48" s="991" t="n"/>
      <c r="AJ48" s="1021" t="n"/>
      <c r="AK48" s="1021" t="n"/>
      <c r="AL48" s="1021" t="n"/>
      <c r="AM48" s="1021" t="n"/>
      <c r="AN48" s="1021" t="n"/>
      <c r="AO48" s="1021" t="n"/>
      <c r="AP48" s="1022" t="n"/>
      <c r="AQ48" s="963" t="n"/>
      <c r="AR48" s="963" t="n"/>
      <c r="AS48" s="963" t="n"/>
      <c r="AT48" s="963" t="n"/>
      <c r="AU48" s="963" t="n"/>
      <c r="AV48" s="963" t="n"/>
      <c r="AW48" s="991" t="n"/>
      <c r="AX48" s="18" t="n"/>
    </row>
    <row r="49" ht="16.4" customHeight="1" s="828">
      <c r="A49" s="722" t="n"/>
      <c r="B49" s="1021" t="n"/>
      <c r="C49" s="1021" t="n"/>
      <c r="D49" s="1021" t="n"/>
      <c r="E49" s="1021" t="n"/>
      <c r="F49" s="1021" t="n"/>
      <c r="G49" s="1021" t="n"/>
      <c r="H49" s="1021" t="n"/>
      <c r="I49" s="1021" t="n"/>
      <c r="J49" s="1021" t="n"/>
      <c r="K49" s="1022" t="n"/>
      <c r="L49" s="963" t="n"/>
      <c r="M49" s="963" t="n"/>
      <c r="N49" s="963" t="n"/>
      <c r="O49" s="963" t="n"/>
      <c r="P49" s="963" t="n"/>
      <c r="Q49" s="963" t="n"/>
      <c r="R49" s="963" t="n"/>
      <c r="S49" s="963" t="n"/>
      <c r="T49" s="963" t="n"/>
      <c r="U49" s="991" t="n"/>
      <c r="V49" s="1021" t="n"/>
      <c r="W49" s="1021" t="n"/>
      <c r="X49" s="1021" t="n"/>
      <c r="Y49" s="1021" t="n"/>
      <c r="Z49" s="1021" t="n"/>
      <c r="AA49" s="989" t="n"/>
      <c r="AB49" s="1022" t="n"/>
      <c r="AC49" s="963" t="n"/>
      <c r="AD49" s="963" t="n"/>
      <c r="AE49" s="963" t="n"/>
      <c r="AF49" s="963" t="n"/>
      <c r="AG49" s="963" t="n"/>
      <c r="AH49" s="963" t="n"/>
      <c r="AI49" s="991" t="n"/>
      <c r="AJ49" s="1021" t="n"/>
      <c r="AK49" s="1021" t="n"/>
      <c r="AL49" s="1021" t="n"/>
      <c r="AM49" s="1021" t="n"/>
      <c r="AN49" s="1021" t="n"/>
      <c r="AO49" s="1021" t="n"/>
      <c r="AP49" s="1022" t="n"/>
      <c r="AQ49" s="963" t="n"/>
      <c r="AR49" s="963" t="n"/>
      <c r="AS49" s="963" t="n"/>
      <c r="AT49" s="963" t="n"/>
      <c r="AU49" s="963" t="n"/>
      <c r="AV49" s="963" t="n"/>
      <c r="AW49" s="991" t="n"/>
      <c r="AX49" s="18" t="n"/>
    </row>
    <row r="50" ht="16.4" customHeight="1" s="828">
      <c r="A50" s="722" t="n"/>
      <c r="B50" s="1021" t="n"/>
      <c r="C50" s="1021" t="n"/>
      <c r="D50" s="1021" t="n"/>
      <c r="E50" s="1021" t="n"/>
      <c r="F50" s="1021" t="n"/>
      <c r="G50" s="1021" t="n"/>
      <c r="H50" s="1021" t="n"/>
      <c r="I50" s="1021" t="n"/>
      <c r="J50" s="1021" t="n"/>
      <c r="K50" s="1022" t="n"/>
      <c r="L50" s="963" t="n"/>
      <c r="M50" s="963" t="n"/>
      <c r="N50" s="963" t="n"/>
      <c r="O50" s="963" t="n"/>
      <c r="P50" s="963" t="n"/>
      <c r="Q50" s="963" t="n"/>
      <c r="R50" s="963" t="n"/>
      <c r="S50" s="963" t="n"/>
      <c r="T50" s="963" t="n"/>
      <c r="U50" s="991" t="n"/>
      <c r="V50" s="1021" t="n"/>
      <c r="W50" s="1021" t="n"/>
      <c r="X50" s="1021" t="n"/>
      <c r="Y50" s="1021" t="n"/>
      <c r="Z50" s="1021" t="n"/>
      <c r="AA50" s="989" t="n"/>
      <c r="AB50" s="1022" t="n"/>
      <c r="AC50" s="963" t="n"/>
      <c r="AD50" s="963" t="n"/>
      <c r="AE50" s="963" t="n"/>
      <c r="AF50" s="963" t="n"/>
      <c r="AG50" s="963" t="n"/>
      <c r="AH50" s="963" t="n"/>
      <c r="AI50" s="991" t="n"/>
      <c r="AJ50" s="1021" t="n"/>
      <c r="AK50" s="1021" t="n"/>
      <c r="AL50" s="1021" t="n"/>
      <c r="AM50" s="1021" t="n"/>
      <c r="AN50" s="1021" t="n"/>
      <c r="AO50" s="1021" t="n"/>
      <c r="AP50" s="1022" t="n"/>
      <c r="AQ50" s="963" t="n"/>
      <c r="AR50" s="963" t="n"/>
      <c r="AS50" s="963" t="n"/>
      <c r="AT50" s="963" t="n"/>
      <c r="AU50" s="963" t="n"/>
      <c r="AV50" s="963" t="n"/>
      <c r="AW50" s="991" t="n"/>
      <c r="AX50" s="18" t="n"/>
    </row>
    <row r="51" ht="16.4" customHeight="1" s="828">
      <c r="A51" s="722" t="n"/>
      <c r="B51" s="1021" t="n"/>
      <c r="C51" s="1021" t="n"/>
      <c r="D51" s="1021" t="n"/>
      <c r="E51" s="1021" t="n"/>
      <c r="F51" s="1021" t="n"/>
      <c r="G51" s="1021" t="n"/>
      <c r="H51" s="1021" t="n"/>
      <c r="I51" s="1021" t="n"/>
      <c r="J51" s="1021" t="n"/>
      <c r="K51" s="1022" t="n"/>
      <c r="L51" s="963" t="n"/>
      <c r="M51" s="963" t="n"/>
      <c r="N51" s="963" t="n"/>
      <c r="O51" s="963" t="n"/>
      <c r="P51" s="963" t="n"/>
      <c r="Q51" s="963" t="n"/>
      <c r="R51" s="963" t="n"/>
      <c r="S51" s="963" t="n"/>
      <c r="T51" s="963" t="n"/>
      <c r="U51" s="991" t="n"/>
      <c r="V51" s="1021" t="n"/>
      <c r="W51" s="1021" t="n"/>
      <c r="X51" s="1021" t="n"/>
      <c r="Y51" s="1021" t="n"/>
      <c r="Z51" s="1021" t="n"/>
      <c r="AA51" s="989" t="n"/>
      <c r="AB51" s="1022" t="n"/>
      <c r="AC51" s="963" t="n"/>
      <c r="AD51" s="963" t="n"/>
      <c r="AE51" s="963" t="n"/>
      <c r="AF51" s="963" t="n"/>
      <c r="AG51" s="963" t="n"/>
      <c r="AH51" s="963" t="n"/>
      <c r="AI51" s="991" t="n"/>
      <c r="AJ51" s="1021" t="n"/>
      <c r="AK51" s="1021" t="n"/>
      <c r="AL51" s="1021" t="n"/>
      <c r="AM51" s="1021" t="n"/>
      <c r="AN51" s="1021" t="n"/>
      <c r="AO51" s="1021" t="n"/>
      <c r="AP51" s="1022" t="n"/>
      <c r="AQ51" s="963" t="n"/>
      <c r="AR51" s="963" t="n"/>
      <c r="AS51" s="963" t="n"/>
      <c r="AT51" s="963" t="n"/>
      <c r="AU51" s="963" t="n"/>
      <c r="AV51" s="963" t="n"/>
      <c r="AW51" s="991" t="n"/>
      <c r="AX51" s="18" t="n"/>
    </row>
    <row r="52" ht="16.4" customHeight="1" s="828">
      <c r="A52" s="722" t="n"/>
      <c r="B52" s="1021" t="n"/>
      <c r="C52" s="1021" t="n"/>
      <c r="D52" s="1021" t="n"/>
      <c r="E52" s="1021" t="n"/>
      <c r="F52" s="1021" t="n"/>
      <c r="G52" s="1021" t="n"/>
      <c r="H52" s="1021" t="n"/>
      <c r="I52" s="1021" t="n"/>
      <c r="J52" s="1021" t="n"/>
      <c r="K52" s="1022" t="n"/>
      <c r="L52" s="963" t="n"/>
      <c r="M52" s="963" t="n"/>
      <c r="N52" s="963" t="n"/>
      <c r="O52" s="963" t="n"/>
      <c r="P52" s="963" t="n"/>
      <c r="Q52" s="963" t="n"/>
      <c r="R52" s="963" t="n"/>
      <c r="S52" s="963" t="n"/>
      <c r="T52" s="963" t="n"/>
      <c r="U52" s="991" t="n"/>
      <c r="V52" s="1021" t="n"/>
      <c r="W52" s="1021" t="n"/>
      <c r="X52" s="1021" t="n"/>
      <c r="Y52" s="1021" t="n"/>
      <c r="Z52" s="1021" t="n"/>
      <c r="AA52" s="989" t="n"/>
      <c r="AB52" s="1022" t="n"/>
      <c r="AC52" s="963" t="n"/>
      <c r="AD52" s="963" t="n"/>
      <c r="AE52" s="963" t="n"/>
      <c r="AF52" s="963" t="n"/>
      <c r="AG52" s="963" t="n"/>
      <c r="AH52" s="963" t="n"/>
      <c r="AI52" s="991" t="n"/>
      <c r="AJ52" s="1021" t="n"/>
      <c r="AK52" s="1021" t="n"/>
      <c r="AL52" s="1021" t="n"/>
      <c r="AM52" s="1021" t="n"/>
      <c r="AN52" s="1021" t="n"/>
      <c r="AO52" s="1021" t="n"/>
      <c r="AP52" s="1022" t="n"/>
      <c r="AQ52" s="963" t="n"/>
      <c r="AR52" s="963" t="n"/>
      <c r="AS52" s="963" t="n"/>
      <c r="AT52" s="963" t="n"/>
      <c r="AU52" s="963" t="n"/>
      <c r="AV52" s="963" t="n"/>
      <c r="AW52" s="991" t="n"/>
      <c r="AX52" s="18" t="n"/>
    </row>
    <row r="53" ht="16.4" customHeight="1" s="828">
      <c r="A53" s="722" t="n"/>
      <c r="B53" s="1021" t="n"/>
      <c r="C53" s="1021" t="n"/>
      <c r="D53" s="1021" t="n"/>
      <c r="E53" s="1021" t="n"/>
      <c r="F53" s="1021" t="n"/>
      <c r="G53" s="1021" t="n"/>
      <c r="H53" s="1021" t="n"/>
      <c r="I53" s="1021" t="n"/>
      <c r="J53" s="1021" t="n"/>
      <c r="K53" s="1022" t="n"/>
      <c r="L53" s="963" t="n"/>
      <c r="M53" s="963" t="n"/>
      <c r="N53" s="963" t="n"/>
      <c r="O53" s="963" t="n"/>
      <c r="P53" s="963" t="n"/>
      <c r="Q53" s="963" t="n"/>
      <c r="R53" s="963" t="n"/>
      <c r="S53" s="963" t="n"/>
      <c r="T53" s="963" t="n"/>
      <c r="U53" s="991" t="n"/>
      <c r="V53" s="1021" t="n"/>
      <c r="W53" s="1021" t="n"/>
      <c r="X53" s="1021" t="n"/>
      <c r="Y53" s="1021" t="n"/>
      <c r="Z53" s="1021" t="n"/>
      <c r="AA53" s="989" t="n"/>
      <c r="AB53" s="1022" t="n"/>
      <c r="AC53" s="963" t="n"/>
      <c r="AD53" s="963" t="n"/>
      <c r="AE53" s="963" t="n"/>
      <c r="AF53" s="963" t="n"/>
      <c r="AG53" s="963" t="n"/>
      <c r="AH53" s="963" t="n"/>
      <c r="AI53" s="991" t="n"/>
      <c r="AJ53" s="1021" t="n"/>
      <c r="AK53" s="1021" t="n"/>
      <c r="AL53" s="1021" t="n"/>
      <c r="AM53" s="1021" t="n"/>
      <c r="AN53" s="1021" t="n"/>
      <c r="AO53" s="1021" t="n"/>
      <c r="AP53" s="1022" t="n"/>
      <c r="AQ53" s="963" t="n"/>
      <c r="AR53" s="963" t="n"/>
      <c r="AS53" s="963" t="n"/>
      <c r="AT53" s="963" t="n"/>
      <c r="AU53" s="963" t="n"/>
      <c r="AV53" s="963" t="n"/>
      <c r="AW53" s="991" t="n"/>
      <c r="AX53" s="18" t="n"/>
    </row>
    <row r="54" ht="16.4" customHeight="1" s="828">
      <c r="A54" s="722" t="n"/>
      <c r="B54" s="1021" t="n"/>
      <c r="C54" s="1021" t="n"/>
      <c r="D54" s="1021" t="n"/>
      <c r="E54" s="1021" t="n"/>
      <c r="F54" s="1021" t="n"/>
      <c r="G54" s="1021" t="n"/>
      <c r="H54" s="1021" t="n"/>
      <c r="I54" s="1021" t="n"/>
      <c r="J54" s="1021" t="n"/>
      <c r="K54" s="1022" t="n"/>
      <c r="L54" s="963" t="n"/>
      <c r="M54" s="963" t="n"/>
      <c r="N54" s="963" t="n"/>
      <c r="O54" s="963" t="n"/>
      <c r="P54" s="963" t="n"/>
      <c r="Q54" s="963" t="n"/>
      <c r="R54" s="963" t="n"/>
      <c r="S54" s="963" t="n"/>
      <c r="T54" s="963" t="n"/>
      <c r="U54" s="991" t="n"/>
      <c r="V54" s="1021" t="n"/>
      <c r="W54" s="1021" t="n"/>
      <c r="X54" s="1021" t="n"/>
      <c r="Y54" s="1021" t="n"/>
      <c r="Z54" s="1021" t="n"/>
      <c r="AA54" s="989" t="n"/>
      <c r="AB54" s="1022" t="n"/>
      <c r="AC54" s="963" t="n"/>
      <c r="AD54" s="963" t="n"/>
      <c r="AE54" s="963" t="n"/>
      <c r="AF54" s="963" t="n"/>
      <c r="AG54" s="963" t="n"/>
      <c r="AH54" s="963" t="n"/>
      <c r="AI54" s="991" t="n"/>
      <c r="AJ54" s="1021" t="n"/>
      <c r="AK54" s="1021" t="n"/>
      <c r="AL54" s="1021" t="n"/>
      <c r="AM54" s="1021" t="n"/>
      <c r="AN54" s="1021" t="n"/>
      <c r="AO54" s="1021" t="n"/>
      <c r="AP54" s="1022" t="n"/>
      <c r="AQ54" s="963" t="n"/>
      <c r="AR54" s="963" t="n"/>
      <c r="AS54" s="963" t="n"/>
      <c r="AT54" s="963" t="n"/>
      <c r="AU54" s="963" t="n"/>
      <c r="AV54" s="963" t="n"/>
      <c r="AW54" s="991" t="n"/>
      <c r="AX54" s="18" t="n"/>
    </row>
    <row r="55" ht="16.4" customHeight="1" s="828">
      <c r="A55" s="722" t="n"/>
      <c r="B55" s="1021" t="n"/>
      <c r="C55" s="1021" t="n"/>
      <c r="D55" s="1021" t="n"/>
      <c r="E55" s="1021" t="n"/>
      <c r="F55" s="1021" t="n"/>
      <c r="G55" s="1021" t="n"/>
      <c r="H55" s="1021" t="n"/>
      <c r="I55" s="1021" t="n"/>
      <c r="J55" s="1021" t="n"/>
      <c r="K55" s="1022" t="n"/>
      <c r="L55" s="963" t="n"/>
      <c r="M55" s="963" t="n"/>
      <c r="N55" s="963" t="n"/>
      <c r="O55" s="963" t="n"/>
      <c r="P55" s="963" t="n"/>
      <c r="Q55" s="963" t="n"/>
      <c r="R55" s="963" t="n"/>
      <c r="S55" s="963" t="n"/>
      <c r="T55" s="963" t="n"/>
      <c r="U55" s="991" t="n"/>
      <c r="V55" s="1021" t="n"/>
      <c r="W55" s="1021" t="n"/>
      <c r="X55" s="1021" t="n"/>
      <c r="Y55" s="1021" t="n"/>
      <c r="Z55" s="1021" t="n"/>
      <c r="AA55" s="989" t="n"/>
      <c r="AB55" s="1022" t="n"/>
      <c r="AC55" s="963" t="n"/>
      <c r="AD55" s="963" t="n"/>
      <c r="AE55" s="963" t="n"/>
      <c r="AF55" s="963" t="n"/>
      <c r="AG55" s="963" t="n"/>
      <c r="AH55" s="963" t="n"/>
      <c r="AI55" s="991" t="n"/>
      <c r="AJ55" s="1021" t="n"/>
      <c r="AK55" s="1021" t="n"/>
      <c r="AL55" s="1021" t="n"/>
      <c r="AM55" s="1021" t="n"/>
      <c r="AN55" s="1021" t="n"/>
      <c r="AO55" s="1021" t="n"/>
      <c r="AP55" s="1022" t="n"/>
      <c r="AQ55" s="963" t="n"/>
      <c r="AR55" s="963" t="n"/>
      <c r="AS55" s="963" t="n"/>
      <c r="AT55" s="963" t="n"/>
      <c r="AU55" s="963" t="n"/>
      <c r="AV55" s="963" t="n"/>
      <c r="AW55" s="991" t="n"/>
      <c r="AX55" s="18" t="n"/>
    </row>
    <row r="56" ht="16.4" customHeight="1" s="828">
      <c r="A56" s="722" t="n"/>
      <c r="B56" s="1021" t="n"/>
      <c r="C56" s="1021" t="n"/>
      <c r="D56" s="1021" t="n"/>
      <c r="E56" s="1021" t="n"/>
      <c r="F56" s="1021" t="n"/>
      <c r="G56" s="1021" t="n"/>
      <c r="H56" s="1021" t="n"/>
      <c r="I56" s="1021" t="n"/>
      <c r="J56" s="1021" t="n"/>
      <c r="K56" s="1022" t="n"/>
      <c r="L56" s="963" t="n"/>
      <c r="M56" s="963" t="n"/>
      <c r="N56" s="963" t="n"/>
      <c r="O56" s="963" t="n"/>
      <c r="P56" s="963" t="n"/>
      <c r="Q56" s="963" t="n"/>
      <c r="R56" s="963" t="n"/>
      <c r="S56" s="963" t="n"/>
      <c r="T56" s="963" t="n"/>
      <c r="U56" s="991" t="n"/>
      <c r="V56" s="1021" t="n"/>
      <c r="W56" s="1021" t="n"/>
      <c r="X56" s="1021" t="n"/>
      <c r="Y56" s="1021" t="n"/>
      <c r="Z56" s="1021" t="n"/>
      <c r="AA56" s="989" t="n"/>
      <c r="AB56" s="1022" t="n"/>
      <c r="AC56" s="963" t="n"/>
      <c r="AD56" s="963" t="n"/>
      <c r="AE56" s="963" t="n"/>
      <c r="AF56" s="963" t="n"/>
      <c r="AG56" s="963" t="n"/>
      <c r="AH56" s="963" t="n"/>
      <c r="AI56" s="991" t="n"/>
      <c r="AJ56" s="1021" t="n"/>
      <c r="AK56" s="1021" t="n"/>
      <c r="AL56" s="1021" t="n"/>
      <c r="AM56" s="1021" t="n"/>
      <c r="AN56" s="1021" t="n"/>
      <c r="AO56" s="1021" t="n"/>
      <c r="AP56" s="1022" t="n"/>
      <c r="AQ56" s="963" t="n"/>
      <c r="AR56" s="963" t="n"/>
      <c r="AS56" s="963" t="n"/>
      <c r="AT56" s="963" t="n"/>
      <c r="AU56" s="963" t="n"/>
      <c r="AV56" s="963" t="n"/>
      <c r="AW56" s="991" t="n"/>
      <c r="AX56" s="18" t="n"/>
    </row>
    <row r="57" ht="16.4" customHeight="1" s="828">
      <c r="A57" s="722" t="n"/>
      <c r="B57" s="1021" t="n"/>
      <c r="C57" s="1021" t="n"/>
      <c r="D57" s="1021" t="n"/>
      <c r="E57" s="1021" t="n"/>
      <c r="F57" s="1021" t="n"/>
      <c r="G57" s="1021" t="n"/>
      <c r="H57" s="1021" t="n"/>
      <c r="I57" s="1021" t="n"/>
      <c r="J57" s="1021" t="n"/>
      <c r="K57" s="1022" t="n"/>
      <c r="L57" s="963" t="n"/>
      <c r="M57" s="963" t="n"/>
      <c r="N57" s="963" t="n"/>
      <c r="O57" s="963" t="n"/>
      <c r="P57" s="963" t="n"/>
      <c r="Q57" s="963" t="n"/>
      <c r="R57" s="963" t="n"/>
      <c r="S57" s="963" t="n"/>
      <c r="T57" s="963" t="n"/>
      <c r="U57" s="991" t="n"/>
      <c r="V57" s="1021" t="n"/>
      <c r="W57" s="1021" t="n"/>
      <c r="X57" s="1021" t="n"/>
      <c r="Y57" s="1021" t="n"/>
      <c r="Z57" s="1021" t="n"/>
      <c r="AA57" s="989" t="n"/>
      <c r="AB57" s="1022" t="n"/>
      <c r="AC57" s="963" t="n"/>
      <c r="AD57" s="963" t="n"/>
      <c r="AE57" s="963" t="n"/>
      <c r="AF57" s="963" t="n"/>
      <c r="AG57" s="963" t="n"/>
      <c r="AH57" s="963" t="n"/>
      <c r="AI57" s="991" t="n"/>
      <c r="AJ57" s="1021" t="n"/>
      <c r="AK57" s="1021" t="n"/>
      <c r="AL57" s="1021" t="n"/>
      <c r="AM57" s="1021" t="n"/>
      <c r="AN57" s="1021" t="n"/>
      <c r="AO57" s="1021" t="n"/>
      <c r="AP57" s="1022" t="n"/>
      <c r="AQ57" s="963" t="n"/>
      <c r="AR57" s="963" t="n"/>
      <c r="AS57" s="963" t="n"/>
      <c r="AT57" s="963" t="n"/>
      <c r="AU57" s="963" t="n"/>
      <c r="AV57" s="963" t="n"/>
      <c r="AW57" s="991" t="n"/>
      <c r="AX57" s="18" t="n"/>
    </row>
    <row r="58" ht="16.4" customHeight="1" s="828">
      <c r="A58" s="722" t="n"/>
      <c r="B58" s="1021" t="n"/>
      <c r="C58" s="1021" t="n"/>
      <c r="D58" s="1021" t="n"/>
      <c r="E58" s="1021" t="n"/>
      <c r="F58" s="1021" t="n"/>
      <c r="G58" s="1021" t="n"/>
      <c r="H58" s="1021" t="n"/>
      <c r="I58" s="1021" t="n"/>
      <c r="J58" s="1021" t="n"/>
      <c r="K58" s="1022" t="n"/>
      <c r="L58" s="963" t="n"/>
      <c r="M58" s="963" t="n"/>
      <c r="N58" s="963" t="n"/>
      <c r="O58" s="963" t="n"/>
      <c r="P58" s="963" t="n"/>
      <c r="Q58" s="963" t="n"/>
      <c r="R58" s="963" t="n"/>
      <c r="S58" s="963" t="n"/>
      <c r="T58" s="963" t="n"/>
      <c r="U58" s="991" t="n"/>
      <c r="V58" s="1021" t="n"/>
      <c r="W58" s="1021" t="n"/>
      <c r="X58" s="1021" t="n"/>
      <c r="Y58" s="1021" t="n"/>
      <c r="Z58" s="1021" t="n"/>
      <c r="AA58" s="989" t="n"/>
      <c r="AB58" s="1022" t="n"/>
      <c r="AC58" s="963" t="n"/>
      <c r="AD58" s="963" t="n"/>
      <c r="AE58" s="963" t="n"/>
      <c r="AF58" s="963" t="n"/>
      <c r="AG58" s="963" t="n"/>
      <c r="AH58" s="963" t="n"/>
      <c r="AI58" s="991" t="n"/>
      <c r="AJ58" s="1021" t="n"/>
      <c r="AK58" s="1021" t="n"/>
      <c r="AL58" s="1021" t="n"/>
      <c r="AM58" s="1021" t="n"/>
      <c r="AN58" s="1021" t="n"/>
      <c r="AO58" s="1021" t="n"/>
      <c r="AP58" s="1022" t="n"/>
      <c r="AQ58" s="963" t="n"/>
      <c r="AR58" s="963" t="n"/>
      <c r="AS58" s="963" t="n"/>
      <c r="AT58" s="963" t="n"/>
      <c r="AU58" s="963" t="n"/>
      <c r="AV58" s="963" t="n"/>
      <c r="AW58" s="991" t="n"/>
      <c r="AX58" s="18" t="n"/>
    </row>
    <row r="59" ht="16.4" customHeight="1" s="828">
      <c r="A59" s="722" t="n"/>
      <c r="B59" s="1021" t="n"/>
      <c r="C59" s="1021" t="n"/>
      <c r="D59" s="1021" t="n"/>
      <c r="E59" s="1021" t="n"/>
      <c r="F59" s="1021" t="n"/>
      <c r="G59" s="1021" t="n"/>
      <c r="H59" s="1021" t="n"/>
      <c r="I59" s="1021" t="n"/>
      <c r="J59" s="1021" t="n"/>
      <c r="K59" s="1022" t="n"/>
      <c r="L59" s="963" t="n"/>
      <c r="M59" s="963" t="n"/>
      <c r="N59" s="963" t="n"/>
      <c r="O59" s="963" t="n"/>
      <c r="P59" s="963" t="n"/>
      <c r="Q59" s="963" t="n"/>
      <c r="R59" s="963" t="n"/>
      <c r="S59" s="963" t="n"/>
      <c r="T59" s="963" t="n"/>
      <c r="U59" s="991" t="n"/>
      <c r="V59" s="1021" t="n"/>
      <c r="W59" s="1021" t="n"/>
      <c r="X59" s="1021" t="n"/>
      <c r="Y59" s="1021" t="n"/>
      <c r="Z59" s="1021" t="n"/>
      <c r="AA59" s="989" t="n"/>
      <c r="AB59" s="1022" t="n"/>
      <c r="AC59" s="963" t="n"/>
      <c r="AD59" s="963" t="n"/>
      <c r="AE59" s="963" t="n"/>
      <c r="AF59" s="963" t="n"/>
      <c r="AG59" s="963" t="n"/>
      <c r="AH59" s="963" t="n"/>
      <c r="AI59" s="991" t="n"/>
      <c r="AJ59" s="1021" t="n"/>
      <c r="AK59" s="1021" t="n"/>
      <c r="AL59" s="1021" t="n"/>
      <c r="AM59" s="1021" t="n"/>
      <c r="AN59" s="1021" t="n"/>
      <c r="AO59" s="1021" t="n"/>
      <c r="AP59" s="1022" t="n"/>
      <c r="AQ59" s="963" t="n"/>
      <c r="AR59" s="963" t="n"/>
      <c r="AS59" s="963" t="n"/>
      <c r="AT59" s="963" t="n"/>
      <c r="AU59" s="963" t="n"/>
      <c r="AV59" s="963" t="n"/>
      <c r="AW59" s="991" t="n"/>
      <c r="AX59" s="18" t="n"/>
    </row>
    <row r="60" ht="16.4" customHeight="1" s="828">
      <c r="A60" s="722" t="n"/>
      <c r="B60" s="1021" t="n"/>
      <c r="C60" s="1021" t="n"/>
      <c r="D60" s="1021" t="n"/>
      <c r="E60" s="1021" t="n"/>
      <c r="F60" s="1021" t="n"/>
      <c r="G60" s="1021" t="n"/>
      <c r="H60" s="1021" t="n"/>
      <c r="I60" s="1021" t="n"/>
      <c r="J60" s="1021" t="n"/>
      <c r="K60" s="1022" t="n"/>
      <c r="L60" s="963" t="n"/>
      <c r="M60" s="963" t="n"/>
      <c r="N60" s="963" t="n"/>
      <c r="O60" s="963" t="n"/>
      <c r="P60" s="963" t="n"/>
      <c r="Q60" s="963" t="n"/>
      <c r="R60" s="963" t="n"/>
      <c r="S60" s="963" t="n"/>
      <c r="T60" s="963" t="n"/>
      <c r="U60" s="991" t="n"/>
      <c r="V60" s="1021" t="n"/>
      <c r="W60" s="1021" t="n"/>
      <c r="X60" s="1021" t="n"/>
      <c r="Y60" s="1021" t="n"/>
      <c r="Z60" s="1021" t="n"/>
      <c r="AA60" s="989" t="n"/>
      <c r="AB60" s="1022" t="n"/>
      <c r="AC60" s="963" t="n"/>
      <c r="AD60" s="963" t="n"/>
      <c r="AE60" s="963" t="n"/>
      <c r="AF60" s="963" t="n"/>
      <c r="AG60" s="963" t="n"/>
      <c r="AH60" s="963" t="n"/>
      <c r="AI60" s="991" t="n"/>
      <c r="AJ60" s="1021" t="n"/>
      <c r="AK60" s="1021" t="n"/>
      <c r="AL60" s="1021" t="n"/>
      <c r="AM60" s="1021" t="n"/>
      <c r="AN60" s="1021" t="n"/>
      <c r="AO60" s="1021" t="n"/>
      <c r="AP60" s="1022" t="n"/>
      <c r="AQ60" s="963" t="n"/>
      <c r="AR60" s="963" t="n"/>
      <c r="AS60" s="963" t="n"/>
      <c r="AT60" s="963" t="n"/>
      <c r="AU60" s="963" t="n"/>
      <c r="AV60" s="963" t="n"/>
      <c r="AW60" s="991" t="n"/>
      <c r="AX60" s="18" t="n"/>
    </row>
    <row r="61" ht="16.4" customHeight="1" s="828">
      <c r="A61" s="722" t="n"/>
      <c r="B61" s="1021" t="n"/>
      <c r="C61" s="1021" t="n"/>
      <c r="D61" s="1021" t="n"/>
      <c r="E61" s="1021" t="n"/>
      <c r="F61" s="1021" t="n"/>
      <c r="G61" s="1021" t="n"/>
      <c r="H61" s="1021" t="n"/>
      <c r="I61" s="1021" t="n"/>
      <c r="J61" s="1021" t="n"/>
      <c r="K61" s="1022" t="n"/>
      <c r="L61" s="963" t="n"/>
      <c r="M61" s="963" t="n"/>
      <c r="N61" s="963" t="n"/>
      <c r="O61" s="963" t="n"/>
      <c r="P61" s="963" t="n"/>
      <c r="Q61" s="963" t="n"/>
      <c r="R61" s="963" t="n"/>
      <c r="S61" s="963" t="n"/>
      <c r="T61" s="963" t="n"/>
      <c r="U61" s="991" t="n"/>
      <c r="V61" s="1021" t="n"/>
      <c r="W61" s="1021" t="n"/>
      <c r="X61" s="1021" t="n"/>
      <c r="Y61" s="1021" t="n"/>
      <c r="Z61" s="1021" t="n"/>
      <c r="AA61" s="989" t="n"/>
      <c r="AB61" s="1022" t="n"/>
      <c r="AC61" s="963" t="n"/>
      <c r="AD61" s="963" t="n"/>
      <c r="AE61" s="963" t="n"/>
      <c r="AF61" s="963" t="n"/>
      <c r="AG61" s="963" t="n"/>
      <c r="AH61" s="963" t="n"/>
      <c r="AI61" s="991" t="n"/>
      <c r="AJ61" s="1021" t="n"/>
      <c r="AK61" s="1021" t="n"/>
      <c r="AL61" s="1021" t="n"/>
      <c r="AM61" s="1021" t="n"/>
      <c r="AN61" s="1021" t="n"/>
      <c r="AO61" s="1021" t="n"/>
      <c r="AP61" s="1022" t="n"/>
      <c r="AQ61" s="963" t="n"/>
      <c r="AR61" s="963" t="n"/>
      <c r="AS61" s="963" t="n"/>
      <c r="AT61" s="963" t="n"/>
      <c r="AU61" s="963" t="n"/>
      <c r="AV61" s="963" t="n"/>
      <c r="AW61" s="991" t="n"/>
      <c r="AX61" s="18" t="n"/>
    </row>
    <row r="62" ht="16.4" customHeight="1" s="828">
      <c r="A62" s="722" t="n"/>
      <c r="B62" s="1021" t="n"/>
      <c r="C62" s="1021" t="n"/>
      <c r="D62" s="1021" t="n"/>
      <c r="E62" s="1021" t="n"/>
      <c r="F62" s="1021" t="n"/>
      <c r="G62" s="1021" t="n"/>
      <c r="H62" s="1021" t="n"/>
      <c r="I62" s="1021" t="n"/>
      <c r="J62" s="1021" t="n"/>
      <c r="K62" s="1022" t="n"/>
      <c r="L62" s="963" t="n"/>
      <c r="M62" s="963" t="n"/>
      <c r="N62" s="963" t="n"/>
      <c r="O62" s="963" t="n"/>
      <c r="P62" s="963" t="n"/>
      <c r="Q62" s="963" t="n"/>
      <c r="R62" s="963" t="n"/>
      <c r="S62" s="963" t="n"/>
      <c r="T62" s="963" t="n"/>
      <c r="U62" s="991" t="n"/>
      <c r="V62" s="1021" t="n"/>
      <c r="W62" s="1021" t="n"/>
      <c r="X62" s="1021" t="n"/>
      <c r="Y62" s="1021" t="n"/>
      <c r="Z62" s="1021" t="n"/>
      <c r="AA62" s="989" t="n"/>
      <c r="AB62" s="1022" t="n"/>
      <c r="AC62" s="963" t="n"/>
      <c r="AD62" s="963" t="n"/>
      <c r="AE62" s="963" t="n"/>
      <c r="AF62" s="963" t="n"/>
      <c r="AG62" s="963" t="n"/>
      <c r="AH62" s="963" t="n"/>
      <c r="AI62" s="991" t="n"/>
      <c r="AJ62" s="1021" t="n"/>
      <c r="AK62" s="1021" t="n"/>
      <c r="AL62" s="1021" t="n"/>
      <c r="AM62" s="1021" t="n"/>
      <c r="AN62" s="1021" t="n"/>
      <c r="AO62" s="1021" t="n"/>
      <c r="AP62" s="1022" t="n"/>
      <c r="AQ62" s="963" t="n"/>
      <c r="AR62" s="963" t="n"/>
      <c r="AS62" s="963" t="n"/>
      <c r="AT62" s="963" t="n"/>
      <c r="AU62" s="963" t="n"/>
      <c r="AV62" s="963" t="n"/>
      <c r="AW62" s="991" t="n"/>
      <c r="AX62" s="18" t="n"/>
    </row>
    <row r="63" ht="16.4" customHeight="1" s="828">
      <c r="A63" s="722" t="n"/>
      <c r="B63" s="1021" t="n"/>
      <c r="C63" s="1021" t="n"/>
      <c r="D63" s="1021" t="n"/>
      <c r="E63" s="1021" t="n"/>
      <c r="F63" s="1021" t="n"/>
      <c r="G63" s="1021" t="n"/>
      <c r="H63" s="1021" t="n"/>
      <c r="I63" s="1021" t="n"/>
      <c r="J63" s="1021" t="n"/>
      <c r="K63" s="1022" t="n"/>
      <c r="L63" s="963" t="n"/>
      <c r="M63" s="963" t="n"/>
      <c r="N63" s="963" t="n"/>
      <c r="O63" s="963" t="n"/>
      <c r="P63" s="963" t="n"/>
      <c r="Q63" s="963" t="n"/>
      <c r="R63" s="963" t="n"/>
      <c r="S63" s="963" t="n"/>
      <c r="T63" s="963" t="n"/>
      <c r="U63" s="991" t="n"/>
      <c r="V63" s="1021" t="n"/>
      <c r="W63" s="1021" t="n"/>
      <c r="X63" s="1021" t="n"/>
      <c r="Y63" s="1021" t="n"/>
      <c r="Z63" s="1021" t="n"/>
      <c r="AA63" s="989" t="n"/>
      <c r="AB63" s="1022" t="n"/>
      <c r="AC63" s="963" t="n"/>
      <c r="AD63" s="963" t="n"/>
      <c r="AE63" s="963" t="n"/>
      <c r="AF63" s="963" t="n"/>
      <c r="AG63" s="963" t="n"/>
      <c r="AH63" s="963" t="n"/>
      <c r="AI63" s="991" t="n"/>
      <c r="AJ63" s="1021" t="n"/>
      <c r="AK63" s="1021" t="n"/>
      <c r="AL63" s="1021" t="n"/>
      <c r="AM63" s="1021" t="n"/>
      <c r="AN63" s="1021" t="n"/>
      <c r="AO63" s="1021" t="n"/>
      <c r="AP63" s="1022" t="n"/>
      <c r="AQ63" s="963" t="n"/>
      <c r="AR63" s="963" t="n"/>
      <c r="AS63" s="963" t="n"/>
      <c r="AT63" s="963" t="n"/>
      <c r="AU63" s="963" t="n"/>
      <c r="AV63" s="963" t="n"/>
      <c r="AW63" s="991" t="n"/>
      <c r="AX63" s="18" t="n"/>
    </row>
    <row r="64" ht="16.4" customHeight="1" s="828">
      <c r="A64" s="722" t="n"/>
      <c r="B64" s="1021" t="n"/>
      <c r="C64" s="1021" t="n"/>
      <c r="D64" s="1021" t="n"/>
      <c r="E64" s="1021" t="n"/>
      <c r="F64" s="1021" t="n"/>
      <c r="G64" s="1021" t="n"/>
      <c r="H64" s="1021" t="n"/>
      <c r="I64" s="1021" t="n"/>
      <c r="J64" s="1021" t="n"/>
      <c r="K64" s="1022" t="n"/>
      <c r="L64" s="963" t="n"/>
      <c r="M64" s="963" t="n"/>
      <c r="N64" s="963" t="n"/>
      <c r="O64" s="963" t="n"/>
      <c r="P64" s="963" t="n"/>
      <c r="Q64" s="963" t="n"/>
      <c r="R64" s="963" t="n"/>
      <c r="S64" s="963" t="n"/>
      <c r="T64" s="963" t="n"/>
      <c r="U64" s="991" t="n"/>
      <c r="V64" s="1021" t="n"/>
      <c r="W64" s="1021" t="n"/>
      <c r="X64" s="1021" t="n"/>
      <c r="Y64" s="1021" t="n"/>
      <c r="Z64" s="1021" t="n"/>
      <c r="AA64" s="989" t="n"/>
      <c r="AB64" s="1022" t="n"/>
      <c r="AC64" s="963" t="n"/>
      <c r="AD64" s="963" t="n"/>
      <c r="AE64" s="963" t="n"/>
      <c r="AF64" s="963" t="n"/>
      <c r="AG64" s="963" t="n"/>
      <c r="AH64" s="963" t="n"/>
      <c r="AI64" s="991" t="n"/>
      <c r="AJ64" s="1021" t="n"/>
      <c r="AK64" s="1021" t="n"/>
      <c r="AL64" s="1021" t="n"/>
      <c r="AM64" s="1021" t="n"/>
      <c r="AN64" s="1021" t="n"/>
      <c r="AO64" s="1021" t="n"/>
      <c r="AP64" s="1022" t="n"/>
      <c r="AQ64" s="963" t="n"/>
      <c r="AR64" s="963" t="n"/>
      <c r="AS64" s="963" t="n"/>
      <c r="AT64" s="963" t="n"/>
      <c r="AU64" s="963" t="n"/>
      <c r="AV64" s="963" t="n"/>
      <c r="AW64" s="991" t="n"/>
      <c r="AX64" s="18" t="n"/>
    </row>
    <row r="65" ht="16.4" customHeight="1" s="828">
      <c r="A65" s="722" t="n"/>
      <c r="B65" s="1021" t="n"/>
      <c r="C65" s="1021" t="n"/>
      <c r="D65" s="1021" t="n"/>
      <c r="E65" s="1021" t="n"/>
      <c r="F65" s="1021" t="n"/>
      <c r="G65" s="1021" t="n"/>
      <c r="H65" s="1021" t="n"/>
      <c r="I65" s="1021" t="n"/>
      <c r="J65" s="1021" t="n"/>
      <c r="K65" s="1022" t="n"/>
      <c r="L65" s="963" t="n"/>
      <c r="M65" s="963" t="n"/>
      <c r="N65" s="963" t="n"/>
      <c r="O65" s="963" t="n"/>
      <c r="P65" s="963" t="n"/>
      <c r="Q65" s="963" t="n"/>
      <c r="R65" s="963" t="n"/>
      <c r="S65" s="963" t="n"/>
      <c r="T65" s="963" t="n"/>
      <c r="U65" s="991" t="n"/>
      <c r="V65" s="1021" t="n"/>
      <c r="W65" s="1021" t="n"/>
      <c r="X65" s="1021" t="n"/>
      <c r="Y65" s="1021" t="n"/>
      <c r="Z65" s="1021" t="n"/>
      <c r="AA65" s="989" t="n"/>
      <c r="AB65" s="1022" t="n"/>
      <c r="AC65" s="963" t="n"/>
      <c r="AD65" s="963" t="n"/>
      <c r="AE65" s="963" t="n"/>
      <c r="AF65" s="963" t="n"/>
      <c r="AG65" s="963" t="n"/>
      <c r="AH65" s="963" t="n"/>
      <c r="AI65" s="991" t="n"/>
      <c r="AJ65" s="1021" t="n"/>
      <c r="AK65" s="1021" t="n"/>
      <c r="AL65" s="1021" t="n"/>
      <c r="AM65" s="1021" t="n"/>
      <c r="AN65" s="1021" t="n"/>
      <c r="AO65" s="1021" t="n"/>
      <c r="AP65" s="1022" t="n"/>
      <c r="AQ65" s="963" t="n"/>
      <c r="AR65" s="963" t="n"/>
      <c r="AS65" s="963" t="n"/>
      <c r="AT65" s="963" t="n"/>
      <c r="AU65" s="963" t="n"/>
      <c r="AV65" s="963" t="n"/>
      <c r="AW65" s="991" t="n"/>
      <c r="AX65" s="18" t="n"/>
    </row>
    <row r="66" ht="16.4" customHeight="1" s="828">
      <c r="A66" s="722" t="n"/>
      <c r="B66" s="1021" t="n"/>
      <c r="C66" s="1021" t="n"/>
      <c r="D66" s="1021" t="n"/>
      <c r="E66" s="1021" t="n"/>
      <c r="F66" s="1021" t="n"/>
      <c r="G66" s="1021" t="n"/>
      <c r="H66" s="1021" t="n"/>
      <c r="I66" s="1021" t="n"/>
      <c r="J66" s="1021" t="n"/>
      <c r="K66" s="1022" t="n"/>
      <c r="L66" s="963" t="n"/>
      <c r="M66" s="963" t="n"/>
      <c r="N66" s="963" t="n"/>
      <c r="O66" s="963" t="n"/>
      <c r="P66" s="963" t="n"/>
      <c r="Q66" s="963" t="n"/>
      <c r="R66" s="963" t="n"/>
      <c r="S66" s="963" t="n"/>
      <c r="T66" s="963" t="n"/>
      <c r="U66" s="991" t="n"/>
      <c r="V66" s="1021" t="n"/>
      <c r="W66" s="1021" t="n"/>
      <c r="X66" s="1021" t="n"/>
      <c r="Y66" s="1021" t="n"/>
      <c r="Z66" s="1021" t="n"/>
      <c r="AA66" s="989" t="n"/>
      <c r="AB66" s="1022" t="n"/>
      <c r="AC66" s="963" t="n"/>
      <c r="AD66" s="963" t="n"/>
      <c r="AE66" s="963" t="n"/>
      <c r="AF66" s="963" t="n"/>
      <c r="AG66" s="963" t="n"/>
      <c r="AH66" s="963" t="n"/>
      <c r="AI66" s="991" t="n"/>
      <c r="AJ66" s="1021" t="n"/>
      <c r="AK66" s="1021" t="n"/>
      <c r="AL66" s="1021" t="n"/>
      <c r="AM66" s="1021" t="n"/>
      <c r="AN66" s="1021" t="n"/>
      <c r="AO66" s="1021" t="n"/>
      <c r="AP66" s="1022" t="n"/>
      <c r="AQ66" s="963" t="n"/>
      <c r="AR66" s="963" t="n"/>
      <c r="AS66" s="963" t="n"/>
      <c r="AT66" s="963" t="n"/>
      <c r="AU66" s="963" t="n"/>
      <c r="AV66" s="963" t="n"/>
      <c r="AW66" s="991" t="n"/>
      <c r="AX66" s="18" t="n"/>
    </row>
    <row r="67" ht="16.4" customHeight="1" s="828">
      <c r="A67" s="722" t="n"/>
      <c r="B67" s="1021" t="n"/>
      <c r="C67" s="1021" t="n"/>
      <c r="D67" s="1021" t="n"/>
      <c r="E67" s="1021" t="n"/>
      <c r="F67" s="1021" t="n"/>
      <c r="G67" s="1021" t="n"/>
      <c r="H67" s="1021" t="n"/>
      <c r="I67" s="1021" t="n"/>
      <c r="J67" s="1021" t="n"/>
      <c r="K67" s="1022" t="n"/>
      <c r="L67" s="963" t="n"/>
      <c r="M67" s="963" t="n"/>
      <c r="N67" s="963" t="n"/>
      <c r="O67" s="963" t="n"/>
      <c r="P67" s="963" t="n"/>
      <c r="Q67" s="963" t="n"/>
      <c r="R67" s="963" t="n"/>
      <c r="S67" s="963" t="n"/>
      <c r="T67" s="963" t="n"/>
      <c r="U67" s="991" t="n"/>
      <c r="V67" s="1021" t="n"/>
      <c r="W67" s="1021" t="n"/>
      <c r="X67" s="1021" t="n"/>
      <c r="Y67" s="1021" t="n"/>
      <c r="Z67" s="1021" t="n"/>
      <c r="AA67" s="989" t="n"/>
      <c r="AB67" s="1022" t="n"/>
      <c r="AC67" s="963" t="n"/>
      <c r="AD67" s="963" t="n"/>
      <c r="AE67" s="963" t="n"/>
      <c r="AF67" s="963" t="n"/>
      <c r="AG67" s="963" t="n"/>
      <c r="AH67" s="963" t="n"/>
      <c r="AI67" s="991" t="n"/>
      <c r="AJ67" s="1021" t="n"/>
      <c r="AK67" s="1021" t="n"/>
      <c r="AL67" s="1021" t="n"/>
      <c r="AM67" s="1021" t="n"/>
      <c r="AN67" s="1021" t="n"/>
      <c r="AO67" s="1021" t="n"/>
      <c r="AP67" s="1022" t="n"/>
      <c r="AQ67" s="963" t="n"/>
      <c r="AR67" s="963" t="n"/>
      <c r="AS67" s="963" t="n"/>
      <c r="AT67" s="963" t="n"/>
      <c r="AU67" s="963" t="n"/>
      <c r="AV67" s="963" t="n"/>
      <c r="AW67" s="991" t="n"/>
      <c r="AX67" s="18" t="n"/>
    </row>
    <row r="68" ht="16.4" customHeight="1" s="828">
      <c r="A68" s="722" t="n"/>
      <c r="B68" s="1021" t="n"/>
      <c r="C68" s="1021" t="n"/>
      <c r="D68" s="1021" t="n"/>
      <c r="E68" s="1021" t="n"/>
      <c r="F68" s="1021" t="n"/>
      <c r="G68" s="1021" t="n"/>
      <c r="H68" s="1021" t="n"/>
      <c r="I68" s="1021" t="n"/>
      <c r="J68" s="1021" t="n"/>
      <c r="K68" s="1022" t="n"/>
      <c r="L68" s="963" t="n"/>
      <c r="M68" s="963" t="n"/>
      <c r="N68" s="963" t="n"/>
      <c r="O68" s="963" t="n"/>
      <c r="P68" s="963" t="n"/>
      <c r="Q68" s="963" t="n"/>
      <c r="R68" s="963" t="n"/>
      <c r="S68" s="963" t="n"/>
      <c r="T68" s="963" t="n"/>
      <c r="U68" s="991" t="n"/>
      <c r="V68" s="1021" t="n"/>
      <c r="W68" s="1021" t="n"/>
      <c r="X68" s="1021" t="n"/>
      <c r="Y68" s="1021" t="n"/>
      <c r="Z68" s="1021" t="n"/>
      <c r="AA68" s="989" t="n"/>
      <c r="AB68" s="1022" t="n"/>
      <c r="AC68" s="963" t="n"/>
      <c r="AD68" s="963" t="n"/>
      <c r="AE68" s="963" t="n"/>
      <c r="AF68" s="963" t="n"/>
      <c r="AG68" s="963" t="n"/>
      <c r="AH68" s="963" t="n"/>
      <c r="AI68" s="991" t="n"/>
      <c r="AJ68" s="1021" t="n"/>
      <c r="AK68" s="1021" t="n"/>
      <c r="AL68" s="1021" t="n"/>
      <c r="AM68" s="1021" t="n"/>
      <c r="AN68" s="1021" t="n"/>
      <c r="AO68" s="1021" t="n"/>
      <c r="AP68" s="1022" t="n"/>
      <c r="AQ68" s="963" t="n"/>
      <c r="AR68" s="963" t="n"/>
      <c r="AS68" s="963" t="n"/>
      <c r="AT68" s="963" t="n"/>
      <c r="AU68" s="963" t="n"/>
      <c r="AV68" s="963" t="n"/>
      <c r="AW68" s="991" t="n"/>
      <c r="AX68" s="18" t="n"/>
    </row>
    <row r="69" ht="16.4" customHeight="1" s="828">
      <c r="A69" s="722" t="n"/>
      <c r="B69" s="1021" t="n"/>
      <c r="C69" s="1021" t="n"/>
      <c r="D69" s="1021" t="n"/>
      <c r="E69" s="1021" t="n"/>
      <c r="F69" s="1021" t="n"/>
      <c r="G69" s="1021" t="n"/>
      <c r="H69" s="1021" t="n"/>
      <c r="I69" s="1021" t="n"/>
      <c r="J69" s="1021" t="n"/>
      <c r="K69" s="1022" t="n"/>
      <c r="L69" s="963" t="n"/>
      <c r="M69" s="963" t="n"/>
      <c r="N69" s="963" t="n"/>
      <c r="O69" s="963" t="n"/>
      <c r="P69" s="963" t="n"/>
      <c r="Q69" s="963" t="n"/>
      <c r="R69" s="963" t="n"/>
      <c r="S69" s="963" t="n"/>
      <c r="T69" s="963" t="n"/>
      <c r="U69" s="991" t="n"/>
      <c r="V69" s="1021" t="n"/>
      <c r="W69" s="1021" t="n"/>
      <c r="X69" s="1021" t="n"/>
      <c r="Y69" s="1021" t="n"/>
      <c r="Z69" s="1021" t="n"/>
      <c r="AA69" s="989" t="n"/>
      <c r="AB69" s="1022" t="n"/>
      <c r="AC69" s="963" t="n"/>
      <c r="AD69" s="963" t="n"/>
      <c r="AE69" s="963" t="n"/>
      <c r="AF69" s="963" t="n"/>
      <c r="AG69" s="963" t="n"/>
      <c r="AH69" s="963" t="n"/>
      <c r="AI69" s="991" t="n"/>
      <c r="AJ69" s="1021" t="n"/>
      <c r="AK69" s="1021" t="n"/>
      <c r="AL69" s="1021" t="n"/>
      <c r="AM69" s="1021" t="n"/>
      <c r="AN69" s="1021" t="n"/>
      <c r="AO69" s="1021" t="n"/>
      <c r="AP69" s="1022" t="n"/>
      <c r="AQ69" s="963" t="n"/>
      <c r="AR69" s="963" t="n"/>
      <c r="AS69" s="963" t="n"/>
      <c r="AT69" s="963" t="n"/>
      <c r="AU69" s="963" t="n"/>
      <c r="AV69" s="963" t="n"/>
      <c r="AW69" s="991" t="n"/>
      <c r="AX69" s="18" t="n"/>
    </row>
    <row r="70" ht="16.4" customHeight="1" s="828">
      <c r="A70" s="722" t="n"/>
      <c r="B70" s="1021" t="n"/>
      <c r="C70" s="1021" t="n"/>
      <c r="D70" s="1021" t="n"/>
      <c r="E70" s="1021" t="n"/>
      <c r="F70" s="1021" t="n"/>
      <c r="G70" s="1021" t="n"/>
      <c r="H70" s="1021" t="n"/>
      <c r="I70" s="1021" t="n"/>
      <c r="J70" s="1021" t="n"/>
      <c r="K70" s="1022" t="n"/>
      <c r="L70" s="963" t="n"/>
      <c r="M70" s="963" t="n"/>
      <c r="N70" s="963" t="n"/>
      <c r="O70" s="963" t="n"/>
      <c r="P70" s="963" t="n"/>
      <c r="Q70" s="963" t="n"/>
      <c r="R70" s="963" t="n"/>
      <c r="S70" s="963" t="n"/>
      <c r="T70" s="963" t="n"/>
      <c r="U70" s="991" t="n"/>
      <c r="V70" s="1021" t="n"/>
      <c r="W70" s="1021" t="n"/>
      <c r="X70" s="1021" t="n"/>
      <c r="Y70" s="1021" t="n"/>
      <c r="Z70" s="1021" t="n"/>
      <c r="AA70" s="989" t="n"/>
      <c r="AB70" s="1022" t="n"/>
      <c r="AC70" s="963" t="n"/>
      <c r="AD70" s="963" t="n"/>
      <c r="AE70" s="963" t="n"/>
      <c r="AF70" s="963" t="n"/>
      <c r="AG70" s="963" t="n"/>
      <c r="AH70" s="963" t="n"/>
      <c r="AI70" s="991" t="n"/>
      <c r="AJ70" s="1021" t="n"/>
      <c r="AK70" s="1021" t="n"/>
      <c r="AL70" s="1021" t="n"/>
      <c r="AM70" s="1021" t="n"/>
      <c r="AN70" s="1021" t="n"/>
      <c r="AO70" s="1021" t="n"/>
      <c r="AP70" s="1022" t="n"/>
      <c r="AQ70" s="963" t="n"/>
      <c r="AR70" s="963" t="n"/>
      <c r="AS70" s="963" t="n"/>
      <c r="AT70" s="963" t="n"/>
      <c r="AU70" s="963" t="n"/>
      <c r="AV70" s="963" t="n"/>
      <c r="AW70" s="991" t="n"/>
      <c r="AX70" s="18" t="n"/>
    </row>
    <row r="71" ht="16.4" customHeight="1" s="828">
      <c r="A71" s="722" t="n"/>
      <c r="B71" s="1021" t="n"/>
      <c r="C71" s="1021" t="n"/>
      <c r="D71" s="1021" t="n"/>
      <c r="E71" s="1021" t="n"/>
      <c r="F71" s="1021" t="n"/>
      <c r="G71" s="1021" t="n"/>
      <c r="H71" s="1021" t="n"/>
      <c r="I71" s="1021" t="n"/>
      <c r="J71" s="1021" t="n"/>
      <c r="K71" s="1022" t="n"/>
      <c r="L71" s="963" t="n"/>
      <c r="M71" s="963" t="n"/>
      <c r="N71" s="963" t="n"/>
      <c r="O71" s="963" t="n"/>
      <c r="P71" s="963" t="n"/>
      <c r="Q71" s="963" t="n"/>
      <c r="R71" s="963" t="n"/>
      <c r="S71" s="963" t="n"/>
      <c r="T71" s="963" t="n"/>
      <c r="U71" s="991" t="n"/>
      <c r="V71" s="1021" t="n"/>
      <c r="W71" s="1021" t="n"/>
      <c r="X71" s="1021" t="n"/>
      <c r="Y71" s="1021" t="n"/>
      <c r="Z71" s="1021" t="n"/>
      <c r="AA71" s="989" t="n"/>
      <c r="AB71" s="1022" t="n"/>
      <c r="AC71" s="963" t="n"/>
      <c r="AD71" s="963" t="n"/>
      <c r="AE71" s="963" t="n"/>
      <c r="AF71" s="963" t="n"/>
      <c r="AG71" s="963" t="n"/>
      <c r="AH71" s="963" t="n"/>
      <c r="AI71" s="991" t="n"/>
      <c r="AJ71" s="1021" t="n"/>
      <c r="AK71" s="1021" t="n"/>
      <c r="AL71" s="1021" t="n"/>
      <c r="AM71" s="1021" t="n"/>
      <c r="AN71" s="1021" t="n"/>
      <c r="AO71" s="1021" t="n"/>
      <c r="AP71" s="1022" t="n"/>
      <c r="AQ71" s="963" t="n"/>
      <c r="AR71" s="963" t="n"/>
      <c r="AS71" s="963" t="n"/>
      <c r="AT71" s="963" t="n"/>
      <c r="AU71" s="963" t="n"/>
      <c r="AV71" s="963" t="n"/>
      <c r="AW71" s="991" t="n"/>
      <c r="AX71" s="18" t="n"/>
    </row>
    <row r="72" ht="16.4" customHeight="1" s="828">
      <c r="A72" s="722" t="n"/>
      <c r="B72" s="1021" t="n"/>
      <c r="C72" s="1021" t="n"/>
      <c r="D72" s="1021" t="n"/>
      <c r="E72" s="1021" t="n"/>
      <c r="F72" s="1021" t="n"/>
      <c r="G72" s="1021" t="n"/>
      <c r="H72" s="1021" t="n"/>
      <c r="I72" s="1021" t="n"/>
      <c r="J72" s="1021" t="n"/>
      <c r="K72" s="1022" t="n"/>
      <c r="L72" s="963" t="n"/>
      <c r="M72" s="963" t="n"/>
      <c r="N72" s="963" t="n"/>
      <c r="O72" s="963" t="n"/>
      <c r="P72" s="963" t="n"/>
      <c r="Q72" s="963" t="n"/>
      <c r="R72" s="963" t="n"/>
      <c r="S72" s="963" t="n"/>
      <c r="T72" s="963" t="n"/>
      <c r="U72" s="991" t="n"/>
      <c r="V72" s="1021" t="n"/>
      <c r="W72" s="1021" t="n"/>
      <c r="X72" s="1021" t="n"/>
      <c r="Y72" s="1021" t="n"/>
      <c r="Z72" s="1021" t="n"/>
      <c r="AA72" s="989" t="n"/>
      <c r="AB72" s="1022" t="n"/>
      <c r="AC72" s="963" t="n"/>
      <c r="AD72" s="963" t="n"/>
      <c r="AE72" s="963" t="n"/>
      <c r="AF72" s="963" t="n"/>
      <c r="AG72" s="963" t="n"/>
      <c r="AH72" s="963" t="n"/>
      <c r="AI72" s="991" t="n"/>
      <c r="AJ72" s="1021" t="n"/>
      <c r="AK72" s="1021" t="n"/>
      <c r="AL72" s="1021" t="n"/>
      <c r="AM72" s="1021" t="n"/>
      <c r="AN72" s="1021" t="n"/>
      <c r="AO72" s="1021" t="n"/>
      <c r="AP72" s="1022" t="n"/>
      <c r="AQ72" s="963" t="n"/>
      <c r="AR72" s="963" t="n"/>
      <c r="AS72" s="963" t="n"/>
      <c r="AT72" s="963" t="n"/>
      <c r="AU72" s="963" t="n"/>
      <c r="AV72" s="963" t="n"/>
      <c r="AW72" s="991" t="n"/>
      <c r="AX72" s="18" t="n"/>
    </row>
    <row r="73" ht="16.4" customHeight="1" s="828">
      <c r="A73" s="722" t="n"/>
      <c r="B73" s="1021" t="n"/>
      <c r="C73" s="1021" t="n"/>
      <c r="D73" s="1021" t="n"/>
      <c r="E73" s="1021" t="n"/>
      <c r="F73" s="1021" t="n"/>
      <c r="G73" s="1021" t="n"/>
      <c r="H73" s="1021" t="n"/>
      <c r="I73" s="1021" t="n"/>
      <c r="J73" s="1021" t="n"/>
      <c r="K73" s="1022" t="n"/>
      <c r="L73" s="963" t="n"/>
      <c r="M73" s="963" t="n"/>
      <c r="N73" s="963" t="n"/>
      <c r="O73" s="963" t="n"/>
      <c r="P73" s="963" t="n"/>
      <c r="Q73" s="963" t="n"/>
      <c r="R73" s="963" t="n"/>
      <c r="S73" s="963" t="n"/>
      <c r="T73" s="963" t="n"/>
      <c r="U73" s="991" t="n"/>
      <c r="V73" s="1021" t="n"/>
      <c r="W73" s="1021" t="n"/>
      <c r="X73" s="1021" t="n"/>
      <c r="Y73" s="1021" t="n"/>
      <c r="Z73" s="1021" t="n"/>
      <c r="AA73" s="989" t="n"/>
      <c r="AB73" s="1022" t="n"/>
      <c r="AC73" s="963" t="n"/>
      <c r="AD73" s="963" t="n"/>
      <c r="AE73" s="963" t="n"/>
      <c r="AF73" s="963" t="n"/>
      <c r="AG73" s="963" t="n"/>
      <c r="AH73" s="963" t="n"/>
      <c r="AI73" s="991" t="n"/>
      <c r="AJ73" s="1021" t="n"/>
      <c r="AK73" s="1021" t="n"/>
      <c r="AL73" s="1021" t="n"/>
      <c r="AM73" s="1021" t="n"/>
      <c r="AN73" s="1021" t="n"/>
      <c r="AO73" s="1021" t="n"/>
      <c r="AP73" s="1022" t="n"/>
      <c r="AQ73" s="963" t="n"/>
      <c r="AR73" s="963" t="n"/>
      <c r="AS73" s="963" t="n"/>
      <c r="AT73" s="963" t="n"/>
      <c r="AU73" s="963" t="n"/>
      <c r="AV73" s="963" t="n"/>
      <c r="AW73" s="991" t="n"/>
      <c r="AX73" s="18" t="n"/>
    </row>
    <row r="74" ht="16.4" customHeight="1" s="828">
      <c r="A74" s="722" t="n"/>
      <c r="B74" s="1021" t="n"/>
      <c r="C74" s="1021" t="n"/>
      <c r="D74" s="1021" t="n"/>
      <c r="E74" s="1021" t="n"/>
      <c r="F74" s="1021" t="n"/>
      <c r="G74" s="1021" t="n"/>
      <c r="H74" s="1021" t="n"/>
      <c r="I74" s="1021" t="n"/>
      <c r="J74" s="1021" t="n"/>
      <c r="K74" s="1022" t="n"/>
      <c r="L74" s="963" t="n"/>
      <c r="M74" s="963" t="n"/>
      <c r="N74" s="963" t="n"/>
      <c r="O74" s="963" t="n"/>
      <c r="P74" s="963" t="n"/>
      <c r="Q74" s="963" t="n"/>
      <c r="R74" s="963" t="n"/>
      <c r="S74" s="963" t="n"/>
      <c r="T74" s="963" t="n"/>
      <c r="U74" s="991" t="n"/>
      <c r="V74" s="1021" t="n"/>
      <c r="W74" s="1021" t="n"/>
      <c r="X74" s="1021" t="n"/>
      <c r="Y74" s="1021" t="n"/>
      <c r="Z74" s="1021" t="n"/>
      <c r="AA74" s="989" t="n"/>
      <c r="AB74" s="1022" t="n"/>
      <c r="AC74" s="963" t="n"/>
      <c r="AD74" s="963" t="n"/>
      <c r="AE74" s="963" t="n"/>
      <c r="AF74" s="963" t="n"/>
      <c r="AG74" s="963" t="n"/>
      <c r="AH74" s="963" t="n"/>
      <c r="AI74" s="991" t="n"/>
      <c r="AJ74" s="1021" t="n"/>
      <c r="AK74" s="1021" t="n"/>
      <c r="AL74" s="1021" t="n"/>
      <c r="AM74" s="1021" t="n"/>
      <c r="AN74" s="1021" t="n"/>
      <c r="AO74" s="1021" t="n"/>
      <c r="AP74" s="1022" t="n"/>
      <c r="AQ74" s="963" t="n"/>
      <c r="AR74" s="963" t="n"/>
      <c r="AS74" s="963" t="n"/>
      <c r="AT74" s="963" t="n"/>
      <c r="AU74" s="963" t="n"/>
      <c r="AV74" s="963" t="n"/>
      <c r="AW74" s="991" t="n"/>
      <c r="AX74" s="18" t="n"/>
    </row>
    <row r="75" ht="16.4" customHeight="1" s="828">
      <c r="A75" s="722" t="n"/>
      <c r="B75" s="1021" t="n"/>
      <c r="C75" s="1021" t="n"/>
      <c r="D75" s="1021" t="n"/>
      <c r="E75" s="1021" t="n"/>
      <c r="F75" s="1021" t="n"/>
      <c r="G75" s="1021" t="n"/>
      <c r="H75" s="1021" t="n"/>
      <c r="I75" s="1021" t="n"/>
      <c r="J75" s="1021" t="n"/>
      <c r="K75" s="1022" t="n"/>
      <c r="L75" s="963" t="n"/>
      <c r="M75" s="963" t="n"/>
      <c r="N75" s="963" t="n"/>
      <c r="O75" s="963" t="n"/>
      <c r="P75" s="963" t="n"/>
      <c r="Q75" s="963" t="n"/>
      <c r="R75" s="963" t="n"/>
      <c r="S75" s="963" t="n"/>
      <c r="T75" s="963" t="n"/>
      <c r="U75" s="991" t="n"/>
      <c r="V75" s="1021" t="n"/>
      <c r="W75" s="1021" t="n"/>
      <c r="X75" s="1021" t="n"/>
      <c r="Y75" s="1021" t="n"/>
      <c r="Z75" s="1021" t="n"/>
      <c r="AA75" s="989" t="n"/>
      <c r="AB75" s="1022" t="n"/>
      <c r="AC75" s="963" t="n"/>
      <c r="AD75" s="963" t="n"/>
      <c r="AE75" s="963" t="n"/>
      <c r="AF75" s="963" t="n"/>
      <c r="AG75" s="963" t="n"/>
      <c r="AH75" s="963" t="n"/>
      <c r="AI75" s="991" t="n"/>
      <c r="AJ75" s="1021" t="n"/>
      <c r="AK75" s="1021" t="n"/>
      <c r="AL75" s="1021" t="n"/>
      <c r="AM75" s="1021" t="n"/>
      <c r="AN75" s="1021" t="n"/>
      <c r="AO75" s="1021" t="n"/>
      <c r="AP75" s="1022" t="n"/>
      <c r="AQ75" s="963" t="n"/>
      <c r="AR75" s="963" t="n"/>
      <c r="AS75" s="963" t="n"/>
      <c r="AT75" s="963" t="n"/>
      <c r="AU75" s="963" t="n"/>
      <c r="AV75" s="963" t="n"/>
      <c r="AW75" s="991" t="n"/>
      <c r="AX75" s="18" t="n"/>
    </row>
    <row r="76" ht="16.4" customHeight="1" s="828">
      <c r="A76" s="722" t="n"/>
      <c r="B76" s="1021" t="n"/>
      <c r="C76" s="1021" t="n"/>
      <c r="D76" s="1021" t="n"/>
      <c r="E76" s="1021" t="n"/>
      <c r="F76" s="1021" t="n"/>
      <c r="G76" s="1021" t="n"/>
      <c r="H76" s="1021" t="n"/>
      <c r="I76" s="1021" t="n"/>
      <c r="J76" s="1021" t="n"/>
      <c r="K76" s="1022" t="n"/>
      <c r="L76" s="963" t="n"/>
      <c r="M76" s="963" t="n"/>
      <c r="N76" s="963" t="n"/>
      <c r="O76" s="963" t="n"/>
      <c r="P76" s="963" t="n"/>
      <c r="Q76" s="963" t="n"/>
      <c r="R76" s="963" t="n"/>
      <c r="S76" s="963" t="n"/>
      <c r="T76" s="963" t="n"/>
      <c r="U76" s="991" t="n"/>
      <c r="V76" s="1021" t="n"/>
      <c r="W76" s="1021" t="n"/>
      <c r="X76" s="1021" t="n"/>
      <c r="Y76" s="1021" t="n"/>
      <c r="Z76" s="1021" t="n"/>
      <c r="AA76" s="989" t="n"/>
      <c r="AB76" s="1022" t="n"/>
      <c r="AC76" s="963" t="n"/>
      <c r="AD76" s="963" t="n"/>
      <c r="AE76" s="963" t="n"/>
      <c r="AF76" s="963" t="n"/>
      <c r="AG76" s="963" t="n"/>
      <c r="AH76" s="963" t="n"/>
      <c r="AI76" s="991" t="n"/>
      <c r="AJ76" s="1021" t="n"/>
      <c r="AK76" s="1021" t="n"/>
      <c r="AL76" s="1021" t="n"/>
      <c r="AM76" s="1021" t="n"/>
      <c r="AN76" s="1021" t="n"/>
      <c r="AO76" s="1021" t="n"/>
      <c r="AP76" s="1022" t="n"/>
      <c r="AQ76" s="963" t="n"/>
      <c r="AR76" s="963" t="n"/>
      <c r="AS76" s="963" t="n"/>
      <c r="AT76" s="963" t="n"/>
      <c r="AU76" s="963" t="n"/>
      <c r="AV76" s="963" t="n"/>
      <c r="AW76" s="991" t="n"/>
      <c r="AX76" s="18" t="n"/>
    </row>
    <row r="77" ht="16.4" customHeight="1" s="828">
      <c r="A77" s="722" t="n"/>
      <c r="B77" s="1021" t="n"/>
      <c r="C77" s="1021" t="n"/>
      <c r="D77" s="1021" t="n"/>
      <c r="E77" s="1021" t="n"/>
      <c r="F77" s="1021" t="n"/>
      <c r="G77" s="1021" t="n"/>
      <c r="H77" s="1021" t="n"/>
      <c r="I77" s="1021" t="n"/>
      <c r="J77" s="1021" t="n"/>
      <c r="K77" s="1022" t="n"/>
      <c r="L77" s="963" t="n"/>
      <c r="M77" s="963" t="n"/>
      <c r="N77" s="963" t="n"/>
      <c r="O77" s="963" t="n"/>
      <c r="P77" s="963" t="n"/>
      <c r="Q77" s="963" t="n"/>
      <c r="R77" s="963" t="n"/>
      <c r="S77" s="963" t="n"/>
      <c r="T77" s="963" t="n"/>
      <c r="U77" s="991" t="n"/>
      <c r="V77" s="1021" t="n"/>
      <c r="W77" s="1021" t="n"/>
      <c r="X77" s="1021" t="n"/>
      <c r="Y77" s="1021" t="n"/>
      <c r="Z77" s="1021" t="n"/>
      <c r="AA77" s="989" t="n"/>
      <c r="AB77" s="1022" t="n"/>
      <c r="AC77" s="963" t="n"/>
      <c r="AD77" s="963" t="n"/>
      <c r="AE77" s="963" t="n"/>
      <c r="AF77" s="963" t="n"/>
      <c r="AG77" s="963" t="n"/>
      <c r="AH77" s="963" t="n"/>
      <c r="AI77" s="991" t="n"/>
      <c r="AJ77" s="1021" t="n"/>
      <c r="AK77" s="1021" t="n"/>
      <c r="AL77" s="1021" t="n"/>
      <c r="AM77" s="1021" t="n"/>
      <c r="AN77" s="1021" t="n"/>
      <c r="AO77" s="1021" t="n"/>
      <c r="AP77" s="1022" t="n"/>
      <c r="AQ77" s="963" t="n"/>
      <c r="AR77" s="963" t="n"/>
      <c r="AS77" s="963" t="n"/>
      <c r="AT77" s="963" t="n"/>
      <c r="AU77" s="963" t="n"/>
      <c r="AV77" s="963" t="n"/>
      <c r="AW77" s="991" t="n"/>
      <c r="AX77" s="18" t="n"/>
    </row>
    <row r="78" ht="16.4" customHeight="1" s="828">
      <c r="A78" s="722" t="n"/>
      <c r="B78" s="1021" t="n"/>
      <c r="C78" s="1021" t="n"/>
      <c r="D78" s="1021" t="n"/>
      <c r="E78" s="1021" t="n"/>
      <c r="F78" s="1021" t="n"/>
      <c r="G78" s="1021" t="n"/>
      <c r="H78" s="1021" t="n"/>
      <c r="I78" s="1021" t="n"/>
      <c r="J78" s="1021" t="n"/>
      <c r="K78" s="1022" t="n"/>
      <c r="L78" s="963" t="n"/>
      <c r="M78" s="963" t="n"/>
      <c r="N78" s="963" t="n"/>
      <c r="O78" s="963" t="n"/>
      <c r="P78" s="963" t="n"/>
      <c r="Q78" s="963" t="n"/>
      <c r="R78" s="963" t="n"/>
      <c r="S78" s="963" t="n"/>
      <c r="T78" s="963" t="n"/>
      <c r="U78" s="991" t="n"/>
      <c r="V78" s="1021" t="n"/>
      <c r="W78" s="1021" t="n"/>
      <c r="X78" s="1021" t="n"/>
      <c r="Y78" s="1021" t="n"/>
      <c r="Z78" s="1021" t="n"/>
      <c r="AA78" s="989" t="n"/>
      <c r="AB78" s="1022" t="n"/>
      <c r="AC78" s="963" t="n"/>
      <c r="AD78" s="963" t="n"/>
      <c r="AE78" s="963" t="n"/>
      <c r="AF78" s="963" t="n"/>
      <c r="AG78" s="963" t="n"/>
      <c r="AH78" s="963" t="n"/>
      <c r="AI78" s="991" t="n"/>
      <c r="AJ78" s="1021" t="n"/>
      <c r="AK78" s="1021" t="n"/>
      <c r="AL78" s="1021" t="n"/>
      <c r="AM78" s="1021" t="n"/>
      <c r="AN78" s="1021" t="n"/>
      <c r="AO78" s="1021" t="n"/>
      <c r="AP78" s="1022" t="n"/>
      <c r="AQ78" s="963" t="n"/>
      <c r="AR78" s="963" t="n"/>
      <c r="AS78" s="963" t="n"/>
      <c r="AT78" s="963" t="n"/>
      <c r="AU78" s="963" t="n"/>
      <c r="AV78" s="963" t="n"/>
      <c r="AW78" s="991" t="n"/>
      <c r="AX78" s="18" t="n"/>
    </row>
    <row r="79" ht="16.4" customHeight="1" s="828">
      <c r="A79" s="722" t="n"/>
      <c r="B79" s="1021" t="n"/>
      <c r="C79" s="1021" t="n"/>
      <c r="D79" s="1021" t="n"/>
      <c r="E79" s="1021" t="n"/>
      <c r="F79" s="1021" t="n"/>
      <c r="G79" s="1021" t="n"/>
      <c r="H79" s="1021" t="n"/>
      <c r="I79" s="1021" t="n"/>
      <c r="J79" s="1021" t="n"/>
      <c r="K79" s="1022" t="n"/>
      <c r="L79" s="963" t="n"/>
      <c r="M79" s="963" t="n"/>
      <c r="N79" s="963" t="n"/>
      <c r="O79" s="963" t="n"/>
      <c r="P79" s="963" t="n"/>
      <c r="Q79" s="963" t="n"/>
      <c r="R79" s="963" t="n"/>
      <c r="S79" s="963" t="n"/>
      <c r="T79" s="963" t="n"/>
      <c r="U79" s="991" t="n"/>
      <c r="V79" s="1021" t="n"/>
      <c r="W79" s="1021" t="n"/>
      <c r="X79" s="1021" t="n"/>
      <c r="Y79" s="1021" t="n"/>
      <c r="Z79" s="1021" t="n"/>
      <c r="AA79" s="989" t="n"/>
      <c r="AB79" s="1022" t="n"/>
      <c r="AC79" s="963" t="n"/>
      <c r="AD79" s="963" t="n"/>
      <c r="AE79" s="963" t="n"/>
      <c r="AF79" s="963" t="n"/>
      <c r="AG79" s="963" t="n"/>
      <c r="AH79" s="963" t="n"/>
      <c r="AI79" s="991" t="n"/>
      <c r="AJ79" s="1021" t="n"/>
      <c r="AK79" s="1021" t="n"/>
      <c r="AL79" s="1021" t="n"/>
      <c r="AM79" s="1021" t="n"/>
      <c r="AN79" s="1021" t="n"/>
      <c r="AO79" s="1021" t="n"/>
      <c r="AP79" s="1022" t="n"/>
      <c r="AQ79" s="963" t="n"/>
      <c r="AR79" s="963" t="n"/>
      <c r="AS79" s="963" t="n"/>
      <c r="AT79" s="963" t="n"/>
      <c r="AU79" s="963" t="n"/>
      <c r="AV79" s="963" t="n"/>
      <c r="AW79" s="991" t="n"/>
      <c r="AX79" s="18" t="n"/>
    </row>
    <row r="80" ht="16.4" customHeight="1" s="828">
      <c r="A80" s="722" t="n"/>
      <c r="B80" s="1021" t="n"/>
      <c r="C80" s="1021" t="n"/>
      <c r="D80" s="1021" t="n"/>
      <c r="E80" s="1021" t="n"/>
      <c r="F80" s="1021" t="n"/>
      <c r="G80" s="1021" t="n"/>
      <c r="H80" s="1021" t="n"/>
      <c r="I80" s="1021" t="n"/>
      <c r="J80" s="1021" t="n"/>
      <c r="K80" s="1022" t="n"/>
      <c r="L80" s="963" t="n"/>
      <c r="M80" s="963" t="n"/>
      <c r="N80" s="963" t="n"/>
      <c r="O80" s="963" t="n"/>
      <c r="P80" s="963" t="n"/>
      <c r="Q80" s="963" t="n"/>
      <c r="R80" s="963" t="n"/>
      <c r="S80" s="963" t="n"/>
      <c r="T80" s="963" t="n"/>
      <c r="U80" s="991" t="n"/>
      <c r="V80" s="1021" t="n"/>
      <c r="W80" s="1021" t="n"/>
      <c r="X80" s="1021" t="n"/>
      <c r="Y80" s="1021" t="n"/>
      <c r="Z80" s="1021" t="n"/>
      <c r="AA80" s="989" t="n"/>
      <c r="AB80" s="1022" t="n"/>
      <c r="AC80" s="963" t="n"/>
      <c r="AD80" s="963" t="n"/>
      <c r="AE80" s="963" t="n"/>
      <c r="AF80" s="963" t="n"/>
      <c r="AG80" s="963" t="n"/>
      <c r="AH80" s="963" t="n"/>
      <c r="AI80" s="991" t="n"/>
      <c r="AJ80" s="1021" t="n"/>
      <c r="AK80" s="1021" t="n"/>
      <c r="AL80" s="1021" t="n"/>
      <c r="AM80" s="1021" t="n"/>
      <c r="AN80" s="1021" t="n"/>
      <c r="AO80" s="1021" t="n"/>
      <c r="AP80" s="1022" t="n"/>
      <c r="AQ80" s="963" t="n"/>
      <c r="AR80" s="963" t="n"/>
      <c r="AS80" s="963" t="n"/>
      <c r="AT80" s="963" t="n"/>
      <c r="AU80" s="963" t="n"/>
      <c r="AV80" s="963" t="n"/>
      <c r="AW80" s="991" t="n"/>
      <c r="AX80" s="18" t="n"/>
    </row>
    <row r="81" ht="16.4" customHeight="1" s="828">
      <c r="A81" s="722" t="n"/>
      <c r="B81" s="1021" t="n"/>
      <c r="C81" s="1021" t="n"/>
      <c r="D81" s="1021" t="n"/>
      <c r="E81" s="1021" t="n"/>
      <c r="F81" s="1021" t="n"/>
      <c r="G81" s="1021" t="n"/>
      <c r="H81" s="1021" t="n"/>
      <c r="I81" s="1021" t="n"/>
      <c r="J81" s="1021" t="n"/>
      <c r="K81" s="1022" t="n"/>
      <c r="L81" s="963" t="n"/>
      <c r="M81" s="963" t="n"/>
      <c r="N81" s="963" t="n"/>
      <c r="O81" s="963" t="n"/>
      <c r="P81" s="963" t="n"/>
      <c r="Q81" s="963" t="n"/>
      <c r="R81" s="963" t="n"/>
      <c r="S81" s="963" t="n"/>
      <c r="T81" s="963" t="n"/>
      <c r="U81" s="991" t="n"/>
      <c r="V81" s="1021" t="n"/>
      <c r="W81" s="1021" t="n"/>
      <c r="X81" s="1021" t="n"/>
      <c r="Y81" s="1021" t="n"/>
      <c r="Z81" s="1021" t="n"/>
      <c r="AA81" s="989" t="n"/>
      <c r="AB81" s="1022" t="n"/>
      <c r="AC81" s="963" t="n"/>
      <c r="AD81" s="963" t="n"/>
      <c r="AE81" s="963" t="n"/>
      <c r="AF81" s="963" t="n"/>
      <c r="AG81" s="963" t="n"/>
      <c r="AH81" s="963" t="n"/>
      <c r="AI81" s="991" t="n"/>
      <c r="AJ81" s="1021" t="n"/>
      <c r="AK81" s="1021" t="n"/>
      <c r="AL81" s="1021" t="n"/>
      <c r="AM81" s="1021" t="n"/>
      <c r="AN81" s="1021" t="n"/>
      <c r="AO81" s="1021" t="n"/>
      <c r="AP81" s="1022" t="n"/>
      <c r="AQ81" s="963" t="n"/>
      <c r="AR81" s="963" t="n"/>
      <c r="AS81" s="963" t="n"/>
      <c r="AT81" s="963" t="n"/>
      <c r="AU81" s="963" t="n"/>
      <c r="AV81" s="963" t="n"/>
      <c r="AW81" s="991" t="n"/>
      <c r="AX81" s="18" t="n"/>
    </row>
    <row r="82" ht="16.4" customHeight="1" s="828">
      <c r="A82" s="722" t="n"/>
      <c r="B82" s="1021" t="n"/>
      <c r="C82" s="1021" t="n"/>
      <c r="D82" s="1021" t="n"/>
      <c r="E82" s="1021" t="n"/>
      <c r="F82" s="1021" t="n"/>
      <c r="G82" s="1021" t="n"/>
      <c r="H82" s="1021" t="n"/>
      <c r="I82" s="1021" t="n"/>
      <c r="J82" s="1021" t="n"/>
      <c r="K82" s="1022" t="n"/>
      <c r="L82" s="963" t="n"/>
      <c r="M82" s="963" t="n"/>
      <c r="N82" s="963" t="n"/>
      <c r="O82" s="963" t="n"/>
      <c r="P82" s="963" t="n"/>
      <c r="Q82" s="963" t="n"/>
      <c r="R82" s="963" t="n"/>
      <c r="S82" s="963" t="n"/>
      <c r="T82" s="963" t="n"/>
      <c r="U82" s="991" t="n"/>
      <c r="V82" s="1021" t="n"/>
      <c r="W82" s="1021" t="n"/>
      <c r="X82" s="1021" t="n"/>
      <c r="Y82" s="1021" t="n"/>
      <c r="Z82" s="1021" t="n"/>
      <c r="AA82" s="989" t="n"/>
      <c r="AB82" s="1022" t="n"/>
      <c r="AC82" s="963" t="n"/>
      <c r="AD82" s="963" t="n"/>
      <c r="AE82" s="963" t="n"/>
      <c r="AF82" s="963" t="n"/>
      <c r="AG82" s="963" t="n"/>
      <c r="AH82" s="963" t="n"/>
      <c r="AI82" s="991" t="n"/>
      <c r="AJ82" s="1021" t="n"/>
      <c r="AK82" s="1021" t="n"/>
      <c r="AL82" s="1021" t="n"/>
      <c r="AM82" s="1021" t="n"/>
      <c r="AN82" s="1021" t="n"/>
      <c r="AO82" s="1021" t="n"/>
      <c r="AP82" s="1022" t="n"/>
      <c r="AQ82" s="963" t="n"/>
      <c r="AR82" s="963" t="n"/>
      <c r="AS82" s="963" t="n"/>
      <c r="AT82" s="963" t="n"/>
      <c r="AU82" s="963" t="n"/>
      <c r="AV82" s="963" t="n"/>
      <c r="AW82" s="991" t="n"/>
      <c r="AX82" s="18" t="n"/>
    </row>
    <row r="83" ht="16.4" customHeight="1" s="828">
      <c r="A83" s="722" t="n"/>
      <c r="B83" s="1021" t="n"/>
      <c r="C83" s="1021" t="n"/>
      <c r="D83" s="1021" t="n"/>
      <c r="E83" s="1021" t="n"/>
      <c r="F83" s="1021" t="n"/>
      <c r="G83" s="1021" t="n"/>
      <c r="H83" s="1021" t="n"/>
      <c r="I83" s="1021" t="n"/>
      <c r="J83" s="1021" t="n"/>
      <c r="K83" s="1022" t="n"/>
      <c r="L83" s="963" t="n"/>
      <c r="M83" s="963" t="n"/>
      <c r="N83" s="963" t="n"/>
      <c r="O83" s="963" t="n"/>
      <c r="P83" s="963" t="n"/>
      <c r="Q83" s="963" t="n"/>
      <c r="R83" s="963" t="n"/>
      <c r="S83" s="963" t="n"/>
      <c r="T83" s="963" t="n"/>
      <c r="U83" s="991" t="n"/>
      <c r="V83" s="1021" t="n"/>
      <c r="W83" s="1021" t="n"/>
      <c r="X83" s="1021" t="n"/>
      <c r="Y83" s="1021" t="n"/>
      <c r="Z83" s="1021" t="n"/>
      <c r="AA83" s="989" t="n"/>
      <c r="AB83" s="1022" t="n"/>
      <c r="AC83" s="963" t="n"/>
      <c r="AD83" s="963" t="n"/>
      <c r="AE83" s="963" t="n"/>
      <c r="AF83" s="963" t="n"/>
      <c r="AG83" s="963" t="n"/>
      <c r="AH83" s="963" t="n"/>
      <c r="AI83" s="991" t="n"/>
      <c r="AJ83" s="1021" t="n"/>
      <c r="AK83" s="1021" t="n"/>
      <c r="AL83" s="1021" t="n"/>
      <c r="AM83" s="1021" t="n"/>
      <c r="AN83" s="1021" t="n"/>
      <c r="AO83" s="1021" t="n"/>
      <c r="AP83" s="1022" t="n"/>
      <c r="AQ83" s="963" t="n"/>
      <c r="AR83" s="963" t="n"/>
      <c r="AS83" s="963" t="n"/>
      <c r="AT83" s="963" t="n"/>
      <c r="AU83" s="963" t="n"/>
      <c r="AV83" s="963" t="n"/>
      <c r="AW83" s="991" t="n"/>
      <c r="AX83" s="18" t="n"/>
    </row>
    <row r="84" ht="16.4" customHeight="1" s="828">
      <c r="A84" s="722" t="n"/>
      <c r="B84" s="1021" t="n"/>
      <c r="C84" s="1021" t="n"/>
      <c r="D84" s="1021" t="n"/>
      <c r="E84" s="1021" t="n"/>
      <c r="F84" s="1021" t="n"/>
      <c r="G84" s="1021" t="n"/>
      <c r="H84" s="1021" t="n"/>
      <c r="I84" s="1021" t="n"/>
      <c r="J84" s="1021" t="n"/>
      <c r="K84" s="1022" t="n"/>
      <c r="L84" s="963" t="n"/>
      <c r="M84" s="963" t="n"/>
      <c r="N84" s="963" t="n"/>
      <c r="O84" s="963" t="n"/>
      <c r="P84" s="963" t="n"/>
      <c r="Q84" s="963" t="n"/>
      <c r="R84" s="963" t="n"/>
      <c r="S84" s="963" t="n"/>
      <c r="T84" s="963" t="n"/>
      <c r="U84" s="991" t="n"/>
      <c r="V84" s="1021" t="n"/>
      <c r="W84" s="1021" t="n"/>
      <c r="X84" s="1021" t="n"/>
      <c r="Y84" s="1021" t="n"/>
      <c r="Z84" s="1021" t="n"/>
      <c r="AA84" s="989" t="n"/>
      <c r="AB84" s="1022" t="n"/>
      <c r="AC84" s="963" t="n"/>
      <c r="AD84" s="963" t="n"/>
      <c r="AE84" s="963" t="n"/>
      <c r="AF84" s="963" t="n"/>
      <c r="AG84" s="963" t="n"/>
      <c r="AH84" s="963" t="n"/>
      <c r="AI84" s="991" t="n"/>
      <c r="AJ84" s="1021" t="n"/>
      <c r="AK84" s="1021" t="n"/>
      <c r="AL84" s="1021" t="n"/>
      <c r="AM84" s="1021" t="n"/>
      <c r="AN84" s="1021" t="n"/>
      <c r="AO84" s="1021" t="n"/>
      <c r="AP84" s="1022" t="n"/>
      <c r="AQ84" s="963" t="n"/>
      <c r="AR84" s="963" t="n"/>
      <c r="AS84" s="963" t="n"/>
      <c r="AT84" s="963" t="n"/>
      <c r="AU84" s="963" t="n"/>
      <c r="AV84" s="963" t="n"/>
      <c r="AW84" s="991" t="n"/>
      <c r="AX84" s="18" t="n"/>
    </row>
    <row r="85" ht="16.4" customHeight="1" s="828">
      <c r="A85" s="722" t="n"/>
      <c r="B85" s="1021" t="n"/>
      <c r="C85" s="1021" t="n"/>
      <c r="D85" s="1021" t="n"/>
      <c r="E85" s="1021" t="n"/>
      <c r="F85" s="1021" t="n"/>
      <c r="G85" s="1021" t="n"/>
      <c r="H85" s="1021" t="n"/>
      <c r="I85" s="1021" t="n"/>
      <c r="J85" s="1021" t="n"/>
      <c r="K85" s="1022" t="n"/>
      <c r="L85" s="963" t="n"/>
      <c r="M85" s="963" t="n"/>
      <c r="N85" s="963" t="n"/>
      <c r="O85" s="963" t="n"/>
      <c r="P85" s="963" t="n"/>
      <c r="Q85" s="963" t="n"/>
      <c r="R85" s="963" t="n"/>
      <c r="S85" s="963" t="n"/>
      <c r="T85" s="963" t="n"/>
      <c r="U85" s="991" t="n"/>
      <c r="V85" s="1021" t="n"/>
      <c r="W85" s="1021" t="n"/>
      <c r="X85" s="1021" t="n"/>
      <c r="Y85" s="1021" t="n"/>
      <c r="Z85" s="1021" t="n"/>
      <c r="AA85" s="989" t="n"/>
      <c r="AB85" s="1022" t="n"/>
      <c r="AC85" s="963" t="n"/>
      <c r="AD85" s="963" t="n"/>
      <c r="AE85" s="963" t="n"/>
      <c r="AF85" s="963" t="n"/>
      <c r="AG85" s="963" t="n"/>
      <c r="AH85" s="963" t="n"/>
      <c r="AI85" s="991" t="n"/>
      <c r="AJ85" s="1021" t="n"/>
      <c r="AK85" s="1021" t="n"/>
      <c r="AL85" s="1021" t="n"/>
      <c r="AM85" s="1021" t="n"/>
      <c r="AN85" s="1021" t="n"/>
      <c r="AO85" s="1021" t="n"/>
      <c r="AP85" s="1022" t="n"/>
      <c r="AQ85" s="963" t="n"/>
      <c r="AR85" s="963" t="n"/>
      <c r="AS85" s="963" t="n"/>
      <c r="AT85" s="963" t="n"/>
      <c r="AU85" s="963" t="n"/>
      <c r="AV85" s="963" t="n"/>
      <c r="AW85" s="991" t="n"/>
      <c r="AX85" s="18" t="n"/>
    </row>
    <row r="86" ht="16.4" customHeight="1" s="828">
      <c r="A86" s="722" t="n"/>
      <c r="B86" s="1021" t="n"/>
      <c r="C86" s="1021" t="n"/>
      <c r="D86" s="1021" t="n"/>
      <c r="E86" s="1021" t="n"/>
      <c r="F86" s="1021" t="n"/>
      <c r="G86" s="1021" t="n"/>
      <c r="H86" s="1021" t="n"/>
      <c r="I86" s="1021" t="n"/>
      <c r="J86" s="1021" t="n"/>
      <c r="K86" s="1022" t="n"/>
      <c r="L86" s="963" t="n"/>
      <c r="M86" s="963" t="n"/>
      <c r="N86" s="963" t="n"/>
      <c r="O86" s="963" t="n"/>
      <c r="P86" s="963" t="n"/>
      <c r="Q86" s="963" t="n"/>
      <c r="R86" s="963" t="n"/>
      <c r="S86" s="963" t="n"/>
      <c r="T86" s="963" t="n"/>
      <c r="U86" s="991" t="n"/>
      <c r="V86" s="1021" t="n"/>
      <c r="W86" s="1021" t="n"/>
      <c r="X86" s="1021" t="n"/>
      <c r="Y86" s="1021" t="n"/>
      <c r="Z86" s="1021" t="n"/>
      <c r="AA86" s="989" t="n"/>
      <c r="AB86" s="1022" t="n"/>
      <c r="AC86" s="963" t="n"/>
      <c r="AD86" s="963" t="n"/>
      <c r="AE86" s="963" t="n"/>
      <c r="AF86" s="963" t="n"/>
      <c r="AG86" s="963" t="n"/>
      <c r="AH86" s="963" t="n"/>
      <c r="AI86" s="991" t="n"/>
      <c r="AJ86" s="1021" t="n"/>
      <c r="AK86" s="1021" t="n"/>
      <c r="AL86" s="1021" t="n"/>
      <c r="AM86" s="1021" t="n"/>
      <c r="AN86" s="1021" t="n"/>
      <c r="AO86" s="1021" t="n"/>
      <c r="AP86" s="1022" t="n"/>
      <c r="AQ86" s="963" t="n"/>
      <c r="AR86" s="963" t="n"/>
      <c r="AS86" s="963" t="n"/>
      <c r="AT86" s="963" t="n"/>
      <c r="AU86" s="963" t="n"/>
      <c r="AV86" s="963" t="n"/>
      <c r="AW86" s="991" t="n"/>
      <c r="AX86" s="18" t="n"/>
    </row>
    <row r="87" ht="16.4" customHeight="1" s="828">
      <c r="A87" s="722" t="n"/>
      <c r="B87" s="1021" t="n"/>
      <c r="C87" s="1021" t="n"/>
      <c r="D87" s="1021" t="n"/>
      <c r="E87" s="1021" t="n"/>
      <c r="F87" s="1021" t="n"/>
      <c r="G87" s="1021" t="n"/>
      <c r="H87" s="1021" t="n"/>
      <c r="I87" s="1021" t="n"/>
      <c r="J87" s="1021" t="n"/>
      <c r="K87" s="1022" t="n"/>
      <c r="L87" s="963" t="n"/>
      <c r="M87" s="963" t="n"/>
      <c r="N87" s="963" t="n"/>
      <c r="O87" s="963" t="n"/>
      <c r="P87" s="963" t="n"/>
      <c r="Q87" s="963" t="n"/>
      <c r="R87" s="963" t="n"/>
      <c r="S87" s="963" t="n"/>
      <c r="T87" s="963" t="n"/>
      <c r="U87" s="991" t="n"/>
      <c r="V87" s="1021" t="n"/>
      <c r="W87" s="1021" t="n"/>
      <c r="X87" s="1021" t="n"/>
      <c r="Y87" s="1021" t="n"/>
      <c r="Z87" s="1021" t="n"/>
      <c r="AA87" s="989" t="n"/>
      <c r="AB87" s="1022" t="n"/>
      <c r="AC87" s="963" t="n"/>
      <c r="AD87" s="963" t="n"/>
      <c r="AE87" s="963" t="n"/>
      <c r="AF87" s="963" t="n"/>
      <c r="AG87" s="963" t="n"/>
      <c r="AH87" s="963" t="n"/>
      <c r="AI87" s="991" t="n"/>
      <c r="AJ87" s="1021" t="n"/>
      <c r="AK87" s="1021" t="n"/>
      <c r="AL87" s="1021" t="n"/>
      <c r="AM87" s="1021" t="n"/>
      <c r="AN87" s="1021" t="n"/>
      <c r="AO87" s="1021" t="n"/>
      <c r="AP87" s="1022" t="n"/>
      <c r="AQ87" s="963" t="n"/>
      <c r="AR87" s="963" t="n"/>
      <c r="AS87" s="963" t="n"/>
      <c r="AT87" s="963" t="n"/>
      <c r="AU87" s="963" t="n"/>
      <c r="AV87" s="963" t="n"/>
      <c r="AW87" s="991" t="n"/>
      <c r="AX87" s="18" t="n"/>
    </row>
    <row r="88" ht="16.4" customHeight="1" s="828">
      <c r="A88" s="722" t="n"/>
      <c r="B88" s="1021" t="n"/>
      <c r="C88" s="1021" t="n"/>
      <c r="D88" s="1021" t="n"/>
      <c r="E88" s="1021" t="n"/>
      <c r="F88" s="1021" t="n"/>
      <c r="G88" s="1021" t="n"/>
      <c r="H88" s="1021" t="n"/>
      <c r="I88" s="1021" t="n"/>
      <c r="J88" s="1021" t="n"/>
      <c r="K88" s="1022" t="n"/>
      <c r="L88" s="963" t="n"/>
      <c r="M88" s="963" t="n"/>
      <c r="N88" s="963" t="n"/>
      <c r="O88" s="963" t="n"/>
      <c r="P88" s="963" t="n"/>
      <c r="Q88" s="963" t="n"/>
      <c r="R88" s="963" t="n"/>
      <c r="S88" s="963" t="n"/>
      <c r="T88" s="963" t="n"/>
      <c r="U88" s="991" t="n"/>
      <c r="V88" s="1021" t="n"/>
      <c r="W88" s="1021" t="n"/>
      <c r="X88" s="1021" t="n"/>
      <c r="Y88" s="1021" t="n"/>
      <c r="Z88" s="1021" t="n"/>
      <c r="AA88" s="989" t="n"/>
      <c r="AB88" s="1022" t="n"/>
      <c r="AC88" s="963" t="n"/>
      <c r="AD88" s="963" t="n"/>
      <c r="AE88" s="963" t="n"/>
      <c r="AF88" s="963" t="n"/>
      <c r="AG88" s="963" t="n"/>
      <c r="AH88" s="963" t="n"/>
      <c r="AI88" s="991" t="n"/>
      <c r="AJ88" s="1021" t="n"/>
      <c r="AK88" s="1021" t="n"/>
      <c r="AL88" s="1021" t="n"/>
      <c r="AM88" s="1021" t="n"/>
      <c r="AN88" s="1021" t="n"/>
      <c r="AO88" s="1021" t="n"/>
      <c r="AP88" s="1022" t="n"/>
      <c r="AQ88" s="963" t="n"/>
      <c r="AR88" s="963" t="n"/>
      <c r="AS88" s="963" t="n"/>
      <c r="AT88" s="963" t="n"/>
      <c r="AU88" s="963" t="n"/>
      <c r="AV88" s="963" t="n"/>
      <c r="AW88" s="991" t="n"/>
      <c r="AX88" s="18" t="n"/>
    </row>
    <row r="89" ht="16.4" customHeight="1" s="828">
      <c r="A89" s="722" t="n"/>
      <c r="B89" s="1021" t="n"/>
      <c r="C89" s="1021" t="n"/>
      <c r="D89" s="1021" t="n"/>
      <c r="E89" s="1021" t="n"/>
      <c r="F89" s="1021" t="n"/>
      <c r="G89" s="1021" t="n"/>
      <c r="H89" s="1021" t="n"/>
      <c r="I89" s="1021" t="n"/>
      <c r="J89" s="1021" t="n"/>
      <c r="K89" s="1022" t="n"/>
      <c r="L89" s="963" t="n"/>
      <c r="M89" s="963" t="n"/>
      <c r="N89" s="963" t="n"/>
      <c r="O89" s="963" t="n"/>
      <c r="P89" s="963" t="n"/>
      <c r="Q89" s="963" t="n"/>
      <c r="R89" s="963" t="n"/>
      <c r="S89" s="963" t="n"/>
      <c r="T89" s="963" t="n"/>
      <c r="U89" s="991" t="n"/>
      <c r="V89" s="1021" t="n"/>
      <c r="W89" s="1021" t="n"/>
      <c r="X89" s="1021" t="n"/>
      <c r="Y89" s="1021" t="n"/>
      <c r="Z89" s="1021" t="n"/>
      <c r="AA89" s="989" t="n"/>
      <c r="AB89" s="1022" t="n"/>
      <c r="AC89" s="963" t="n"/>
      <c r="AD89" s="963" t="n"/>
      <c r="AE89" s="963" t="n"/>
      <c r="AF89" s="963" t="n"/>
      <c r="AG89" s="963" t="n"/>
      <c r="AH89" s="963" t="n"/>
      <c r="AI89" s="991" t="n"/>
      <c r="AJ89" s="1021" t="n"/>
      <c r="AK89" s="1021" t="n"/>
      <c r="AL89" s="1021" t="n"/>
      <c r="AM89" s="1021" t="n"/>
      <c r="AN89" s="1021" t="n"/>
      <c r="AO89" s="1021" t="n"/>
      <c r="AP89" s="1022" t="n"/>
      <c r="AQ89" s="963" t="n"/>
      <c r="AR89" s="963" t="n"/>
      <c r="AS89" s="963" t="n"/>
      <c r="AT89" s="963" t="n"/>
      <c r="AU89" s="963" t="n"/>
      <c r="AV89" s="963" t="n"/>
      <c r="AW89" s="991" t="n"/>
      <c r="AX89" s="18" t="n"/>
    </row>
    <row r="90" ht="16.4" customHeight="1" s="828">
      <c r="A90" s="722" t="n"/>
      <c r="B90" s="1021" t="n"/>
      <c r="C90" s="1021" t="n"/>
      <c r="D90" s="1021" t="n"/>
      <c r="E90" s="1021" t="n"/>
      <c r="F90" s="1021" t="n"/>
      <c r="G90" s="1021" t="n"/>
      <c r="H90" s="1021" t="n"/>
      <c r="I90" s="1021" t="n"/>
      <c r="J90" s="1021" t="n"/>
      <c r="K90" s="1022" t="n"/>
      <c r="L90" s="963" t="n"/>
      <c r="M90" s="963" t="n"/>
      <c r="N90" s="963" t="n"/>
      <c r="O90" s="963" t="n"/>
      <c r="P90" s="963" t="n"/>
      <c r="Q90" s="963" t="n"/>
      <c r="R90" s="963" t="n"/>
      <c r="S90" s="963" t="n"/>
      <c r="T90" s="963" t="n"/>
      <c r="U90" s="991" t="n"/>
      <c r="V90" s="1021" t="n"/>
      <c r="W90" s="1021" t="n"/>
      <c r="X90" s="1021" t="n"/>
      <c r="Y90" s="1021" t="n"/>
      <c r="Z90" s="1021" t="n"/>
      <c r="AA90" s="989" t="n"/>
      <c r="AB90" s="1022" t="n"/>
      <c r="AC90" s="963" t="n"/>
      <c r="AD90" s="963" t="n"/>
      <c r="AE90" s="963" t="n"/>
      <c r="AF90" s="963" t="n"/>
      <c r="AG90" s="963" t="n"/>
      <c r="AH90" s="963" t="n"/>
      <c r="AI90" s="991" t="n"/>
      <c r="AJ90" s="1021" t="n"/>
      <c r="AK90" s="1021" t="n"/>
      <c r="AL90" s="1021" t="n"/>
      <c r="AM90" s="1021" t="n"/>
      <c r="AN90" s="1021" t="n"/>
      <c r="AO90" s="1021" t="n"/>
      <c r="AP90" s="1022" t="n"/>
      <c r="AQ90" s="963" t="n"/>
      <c r="AR90" s="963" t="n"/>
      <c r="AS90" s="963" t="n"/>
      <c r="AT90" s="963" t="n"/>
      <c r="AU90" s="963" t="n"/>
      <c r="AV90" s="963" t="n"/>
      <c r="AW90" s="991" t="n"/>
      <c r="AX90" s="18" t="n"/>
    </row>
    <row r="91" ht="16.4" customHeight="1" s="828">
      <c r="A91" s="722" t="n"/>
      <c r="B91" s="1021" t="n"/>
      <c r="C91" s="1021" t="n"/>
      <c r="D91" s="1021" t="n"/>
      <c r="E91" s="1021" t="n"/>
      <c r="F91" s="1021" t="n"/>
      <c r="G91" s="1021" t="n"/>
      <c r="H91" s="1021" t="n"/>
      <c r="I91" s="1021" t="n"/>
      <c r="J91" s="1021" t="n"/>
      <c r="K91" s="1022" t="n"/>
      <c r="L91" s="963" t="n"/>
      <c r="M91" s="963" t="n"/>
      <c r="N91" s="963" t="n"/>
      <c r="O91" s="963" t="n"/>
      <c r="P91" s="963" t="n"/>
      <c r="Q91" s="963" t="n"/>
      <c r="R91" s="963" t="n"/>
      <c r="S91" s="963" t="n"/>
      <c r="T91" s="963" t="n"/>
      <c r="U91" s="991" t="n"/>
      <c r="V91" s="1021" t="n"/>
      <c r="W91" s="1021" t="n"/>
      <c r="X91" s="1021" t="n"/>
      <c r="Y91" s="1021" t="n"/>
      <c r="Z91" s="1021" t="n"/>
      <c r="AA91" s="989" t="n"/>
      <c r="AB91" s="1022" t="n"/>
      <c r="AC91" s="963" t="n"/>
      <c r="AD91" s="963" t="n"/>
      <c r="AE91" s="963" t="n"/>
      <c r="AF91" s="963" t="n"/>
      <c r="AG91" s="963" t="n"/>
      <c r="AH91" s="963" t="n"/>
      <c r="AI91" s="991" t="n"/>
      <c r="AJ91" s="1021" t="n"/>
      <c r="AK91" s="1021" t="n"/>
      <c r="AL91" s="1021" t="n"/>
      <c r="AM91" s="1021" t="n"/>
      <c r="AN91" s="1021" t="n"/>
      <c r="AO91" s="1021" t="n"/>
      <c r="AP91" s="1022" t="n"/>
      <c r="AQ91" s="963" t="n"/>
      <c r="AR91" s="963" t="n"/>
      <c r="AS91" s="963" t="n"/>
      <c r="AT91" s="963" t="n"/>
      <c r="AU91" s="963" t="n"/>
      <c r="AV91" s="963" t="n"/>
      <c r="AW91" s="991" t="n"/>
      <c r="AX91" s="18" t="n"/>
    </row>
    <row r="92" ht="16.4" customHeight="1" s="828">
      <c r="A92" s="722" t="n"/>
      <c r="B92" s="1021" t="n"/>
      <c r="C92" s="1021" t="n"/>
      <c r="D92" s="1021" t="n"/>
      <c r="E92" s="1021" t="n"/>
      <c r="F92" s="1021" t="n"/>
      <c r="G92" s="1021" t="n"/>
      <c r="H92" s="1021" t="n"/>
      <c r="I92" s="1021" t="n"/>
      <c r="J92" s="1021" t="n"/>
      <c r="K92" s="1022" t="n"/>
      <c r="L92" s="963" t="n"/>
      <c r="M92" s="963" t="n"/>
      <c r="N92" s="963" t="n"/>
      <c r="O92" s="963" t="n"/>
      <c r="P92" s="963" t="n"/>
      <c r="Q92" s="963" t="n"/>
      <c r="R92" s="963" t="n"/>
      <c r="S92" s="963" t="n"/>
      <c r="T92" s="963" t="n"/>
      <c r="U92" s="991" t="n"/>
      <c r="V92" s="1021" t="n"/>
      <c r="W92" s="1021" t="n"/>
      <c r="X92" s="1021" t="n"/>
      <c r="Y92" s="1021" t="n"/>
      <c r="Z92" s="1021" t="n"/>
      <c r="AA92" s="989" t="n"/>
      <c r="AB92" s="1022" t="n"/>
      <c r="AC92" s="963" t="n"/>
      <c r="AD92" s="963" t="n"/>
      <c r="AE92" s="963" t="n"/>
      <c r="AF92" s="963" t="n"/>
      <c r="AG92" s="963" t="n"/>
      <c r="AH92" s="963" t="n"/>
      <c r="AI92" s="991" t="n"/>
      <c r="AJ92" s="1021" t="n"/>
      <c r="AK92" s="1021" t="n"/>
      <c r="AL92" s="1021" t="n"/>
      <c r="AM92" s="1021" t="n"/>
      <c r="AN92" s="1021" t="n"/>
      <c r="AO92" s="1021" t="n"/>
      <c r="AP92" s="1022" t="n"/>
      <c r="AQ92" s="963" t="n"/>
      <c r="AR92" s="963" t="n"/>
      <c r="AS92" s="963" t="n"/>
      <c r="AT92" s="963" t="n"/>
      <c r="AU92" s="963" t="n"/>
      <c r="AV92" s="963" t="n"/>
      <c r="AW92" s="991" t="n"/>
      <c r="AX92" s="18" t="n"/>
    </row>
    <row r="93" ht="16.4" customHeight="1" s="828">
      <c r="A93" s="722" t="n"/>
      <c r="B93" s="1021" t="n"/>
      <c r="C93" s="1021" t="n"/>
      <c r="D93" s="1021" t="n"/>
      <c r="E93" s="1021" t="n"/>
      <c r="F93" s="1021" t="n"/>
      <c r="G93" s="1021" t="n"/>
      <c r="H93" s="1021" t="n"/>
      <c r="I93" s="1021" t="n"/>
      <c r="J93" s="1021" t="n"/>
      <c r="K93" s="1022" t="n"/>
      <c r="L93" s="963" t="n"/>
      <c r="M93" s="963" t="n"/>
      <c r="N93" s="963" t="n"/>
      <c r="O93" s="963" t="n"/>
      <c r="P93" s="963" t="n"/>
      <c r="Q93" s="963" t="n"/>
      <c r="R93" s="963" t="n"/>
      <c r="S93" s="963" t="n"/>
      <c r="T93" s="963" t="n"/>
      <c r="U93" s="991" t="n"/>
      <c r="V93" s="1021" t="n"/>
      <c r="W93" s="1021" t="n"/>
      <c r="X93" s="1021" t="n"/>
      <c r="Y93" s="1021" t="n"/>
      <c r="Z93" s="1021" t="n"/>
      <c r="AA93" s="989" t="n"/>
      <c r="AB93" s="1022" t="n"/>
      <c r="AC93" s="963" t="n"/>
      <c r="AD93" s="963" t="n"/>
      <c r="AE93" s="963" t="n"/>
      <c r="AF93" s="963" t="n"/>
      <c r="AG93" s="963" t="n"/>
      <c r="AH93" s="963" t="n"/>
      <c r="AI93" s="991" t="n"/>
      <c r="AJ93" s="1021" t="n"/>
      <c r="AK93" s="1021" t="n"/>
      <c r="AL93" s="1021" t="n"/>
      <c r="AM93" s="1021" t="n"/>
      <c r="AN93" s="1021" t="n"/>
      <c r="AO93" s="1021" t="n"/>
      <c r="AP93" s="1022" t="n"/>
      <c r="AQ93" s="963" t="n"/>
      <c r="AR93" s="963" t="n"/>
      <c r="AS93" s="963" t="n"/>
      <c r="AT93" s="963" t="n"/>
      <c r="AU93" s="963" t="n"/>
      <c r="AV93" s="963" t="n"/>
      <c r="AW93" s="991" t="n"/>
      <c r="AX93" s="18" t="n"/>
    </row>
    <row r="94" ht="16.4" customHeight="1" s="828">
      <c r="A94" s="722" t="n"/>
      <c r="B94" s="1021" t="n"/>
      <c r="C94" s="1021" t="n"/>
      <c r="D94" s="1021" t="n"/>
      <c r="E94" s="1021" t="n"/>
      <c r="F94" s="1021" t="n"/>
      <c r="G94" s="1021" t="n"/>
      <c r="H94" s="1021" t="n"/>
      <c r="I94" s="1021" t="n"/>
      <c r="J94" s="1021" t="n"/>
      <c r="K94" s="1022" t="n"/>
      <c r="L94" s="963" t="n"/>
      <c r="M94" s="963" t="n"/>
      <c r="N94" s="963" t="n"/>
      <c r="O94" s="963" t="n"/>
      <c r="P94" s="963" t="n"/>
      <c r="Q94" s="963" t="n"/>
      <c r="R94" s="963" t="n"/>
      <c r="S94" s="963" t="n"/>
      <c r="T94" s="963" t="n"/>
      <c r="U94" s="991" t="n"/>
      <c r="V94" s="1021" t="n"/>
      <c r="W94" s="1021" t="n"/>
      <c r="X94" s="1021" t="n"/>
      <c r="Y94" s="1021" t="n"/>
      <c r="Z94" s="1021" t="n"/>
      <c r="AA94" s="989" t="n"/>
      <c r="AB94" s="1022" t="n"/>
      <c r="AC94" s="963" t="n"/>
      <c r="AD94" s="963" t="n"/>
      <c r="AE94" s="963" t="n"/>
      <c r="AF94" s="963" t="n"/>
      <c r="AG94" s="963" t="n"/>
      <c r="AH94" s="963" t="n"/>
      <c r="AI94" s="991" t="n"/>
      <c r="AJ94" s="1021" t="n"/>
      <c r="AK94" s="1021" t="n"/>
      <c r="AL94" s="1021" t="n"/>
      <c r="AM94" s="1021" t="n"/>
      <c r="AN94" s="1021" t="n"/>
      <c r="AO94" s="1021" t="n"/>
      <c r="AP94" s="1022" t="n"/>
      <c r="AQ94" s="963" t="n"/>
      <c r="AR94" s="963" t="n"/>
      <c r="AS94" s="963" t="n"/>
      <c r="AT94" s="963" t="n"/>
      <c r="AU94" s="963" t="n"/>
      <c r="AV94" s="963" t="n"/>
      <c r="AW94" s="991" t="n"/>
      <c r="AX94" s="18" t="n"/>
    </row>
    <row r="95" ht="16.4" customHeight="1" s="828">
      <c r="A95" s="722" t="n"/>
      <c r="B95" s="1021" t="n"/>
      <c r="C95" s="1021" t="n"/>
      <c r="D95" s="1021" t="n"/>
      <c r="E95" s="1021" t="n"/>
      <c r="F95" s="1021" t="n"/>
      <c r="G95" s="1021" t="n"/>
      <c r="H95" s="1021" t="n"/>
      <c r="I95" s="1021" t="n"/>
      <c r="J95" s="1021" t="n"/>
      <c r="K95" s="1022" t="n"/>
      <c r="L95" s="963" t="n"/>
      <c r="M95" s="963" t="n"/>
      <c r="N95" s="963" t="n"/>
      <c r="O95" s="963" t="n"/>
      <c r="P95" s="963" t="n"/>
      <c r="Q95" s="963" t="n"/>
      <c r="R95" s="963" t="n"/>
      <c r="S95" s="963" t="n"/>
      <c r="T95" s="963" t="n"/>
      <c r="U95" s="991" t="n"/>
      <c r="V95" s="1021" t="n"/>
      <c r="W95" s="1021" t="n"/>
      <c r="X95" s="1021" t="n"/>
      <c r="Y95" s="1021" t="n"/>
      <c r="Z95" s="1021" t="n"/>
      <c r="AA95" s="989" t="n"/>
      <c r="AB95" s="1022" t="n"/>
      <c r="AC95" s="963" t="n"/>
      <c r="AD95" s="963" t="n"/>
      <c r="AE95" s="963" t="n"/>
      <c r="AF95" s="963" t="n"/>
      <c r="AG95" s="963" t="n"/>
      <c r="AH95" s="963" t="n"/>
      <c r="AI95" s="991" t="n"/>
      <c r="AJ95" s="1021" t="n"/>
      <c r="AK95" s="1021" t="n"/>
      <c r="AL95" s="1021" t="n"/>
      <c r="AM95" s="1021" t="n"/>
      <c r="AN95" s="1021" t="n"/>
      <c r="AO95" s="1021" t="n"/>
      <c r="AP95" s="1022" t="n"/>
      <c r="AQ95" s="963" t="n"/>
      <c r="AR95" s="963" t="n"/>
      <c r="AS95" s="963" t="n"/>
      <c r="AT95" s="963" t="n"/>
      <c r="AU95" s="963" t="n"/>
      <c r="AV95" s="963" t="n"/>
      <c r="AW95" s="991" t="n"/>
      <c r="AX95" s="18" t="n"/>
    </row>
    <row r="96" ht="16.4" customHeight="1" s="828">
      <c r="A96" s="722" t="n"/>
      <c r="B96" s="1021" t="n"/>
      <c r="C96" s="1021" t="n"/>
      <c r="D96" s="1021" t="n"/>
      <c r="E96" s="1021" t="n"/>
      <c r="F96" s="1021" t="n"/>
      <c r="G96" s="1021" t="n"/>
      <c r="H96" s="1021" t="n"/>
      <c r="I96" s="1021" t="n"/>
      <c r="J96" s="1021" t="n"/>
      <c r="K96" s="1022" t="n"/>
      <c r="L96" s="963" t="n"/>
      <c r="M96" s="963" t="n"/>
      <c r="N96" s="963" t="n"/>
      <c r="O96" s="963" t="n"/>
      <c r="P96" s="963" t="n"/>
      <c r="Q96" s="963" t="n"/>
      <c r="R96" s="963" t="n"/>
      <c r="S96" s="963" t="n"/>
      <c r="T96" s="963" t="n"/>
      <c r="U96" s="991" t="n"/>
      <c r="V96" s="1021" t="n"/>
      <c r="W96" s="1021" t="n"/>
      <c r="X96" s="1021" t="n"/>
      <c r="Y96" s="1021" t="n"/>
      <c r="Z96" s="1021" t="n"/>
      <c r="AA96" s="989" t="n"/>
      <c r="AB96" s="1022" t="n"/>
      <c r="AC96" s="963" t="n"/>
      <c r="AD96" s="963" t="n"/>
      <c r="AE96" s="963" t="n"/>
      <c r="AF96" s="963" t="n"/>
      <c r="AG96" s="963" t="n"/>
      <c r="AH96" s="963" t="n"/>
      <c r="AI96" s="991" t="n"/>
      <c r="AJ96" s="1021" t="n"/>
      <c r="AK96" s="1021" t="n"/>
      <c r="AL96" s="1021" t="n"/>
      <c r="AM96" s="1021" t="n"/>
      <c r="AN96" s="1021" t="n"/>
      <c r="AO96" s="1021" t="n"/>
      <c r="AP96" s="1022" t="n"/>
      <c r="AQ96" s="963" t="n"/>
      <c r="AR96" s="963" t="n"/>
      <c r="AS96" s="963" t="n"/>
      <c r="AT96" s="963" t="n"/>
      <c r="AU96" s="963" t="n"/>
      <c r="AV96" s="963" t="n"/>
      <c r="AW96" s="991" t="n"/>
      <c r="AX96" s="18" t="n"/>
    </row>
    <row r="97" ht="16.4" customHeight="1" s="828">
      <c r="A97" s="722" t="n"/>
      <c r="B97" s="1021" t="n"/>
      <c r="C97" s="1021" t="n"/>
      <c r="D97" s="1021" t="n"/>
      <c r="E97" s="1021" t="n"/>
      <c r="F97" s="1021" t="n"/>
      <c r="G97" s="1021" t="n"/>
      <c r="H97" s="1021" t="n"/>
      <c r="I97" s="1021" t="n"/>
      <c r="J97" s="1021" t="n"/>
      <c r="K97" s="1022" t="n"/>
      <c r="L97" s="963" t="n"/>
      <c r="M97" s="963" t="n"/>
      <c r="N97" s="963" t="n"/>
      <c r="O97" s="963" t="n"/>
      <c r="P97" s="963" t="n"/>
      <c r="Q97" s="963" t="n"/>
      <c r="R97" s="963" t="n"/>
      <c r="S97" s="963" t="n"/>
      <c r="T97" s="963" t="n"/>
      <c r="U97" s="991" t="n"/>
      <c r="V97" s="1021" t="n"/>
      <c r="W97" s="1021" t="n"/>
      <c r="X97" s="1021" t="n"/>
      <c r="Y97" s="1021" t="n"/>
      <c r="Z97" s="1021" t="n"/>
      <c r="AA97" s="989" t="n"/>
      <c r="AB97" s="1022" t="n"/>
      <c r="AC97" s="963" t="n"/>
      <c r="AD97" s="963" t="n"/>
      <c r="AE97" s="963" t="n"/>
      <c r="AF97" s="963" t="n"/>
      <c r="AG97" s="963" t="n"/>
      <c r="AH97" s="963" t="n"/>
      <c r="AI97" s="991" t="n"/>
      <c r="AJ97" s="1021" t="n"/>
      <c r="AK97" s="1021" t="n"/>
      <c r="AL97" s="1021" t="n"/>
      <c r="AM97" s="1021" t="n"/>
      <c r="AN97" s="1021" t="n"/>
      <c r="AO97" s="1021" t="n"/>
      <c r="AP97" s="1022" t="n"/>
      <c r="AQ97" s="963" t="n"/>
      <c r="AR97" s="963" t="n"/>
      <c r="AS97" s="963" t="n"/>
      <c r="AT97" s="963" t="n"/>
      <c r="AU97" s="963" t="n"/>
      <c r="AV97" s="963" t="n"/>
      <c r="AW97" s="991" t="n"/>
      <c r="AX97" s="18" t="n"/>
    </row>
    <row r="98" ht="16.4" customHeight="1" s="828">
      <c r="A98" s="722" t="n"/>
      <c r="B98" s="1021" t="n"/>
      <c r="C98" s="1021" t="n"/>
      <c r="D98" s="1021" t="n"/>
      <c r="E98" s="1021" t="n"/>
      <c r="F98" s="1021" t="n"/>
      <c r="G98" s="1021" t="n"/>
      <c r="H98" s="1021" t="n"/>
      <c r="I98" s="1021" t="n"/>
      <c r="J98" s="1021" t="n"/>
      <c r="K98" s="1022" t="n"/>
      <c r="L98" s="963" t="n"/>
      <c r="M98" s="963" t="n"/>
      <c r="N98" s="963" t="n"/>
      <c r="O98" s="963" t="n"/>
      <c r="P98" s="963" t="n"/>
      <c r="Q98" s="963" t="n"/>
      <c r="R98" s="963" t="n"/>
      <c r="S98" s="963" t="n"/>
      <c r="T98" s="963" t="n"/>
      <c r="U98" s="991" t="n"/>
      <c r="V98" s="1021" t="n"/>
      <c r="W98" s="1021" t="n"/>
      <c r="X98" s="1021" t="n"/>
      <c r="Y98" s="1021" t="n"/>
      <c r="Z98" s="1021" t="n"/>
      <c r="AA98" s="989" t="n"/>
      <c r="AB98" s="1022" t="n"/>
      <c r="AC98" s="963" t="n"/>
      <c r="AD98" s="963" t="n"/>
      <c r="AE98" s="963" t="n"/>
      <c r="AF98" s="963" t="n"/>
      <c r="AG98" s="963" t="n"/>
      <c r="AH98" s="963" t="n"/>
      <c r="AI98" s="991" t="n"/>
      <c r="AJ98" s="1021" t="n"/>
      <c r="AK98" s="1021" t="n"/>
      <c r="AL98" s="1021" t="n"/>
      <c r="AM98" s="1021" t="n"/>
      <c r="AN98" s="1021" t="n"/>
      <c r="AO98" s="1021" t="n"/>
      <c r="AP98" s="1022" t="n"/>
      <c r="AQ98" s="963" t="n"/>
      <c r="AR98" s="963" t="n"/>
      <c r="AS98" s="963" t="n"/>
      <c r="AT98" s="963" t="n"/>
      <c r="AU98" s="963" t="n"/>
      <c r="AV98" s="963" t="n"/>
      <c r="AW98" s="991" t="n"/>
      <c r="AX98" s="18" t="n"/>
    </row>
    <row r="99" ht="16.4" customHeight="1" s="828">
      <c r="A99" s="722" t="n"/>
      <c r="B99" s="1021" t="n"/>
      <c r="C99" s="1021" t="n"/>
      <c r="D99" s="1021" t="n"/>
      <c r="E99" s="1021" t="n"/>
      <c r="F99" s="1021" t="n"/>
      <c r="G99" s="1021" t="n"/>
      <c r="H99" s="1021" t="n"/>
      <c r="I99" s="1021" t="n"/>
      <c r="J99" s="1021" t="n"/>
      <c r="K99" s="1022" t="n"/>
      <c r="L99" s="963" t="n"/>
      <c r="M99" s="963" t="n"/>
      <c r="N99" s="963" t="n"/>
      <c r="O99" s="963" t="n"/>
      <c r="P99" s="963" t="n"/>
      <c r="Q99" s="963" t="n"/>
      <c r="R99" s="963" t="n"/>
      <c r="S99" s="963" t="n"/>
      <c r="T99" s="963" t="n"/>
      <c r="U99" s="991" t="n"/>
      <c r="V99" s="1021" t="n"/>
      <c r="W99" s="1021" t="n"/>
      <c r="X99" s="1021" t="n"/>
      <c r="Y99" s="1021" t="n"/>
      <c r="Z99" s="1021" t="n"/>
      <c r="AA99" s="989" t="n"/>
      <c r="AB99" s="1022" t="n"/>
      <c r="AC99" s="963" t="n"/>
      <c r="AD99" s="963" t="n"/>
      <c r="AE99" s="963" t="n"/>
      <c r="AF99" s="963" t="n"/>
      <c r="AG99" s="963" t="n"/>
      <c r="AH99" s="963" t="n"/>
      <c r="AI99" s="991" t="n"/>
      <c r="AJ99" s="1021" t="n"/>
      <c r="AK99" s="1021" t="n"/>
      <c r="AL99" s="1021" t="n"/>
      <c r="AM99" s="1021" t="n"/>
      <c r="AN99" s="1021" t="n"/>
      <c r="AO99" s="1021" t="n"/>
      <c r="AP99" s="1022" t="n"/>
      <c r="AQ99" s="963" t="n"/>
      <c r="AR99" s="963" t="n"/>
      <c r="AS99" s="963" t="n"/>
      <c r="AT99" s="963" t="n"/>
      <c r="AU99" s="963" t="n"/>
      <c r="AV99" s="963" t="n"/>
      <c r="AW99" s="991" t="n"/>
      <c r="AX99" s="18" t="n"/>
    </row>
    <row r="100" ht="16.4" customHeight="1" s="828">
      <c r="A100" s="722" t="n"/>
      <c r="B100" s="1021" t="n"/>
      <c r="C100" s="1021" t="n"/>
      <c r="D100" s="1021" t="n"/>
      <c r="E100" s="1021" t="n"/>
      <c r="F100" s="1021" t="n"/>
      <c r="G100" s="1021" t="n"/>
      <c r="H100" s="1021" t="n"/>
      <c r="I100" s="1021" t="n"/>
      <c r="J100" s="1021" t="n"/>
      <c r="K100" s="1022" t="n"/>
      <c r="L100" s="963" t="n"/>
      <c r="M100" s="963" t="n"/>
      <c r="N100" s="963" t="n"/>
      <c r="O100" s="963" t="n"/>
      <c r="P100" s="963" t="n"/>
      <c r="Q100" s="963" t="n"/>
      <c r="R100" s="963" t="n"/>
      <c r="S100" s="963" t="n"/>
      <c r="T100" s="963" t="n"/>
      <c r="U100" s="991" t="n"/>
      <c r="V100" s="1021" t="n"/>
      <c r="W100" s="1021" t="n"/>
      <c r="X100" s="1021" t="n"/>
      <c r="Y100" s="1021" t="n"/>
      <c r="Z100" s="1021" t="n"/>
      <c r="AA100" s="989" t="n"/>
      <c r="AB100" s="1022" t="n"/>
      <c r="AC100" s="963" t="n"/>
      <c r="AD100" s="963" t="n"/>
      <c r="AE100" s="963" t="n"/>
      <c r="AF100" s="963" t="n"/>
      <c r="AG100" s="963" t="n"/>
      <c r="AH100" s="963" t="n"/>
      <c r="AI100" s="991" t="n"/>
      <c r="AJ100" s="1021" t="n"/>
      <c r="AK100" s="1021" t="n"/>
      <c r="AL100" s="1021" t="n"/>
      <c r="AM100" s="1021" t="n"/>
      <c r="AN100" s="1021" t="n"/>
      <c r="AO100" s="1021" t="n"/>
      <c r="AP100" s="1022" t="n"/>
      <c r="AQ100" s="963" t="n"/>
      <c r="AR100" s="963" t="n"/>
      <c r="AS100" s="963" t="n"/>
      <c r="AT100" s="963" t="n"/>
      <c r="AU100" s="963" t="n"/>
      <c r="AV100" s="963" t="n"/>
      <c r="AW100" s="991" t="n"/>
      <c r="AX100" s="18" t="n"/>
    </row>
    <row r="101" ht="16.4" customHeight="1" s="828">
      <c r="A101" s="722" t="n"/>
      <c r="B101" s="1021" t="n"/>
      <c r="C101" s="1021" t="n"/>
      <c r="D101" s="1021" t="n"/>
      <c r="E101" s="1021" t="n"/>
      <c r="F101" s="1021" t="n"/>
      <c r="G101" s="1021" t="n"/>
      <c r="H101" s="1021" t="n"/>
      <c r="I101" s="1021" t="n"/>
      <c r="J101" s="1021" t="n"/>
      <c r="K101" s="1022" t="n"/>
      <c r="L101" s="963" t="n"/>
      <c r="M101" s="963" t="n"/>
      <c r="N101" s="963" t="n"/>
      <c r="O101" s="963" t="n"/>
      <c r="P101" s="963" t="n"/>
      <c r="Q101" s="963" t="n"/>
      <c r="R101" s="963" t="n"/>
      <c r="S101" s="963" t="n"/>
      <c r="T101" s="963" t="n"/>
      <c r="U101" s="991" t="n"/>
      <c r="V101" s="1021" t="n"/>
      <c r="W101" s="1021" t="n"/>
      <c r="X101" s="1021" t="n"/>
      <c r="Y101" s="1021" t="n"/>
      <c r="Z101" s="1021" t="n"/>
      <c r="AA101" s="989" t="n"/>
      <c r="AB101" s="1022" t="n"/>
      <c r="AC101" s="963" t="n"/>
      <c r="AD101" s="963" t="n"/>
      <c r="AE101" s="963" t="n"/>
      <c r="AF101" s="963" t="n"/>
      <c r="AG101" s="963" t="n"/>
      <c r="AH101" s="963" t="n"/>
      <c r="AI101" s="991" t="n"/>
      <c r="AJ101" s="1021" t="n"/>
      <c r="AK101" s="1021" t="n"/>
      <c r="AL101" s="1021" t="n"/>
      <c r="AM101" s="1021" t="n"/>
      <c r="AN101" s="1021" t="n"/>
      <c r="AO101" s="1021" t="n"/>
      <c r="AP101" s="1022" t="n"/>
      <c r="AQ101" s="963" t="n"/>
      <c r="AR101" s="963" t="n"/>
      <c r="AS101" s="963" t="n"/>
      <c r="AT101" s="963" t="n"/>
      <c r="AU101" s="963" t="n"/>
      <c r="AV101" s="963" t="n"/>
      <c r="AW101" s="991" t="n"/>
      <c r="AX101" s="18" t="n"/>
    </row>
    <row r="102" ht="16.4" customHeight="1" s="828">
      <c r="A102" s="722" t="n"/>
      <c r="B102" s="1021" t="n"/>
      <c r="C102" s="1021" t="n"/>
      <c r="D102" s="1021" t="n"/>
      <c r="E102" s="1021" t="n"/>
      <c r="F102" s="1021" t="n"/>
      <c r="G102" s="1021" t="n"/>
      <c r="H102" s="1021" t="n"/>
      <c r="I102" s="1021" t="n"/>
      <c r="J102" s="1021" t="n"/>
      <c r="K102" s="1022" t="n"/>
      <c r="L102" s="963" t="n"/>
      <c r="M102" s="963" t="n"/>
      <c r="N102" s="963" t="n"/>
      <c r="O102" s="963" t="n"/>
      <c r="P102" s="963" t="n"/>
      <c r="Q102" s="963" t="n"/>
      <c r="R102" s="963" t="n"/>
      <c r="S102" s="963" t="n"/>
      <c r="T102" s="963" t="n"/>
      <c r="U102" s="991" t="n"/>
      <c r="V102" s="1021" t="n"/>
      <c r="W102" s="1021" t="n"/>
      <c r="X102" s="1021" t="n"/>
      <c r="Y102" s="1021" t="n"/>
      <c r="Z102" s="1021" t="n"/>
      <c r="AA102" s="989" t="n"/>
      <c r="AB102" s="1022" t="n"/>
      <c r="AC102" s="963" t="n"/>
      <c r="AD102" s="963" t="n"/>
      <c r="AE102" s="963" t="n"/>
      <c r="AF102" s="963" t="n"/>
      <c r="AG102" s="963" t="n"/>
      <c r="AH102" s="963" t="n"/>
      <c r="AI102" s="991" t="n"/>
      <c r="AJ102" s="1021" t="n"/>
      <c r="AK102" s="1021" t="n"/>
      <c r="AL102" s="1021" t="n"/>
      <c r="AM102" s="1021" t="n"/>
      <c r="AN102" s="1021" t="n"/>
      <c r="AO102" s="1021" t="n"/>
      <c r="AP102" s="1022" t="n"/>
      <c r="AQ102" s="963" t="n"/>
      <c r="AR102" s="963" t="n"/>
      <c r="AS102" s="963" t="n"/>
      <c r="AT102" s="963" t="n"/>
      <c r="AU102" s="963" t="n"/>
      <c r="AV102" s="963" t="n"/>
      <c r="AW102" s="991" t="n"/>
      <c r="AX102" s="18" t="n"/>
    </row>
    <row r="103" ht="16.4" customHeight="1" s="828">
      <c r="A103" s="722" t="n"/>
      <c r="B103" s="1021" t="n"/>
      <c r="C103" s="1021" t="n"/>
      <c r="D103" s="1021" t="n"/>
      <c r="E103" s="1021" t="n"/>
      <c r="F103" s="1021" t="n"/>
      <c r="G103" s="1021" t="n"/>
      <c r="H103" s="1021" t="n"/>
      <c r="I103" s="1021" t="n"/>
      <c r="J103" s="1021" t="n"/>
      <c r="K103" s="1022" t="n"/>
      <c r="L103" s="963" t="n"/>
      <c r="M103" s="963" t="n"/>
      <c r="N103" s="963" t="n"/>
      <c r="O103" s="963" t="n"/>
      <c r="P103" s="963" t="n"/>
      <c r="Q103" s="963" t="n"/>
      <c r="R103" s="963" t="n"/>
      <c r="S103" s="963" t="n"/>
      <c r="T103" s="963" t="n"/>
      <c r="U103" s="991" t="n"/>
      <c r="V103" s="1021" t="n"/>
      <c r="W103" s="1021" t="n"/>
      <c r="X103" s="1021" t="n"/>
      <c r="Y103" s="1021" t="n"/>
      <c r="Z103" s="1021" t="n"/>
      <c r="AA103" s="989" t="n"/>
      <c r="AB103" s="1022" t="n"/>
      <c r="AC103" s="963" t="n"/>
      <c r="AD103" s="963" t="n"/>
      <c r="AE103" s="963" t="n"/>
      <c r="AF103" s="963" t="n"/>
      <c r="AG103" s="963" t="n"/>
      <c r="AH103" s="963" t="n"/>
      <c r="AI103" s="991" t="n"/>
      <c r="AJ103" s="1021" t="n"/>
      <c r="AK103" s="1021" t="n"/>
      <c r="AL103" s="1021" t="n"/>
      <c r="AM103" s="1021" t="n"/>
      <c r="AN103" s="1021" t="n"/>
      <c r="AO103" s="1021" t="n"/>
      <c r="AP103" s="1022" t="n"/>
      <c r="AQ103" s="963" t="n"/>
      <c r="AR103" s="963" t="n"/>
      <c r="AS103" s="963" t="n"/>
      <c r="AT103" s="963" t="n"/>
      <c r="AU103" s="963" t="n"/>
      <c r="AV103" s="963" t="n"/>
      <c r="AW103" s="991" t="n"/>
      <c r="AX103" s="18" t="n"/>
    </row>
    <row r="104" ht="16.4" customHeight="1" s="828">
      <c r="A104" s="722" t="n"/>
      <c r="B104" s="1021" t="n"/>
      <c r="C104" s="1021" t="n"/>
      <c r="D104" s="1021" t="n"/>
      <c r="E104" s="1021" t="n"/>
      <c r="F104" s="1021" t="n"/>
      <c r="G104" s="1021" t="n"/>
      <c r="H104" s="1021" t="n"/>
      <c r="I104" s="1021" t="n"/>
      <c r="J104" s="1021" t="n"/>
      <c r="K104" s="1022" t="n"/>
      <c r="L104" s="963" t="n"/>
      <c r="M104" s="963" t="n"/>
      <c r="N104" s="963" t="n"/>
      <c r="O104" s="963" t="n"/>
      <c r="P104" s="963" t="n"/>
      <c r="Q104" s="963" t="n"/>
      <c r="R104" s="963" t="n"/>
      <c r="S104" s="963" t="n"/>
      <c r="T104" s="963" t="n"/>
      <c r="U104" s="991" t="n"/>
      <c r="V104" s="1021" t="n"/>
      <c r="W104" s="1021" t="n"/>
      <c r="X104" s="1021" t="n"/>
      <c r="Y104" s="1021" t="n"/>
      <c r="Z104" s="1021" t="n"/>
      <c r="AA104" s="989" t="n"/>
      <c r="AB104" s="1022" t="n"/>
      <c r="AC104" s="963" t="n"/>
      <c r="AD104" s="963" t="n"/>
      <c r="AE104" s="963" t="n"/>
      <c r="AF104" s="963" t="n"/>
      <c r="AG104" s="963" t="n"/>
      <c r="AH104" s="963" t="n"/>
      <c r="AI104" s="991" t="n"/>
      <c r="AJ104" s="1021" t="n"/>
      <c r="AK104" s="1021" t="n"/>
      <c r="AL104" s="1021" t="n"/>
      <c r="AM104" s="1021" t="n"/>
      <c r="AN104" s="1021" t="n"/>
      <c r="AO104" s="1021" t="n"/>
      <c r="AP104" s="1022" t="n"/>
      <c r="AQ104" s="963" t="n"/>
      <c r="AR104" s="963" t="n"/>
      <c r="AS104" s="963" t="n"/>
      <c r="AT104" s="963" t="n"/>
      <c r="AU104" s="963" t="n"/>
      <c r="AV104" s="963" t="n"/>
      <c r="AW104" s="991" t="n"/>
      <c r="AX104" s="18" t="n"/>
    </row>
    <row r="105" ht="16.4" customHeight="1" s="828">
      <c r="A105" s="722" t="n"/>
      <c r="B105" s="1021" t="n"/>
      <c r="C105" s="1021" t="n"/>
      <c r="D105" s="1021" t="n"/>
      <c r="E105" s="1021" t="n"/>
      <c r="F105" s="1021" t="n"/>
      <c r="G105" s="1021" t="n"/>
      <c r="H105" s="1021" t="n"/>
      <c r="I105" s="1021" t="n"/>
      <c r="J105" s="1021" t="n"/>
      <c r="K105" s="1022" t="n"/>
      <c r="L105" s="963" t="n"/>
      <c r="M105" s="963" t="n"/>
      <c r="N105" s="963" t="n"/>
      <c r="O105" s="963" t="n"/>
      <c r="P105" s="963" t="n"/>
      <c r="Q105" s="963" t="n"/>
      <c r="R105" s="963" t="n"/>
      <c r="S105" s="963" t="n"/>
      <c r="T105" s="963" t="n"/>
      <c r="U105" s="991" t="n"/>
      <c r="V105" s="1021" t="n"/>
      <c r="W105" s="1021" t="n"/>
      <c r="X105" s="1021" t="n"/>
      <c r="Y105" s="1021" t="n"/>
      <c r="Z105" s="1021" t="n"/>
      <c r="AA105" s="989" t="n"/>
      <c r="AB105" s="1022" t="n"/>
      <c r="AC105" s="963" t="n"/>
      <c r="AD105" s="963" t="n"/>
      <c r="AE105" s="963" t="n"/>
      <c r="AF105" s="963" t="n"/>
      <c r="AG105" s="963" t="n"/>
      <c r="AH105" s="963" t="n"/>
      <c r="AI105" s="991" t="n"/>
      <c r="AJ105" s="1021" t="n"/>
      <c r="AK105" s="1021" t="n"/>
      <c r="AL105" s="1021" t="n"/>
      <c r="AM105" s="1021" t="n"/>
      <c r="AN105" s="1021" t="n"/>
      <c r="AO105" s="1021" t="n"/>
      <c r="AP105" s="1022" t="n"/>
      <c r="AQ105" s="963" t="n"/>
      <c r="AR105" s="963" t="n"/>
      <c r="AS105" s="963" t="n"/>
      <c r="AT105" s="963" t="n"/>
      <c r="AU105" s="963" t="n"/>
      <c r="AV105" s="963" t="n"/>
      <c r="AW105" s="991" t="n"/>
      <c r="AX105" s="18" t="n"/>
    </row>
    <row r="106" ht="16.4" customHeight="1" s="828">
      <c r="A106" s="722" t="n"/>
      <c r="B106" s="1021" t="n"/>
      <c r="C106" s="1021" t="n"/>
      <c r="D106" s="1021" t="n"/>
      <c r="E106" s="1021" t="n"/>
      <c r="F106" s="1021" t="n"/>
      <c r="G106" s="1021" t="n"/>
      <c r="H106" s="1021" t="n"/>
      <c r="I106" s="1021" t="n"/>
      <c r="J106" s="1021" t="n"/>
      <c r="K106" s="1022" t="n"/>
      <c r="L106" s="963" t="n"/>
      <c r="M106" s="963" t="n"/>
      <c r="N106" s="963" t="n"/>
      <c r="O106" s="963" t="n"/>
      <c r="P106" s="963" t="n"/>
      <c r="Q106" s="963" t="n"/>
      <c r="R106" s="963" t="n"/>
      <c r="S106" s="963" t="n"/>
      <c r="T106" s="963" t="n"/>
      <c r="U106" s="991" t="n"/>
      <c r="V106" s="1021" t="n"/>
      <c r="W106" s="1021" t="n"/>
      <c r="X106" s="1021" t="n"/>
      <c r="Y106" s="1021" t="n"/>
      <c r="Z106" s="1021" t="n"/>
      <c r="AA106" s="989" t="n"/>
      <c r="AB106" s="1022" t="n"/>
      <c r="AC106" s="963" t="n"/>
      <c r="AD106" s="963" t="n"/>
      <c r="AE106" s="963" t="n"/>
      <c r="AF106" s="963" t="n"/>
      <c r="AG106" s="963" t="n"/>
      <c r="AH106" s="963" t="n"/>
      <c r="AI106" s="991" t="n"/>
      <c r="AJ106" s="1021" t="n"/>
      <c r="AK106" s="1021" t="n"/>
      <c r="AL106" s="1021" t="n"/>
      <c r="AM106" s="1021" t="n"/>
      <c r="AN106" s="1021" t="n"/>
      <c r="AO106" s="1021" t="n"/>
      <c r="AP106" s="1022" t="n"/>
      <c r="AQ106" s="963" t="n"/>
      <c r="AR106" s="963" t="n"/>
      <c r="AS106" s="963" t="n"/>
      <c r="AT106" s="963" t="n"/>
      <c r="AU106" s="963" t="n"/>
      <c r="AV106" s="963" t="n"/>
      <c r="AW106" s="991" t="n"/>
      <c r="AX106" s="18" t="n"/>
    </row>
    <row r="107" ht="16.4" customHeight="1" s="828">
      <c r="A107" s="722" t="n"/>
      <c r="B107" s="1021" t="n"/>
      <c r="C107" s="1021" t="n"/>
      <c r="D107" s="1021" t="n"/>
      <c r="E107" s="1021" t="n"/>
      <c r="F107" s="1021" t="n"/>
      <c r="G107" s="1021" t="n"/>
      <c r="H107" s="1021" t="n"/>
      <c r="I107" s="1021" t="n"/>
      <c r="J107" s="1021" t="n"/>
      <c r="K107" s="1022" t="n"/>
      <c r="L107" s="963" t="n"/>
      <c r="M107" s="963" t="n"/>
      <c r="N107" s="963" t="n"/>
      <c r="O107" s="963" t="n"/>
      <c r="P107" s="963" t="n"/>
      <c r="Q107" s="963" t="n"/>
      <c r="R107" s="963" t="n"/>
      <c r="S107" s="963" t="n"/>
      <c r="T107" s="963" t="n"/>
      <c r="U107" s="991" t="n"/>
      <c r="V107" s="1021" t="n"/>
      <c r="W107" s="1021" t="n"/>
      <c r="X107" s="1021" t="n"/>
      <c r="Y107" s="1021" t="n"/>
      <c r="Z107" s="1021" t="n"/>
      <c r="AA107" s="989" t="n"/>
      <c r="AB107" s="1022" t="n"/>
      <c r="AC107" s="963" t="n"/>
      <c r="AD107" s="963" t="n"/>
      <c r="AE107" s="963" t="n"/>
      <c r="AF107" s="963" t="n"/>
      <c r="AG107" s="963" t="n"/>
      <c r="AH107" s="963" t="n"/>
      <c r="AI107" s="991" t="n"/>
      <c r="AJ107" s="1021" t="n"/>
      <c r="AK107" s="1021" t="n"/>
      <c r="AL107" s="1021" t="n"/>
      <c r="AM107" s="1021" t="n"/>
      <c r="AN107" s="1021" t="n"/>
      <c r="AO107" s="1021" t="n"/>
      <c r="AP107" s="1022" t="n"/>
      <c r="AQ107" s="963" t="n"/>
      <c r="AR107" s="963" t="n"/>
      <c r="AS107" s="963" t="n"/>
      <c r="AT107" s="963" t="n"/>
      <c r="AU107" s="963" t="n"/>
      <c r="AV107" s="963" t="n"/>
      <c r="AW107" s="991" t="n"/>
      <c r="AX107" s="18" t="n"/>
    </row>
    <row r="108" ht="16.4" customHeight="1" s="828">
      <c r="A108" s="722" t="n"/>
      <c r="B108" s="1021" t="n"/>
      <c r="C108" s="1021" t="n"/>
      <c r="D108" s="1021" t="n"/>
      <c r="E108" s="1021" t="n"/>
      <c r="F108" s="1021" t="n"/>
      <c r="G108" s="1021" t="n"/>
      <c r="H108" s="1021" t="n"/>
      <c r="I108" s="1021" t="n"/>
      <c r="J108" s="1021" t="n"/>
      <c r="K108" s="1022" t="n"/>
      <c r="L108" s="963" t="n"/>
      <c r="M108" s="963" t="n"/>
      <c r="N108" s="963" t="n"/>
      <c r="O108" s="963" t="n"/>
      <c r="P108" s="963" t="n"/>
      <c r="Q108" s="963" t="n"/>
      <c r="R108" s="963" t="n"/>
      <c r="S108" s="963" t="n"/>
      <c r="T108" s="963" t="n"/>
      <c r="U108" s="991" t="n"/>
      <c r="V108" s="1021" t="n"/>
      <c r="W108" s="1021" t="n"/>
      <c r="X108" s="1021" t="n"/>
      <c r="Y108" s="1021" t="n"/>
      <c r="Z108" s="1021" t="n"/>
      <c r="AA108" s="989" t="n"/>
      <c r="AB108" s="1022" t="n"/>
      <c r="AC108" s="963" t="n"/>
      <c r="AD108" s="963" t="n"/>
      <c r="AE108" s="963" t="n"/>
      <c r="AF108" s="963" t="n"/>
      <c r="AG108" s="963" t="n"/>
      <c r="AH108" s="963" t="n"/>
      <c r="AI108" s="991" t="n"/>
      <c r="AJ108" s="1021" t="n"/>
      <c r="AK108" s="1021" t="n"/>
      <c r="AL108" s="1021" t="n"/>
      <c r="AM108" s="1021" t="n"/>
      <c r="AN108" s="1021" t="n"/>
      <c r="AO108" s="1021" t="n"/>
      <c r="AP108" s="1022" t="n"/>
      <c r="AQ108" s="963" t="n"/>
      <c r="AR108" s="963" t="n"/>
      <c r="AS108" s="963" t="n"/>
      <c r="AT108" s="963" t="n"/>
      <c r="AU108" s="963" t="n"/>
      <c r="AV108" s="963" t="n"/>
      <c r="AW108" s="991" t="n"/>
      <c r="AX108" s="18" t="n"/>
    </row>
    <row r="109" ht="16.4" customHeight="1" s="828">
      <c r="A109" s="722" t="n"/>
      <c r="B109" s="1021" t="n"/>
      <c r="C109" s="1021" t="n"/>
      <c r="D109" s="1021" t="n"/>
      <c r="E109" s="1021" t="n"/>
      <c r="F109" s="1021" t="n"/>
      <c r="G109" s="1021" t="n"/>
      <c r="H109" s="1021" t="n"/>
      <c r="I109" s="1021" t="n"/>
      <c r="J109" s="1021" t="n"/>
      <c r="K109" s="1022" t="n"/>
      <c r="L109" s="963" t="n"/>
      <c r="M109" s="963" t="n"/>
      <c r="N109" s="963" t="n"/>
      <c r="O109" s="963" t="n"/>
      <c r="P109" s="963" t="n"/>
      <c r="Q109" s="963" t="n"/>
      <c r="R109" s="963" t="n"/>
      <c r="S109" s="963" t="n"/>
      <c r="T109" s="963" t="n"/>
      <c r="U109" s="991" t="n"/>
      <c r="V109" s="1021" t="n"/>
      <c r="W109" s="1021" t="n"/>
      <c r="X109" s="1021" t="n"/>
      <c r="Y109" s="1021" t="n"/>
      <c r="Z109" s="1021" t="n"/>
      <c r="AA109" s="989" t="n"/>
      <c r="AB109" s="1022" t="n"/>
      <c r="AC109" s="963" t="n"/>
      <c r="AD109" s="963" t="n"/>
      <c r="AE109" s="963" t="n"/>
      <c r="AF109" s="963" t="n"/>
      <c r="AG109" s="963" t="n"/>
      <c r="AH109" s="963" t="n"/>
      <c r="AI109" s="991" t="n"/>
      <c r="AJ109" s="1021" t="n"/>
      <c r="AK109" s="1021" t="n"/>
      <c r="AL109" s="1021" t="n"/>
      <c r="AM109" s="1021" t="n"/>
      <c r="AN109" s="1021" t="n"/>
      <c r="AO109" s="1021" t="n"/>
      <c r="AP109" s="1022" t="n"/>
      <c r="AQ109" s="963" t="n"/>
      <c r="AR109" s="963" t="n"/>
      <c r="AS109" s="963" t="n"/>
      <c r="AT109" s="963" t="n"/>
      <c r="AU109" s="963" t="n"/>
      <c r="AV109" s="963" t="n"/>
      <c r="AW109" s="991" t="n"/>
      <c r="AX109" s="18" t="n"/>
    </row>
    <row r="110" ht="16.4" customHeight="1" s="828">
      <c r="A110" s="722" t="n"/>
      <c r="B110" s="1021" t="n"/>
      <c r="C110" s="1021" t="n"/>
      <c r="D110" s="1021" t="n"/>
      <c r="E110" s="1021" t="n"/>
      <c r="F110" s="1021" t="n"/>
      <c r="G110" s="1021" t="n"/>
      <c r="H110" s="1021" t="n"/>
      <c r="I110" s="1021" t="n"/>
      <c r="J110" s="1021" t="n"/>
      <c r="K110" s="1022" t="n"/>
      <c r="L110" s="963" t="n"/>
      <c r="M110" s="963" t="n"/>
      <c r="N110" s="963" t="n"/>
      <c r="O110" s="963" t="n"/>
      <c r="P110" s="963" t="n"/>
      <c r="Q110" s="963" t="n"/>
      <c r="R110" s="963" t="n"/>
      <c r="S110" s="963" t="n"/>
      <c r="T110" s="963" t="n"/>
      <c r="U110" s="991" t="n"/>
      <c r="V110" s="1021" t="n"/>
      <c r="W110" s="1021" t="n"/>
      <c r="X110" s="1021" t="n"/>
      <c r="Y110" s="1021" t="n"/>
      <c r="Z110" s="1021" t="n"/>
      <c r="AA110" s="989" t="n"/>
      <c r="AB110" s="1022" t="n"/>
      <c r="AC110" s="963" t="n"/>
      <c r="AD110" s="963" t="n"/>
      <c r="AE110" s="963" t="n"/>
      <c r="AF110" s="963" t="n"/>
      <c r="AG110" s="963" t="n"/>
      <c r="AH110" s="963" t="n"/>
      <c r="AI110" s="991" t="n"/>
      <c r="AJ110" s="1021" t="n"/>
      <c r="AK110" s="1021" t="n"/>
      <c r="AL110" s="1021" t="n"/>
      <c r="AM110" s="1021" t="n"/>
      <c r="AN110" s="1021" t="n"/>
      <c r="AO110" s="1021" t="n"/>
      <c r="AP110" s="1022" t="n"/>
      <c r="AQ110" s="963" t="n"/>
      <c r="AR110" s="963" t="n"/>
      <c r="AS110" s="963" t="n"/>
      <c r="AT110" s="963" t="n"/>
      <c r="AU110" s="963" t="n"/>
      <c r="AV110" s="963" t="n"/>
      <c r="AW110" s="991" t="n"/>
      <c r="AX110" s="18" t="n"/>
    </row>
    <row r="111" ht="16.4" customHeight="1" s="828">
      <c r="A111" s="722" t="n"/>
      <c r="B111" s="1021" t="n"/>
      <c r="C111" s="1021" t="n"/>
      <c r="D111" s="1021" t="n"/>
      <c r="E111" s="1021" t="n"/>
      <c r="F111" s="1021" t="n"/>
      <c r="G111" s="1021" t="n"/>
      <c r="H111" s="1021" t="n"/>
      <c r="I111" s="1021" t="n"/>
      <c r="J111" s="1021" t="n"/>
      <c r="K111" s="1022" t="n"/>
      <c r="L111" s="963" t="n"/>
      <c r="M111" s="963" t="n"/>
      <c r="N111" s="963" t="n"/>
      <c r="O111" s="963" t="n"/>
      <c r="P111" s="963" t="n"/>
      <c r="Q111" s="963" t="n"/>
      <c r="R111" s="963" t="n"/>
      <c r="S111" s="963" t="n"/>
      <c r="T111" s="963" t="n"/>
      <c r="U111" s="991" t="n"/>
      <c r="V111" s="1021" t="n"/>
      <c r="W111" s="1021" t="n"/>
      <c r="X111" s="1021" t="n"/>
      <c r="Y111" s="1021" t="n"/>
      <c r="Z111" s="1021" t="n"/>
      <c r="AA111" s="989" t="n"/>
      <c r="AB111" s="1022" t="n"/>
      <c r="AC111" s="963" t="n"/>
      <c r="AD111" s="963" t="n"/>
      <c r="AE111" s="963" t="n"/>
      <c r="AF111" s="963" t="n"/>
      <c r="AG111" s="963" t="n"/>
      <c r="AH111" s="963" t="n"/>
      <c r="AI111" s="991" t="n"/>
      <c r="AJ111" s="1021" t="n"/>
      <c r="AK111" s="1021" t="n"/>
      <c r="AL111" s="1021" t="n"/>
      <c r="AM111" s="1021" t="n"/>
      <c r="AN111" s="1021" t="n"/>
      <c r="AO111" s="1021" t="n"/>
      <c r="AP111" s="1022" t="n"/>
      <c r="AQ111" s="963" t="n"/>
      <c r="AR111" s="963" t="n"/>
      <c r="AS111" s="963" t="n"/>
      <c r="AT111" s="963" t="n"/>
      <c r="AU111" s="963" t="n"/>
      <c r="AV111" s="963" t="n"/>
      <c r="AW111" s="991" t="n"/>
      <c r="AX111" s="18" t="n"/>
    </row>
    <row r="112" ht="16.4" customHeight="1" s="828">
      <c r="A112" s="722" t="n"/>
      <c r="B112" s="1021" t="n"/>
      <c r="C112" s="1021" t="n"/>
      <c r="D112" s="1021" t="n"/>
      <c r="E112" s="1021" t="n"/>
      <c r="F112" s="1021" t="n"/>
      <c r="G112" s="1021" t="n"/>
      <c r="H112" s="1021" t="n"/>
      <c r="I112" s="1021" t="n"/>
      <c r="J112" s="1021" t="n"/>
      <c r="K112" s="1022" t="n"/>
      <c r="L112" s="963" t="n"/>
      <c r="M112" s="963" t="n"/>
      <c r="N112" s="963" t="n"/>
      <c r="O112" s="963" t="n"/>
      <c r="P112" s="963" t="n"/>
      <c r="Q112" s="963" t="n"/>
      <c r="R112" s="963" t="n"/>
      <c r="S112" s="963" t="n"/>
      <c r="T112" s="963" t="n"/>
      <c r="U112" s="991" t="n"/>
      <c r="V112" s="1021" t="n"/>
      <c r="W112" s="1021" t="n"/>
      <c r="X112" s="1021" t="n"/>
      <c r="Y112" s="1021" t="n"/>
      <c r="Z112" s="1021" t="n"/>
      <c r="AA112" s="989" t="n"/>
      <c r="AB112" s="1022" t="n"/>
      <c r="AC112" s="963" t="n"/>
      <c r="AD112" s="963" t="n"/>
      <c r="AE112" s="963" t="n"/>
      <c r="AF112" s="963" t="n"/>
      <c r="AG112" s="963" t="n"/>
      <c r="AH112" s="963" t="n"/>
      <c r="AI112" s="991" t="n"/>
      <c r="AJ112" s="1021" t="n"/>
      <c r="AK112" s="1021" t="n"/>
      <c r="AL112" s="1021" t="n"/>
      <c r="AM112" s="1021" t="n"/>
      <c r="AN112" s="1021" t="n"/>
      <c r="AO112" s="1021" t="n"/>
      <c r="AP112" s="1022" t="n"/>
      <c r="AQ112" s="963" t="n"/>
      <c r="AR112" s="963" t="n"/>
      <c r="AS112" s="963" t="n"/>
      <c r="AT112" s="963" t="n"/>
      <c r="AU112" s="963" t="n"/>
      <c r="AV112" s="963" t="n"/>
      <c r="AW112" s="991" t="n"/>
      <c r="AX112" s="18" t="n"/>
    </row>
    <row r="113" ht="16.4" customHeight="1" s="828">
      <c r="A113" s="722" t="n"/>
      <c r="B113" s="1021" t="n"/>
      <c r="C113" s="1021" t="n"/>
      <c r="D113" s="1021" t="n"/>
      <c r="E113" s="1021" t="n"/>
      <c r="F113" s="1021" t="n"/>
      <c r="G113" s="1021" t="n"/>
      <c r="H113" s="1021" t="n"/>
      <c r="I113" s="1021" t="n"/>
      <c r="J113" s="1021" t="n"/>
      <c r="K113" s="1022" t="n"/>
      <c r="L113" s="963" t="n"/>
      <c r="M113" s="963" t="n"/>
      <c r="N113" s="963" t="n"/>
      <c r="O113" s="963" t="n"/>
      <c r="P113" s="963" t="n"/>
      <c r="Q113" s="963" t="n"/>
      <c r="R113" s="963" t="n"/>
      <c r="S113" s="963" t="n"/>
      <c r="T113" s="963" t="n"/>
      <c r="U113" s="991" t="n"/>
      <c r="V113" s="1021" t="n"/>
      <c r="W113" s="1021" t="n"/>
      <c r="X113" s="1021" t="n"/>
      <c r="Y113" s="1021" t="n"/>
      <c r="Z113" s="1021" t="n"/>
      <c r="AA113" s="989" t="n"/>
      <c r="AB113" s="1022" t="n"/>
      <c r="AC113" s="963" t="n"/>
      <c r="AD113" s="963" t="n"/>
      <c r="AE113" s="963" t="n"/>
      <c r="AF113" s="963" t="n"/>
      <c r="AG113" s="963" t="n"/>
      <c r="AH113" s="963" t="n"/>
      <c r="AI113" s="991" t="n"/>
      <c r="AJ113" s="1021" t="n"/>
      <c r="AK113" s="1021" t="n"/>
      <c r="AL113" s="1021" t="n"/>
      <c r="AM113" s="1021" t="n"/>
      <c r="AN113" s="1021" t="n"/>
      <c r="AO113" s="1021" t="n"/>
      <c r="AP113" s="1022" t="n"/>
      <c r="AQ113" s="963" t="n"/>
      <c r="AR113" s="963" t="n"/>
      <c r="AS113" s="963" t="n"/>
      <c r="AT113" s="963" t="n"/>
      <c r="AU113" s="963" t="n"/>
      <c r="AV113" s="963" t="n"/>
      <c r="AW113" s="991" t="n"/>
      <c r="AX113" s="18" t="n"/>
    </row>
    <row r="114" ht="16.4" customHeight="1" s="828">
      <c r="A114" s="722" t="n"/>
      <c r="B114" s="1021" t="n"/>
      <c r="C114" s="1021" t="n"/>
      <c r="D114" s="1021" t="n"/>
      <c r="E114" s="1021" t="n"/>
      <c r="F114" s="1021" t="n"/>
      <c r="G114" s="1021" t="n"/>
      <c r="H114" s="1021" t="n"/>
      <c r="I114" s="1021" t="n"/>
      <c r="J114" s="1021" t="n"/>
      <c r="K114" s="1022" t="n"/>
      <c r="L114" s="963" t="n"/>
      <c r="M114" s="963" t="n"/>
      <c r="N114" s="963" t="n"/>
      <c r="O114" s="963" t="n"/>
      <c r="P114" s="963" t="n"/>
      <c r="Q114" s="963" t="n"/>
      <c r="R114" s="963" t="n"/>
      <c r="S114" s="963" t="n"/>
      <c r="T114" s="963" t="n"/>
      <c r="U114" s="991" t="n"/>
      <c r="V114" s="1021" t="n"/>
      <c r="W114" s="1021" t="n"/>
      <c r="X114" s="1021" t="n"/>
      <c r="Y114" s="1021" t="n"/>
      <c r="Z114" s="1021" t="n"/>
      <c r="AA114" s="989" t="n"/>
      <c r="AB114" s="1022" t="n"/>
      <c r="AC114" s="963" t="n"/>
      <c r="AD114" s="963" t="n"/>
      <c r="AE114" s="963" t="n"/>
      <c r="AF114" s="963" t="n"/>
      <c r="AG114" s="963" t="n"/>
      <c r="AH114" s="963" t="n"/>
      <c r="AI114" s="991" t="n"/>
      <c r="AJ114" s="1021" t="n"/>
      <c r="AK114" s="1021" t="n"/>
      <c r="AL114" s="1021" t="n"/>
      <c r="AM114" s="1021" t="n"/>
      <c r="AN114" s="1021" t="n"/>
      <c r="AO114" s="1021" t="n"/>
      <c r="AP114" s="1022" t="n"/>
      <c r="AQ114" s="963" t="n"/>
      <c r="AR114" s="963" t="n"/>
      <c r="AS114" s="963" t="n"/>
      <c r="AT114" s="963" t="n"/>
      <c r="AU114" s="963" t="n"/>
      <c r="AV114" s="963" t="n"/>
      <c r="AW114" s="991" t="n"/>
      <c r="AX114" s="18" t="n"/>
    </row>
    <row r="115" ht="16.4" customHeight="1" s="828">
      <c r="A115" s="722" t="n"/>
      <c r="B115" s="1021" t="n"/>
      <c r="C115" s="1021" t="n"/>
      <c r="D115" s="1021" t="n"/>
      <c r="E115" s="1021" t="n"/>
      <c r="F115" s="1021" t="n"/>
      <c r="G115" s="1021" t="n"/>
      <c r="H115" s="1021" t="n"/>
      <c r="I115" s="1021" t="n"/>
      <c r="J115" s="1021" t="n"/>
      <c r="K115" s="1022" t="n"/>
      <c r="L115" s="963" t="n"/>
      <c r="M115" s="963" t="n"/>
      <c r="N115" s="963" t="n"/>
      <c r="O115" s="963" t="n"/>
      <c r="P115" s="963" t="n"/>
      <c r="Q115" s="963" t="n"/>
      <c r="R115" s="963" t="n"/>
      <c r="S115" s="963" t="n"/>
      <c r="T115" s="963" t="n"/>
      <c r="U115" s="991" t="n"/>
      <c r="V115" s="1021" t="n"/>
      <c r="W115" s="1021" t="n"/>
      <c r="X115" s="1021" t="n"/>
      <c r="Y115" s="1021" t="n"/>
      <c r="Z115" s="1021" t="n"/>
      <c r="AA115" s="989" t="n"/>
      <c r="AB115" s="1022" t="n"/>
      <c r="AC115" s="963" t="n"/>
      <c r="AD115" s="963" t="n"/>
      <c r="AE115" s="963" t="n"/>
      <c r="AF115" s="963" t="n"/>
      <c r="AG115" s="963" t="n"/>
      <c r="AH115" s="963" t="n"/>
      <c r="AI115" s="991" t="n"/>
      <c r="AJ115" s="1021" t="n"/>
      <c r="AK115" s="1021" t="n"/>
      <c r="AL115" s="1021" t="n"/>
      <c r="AM115" s="1021" t="n"/>
      <c r="AN115" s="1021" t="n"/>
      <c r="AO115" s="1021" t="n"/>
      <c r="AP115" s="1022" t="n"/>
      <c r="AQ115" s="963" t="n"/>
      <c r="AR115" s="963" t="n"/>
      <c r="AS115" s="963" t="n"/>
      <c r="AT115" s="963" t="n"/>
      <c r="AU115" s="963" t="n"/>
      <c r="AV115" s="963" t="n"/>
      <c r="AW115" s="991" t="n"/>
      <c r="AX115" s="18" t="n"/>
    </row>
    <row r="116" ht="16.4" customHeight="1" s="828">
      <c r="A116" s="722" t="n"/>
      <c r="B116" s="1021" t="n"/>
      <c r="C116" s="1021" t="n"/>
      <c r="D116" s="1021" t="n"/>
      <c r="E116" s="1021" t="n"/>
      <c r="F116" s="1021" t="n"/>
      <c r="G116" s="1021" t="n"/>
      <c r="H116" s="1021" t="n"/>
      <c r="I116" s="1021" t="n"/>
      <c r="J116" s="1021" t="n"/>
      <c r="K116" s="1022" t="n"/>
      <c r="L116" s="963" t="n"/>
      <c r="M116" s="963" t="n"/>
      <c r="N116" s="963" t="n"/>
      <c r="O116" s="963" t="n"/>
      <c r="P116" s="963" t="n"/>
      <c r="Q116" s="963" t="n"/>
      <c r="R116" s="963" t="n"/>
      <c r="S116" s="963" t="n"/>
      <c r="T116" s="963" t="n"/>
      <c r="U116" s="991" t="n"/>
      <c r="V116" s="1021" t="n"/>
      <c r="W116" s="1021" t="n"/>
      <c r="X116" s="1021" t="n"/>
      <c r="Y116" s="1021" t="n"/>
      <c r="Z116" s="1021" t="n"/>
      <c r="AA116" s="989" t="n"/>
      <c r="AB116" s="1022" t="n"/>
      <c r="AC116" s="963" t="n"/>
      <c r="AD116" s="963" t="n"/>
      <c r="AE116" s="963" t="n"/>
      <c r="AF116" s="963" t="n"/>
      <c r="AG116" s="963" t="n"/>
      <c r="AH116" s="963" t="n"/>
      <c r="AI116" s="991" t="n"/>
      <c r="AJ116" s="1021" t="n"/>
      <c r="AK116" s="1021" t="n"/>
      <c r="AL116" s="1021" t="n"/>
      <c r="AM116" s="1021" t="n"/>
      <c r="AN116" s="1021" t="n"/>
      <c r="AO116" s="1021" t="n"/>
      <c r="AP116" s="1022" t="n"/>
      <c r="AQ116" s="963" t="n"/>
      <c r="AR116" s="963" t="n"/>
      <c r="AS116" s="963" t="n"/>
      <c r="AT116" s="963" t="n"/>
      <c r="AU116" s="963" t="n"/>
      <c r="AV116" s="963" t="n"/>
      <c r="AW116" s="991" t="n"/>
      <c r="AX116" s="18" t="n"/>
    </row>
    <row r="117" ht="16.4" customHeight="1" s="828">
      <c r="A117" s="722" t="n"/>
      <c r="B117" s="1021" t="n"/>
      <c r="C117" s="1021" t="n"/>
      <c r="D117" s="1021" t="n"/>
      <c r="E117" s="1021" t="n"/>
      <c r="F117" s="1021" t="n"/>
      <c r="G117" s="1021" t="n"/>
      <c r="H117" s="1021" t="n"/>
      <c r="I117" s="1021" t="n"/>
      <c r="J117" s="1021" t="n"/>
      <c r="K117" s="1022" t="n"/>
      <c r="L117" s="963" t="n"/>
      <c r="M117" s="963" t="n"/>
      <c r="N117" s="963" t="n"/>
      <c r="O117" s="963" t="n"/>
      <c r="P117" s="963" t="n"/>
      <c r="Q117" s="963" t="n"/>
      <c r="R117" s="963" t="n"/>
      <c r="S117" s="963" t="n"/>
      <c r="T117" s="963" t="n"/>
      <c r="U117" s="991" t="n"/>
      <c r="V117" s="1021" t="n"/>
      <c r="W117" s="1021" t="n"/>
      <c r="X117" s="1021" t="n"/>
      <c r="Y117" s="1021" t="n"/>
      <c r="Z117" s="1021" t="n"/>
      <c r="AA117" s="989" t="n"/>
      <c r="AB117" s="1022" t="n"/>
      <c r="AC117" s="963" t="n"/>
      <c r="AD117" s="963" t="n"/>
      <c r="AE117" s="963" t="n"/>
      <c r="AF117" s="963" t="n"/>
      <c r="AG117" s="963" t="n"/>
      <c r="AH117" s="963" t="n"/>
      <c r="AI117" s="991" t="n"/>
      <c r="AJ117" s="1021" t="n"/>
      <c r="AK117" s="1021" t="n"/>
      <c r="AL117" s="1021" t="n"/>
      <c r="AM117" s="1021" t="n"/>
      <c r="AN117" s="1021" t="n"/>
      <c r="AO117" s="1021" t="n"/>
      <c r="AP117" s="1022" t="n"/>
      <c r="AQ117" s="963" t="n"/>
      <c r="AR117" s="963" t="n"/>
      <c r="AS117" s="963" t="n"/>
      <c r="AT117" s="963" t="n"/>
      <c r="AU117" s="963" t="n"/>
      <c r="AV117" s="963" t="n"/>
      <c r="AW117" s="991" t="n"/>
      <c r="AX117" s="18" t="n"/>
    </row>
    <row r="118" ht="16.4" customHeight="1" s="828">
      <c r="A118" s="722" t="n"/>
      <c r="B118" s="1021" t="n"/>
      <c r="C118" s="1021" t="n"/>
      <c r="D118" s="1021" t="n"/>
      <c r="E118" s="1021" t="n"/>
      <c r="F118" s="1021" t="n"/>
      <c r="G118" s="1021" t="n"/>
      <c r="H118" s="1021" t="n"/>
      <c r="I118" s="1021" t="n"/>
      <c r="J118" s="1021" t="n"/>
      <c r="K118" s="1022" t="n"/>
      <c r="L118" s="963" t="n"/>
      <c r="M118" s="963" t="n"/>
      <c r="N118" s="963" t="n"/>
      <c r="O118" s="963" t="n"/>
      <c r="P118" s="963" t="n"/>
      <c r="Q118" s="963" t="n"/>
      <c r="R118" s="963" t="n"/>
      <c r="S118" s="963" t="n"/>
      <c r="T118" s="963" t="n"/>
      <c r="U118" s="991" t="n"/>
      <c r="V118" s="1021" t="n"/>
      <c r="W118" s="1021" t="n"/>
      <c r="X118" s="1021" t="n"/>
      <c r="Y118" s="1021" t="n"/>
      <c r="Z118" s="1021" t="n"/>
      <c r="AA118" s="989" t="n"/>
      <c r="AB118" s="1022" t="n"/>
      <c r="AC118" s="963" t="n"/>
      <c r="AD118" s="963" t="n"/>
      <c r="AE118" s="963" t="n"/>
      <c r="AF118" s="963" t="n"/>
      <c r="AG118" s="963" t="n"/>
      <c r="AH118" s="963" t="n"/>
      <c r="AI118" s="991" t="n"/>
      <c r="AJ118" s="1021" t="n"/>
      <c r="AK118" s="1021" t="n"/>
      <c r="AL118" s="1021" t="n"/>
      <c r="AM118" s="1021" t="n"/>
      <c r="AN118" s="1021" t="n"/>
      <c r="AO118" s="1021" t="n"/>
      <c r="AP118" s="1022" t="n"/>
      <c r="AQ118" s="963" t="n"/>
      <c r="AR118" s="963" t="n"/>
      <c r="AS118" s="963" t="n"/>
      <c r="AT118" s="963" t="n"/>
      <c r="AU118" s="963" t="n"/>
      <c r="AV118" s="963" t="n"/>
      <c r="AW118" s="991" t="n"/>
      <c r="AX118" s="18" t="n"/>
    </row>
    <row r="119" ht="16.4" customHeight="1" s="828">
      <c r="A119" s="722" t="n"/>
      <c r="B119" s="1021" t="n"/>
      <c r="C119" s="1021" t="n"/>
      <c r="D119" s="1021" t="n"/>
      <c r="E119" s="1021" t="n"/>
      <c r="F119" s="1021" t="n"/>
      <c r="G119" s="1021" t="n"/>
      <c r="H119" s="1021" t="n"/>
      <c r="I119" s="1021" t="n"/>
      <c r="J119" s="1021" t="n"/>
      <c r="K119" s="1022" t="n"/>
      <c r="L119" s="963" t="n"/>
      <c r="M119" s="963" t="n"/>
      <c r="N119" s="963" t="n"/>
      <c r="O119" s="963" t="n"/>
      <c r="P119" s="963" t="n"/>
      <c r="Q119" s="963" t="n"/>
      <c r="R119" s="963" t="n"/>
      <c r="S119" s="963" t="n"/>
      <c r="T119" s="963" t="n"/>
      <c r="U119" s="991" t="n"/>
      <c r="V119" s="1021" t="n"/>
      <c r="W119" s="1021" t="n"/>
      <c r="X119" s="1021" t="n"/>
      <c r="Y119" s="1021" t="n"/>
      <c r="Z119" s="1021" t="n"/>
      <c r="AA119" s="989" t="n"/>
      <c r="AB119" s="1022" t="n"/>
      <c r="AC119" s="963" t="n"/>
      <c r="AD119" s="963" t="n"/>
      <c r="AE119" s="963" t="n"/>
      <c r="AF119" s="963" t="n"/>
      <c r="AG119" s="963" t="n"/>
      <c r="AH119" s="963" t="n"/>
      <c r="AI119" s="991" t="n"/>
      <c r="AJ119" s="1021" t="n"/>
      <c r="AK119" s="1021" t="n"/>
      <c r="AL119" s="1021" t="n"/>
      <c r="AM119" s="1021" t="n"/>
      <c r="AN119" s="1021" t="n"/>
      <c r="AO119" s="1021" t="n"/>
      <c r="AP119" s="1022" t="n"/>
      <c r="AQ119" s="963" t="n"/>
      <c r="AR119" s="963" t="n"/>
      <c r="AS119" s="963" t="n"/>
      <c r="AT119" s="963" t="n"/>
      <c r="AU119" s="963" t="n"/>
      <c r="AV119" s="963" t="n"/>
      <c r="AW119" s="991" t="n"/>
      <c r="AX119" s="18" t="n"/>
    </row>
    <row r="120" ht="16.4" customHeight="1" s="828">
      <c r="A120" s="722" t="n"/>
      <c r="B120" s="1021" t="n"/>
      <c r="C120" s="1021" t="n"/>
      <c r="D120" s="1021" t="n"/>
      <c r="E120" s="1021" t="n"/>
      <c r="F120" s="1021" t="n"/>
      <c r="G120" s="1021" t="n"/>
      <c r="H120" s="1021" t="n"/>
      <c r="I120" s="1021" t="n"/>
      <c r="J120" s="1021" t="n"/>
      <c r="K120" s="1022" t="n"/>
      <c r="L120" s="963" t="n"/>
      <c r="M120" s="963" t="n"/>
      <c r="N120" s="963" t="n"/>
      <c r="O120" s="963" t="n"/>
      <c r="P120" s="963" t="n"/>
      <c r="Q120" s="963" t="n"/>
      <c r="R120" s="963" t="n"/>
      <c r="S120" s="963" t="n"/>
      <c r="T120" s="963" t="n"/>
      <c r="U120" s="991" t="n"/>
      <c r="V120" s="1021" t="n"/>
      <c r="W120" s="1021" t="n"/>
      <c r="X120" s="1021" t="n"/>
      <c r="Y120" s="1021" t="n"/>
      <c r="Z120" s="1021" t="n"/>
      <c r="AA120" s="989" t="n"/>
      <c r="AB120" s="1022" t="n"/>
      <c r="AC120" s="963" t="n"/>
      <c r="AD120" s="963" t="n"/>
      <c r="AE120" s="963" t="n"/>
      <c r="AF120" s="963" t="n"/>
      <c r="AG120" s="963" t="n"/>
      <c r="AH120" s="963" t="n"/>
      <c r="AI120" s="991" t="n"/>
      <c r="AJ120" s="1021" t="n"/>
      <c r="AK120" s="1021" t="n"/>
      <c r="AL120" s="1021" t="n"/>
      <c r="AM120" s="1021" t="n"/>
      <c r="AN120" s="1021" t="n"/>
      <c r="AO120" s="1021" t="n"/>
      <c r="AP120" s="1022" t="n"/>
      <c r="AQ120" s="963" t="n"/>
      <c r="AR120" s="963" t="n"/>
      <c r="AS120" s="963" t="n"/>
      <c r="AT120" s="963" t="n"/>
      <c r="AU120" s="963" t="n"/>
      <c r="AV120" s="963" t="n"/>
      <c r="AW120" s="991" t="n"/>
      <c r="AX120" s="18" t="n"/>
    </row>
    <row r="121" ht="16.4" customHeight="1" s="828">
      <c r="A121" s="722" t="n"/>
      <c r="B121" s="1021" t="n"/>
      <c r="C121" s="1021" t="n"/>
      <c r="D121" s="1021" t="n"/>
      <c r="E121" s="1021" t="n"/>
      <c r="F121" s="1021" t="n"/>
      <c r="G121" s="1021" t="n"/>
      <c r="H121" s="1021" t="n"/>
      <c r="I121" s="1021" t="n"/>
      <c r="J121" s="1021" t="n"/>
      <c r="K121" s="1022" t="n"/>
      <c r="L121" s="963" t="n"/>
      <c r="M121" s="963" t="n"/>
      <c r="N121" s="963" t="n"/>
      <c r="O121" s="963" t="n"/>
      <c r="P121" s="963" t="n"/>
      <c r="Q121" s="963" t="n"/>
      <c r="R121" s="963" t="n"/>
      <c r="S121" s="963" t="n"/>
      <c r="T121" s="963" t="n"/>
      <c r="U121" s="991" t="n"/>
      <c r="V121" s="1021" t="n"/>
      <c r="W121" s="1021" t="n"/>
      <c r="X121" s="1021" t="n"/>
      <c r="Y121" s="1021" t="n"/>
      <c r="Z121" s="1021" t="n"/>
      <c r="AA121" s="989" t="n"/>
      <c r="AB121" s="1022" t="n"/>
      <c r="AC121" s="963" t="n"/>
      <c r="AD121" s="963" t="n"/>
      <c r="AE121" s="963" t="n"/>
      <c r="AF121" s="963" t="n"/>
      <c r="AG121" s="963" t="n"/>
      <c r="AH121" s="963" t="n"/>
      <c r="AI121" s="991" t="n"/>
      <c r="AJ121" s="1021" t="n"/>
      <c r="AK121" s="1021" t="n"/>
      <c r="AL121" s="1021" t="n"/>
      <c r="AM121" s="1021" t="n"/>
      <c r="AN121" s="1021" t="n"/>
      <c r="AO121" s="1021" t="n"/>
      <c r="AP121" s="1022" t="n"/>
      <c r="AQ121" s="963" t="n"/>
      <c r="AR121" s="963" t="n"/>
      <c r="AS121" s="963" t="n"/>
      <c r="AT121" s="963" t="n"/>
      <c r="AU121" s="963" t="n"/>
      <c r="AV121" s="963" t="n"/>
      <c r="AW121" s="991" t="n"/>
      <c r="AX121" s="18" t="n"/>
    </row>
    <row r="122" ht="16.4" customHeight="1" s="828">
      <c r="A122" s="722" t="n"/>
      <c r="B122" s="1021" t="n"/>
      <c r="C122" s="1021" t="n"/>
      <c r="D122" s="1021" t="n"/>
      <c r="E122" s="1021" t="n"/>
      <c r="F122" s="1021" t="n"/>
      <c r="G122" s="1021" t="n"/>
      <c r="H122" s="1021" t="n"/>
      <c r="I122" s="1021" t="n"/>
      <c r="J122" s="1021" t="n"/>
      <c r="K122" s="1022" t="n"/>
      <c r="L122" s="963" t="n"/>
      <c r="M122" s="963" t="n"/>
      <c r="N122" s="963" t="n"/>
      <c r="O122" s="963" t="n"/>
      <c r="P122" s="963" t="n"/>
      <c r="Q122" s="963" t="n"/>
      <c r="R122" s="963" t="n"/>
      <c r="S122" s="963" t="n"/>
      <c r="T122" s="963" t="n"/>
      <c r="U122" s="991" t="n"/>
      <c r="V122" s="1021" t="n"/>
      <c r="W122" s="1021" t="n"/>
      <c r="X122" s="1021" t="n"/>
      <c r="Y122" s="1021" t="n"/>
      <c r="Z122" s="1021" t="n"/>
      <c r="AA122" s="989" t="n"/>
      <c r="AB122" s="1022" t="n"/>
      <c r="AC122" s="963" t="n"/>
      <c r="AD122" s="963" t="n"/>
      <c r="AE122" s="963" t="n"/>
      <c r="AF122" s="963" t="n"/>
      <c r="AG122" s="963" t="n"/>
      <c r="AH122" s="963" t="n"/>
      <c r="AI122" s="991" t="n"/>
      <c r="AJ122" s="1021" t="n"/>
      <c r="AK122" s="1021" t="n"/>
      <c r="AL122" s="1021" t="n"/>
      <c r="AM122" s="1021" t="n"/>
      <c r="AN122" s="1021" t="n"/>
      <c r="AO122" s="1021" t="n"/>
      <c r="AP122" s="1022" t="n"/>
      <c r="AQ122" s="963" t="n"/>
      <c r="AR122" s="963" t="n"/>
      <c r="AS122" s="963" t="n"/>
      <c r="AT122" s="963" t="n"/>
      <c r="AU122" s="963" t="n"/>
      <c r="AV122" s="963" t="n"/>
      <c r="AW122" s="991" t="n"/>
      <c r="AX122" s="18" t="n"/>
    </row>
    <row r="123" ht="16.4" customHeight="1" s="828">
      <c r="A123" s="722" t="n"/>
      <c r="B123" s="1021" t="n"/>
      <c r="C123" s="1021" t="n"/>
      <c r="D123" s="1021" t="n"/>
      <c r="E123" s="1021" t="n"/>
      <c r="F123" s="1021" t="n"/>
      <c r="G123" s="1021" t="n"/>
      <c r="H123" s="1021" t="n"/>
      <c r="I123" s="1021" t="n"/>
      <c r="J123" s="1021" t="n"/>
      <c r="K123" s="1022" t="n"/>
      <c r="L123" s="963" t="n"/>
      <c r="M123" s="963" t="n"/>
      <c r="N123" s="963" t="n"/>
      <c r="O123" s="963" t="n"/>
      <c r="P123" s="963" t="n"/>
      <c r="Q123" s="963" t="n"/>
      <c r="R123" s="963" t="n"/>
      <c r="S123" s="963" t="n"/>
      <c r="T123" s="963" t="n"/>
      <c r="U123" s="991" t="n"/>
      <c r="V123" s="1021" t="n"/>
      <c r="W123" s="1021" t="n"/>
      <c r="X123" s="1021" t="n"/>
      <c r="Y123" s="1021" t="n"/>
      <c r="Z123" s="1021" t="n"/>
      <c r="AA123" s="989" t="n"/>
      <c r="AB123" s="1022" t="n"/>
      <c r="AC123" s="963" t="n"/>
      <c r="AD123" s="963" t="n"/>
      <c r="AE123" s="963" t="n"/>
      <c r="AF123" s="963" t="n"/>
      <c r="AG123" s="963" t="n"/>
      <c r="AH123" s="963" t="n"/>
      <c r="AI123" s="991" t="n"/>
      <c r="AJ123" s="1021" t="n"/>
      <c r="AK123" s="1021" t="n"/>
      <c r="AL123" s="1021" t="n"/>
      <c r="AM123" s="1021" t="n"/>
      <c r="AN123" s="1021" t="n"/>
      <c r="AO123" s="1021" t="n"/>
      <c r="AP123" s="1022" t="n"/>
      <c r="AQ123" s="963" t="n"/>
      <c r="AR123" s="963" t="n"/>
      <c r="AS123" s="963" t="n"/>
      <c r="AT123" s="963" t="n"/>
      <c r="AU123" s="963" t="n"/>
      <c r="AV123" s="963" t="n"/>
      <c r="AW123" s="991" t="n"/>
      <c r="AX123" s="18" t="n"/>
    </row>
    <row r="124" ht="16.4" customHeight="1" s="828">
      <c r="A124" s="722" t="n"/>
      <c r="B124" s="1021" t="n"/>
      <c r="C124" s="1021" t="n"/>
      <c r="D124" s="1021" t="n"/>
      <c r="E124" s="1021" t="n"/>
      <c r="F124" s="1021" t="n"/>
      <c r="G124" s="1021" t="n"/>
      <c r="H124" s="1021" t="n"/>
      <c r="I124" s="1021" t="n"/>
      <c r="J124" s="1021" t="n"/>
      <c r="K124" s="1022" t="n"/>
      <c r="L124" s="963" t="n"/>
      <c r="M124" s="963" t="n"/>
      <c r="N124" s="963" t="n"/>
      <c r="O124" s="963" t="n"/>
      <c r="P124" s="963" t="n"/>
      <c r="Q124" s="963" t="n"/>
      <c r="R124" s="963" t="n"/>
      <c r="S124" s="963" t="n"/>
      <c r="T124" s="963" t="n"/>
      <c r="U124" s="991" t="n"/>
      <c r="V124" s="1021" t="n"/>
      <c r="W124" s="1021" t="n"/>
      <c r="X124" s="1021" t="n"/>
      <c r="Y124" s="1021" t="n"/>
      <c r="Z124" s="1021" t="n"/>
      <c r="AA124" s="989" t="n"/>
      <c r="AB124" s="1022" t="n"/>
      <c r="AC124" s="963" t="n"/>
      <c r="AD124" s="963" t="n"/>
      <c r="AE124" s="963" t="n"/>
      <c r="AF124" s="963" t="n"/>
      <c r="AG124" s="963" t="n"/>
      <c r="AH124" s="963" t="n"/>
      <c r="AI124" s="991" t="n"/>
      <c r="AJ124" s="1021" t="n"/>
      <c r="AK124" s="1021" t="n"/>
      <c r="AL124" s="1021" t="n"/>
      <c r="AM124" s="1021" t="n"/>
      <c r="AN124" s="1021" t="n"/>
      <c r="AO124" s="1021" t="n"/>
      <c r="AP124" s="1022" t="n"/>
      <c r="AQ124" s="963" t="n"/>
      <c r="AR124" s="963" t="n"/>
      <c r="AS124" s="963" t="n"/>
      <c r="AT124" s="963" t="n"/>
      <c r="AU124" s="963" t="n"/>
      <c r="AV124" s="963" t="n"/>
      <c r="AW124" s="991" t="n"/>
      <c r="AX124" s="18" t="n"/>
    </row>
    <row r="125" ht="16.4" customHeight="1" s="828">
      <c r="A125" s="722" t="n"/>
      <c r="B125" s="1021" t="n"/>
      <c r="C125" s="1021" t="n"/>
      <c r="D125" s="1021" t="n"/>
      <c r="E125" s="1021" t="n"/>
      <c r="F125" s="1021" t="n"/>
      <c r="G125" s="1021" t="n"/>
      <c r="H125" s="1021" t="n"/>
      <c r="I125" s="1021" t="n"/>
      <c r="J125" s="1021" t="n"/>
      <c r="K125" s="1022" t="n"/>
      <c r="L125" s="963" t="n"/>
      <c r="M125" s="963" t="n"/>
      <c r="N125" s="963" t="n"/>
      <c r="O125" s="963" t="n"/>
      <c r="P125" s="963" t="n"/>
      <c r="Q125" s="963" t="n"/>
      <c r="R125" s="963" t="n"/>
      <c r="S125" s="963" t="n"/>
      <c r="T125" s="963" t="n"/>
      <c r="U125" s="991" t="n"/>
      <c r="V125" s="1021" t="n"/>
      <c r="W125" s="1021" t="n"/>
      <c r="X125" s="1021" t="n"/>
      <c r="Y125" s="1021" t="n"/>
      <c r="Z125" s="1021" t="n"/>
      <c r="AA125" s="989" t="n"/>
      <c r="AB125" s="1022" t="n"/>
      <c r="AC125" s="963" t="n"/>
      <c r="AD125" s="963" t="n"/>
      <c r="AE125" s="963" t="n"/>
      <c r="AF125" s="963" t="n"/>
      <c r="AG125" s="963" t="n"/>
      <c r="AH125" s="963" t="n"/>
      <c r="AI125" s="991" t="n"/>
      <c r="AJ125" s="1021" t="n"/>
      <c r="AK125" s="1021" t="n"/>
      <c r="AL125" s="1021" t="n"/>
      <c r="AM125" s="1021" t="n"/>
      <c r="AN125" s="1021" t="n"/>
      <c r="AO125" s="1021" t="n"/>
      <c r="AP125" s="1022" t="n"/>
      <c r="AQ125" s="963" t="n"/>
      <c r="AR125" s="963" t="n"/>
      <c r="AS125" s="963" t="n"/>
      <c r="AT125" s="963" t="n"/>
      <c r="AU125" s="963" t="n"/>
      <c r="AV125" s="963" t="n"/>
      <c r="AW125" s="991" t="n"/>
      <c r="AX125" s="18" t="n"/>
    </row>
    <row r="126" ht="16.4" customHeight="1" s="828">
      <c r="A126" s="722" t="n"/>
      <c r="B126" s="1021" t="n"/>
      <c r="C126" s="1021" t="n"/>
      <c r="D126" s="1021" t="n"/>
      <c r="E126" s="1021" t="n"/>
      <c r="F126" s="1021" t="n"/>
      <c r="G126" s="1021" t="n"/>
      <c r="H126" s="1021" t="n"/>
      <c r="I126" s="1021" t="n"/>
      <c r="J126" s="1021" t="n"/>
      <c r="K126" s="1022" t="n"/>
      <c r="L126" s="963" t="n"/>
      <c r="M126" s="963" t="n"/>
      <c r="N126" s="963" t="n"/>
      <c r="O126" s="963" t="n"/>
      <c r="P126" s="963" t="n"/>
      <c r="Q126" s="963" t="n"/>
      <c r="R126" s="963" t="n"/>
      <c r="S126" s="963" t="n"/>
      <c r="T126" s="963" t="n"/>
      <c r="U126" s="991" t="n"/>
      <c r="V126" s="1021" t="n"/>
      <c r="W126" s="1021" t="n"/>
      <c r="X126" s="1021" t="n"/>
      <c r="Y126" s="1021" t="n"/>
      <c r="Z126" s="1021" t="n"/>
      <c r="AA126" s="989" t="n"/>
      <c r="AB126" s="1022" t="n"/>
      <c r="AC126" s="963" t="n"/>
      <c r="AD126" s="963" t="n"/>
      <c r="AE126" s="963" t="n"/>
      <c r="AF126" s="963" t="n"/>
      <c r="AG126" s="963" t="n"/>
      <c r="AH126" s="963" t="n"/>
      <c r="AI126" s="991" t="n"/>
      <c r="AJ126" s="1021" t="n"/>
      <c r="AK126" s="1021" t="n"/>
      <c r="AL126" s="1021" t="n"/>
      <c r="AM126" s="1021" t="n"/>
      <c r="AN126" s="1021" t="n"/>
      <c r="AO126" s="1021" t="n"/>
      <c r="AP126" s="1022" t="n"/>
      <c r="AQ126" s="963" t="n"/>
      <c r="AR126" s="963" t="n"/>
      <c r="AS126" s="963" t="n"/>
      <c r="AT126" s="963" t="n"/>
      <c r="AU126" s="963" t="n"/>
      <c r="AV126" s="963" t="n"/>
      <c r="AW126" s="991" t="n"/>
      <c r="AX126" s="18" t="n"/>
    </row>
    <row r="127" ht="16.4" customHeight="1" s="828">
      <c r="A127" s="722" t="n"/>
      <c r="B127" s="1021" t="n"/>
      <c r="C127" s="1021" t="n"/>
      <c r="D127" s="1021" t="n"/>
      <c r="E127" s="1021" t="n"/>
      <c r="F127" s="1021" t="n"/>
      <c r="G127" s="1021" t="n"/>
      <c r="H127" s="1021" t="n"/>
      <c r="I127" s="1021" t="n"/>
      <c r="J127" s="1021" t="n"/>
      <c r="K127" s="1022" t="n"/>
      <c r="L127" s="963" t="n"/>
      <c r="M127" s="963" t="n"/>
      <c r="N127" s="963" t="n"/>
      <c r="O127" s="963" t="n"/>
      <c r="P127" s="963" t="n"/>
      <c r="Q127" s="963" t="n"/>
      <c r="R127" s="963" t="n"/>
      <c r="S127" s="963" t="n"/>
      <c r="T127" s="963" t="n"/>
      <c r="U127" s="991" t="n"/>
      <c r="V127" s="1021" t="n"/>
      <c r="W127" s="1021" t="n"/>
      <c r="X127" s="1021" t="n"/>
      <c r="Y127" s="1021" t="n"/>
      <c r="Z127" s="1021" t="n"/>
      <c r="AA127" s="989" t="n"/>
      <c r="AB127" s="1022" t="n"/>
      <c r="AC127" s="963" t="n"/>
      <c r="AD127" s="963" t="n"/>
      <c r="AE127" s="963" t="n"/>
      <c r="AF127" s="963" t="n"/>
      <c r="AG127" s="963" t="n"/>
      <c r="AH127" s="963" t="n"/>
      <c r="AI127" s="991" t="n"/>
      <c r="AJ127" s="1021" t="n"/>
      <c r="AK127" s="1021" t="n"/>
      <c r="AL127" s="1021" t="n"/>
      <c r="AM127" s="1021" t="n"/>
      <c r="AN127" s="1021" t="n"/>
      <c r="AO127" s="1021" t="n"/>
      <c r="AP127" s="1022" t="n"/>
      <c r="AQ127" s="963" t="n"/>
      <c r="AR127" s="963" t="n"/>
      <c r="AS127" s="963" t="n"/>
      <c r="AT127" s="963" t="n"/>
      <c r="AU127" s="963" t="n"/>
      <c r="AV127" s="963" t="n"/>
      <c r="AW127" s="991" t="n"/>
      <c r="AX127" s="18" t="n"/>
    </row>
    <row r="128" ht="16.4" customHeight="1" s="828">
      <c r="A128" s="722" t="n"/>
      <c r="B128" s="1021" t="n"/>
      <c r="C128" s="1021" t="n"/>
      <c r="D128" s="1021" t="n"/>
      <c r="E128" s="1021" t="n"/>
      <c r="F128" s="1021" t="n"/>
      <c r="G128" s="1021" t="n"/>
      <c r="H128" s="1021" t="n"/>
      <c r="I128" s="1021" t="n"/>
      <c r="J128" s="1021" t="n"/>
      <c r="K128" s="1022" t="n"/>
      <c r="L128" s="963" t="n"/>
      <c r="M128" s="963" t="n"/>
      <c r="N128" s="963" t="n"/>
      <c r="O128" s="963" t="n"/>
      <c r="P128" s="963" t="n"/>
      <c r="Q128" s="963" t="n"/>
      <c r="R128" s="963" t="n"/>
      <c r="S128" s="963" t="n"/>
      <c r="T128" s="963" t="n"/>
      <c r="U128" s="991" t="n"/>
      <c r="V128" s="1021" t="n"/>
      <c r="W128" s="1021" t="n"/>
      <c r="X128" s="1021" t="n"/>
      <c r="Y128" s="1021" t="n"/>
      <c r="Z128" s="1021" t="n"/>
      <c r="AA128" s="989" t="n"/>
      <c r="AB128" s="1022" t="n"/>
      <c r="AC128" s="963" t="n"/>
      <c r="AD128" s="963" t="n"/>
      <c r="AE128" s="963" t="n"/>
      <c r="AF128" s="963" t="n"/>
      <c r="AG128" s="963" t="n"/>
      <c r="AH128" s="963" t="n"/>
      <c r="AI128" s="991" t="n"/>
      <c r="AJ128" s="1021" t="n"/>
      <c r="AK128" s="1021" t="n"/>
      <c r="AL128" s="1021" t="n"/>
      <c r="AM128" s="1021" t="n"/>
      <c r="AN128" s="1021" t="n"/>
      <c r="AO128" s="1021" t="n"/>
      <c r="AP128" s="1022" t="n"/>
      <c r="AQ128" s="963" t="n"/>
      <c r="AR128" s="963" t="n"/>
      <c r="AS128" s="963" t="n"/>
      <c r="AT128" s="963" t="n"/>
      <c r="AU128" s="963" t="n"/>
      <c r="AV128" s="963" t="n"/>
      <c r="AW128" s="991" t="n"/>
      <c r="AX128" s="18" t="n"/>
    </row>
    <row r="129" ht="16.4" customHeight="1" s="828">
      <c r="A129" s="722" t="n"/>
      <c r="B129" s="1021" t="n"/>
      <c r="C129" s="1021" t="n"/>
      <c r="D129" s="1021" t="n"/>
      <c r="E129" s="1021" t="n"/>
      <c r="F129" s="1021" t="n"/>
      <c r="G129" s="1021" t="n"/>
      <c r="H129" s="1021" t="n"/>
      <c r="I129" s="1021" t="n"/>
      <c r="J129" s="1021" t="n"/>
      <c r="K129" s="1022" t="n"/>
      <c r="L129" s="963" t="n"/>
      <c r="M129" s="963" t="n"/>
      <c r="N129" s="963" t="n"/>
      <c r="O129" s="963" t="n"/>
      <c r="P129" s="963" t="n"/>
      <c r="Q129" s="963" t="n"/>
      <c r="R129" s="963" t="n"/>
      <c r="S129" s="963" t="n"/>
      <c r="T129" s="963" t="n"/>
      <c r="U129" s="991" t="n"/>
      <c r="V129" s="1021" t="n"/>
      <c r="W129" s="1021" t="n"/>
      <c r="X129" s="1021" t="n"/>
      <c r="Y129" s="1021" t="n"/>
      <c r="Z129" s="1021" t="n"/>
      <c r="AA129" s="989" t="n"/>
      <c r="AB129" s="1022" t="n"/>
      <c r="AC129" s="963" t="n"/>
      <c r="AD129" s="963" t="n"/>
      <c r="AE129" s="963" t="n"/>
      <c r="AF129" s="963" t="n"/>
      <c r="AG129" s="963" t="n"/>
      <c r="AH129" s="963" t="n"/>
      <c r="AI129" s="991" t="n"/>
      <c r="AJ129" s="1021" t="n"/>
      <c r="AK129" s="1021" t="n"/>
      <c r="AL129" s="1021" t="n"/>
      <c r="AM129" s="1021" t="n"/>
      <c r="AN129" s="1021" t="n"/>
      <c r="AO129" s="1021" t="n"/>
      <c r="AP129" s="1022" t="n"/>
      <c r="AQ129" s="963" t="n"/>
      <c r="AR129" s="963" t="n"/>
      <c r="AS129" s="963" t="n"/>
      <c r="AT129" s="963" t="n"/>
      <c r="AU129" s="963" t="n"/>
      <c r="AV129" s="963" t="n"/>
      <c r="AW129" s="991" t="n"/>
      <c r="AX129" s="18" t="n"/>
    </row>
    <row r="130" ht="16.4" customHeight="1" s="828">
      <c r="A130" s="722" t="n"/>
      <c r="B130" s="1021" t="n"/>
      <c r="C130" s="1021" t="n"/>
      <c r="D130" s="1021" t="n"/>
      <c r="E130" s="1021" t="n"/>
      <c r="F130" s="1021" t="n"/>
      <c r="G130" s="1021" t="n"/>
      <c r="H130" s="1021" t="n"/>
      <c r="I130" s="1021" t="n"/>
      <c r="J130" s="1021" t="n"/>
      <c r="K130" s="1022" t="n"/>
      <c r="L130" s="963" t="n"/>
      <c r="M130" s="963" t="n"/>
      <c r="N130" s="963" t="n"/>
      <c r="O130" s="963" t="n"/>
      <c r="P130" s="963" t="n"/>
      <c r="Q130" s="963" t="n"/>
      <c r="R130" s="963" t="n"/>
      <c r="S130" s="963" t="n"/>
      <c r="T130" s="963" t="n"/>
      <c r="U130" s="991" t="n"/>
      <c r="V130" s="1021" t="n"/>
      <c r="W130" s="1021" t="n"/>
      <c r="X130" s="1021" t="n"/>
      <c r="Y130" s="1021" t="n"/>
      <c r="Z130" s="1021" t="n"/>
      <c r="AA130" s="989" t="n"/>
      <c r="AB130" s="1022" t="n"/>
      <c r="AC130" s="963" t="n"/>
      <c r="AD130" s="963" t="n"/>
      <c r="AE130" s="963" t="n"/>
      <c r="AF130" s="963" t="n"/>
      <c r="AG130" s="963" t="n"/>
      <c r="AH130" s="963" t="n"/>
      <c r="AI130" s="991" t="n"/>
      <c r="AJ130" s="1021" t="n"/>
      <c r="AK130" s="1021" t="n"/>
      <c r="AL130" s="1021" t="n"/>
      <c r="AM130" s="1021" t="n"/>
      <c r="AN130" s="1021" t="n"/>
      <c r="AO130" s="1021" t="n"/>
      <c r="AP130" s="1022" t="n"/>
      <c r="AQ130" s="963" t="n"/>
      <c r="AR130" s="963" t="n"/>
      <c r="AS130" s="963" t="n"/>
      <c r="AT130" s="963" t="n"/>
      <c r="AU130" s="963" t="n"/>
      <c r="AV130" s="963" t="n"/>
      <c r="AW130" s="991" t="n"/>
      <c r="AX130" s="18" t="n"/>
    </row>
    <row r="131" ht="16.4" customHeight="1" s="828">
      <c r="A131" s="722" t="n"/>
      <c r="B131" s="1021" t="n"/>
      <c r="C131" s="1021" t="n"/>
      <c r="D131" s="1021" t="n"/>
      <c r="E131" s="1021" t="n"/>
      <c r="F131" s="1021" t="n"/>
      <c r="G131" s="1021" t="n"/>
      <c r="H131" s="1021" t="n"/>
      <c r="I131" s="1021" t="n"/>
      <c r="J131" s="1021" t="n"/>
      <c r="K131" s="1022" t="n"/>
      <c r="L131" s="963" t="n"/>
      <c r="M131" s="963" t="n"/>
      <c r="N131" s="963" t="n"/>
      <c r="O131" s="963" t="n"/>
      <c r="P131" s="963" t="n"/>
      <c r="Q131" s="963" t="n"/>
      <c r="R131" s="963" t="n"/>
      <c r="S131" s="963" t="n"/>
      <c r="T131" s="963" t="n"/>
      <c r="U131" s="991" t="n"/>
      <c r="V131" s="1021" t="n"/>
      <c r="W131" s="1021" t="n"/>
      <c r="X131" s="1021" t="n"/>
      <c r="Y131" s="1021" t="n"/>
      <c r="Z131" s="1021" t="n"/>
      <c r="AA131" s="989" t="n"/>
      <c r="AB131" s="1022" t="n"/>
      <c r="AC131" s="963" t="n"/>
      <c r="AD131" s="963" t="n"/>
      <c r="AE131" s="963" t="n"/>
      <c r="AF131" s="963" t="n"/>
      <c r="AG131" s="963" t="n"/>
      <c r="AH131" s="963" t="n"/>
      <c r="AI131" s="991" t="n"/>
      <c r="AJ131" s="1021" t="n"/>
      <c r="AK131" s="1021" t="n"/>
      <c r="AL131" s="1021" t="n"/>
      <c r="AM131" s="1021" t="n"/>
      <c r="AN131" s="1021" t="n"/>
      <c r="AO131" s="1021" t="n"/>
      <c r="AP131" s="1022" t="n"/>
      <c r="AQ131" s="963" t="n"/>
      <c r="AR131" s="963" t="n"/>
      <c r="AS131" s="963" t="n"/>
      <c r="AT131" s="963" t="n"/>
      <c r="AU131" s="963" t="n"/>
      <c r="AV131" s="963" t="n"/>
      <c r="AW131" s="991" t="n"/>
      <c r="AX131" s="18" t="n"/>
    </row>
    <row r="132" ht="16.4" customHeight="1" s="828">
      <c r="A132" s="722" t="n"/>
      <c r="B132" s="1021" t="n"/>
      <c r="C132" s="1021" t="n"/>
      <c r="D132" s="1021" t="n"/>
      <c r="E132" s="1021" t="n"/>
      <c r="F132" s="1021" t="n"/>
      <c r="G132" s="1021" t="n"/>
      <c r="H132" s="1021" t="n"/>
      <c r="I132" s="1021" t="n"/>
      <c r="J132" s="1021" t="n"/>
      <c r="K132" s="1022" t="n"/>
      <c r="L132" s="963" t="n"/>
      <c r="M132" s="963" t="n"/>
      <c r="N132" s="963" t="n"/>
      <c r="O132" s="963" t="n"/>
      <c r="P132" s="963" t="n"/>
      <c r="Q132" s="963" t="n"/>
      <c r="R132" s="963" t="n"/>
      <c r="S132" s="963" t="n"/>
      <c r="T132" s="963" t="n"/>
      <c r="U132" s="991" t="n"/>
      <c r="V132" s="1021" t="n"/>
      <c r="W132" s="1021" t="n"/>
      <c r="X132" s="1021" t="n"/>
      <c r="Y132" s="1021" t="n"/>
      <c r="Z132" s="1021" t="n"/>
      <c r="AA132" s="989" t="n"/>
      <c r="AB132" s="1022" t="n"/>
      <c r="AC132" s="963" t="n"/>
      <c r="AD132" s="963" t="n"/>
      <c r="AE132" s="963" t="n"/>
      <c r="AF132" s="963" t="n"/>
      <c r="AG132" s="963" t="n"/>
      <c r="AH132" s="963" t="n"/>
      <c r="AI132" s="991" t="n"/>
      <c r="AJ132" s="1021" t="n"/>
      <c r="AK132" s="1021" t="n"/>
      <c r="AL132" s="1021" t="n"/>
      <c r="AM132" s="1021" t="n"/>
      <c r="AN132" s="1021" t="n"/>
      <c r="AO132" s="1021" t="n"/>
      <c r="AP132" s="1022" t="n"/>
      <c r="AQ132" s="963" t="n"/>
      <c r="AR132" s="963" t="n"/>
      <c r="AS132" s="963" t="n"/>
      <c r="AT132" s="963" t="n"/>
      <c r="AU132" s="963" t="n"/>
      <c r="AV132" s="963" t="n"/>
      <c r="AW132" s="991" t="n"/>
      <c r="AX132" s="18" t="n"/>
    </row>
    <row r="133" ht="16.4" customHeight="1" s="828">
      <c r="A133" s="722" t="n"/>
      <c r="B133" s="1021" t="n"/>
      <c r="C133" s="1021" t="n"/>
      <c r="D133" s="1021" t="n"/>
      <c r="E133" s="1021" t="n"/>
      <c r="F133" s="1021" t="n"/>
      <c r="G133" s="1021" t="n"/>
      <c r="H133" s="1021" t="n"/>
      <c r="I133" s="1021" t="n"/>
      <c r="J133" s="1021" t="n"/>
      <c r="K133" s="1022" t="n"/>
      <c r="L133" s="963" t="n"/>
      <c r="M133" s="963" t="n"/>
      <c r="N133" s="963" t="n"/>
      <c r="O133" s="963" t="n"/>
      <c r="P133" s="963" t="n"/>
      <c r="Q133" s="963" t="n"/>
      <c r="R133" s="963" t="n"/>
      <c r="S133" s="963" t="n"/>
      <c r="T133" s="963" t="n"/>
      <c r="U133" s="991" t="n"/>
      <c r="V133" s="1021" t="n"/>
      <c r="W133" s="1021" t="n"/>
      <c r="X133" s="1021" t="n"/>
      <c r="Y133" s="1021" t="n"/>
      <c r="Z133" s="1021" t="n"/>
      <c r="AA133" s="989" t="n"/>
      <c r="AB133" s="1022" t="n"/>
      <c r="AC133" s="963" t="n"/>
      <c r="AD133" s="963" t="n"/>
      <c r="AE133" s="963" t="n"/>
      <c r="AF133" s="963" t="n"/>
      <c r="AG133" s="963" t="n"/>
      <c r="AH133" s="963" t="n"/>
      <c r="AI133" s="991" t="n"/>
      <c r="AJ133" s="1021" t="n"/>
      <c r="AK133" s="1021" t="n"/>
      <c r="AL133" s="1021" t="n"/>
      <c r="AM133" s="1021" t="n"/>
      <c r="AN133" s="1021" t="n"/>
      <c r="AO133" s="1021" t="n"/>
      <c r="AP133" s="1022" t="n"/>
      <c r="AQ133" s="963" t="n"/>
      <c r="AR133" s="963" t="n"/>
      <c r="AS133" s="963" t="n"/>
      <c r="AT133" s="963" t="n"/>
      <c r="AU133" s="963" t="n"/>
      <c r="AV133" s="963" t="n"/>
      <c r="AW133" s="991" t="n"/>
      <c r="AX133" s="18" t="n"/>
    </row>
    <row r="134" ht="16.4" customHeight="1" s="828">
      <c r="A134" s="722" t="n"/>
      <c r="B134" s="1021" t="n"/>
      <c r="C134" s="1021" t="n"/>
      <c r="D134" s="1021" t="n"/>
      <c r="E134" s="1021" t="n"/>
      <c r="F134" s="1021" t="n"/>
      <c r="G134" s="1021" t="n"/>
      <c r="H134" s="1021" t="n"/>
      <c r="I134" s="1021" t="n"/>
      <c r="J134" s="1021" t="n"/>
      <c r="K134" s="1022" t="n"/>
      <c r="L134" s="963" t="n"/>
      <c r="M134" s="963" t="n"/>
      <c r="N134" s="963" t="n"/>
      <c r="O134" s="963" t="n"/>
      <c r="P134" s="963" t="n"/>
      <c r="Q134" s="963" t="n"/>
      <c r="R134" s="963" t="n"/>
      <c r="S134" s="963" t="n"/>
      <c r="T134" s="963" t="n"/>
      <c r="U134" s="991" t="n"/>
      <c r="V134" s="1021" t="n"/>
      <c r="W134" s="1021" t="n"/>
      <c r="X134" s="1021" t="n"/>
      <c r="Y134" s="1021" t="n"/>
      <c r="Z134" s="1021" t="n"/>
      <c r="AA134" s="989" t="n"/>
      <c r="AB134" s="1022" t="n"/>
      <c r="AC134" s="963" t="n"/>
      <c r="AD134" s="963" t="n"/>
      <c r="AE134" s="963" t="n"/>
      <c r="AF134" s="963" t="n"/>
      <c r="AG134" s="963" t="n"/>
      <c r="AH134" s="963" t="n"/>
      <c r="AI134" s="991" t="n"/>
      <c r="AJ134" s="1021" t="n"/>
      <c r="AK134" s="1021" t="n"/>
      <c r="AL134" s="1021" t="n"/>
      <c r="AM134" s="1021" t="n"/>
      <c r="AN134" s="1021" t="n"/>
      <c r="AO134" s="1021" t="n"/>
      <c r="AP134" s="1022" t="n"/>
      <c r="AQ134" s="963" t="n"/>
      <c r="AR134" s="963" t="n"/>
      <c r="AS134" s="963" t="n"/>
      <c r="AT134" s="963" t="n"/>
      <c r="AU134" s="963" t="n"/>
      <c r="AV134" s="963" t="n"/>
      <c r="AW134" s="991" t="n"/>
      <c r="AX134" s="18" t="n"/>
    </row>
    <row r="135" ht="16.4" customHeight="1" s="828">
      <c r="A135" s="722" t="n"/>
      <c r="B135" s="1021" t="n"/>
      <c r="C135" s="1021" t="n"/>
      <c r="D135" s="1021" t="n"/>
      <c r="E135" s="1021" t="n"/>
      <c r="F135" s="1021" t="n"/>
      <c r="G135" s="1021" t="n"/>
      <c r="H135" s="1021" t="n"/>
      <c r="I135" s="1021" t="n"/>
      <c r="J135" s="1021" t="n"/>
      <c r="K135" s="1022" t="n"/>
      <c r="L135" s="963" t="n"/>
      <c r="M135" s="963" t="n"/>
      <c r="N135" s="963" t="n"/>
      <c r="O135" s="963" t="n"/>
      <c r="P135" s="963" t="n"/>
      <c r="Q135" s="963" t="n"/>
      <c r="R135" s="963" t="n"/>
      <c r="S135" s="963" t="n"/>
      <c r="T135" s="963" t="n"/>
      <c r="U135" s="991" t="n"/>
      <c r="V135" s="1021" t="n"/>
      <c r="W135" s="1021" t="n"/>
      <c r="X135" s="1021" t="n"/>
      <c r="Y135" s="1021" t="n"/>
      <c r="Z135" s="1021" t="n"/>
      <c r="AA135" s="989" t="n"/>
      <c r="AB135" s="1022" t="n"/>
      <c r="AC135" s="963" t="n"/>
      <c r="AD135" s="963" t="n"/>
      <c r="AE135" s="963" t="n"/>
      <c r="AF135" s="963" t="n"/>
      <c r="AG135" s="963" t="n"/>
      <c r="AH135" s="963" t="n"/>
      <c r="AI135" s="991" t="n"/>
      <c r="AJ135" s="1021" t="n"/>
      <c r="AK135" s="1021" t="n"/>
      <c r="AL135" s="1021" t="n"/>
      <c r="AM135" s="1021" t="n"/>
      <c r="AN135" s="1021" t="n"/>
      <c r="AO135" s="1021" t="n"/>
      <c r="AP135" s="1022" t="n"/>
      <c r="AQ135" s="963" t="n"/>
      <c r="AR135" s="963" t="n"/>
      <c r="AS135" s="963" t="n"/>
      <c r="AT135" s="963" t="n"/>
      <c r="AU135" s="963" t="n"/>
      <c r="AV135" s="963" t="n"/>
      <c r="AW135" s="991" t="n"/>
      <c r="AX135" s="18" t="n"/>
    </row>
    <row r="136" ht="16.4" customHeight="1" s="828">
      <c r="A136" s="722" t="n"/>
      <c r="B136" s="1021" t="n"/>
      <c r="C136" s="1021" t="n"/>
      <c r="D136" s="1021" t="n"/>
      <c r="E136" s="1021" t="n"/>
      <c r="F136" s="1021" t="n"/>
      <c r="G136" s="1021" t="n"/>
      <c r="H136" s="1021" t="n"/>
      <c r="I136" s="1021" t="n"/>
      <c r="J136" s="1021" t="n"/>
      <c r="K136" s="1022" t="n"/>
      <c r="L136" s="963" t="n"/>
      <c r="M136" s="963" t="n"/>
      <c r="N136" s="963" t="n"/>
      <c r="O136" s="963" t="n"/>
      <c r="P136" s="963" t="n"/>
      <c r="Q136" s="963" t="n"/>
      <c r="R136" s="963" t="n"/>
      <c r="S136" s="963" t="n"/>
      <c r="T136" s="963" t="n"/>
      <c r="U136" s="991" t="n"/>
      <c r="V136" s="1021" t="n"/>
      <c r="W136" s="1021" t="n"/>
      <c r="X136" s="1021" t="n"/>
      <c r="Y136" s="1021" t="n"/>
      <c r="Z136" s="1021" t="n"/>
      <c r="AA136" s="989" t="n"/>
      <c r="AB136" s="1022" t="n"/>
      <c r="AC136" s="963" t="n"/>
      <c r="AD136" s="963" t="n"/>
      <c r="AE136" s="963" t="n"/>
      <c r="AF136" s="963" t="n"/>
      <c r="AG136" s="963" t="n"/>
      <c r="AH136" s="963" t="n"/>
      <c r="AI136" s="991" t="n"/>
      <c r="AJ136" s="1021" t="n"/>
      <c r="AK136" s="1021" t="n"/>
      <c r="AL136" s="1021" t="n"/>
      <c r="AM136" s="1021" t="n"/>
      <c r="AN136" s="1021" t="n"/>
      <c r="AO136" s="1021" t="n"/>
      <c r="AP136" s="1022" t="n"/>
      <c r="AQ136" s="963" t="n"/>
      <c r="AR136" s="963" t="n"/>
      <c r="AS136" s="963" t="n"/>
      <c r="AT136" s="963" t="n"/>
      <c r="AU136" s="963" t="n"/>
      <c r="AV136" s="963" t="n"/>
      <c r="AW136" s="991" t="n"/>
      <c r="AX136" s="18" t="n"/>
    </row>
    <row r="137" ht="16.4" customHeight="1" s="828">
      <c r="A137" s="722" t="n"/>
      <c r="B137" s="1021" t="n"/>
      <c r="C137" s="1021" t="n"/>
      <c r="D137" s="1021" t="n"/>
      <c r="E137" s="1021" t="n"/>
      <c r="F137" s="1021" t="n"/>
      <c r="G137" s="1021" t="n"/>
      <c r="H137" s="1021" t="n"/>
      <c r="I137" s="1021" t="n"/>
      <c r="J137" s="1021" t="n"/>
      <c r="K137" s="1022" t="n"/>
      <c r="L137" s="963" t="n"/>
      <c r="M137" s="963" t="n"/>
      <c r="N137" s="963" t="n"/>
      <c r="O137" s="963" t="n"/>
      <c r="P137" s="963" t="n"/>
      <c r="Q137" s="963" t="n"/>
      <c r="R137" s="963" t="n"/>
      <c r="S137" s="963" t="n"/>
      <c r="T137" s="963" t="n"/>
      <c r="U137" s="991" t="n"/>
      <c r="V137" s="1021" t="n"/>
      <c r="W137" s="1021" t="n"/>
      <c r="X137" s="1021" t="n"/>
      <c r="Y137" s="1021" t="n"/>
      <c r="Z137" s="1021" t="n"/>
      <c r="AA137" s="989" t="n"/>
      <c r="AB137" s="1022" t="n"/>
      <c r="AC137" s="963" t="n"/>
      <c r="AD137" s="963" t="n"/>
      <c r="AE137" s="963" t="n"/>
      <c r="AF137" s="963" t="n"/>
      <c r="AG137" s="963" t="n"/>
      <c r="AH137" s="963" t="n"/>
      <c r="AI137" s="991" t="n"/>
      <c r="AJ137" s="1021" t="n"/>
      <c r="AK137" s="1021" t="n"/>
      <c r="AL137" s="1021" t="n"/>
      <c r="AM137" s="1021" t="n"/>
      <c r="AN137" s="1021" t="n"/>
      <c r="AO137" s="1021" t="n"/>
      <c r="AP137" s="1022" t="n"/>
      <c r="AQ137" s="963" t="n"/>
      <c r="AR137" s="963" t="n"/>
      <c r="AS137" s="963" t="n"/>
      <c r="AT137" s="963" t="n"/>
      <c r="AU137" s="963" t="n"/>
      <c r="AV137" s="963" t="n"/>
      <c r="AW137" s="991" t="n"/>
      <c r="AX137" s="18" t="n"/>
    </row>
    <row r="138" ht="16.4" customHeight="1" s="828">
      <c r="A138" s="722" t="n"/>
      <c r="B138" s="1021" t="n"/>
      <c r="C138" s="1021" t="n"/>
      <c r="D138" s="1021" t="n"/>
      <c r="E138" s="1021" t="n"/>
      <c r="F138" s="1021" t="n"/>
      <c r="G138" s="1021" t="n"/>
      <c r="H138" s="1021" t="n"/>
      <c r="I138" s="1021" t="n"/>
      <c r="J138" s="1021" t="n"/>
      <c r="K138" s="1022" t="n"/>
      <c r="L138" s="963" t="n"/>
      <c r="M138" s="963" t="n"/>
      <c r="N138" s="963" t="n"/>
      <c r="O138" s="963" t="n"/>
      <c r="P138" s="963" t="n"/>
      <c r="Q138" s="963" t="n"/>
      <c r="R138" s="963" t="n"/>
      <c r="S138" s="963" t="n"/>
      <c r="T138" s="963" t="n"/>
      <c r="U138" s="991" t="n"/>
      <c r="V138" s="1021" t="n"/>
      <c r="W138" s="1021" t="n"/>
      <c r="X138" s="1021" t="n"/>
      <c r="Y138" s="1021" t="n"/>
      <c r="Z138" s="1021" t="n"/>
      <c r="AA138" s="989" t="n"/>
      <c r="AB138" s="1022" t="n"/>
      <c r="AC138" s="963" t="n"/>
      <c r="AD138" s="963" t="n"/>
      <c r="AE138" s="963" t="n"/>
      <c r="AF138" s="963" t="n"/>
      <c r="AG138" s="963" t="n"/>
      <c r="AH138" s="963" t="n"/>
      <c r="AI138" s="991" t="n"/>
      <c r="AJ138" s="1021" t="n"/>
      <c r="AK138" s="1021" t="n"/>
      <c r="AL138" s="1021" t="n"/>
      <c r="AM138" s="1021" t="n"/>
      <c r="AN138" s="1021" t="n"/>
      <c r="AO138" s="1021" t="n"/>
      <c r="AP138" s="1022" t="n"/>
      <c r="AQ138" s="963" t="n"/>
      <c r="AR138" s="963" t="n"/>
      <c r="AS138" s="963" t="n"/>
      <c r="AT138" s="963" t="n"/>
      <c r="AU138" s="963" t="n"/>
      <c r="AV138" s="963" t="n"/>
      <c r="AW138" s="991" t="n"/>
      <c r="AX138" s="18" t="n"/>
    </row>
    <row r="139" ht="16.4" customHeight="1" s="828">
      <c r="A139" s="722" t="n"/>
      <c r="B139" s="1021" t="n"/>
      <c r="C139" s="1021" t="n"/>
      <c r="D139" s="1021" t="n"/>
      <c r="E139" s="1021" t="n"/>
      <c r="F139" s="1021" t="n"/>
      <c r="G139" s="1021" t="n"/>
      <c r="H139" s="1021" t="n"/>
      <c r="I139" s="1021" t="n"/>
      <c r="J139" s="1021" t="n"/>
      <c r="K139" s="1022" t="n"/>
      <c r="L139" s="963" t="n"/>
      <c r="M139" s="963" t="n"/>
      <c r="N139" s="963" t="n"/>
      <c r="O139" s="963" t="n"/>
      <c r="P139" s="963" t="n"/>
      <c r="Q139" s="963" t="n"/>
      <c r="R139" s="963" t="n"/>
      <c r="S139" s="963" t="n"/>
      <c r="T139" s="963" t="n"/>
      <c r="U139" s="991" t="n"/>
      <c r="V139" s="1021" t="n"/>
      <c r="W139" s="1021" t="n"/>
      <c r="X139" s="1021" t="n"/>
      <c r="Y139" s="1021" t="n"/>
      <c r="Z139" s="1021" t="n"/>
      <c r="AA139" s="989" t="n"/>
      <c r="AB139" s="1022" t="n"/>
      <c r="AC139" s="963" t="n"/>
      <c r="AD139" s="963" t="n"/>
      <c r="AE139" s="963" t="n"/>
      <c r="AF139" s="963" t="n"/>
      <c r="AG139" s="963" t="n"/>
      <c r="AH139" s="963" t="n"/>
      <c r="AI139" s="991" t="n"/>
      <c r="AJ139" s="1021" t="n"/>
      <c r="AK139" s="1021" t="n"/>
      <c r="AL139" s="1021" t="n"/>
      <c r="AM139" s="1021" t="n"/>
      <c r="AN139" s="1021" t="n"/>
      <c r="AO139" s="1021" t="n"/>
      <c r="AP139" s="1022" t="n"/>
      <c r="AQ139" s="963" t="n"/>
      <c r="AR139" s="963" t="n"/>
      <c r="AS139" s="963" t="n"/>
      <c r="AT139" s="963" t="n"/>
      <c r="AU139" s="963" t="n"/>
      <c r="AV139" s="963" t="n"/>
      <c r="AW139" s="991" t="n"/>
      <c r="AX139" s="18" t="n"/>
    </row>
    <row r="140" ht="16.4" customHeight="1" s="828">
      <c r="A140" s="722" t="n"/>
      <c r="B140" s="1021" t="n"/>
      <c r="C140" s="1021" t="n"/>
      <c r="D140" s="1021" t="n"/>
      <c r="E140" s="1021" t="n"/>
      <c r="F140" s="1021" t="n"/>
      <c r="G140" s="1021" t="n"/>
      <c r="H140" s="1021" t="n"/>
      <c r="I140" s="1021" t="n"/>
      <c r="J140" s="1021" t="n"/>
      <c r="K140" s="1022" t="n"/>
      <c r="L140" s="963" t="n"/>
      <c r="M140" s="963" t="n"/>
      <c r="N140" s="963" t="n"/>
      <c r="O140" s="963" t="n"/>
      <c r="P140" s="963" t="n"/>
      <c r="Q140" s="963" t="n"/>
      <c r="R140" s="963" t="n"/>
      <c r="S140" s="963" t="n"/>
      <c r="T140" s="963" t="n"/>
      <c r="U140" s="991" t="n"/>
      <c r="V140" s="1021" t="n"/>
      <c r="W140" s="1021" t="n"/>
      <c r="X140" s="1021" t="n"/>
      <c r="Y140" s="1021" t="n"/>
      <c r="Z140" s="1021" t="n"/>
      <c r="AA140" s="989" t="n"/>
      <c r="AB140" s="1022" t="n"/>
      <c r="AC140" s="963" t="n"/>
      <c r="AD140" s="963" t="n"/>
      <c r="AE140" s="963" t="n"/>
      <c r="AF140" s="963" t="n"/>
      <c r="AG140" s="963" t="n"/>
      <c r="AH140" s="963" t="n"/>
      <c r="AI140" s="991" t="n"/>
      <c r="AJ140" s="1021" t="n"/>
      <c r="AK140" s="1021" t="n"/>
      <c r="AL140" s="1021" t="n"/>
      <c r="AM140" s="1021" t="n"/>
      <c r="AN140" s="1021" t="n"/>
      <c r="AO140" s="1021" t="n"/>
      <c r="AP140" s="1022" t="n"/>
      <c r="AQ140" s="963" t="n"/>
      <c r="AR140" s="963" t="n"/>
      <c r="AS140" s="963" t="n"/>
      <c r="AT140" s="963" t="n"/>
      <c r="AU140" s="963" t="n"/>
      <c r="AV140" s="963" t="n"/>
      <c r="AW140" s="991" t="n"/>
      <c r="AX140" s="18" t="n"/>
    </row>
    <row r="141" ht="16.4" customHeight="1" s="828">
      <c r="A141" s="722" t="n"/>
      <c r="B141" s="1021" t="n"/>
      <c r="C141" s="1021" t="n"/>
      <c r="D141" s="1021" t="n"/>
      <c r="E141" s="1021" t="n"/>
      <c r="F141" s="1021" t="n"/>
      <c r="G141" s="1021" t="n"/>
      <c r="H141" s="1021" t="n"/>
      <c r="I141" s="1021" t="n"/>
      <c r="J141" s="1021" t="n"/>
      <c r="K141" s="1022" t="n"/>
      <c r="L141" s="963" t="n"/>
      <c r="M141" s="963" t="n"/>
      <c r="N141" s="963" t="n"/>
      <c r="O141" s="963" t="n"/>
      <c r="P141" s="963" t="n"/>
      <c r="Q141" s="963" t="n"/>
      <c r="R141" s="963" t="n"/>
      <c r="S141" s="963" t="n"/>
      <c r="T141" s="963" t="n"/>
      <c r="U141" s="991" t="n"/>
      <c r="V141" s="1021" t="n"/>
      <c r="W141" s="1021" t="n"/>
      <c r="X141" s="1021" t="n"/>
      <c r="Y141" s="1021" t="n"/>
      <c r="Z141" s="1021" t="n"/>
      <c r="AA141" s="989" t="n"/>
      <c r="AB141" s="1022" t="n"/>
      <c r="AC141" s="963" t="n"/>
      <c r="AD141" s="963" t="n"/>
      <c r="AE141" s="963" t="n"/>
      <c r="AF141" s="963" t="n"/>
      <c r="AG141" s="963" t="n"/>
      <c r="AH141" s="963" t="n"/>
      <c r="AI141" s="991" t="n"/>
      <c r="AJ141" s="1021" t="n"/>
      <c r="AK141" s="1021" t="n"/>
      <c r="AL141" s="1021" t="n"/>
      <c r="AM141" s="1021" t="n"/>
      <c r="AN141" s="1021" t="n"/>
      <c r="AO141" s="1021" t="n"/>
      <c r="AP141" s="1022" t="n"/>
      <c r="AQ141" s="963" t="n"/>
      <c r="AR141" s="963" t="n"/>
      <c r="AS141" s="963" t="n"/>
      <c r="AT141" s="963" t="n"/>
      <c r="AU141" s="963" t="n"/>
      <c r="AV141" s="963" t="n"/>
      <c r="AW141" s="991" t="n"/>
      <c r="AX141" s="18" t="n"/>
    </row>
    <row r="142" ht="16.4" customHeight="1" s="828">
      <c r="A142" s="722" t="n"/>
      <c r="B142" s="1021" t="n"/>
      <c r="C142" s="1021" t="n"/>
      <c r="D142" s="1021" t="n"/>
      <c r="E142" s="1021" t="n"/>
      <c r="F142" s="1021" t="n"/>
      <c r="G142" s="1021" t="n"/>
      <c r="H142" s="1021" t="n"/>
      <c r="I142" s="1021" t="n"/>
      <c r="J142" s="1021" t="n"/>
      <c r="K142" s="1022" t="n"/>
      <c r="L142" s="963" t="n"/>
      <c r="M142" s="963" t="n"/>
      <c r="N142" s="963" t="n"/>
      <c r="O142" s="963" t="n"/>
      <c r="P142" s="963" t="n"/>
      <c r="Q142" s="963" t="n"/>
      <c r="R142" s="963" t="n"/>
      <c r="S142" s="963" t="n"/>
      <c r="T142" s="963" t="n"/>
      <c r="U142" s="991" t="n"/>
      <c r="V142" s="1021" t="n"/>
      <c r="W142" s="1021" t="n"/>
      <c r="X142" s="1021" t="n"/>
      <c r="Y142" s="1021" t="n"/>
      <c r="Z142" s="1021" t="n"/>
      <c r="AA142" s="989" t="n"/>
      <c r="AB142" s="1022" t="n"/>
      <c r="AC142" s="963" t="n"/>
      <c r="AD142" s="963" t="n"/>
      <c r="AE142" s="963" t="n"/>
      <c r="AF142" s="963" t="n"/>
      <c r="AG142" s="963" t="n"/>
      <c r="AH142" s="963" t="n"/>
      <c r="AI142" s="991" t="n"/>
      <c r="AJ142" s="1021" t="n"/>
      <c r="AK142" s="1021" t="n"/>
      <c r="AL142" s="1021" t="n"/>
      <c r="AM142" s="1021" t="n"/>
      <c r="AN142" s="1021" t="n"/>
      <c r="AO142" s="1021" t="n"/>
      <c r="AP142" s="1022" t="n"/>
      <c r="AQ142" s="963" t="n"/>
      <c r="AR142" s="963" t="n"/>
      <c r="AS142" s="963" t="n"/>
      <c r="AT142" s="963" t="n"/>
      <c r="AU142" s="963" t="n"/>
      <c r="AV142" s="963" t="n"/>
      <c r="AW142" s="991" t="n"/>
      <c r="AX142" s="18" t="n"/>
    </row>
    <row r="143" ht="16.4" customHeight="1" s="828">
      <c r="A143" s="722" t="n"/>
      <c r="B143" s="1021" t="n"/>
      <c r="C143" s="1021" t="n"/>
      <c r="D143" s="1021" t="n"/>
      <c r="E143" s="1021" t="n"/>
      <c r="F143" s="1021" t="n"/>
      <c r="G143" s="1021" t="n"/>
      <c r="H143" s="1021" t="n"/>
      <c r="I143" s="1021" t="n"/>
      <c r="J143" s="1021" t="n"/>
      <c r="K143" s="1022" t="n"/>
      <c r="L143" s="963" t="n"/>
      <c r="M143" s="963" t="n"/>
      <c r="N143" s="963" t="n"/>
      <c r="O143" s="963" t="n"/>
      <c r="P143" s="963" t="n"/>
      <c r="Q143" s="963" t="n"/>
      <c r="R143" s="963" t="n"/>
      <c r="S143" s="963" t="n"/>
      <c r="T143" s="963" t="n"/>
      <c r="U143" s="991" t="n"/>
      <c r="V143" s="1021" t="n"/>
      <c r="W143" s="1021" t="n"/>
      <c r="X143" s="1021" t="n"/>
      <c r="Y143" s="1021" t="n"/>
      <c r="Z143" s="1021" t="n"/>
      <c r="AA143" s="989" t="n"/>
      <c r="AB143" s="1022" t="n"/>
      <c r="AC143" s="963" t="n"/>
      <c r="AD143" s="963" t="n"/>
      <c r="AE143" s="963" t="n"/>
      <c r="AF143" s="963" t="n"/>
      <c r="AG143" s="963" t="n"/>
      <c r="AH143" s="963" t="n"/>
      <c r="AI143" s="991" t="n"/>
      <c r="AJ143" s="1021" t="n"/>
      <c r="AK143" s="1021" t="n"/>
      <c r="AL143" s="1021" t="n"/>
      <c r="AM143" s="1021" t="n"/>
      <c r="AN143" s="1021" t="n"/>
      <c r="AO143" s="1021" t="n"/>
      <c r="AP143" s="1022" t="n"/>
      <c r="AQ143" s="963" t="n"/>
      <c r="AR143" s="963" t="n"/>
      <c r="AS143" s="963" t="n"/>
      <c r="AT143" s="963" t="n"/>
      <c r="AU143" s="963" t="n"/>
      <c r="AV143" s="963" t="n"/>
      <c r="AW143" s="991" t="n"/>
      <c r="AX143" s="18" t="n"/>
    </row>
    <row r="144" ht="16.4" customHeight="1" s="828">
      <c r="A144" s="722" t="n"/>
      <c r="B144" s="1021" t="n"/>
      <c r="C144" s="1021" t="n"/>
      <c r="D144" s="1021" t="n"/>
      <c r="E144" s="1021" t="n"/>
      <c r="F144" s="1021" t="n"/>
      <c r="G144" s="1021" t="n"/>
      <c r="H144" s="1021" t="n"/>
      <c r="I144" s="1021" t="n"/>
      <c r="J144" s="1021" t="n"/>
      <c r="K144" s="1022" t="n"/>
      <c r="L144" s="963" t="n"/>
      <c r="M144" s="963" t="n"/>
      <c r="N144" s="963" t="n"/>
      <c r="O144" s="963" t="n"/>
      <c r="P144" s="963" t="n"/>
      <c r="Q144" s="963" t="n"/>
      <c r="R144" s="963" t="n"/>
      <c r="S144" s="963" t="n"/>
      <c r="T144" s="963" t="n"/>
      <c r="U144" s="991" t="n"/>
      <c r="V144" s="1021" t="n"/>
      <c r="W144" s="1021" t="n"/>
      <c r="X144" s="1021" t="n"/>
      <c r="Y144" s="1021" t="n"/>
      <c r="Z144" s="1021" t="n"/>
      <c r="AA144" s="989" t="n"/>
      <c r="AB144" s="1022" t="n"/>
      <c r="AC144" s="963" t="n"/>
      <c r="AD144" s="963" t="n"/>
      <c r="AE144" s="963" t="n"/>
      <c r="AF144" s="963" t="n"/>
      <c r="AG144" s="963" t="n"/>
      <c r="AH144" s="963" t="n"/>
      <c r="AI144" s="991" t="n"/>
      <c r="AJ144" s="1021" t="n"/>
      <c r="AK144" s="1021" t="n"/>
      <c r="AL144" s="1021" t="n"/>
      <c r="AM144" s="1021" t="n"/>
      <c r="AN144" s="1021" t="n"/>
      <c r="AO144" s="1021" t="n"/>
      <c r="AP144" s="1022" t="n"/>
      <c r="AQ144" s="963" t="n"/>
      <c r="AR144" s="963" t="n"/>
      <c r="AS144" s="963" t="n"/>
      <c r="AT144" s="963" t="n"/>
      <c r="AU144" s="963" t="n"/>
      <c r="AV144" s="963" t="n"/>
      <c r="AW144" s="991" t="n"/>
      <c r="AX144" s="18" t="n"/>
    </row>
    <row r="145" ht="16.4" customHeight="1" s="828">
      <c r="A145" s="722" t="n"/>
      <c r="B145" s="1021" t="n"/>
      <c r="C145" s="1021" t="n"/>
      <c r="D145" s="1021" t="n"/>
      <c r="E145" s="1021" t="n"/>
      <c r="F145" s="1021" t="n"/>
      <c r="G145" s="1021" t="n"/>
      <c r="H145" s="1021" t="n"/>
      <c r="I145" s="1021" t="n"/>
      <c r="J145" s="1021" t="n"/>
      <c r="K145" s="1022" t="n"/>
      <c r="L145" s="963" t="n"/>
      <c r="M145" s="963" t="n"/>
      <c r="N145" s="963" t="n"/>
      <c r="O145" s="963" t="n"/>
      <c r="P145" s="963" t="n"/>
      <c r="Q145" s="963" t="n"/>
      <c r="R145" s="963" t="n"/>
      <c r="S145" s="963" t="n"/>
      <c r="T145" s="963" t="n"/>
      <c r="U145" s="991" t="n"/>
      <c r="V145" s="1021" t="n"/>
      <c r="W145" s="1021" t="n"/>
      <c r="X145" s="1021" t="n"/>
      <c r="Y145" s="1021" t="n"/>
      <c r="Z145" s="1021" t="n"/>
      <c r="AA145" s="989" t="n"/>
      <c r="AB145" s="1022" t="n"/>
      <c r="AC145" s="963" t="n"/>
      <c r="AD145" s="963" t="n"/>
      <c r="AE145" s="963" t="n"/>
      <c r="AF145" s="963" t="n"/>
      <c r="AG145" s="963" t="n"/>
      <c r="AH145" s="963" t="n"/>
      <c r="AI145" s="991" t="n"/>
      <c r="AJ145" s="1021" t="n"/>
      <c r="AK145" s="1021" t="n"/>
      <c r="AL145" s="1021" t="n"/>
      <c r="AM145" s="1021" t="n"/>
      <c r="AN145" s="1021" t="n"/>
      <c r="AO145" s="1021" t="n"/>
      <c r="AP145" s="1022" t="n"/>
      <c r="AQ145" s="963" t="n"/>
      <c r="AR145" s="963" t="n"/>
      <c r="AS145" s="963" t="n"/>
      <c r="AT145" s="963" t="n"/>
      <c r="AU145" s="963" t="n"/>
      <c r="AV145" s="963" t="n"/>
      <c r="AW145" s="991" t="n"/>
      <c r="AX145" s="18" t="n"/>
    </row>
    <row r="146" ht="16.4" customHeight="1" s="828">
      <c r="A146" s="722" t="n"/>
      <c r="B146" s="1021" t="n"/>
      <c r="C146" s="1021" t="n"/>
      <c r="D146" s="1021" t="n"/>
      <c r="E146" s="1021" t="n"/>
      <c r="F146" s="1021" t="n"/>
      <c r="G146" s="1021" t="n"/>
      <c r="H146" s="1021" t="n"/>
      <c r="I146" s="1021" t="n"/>
      <c r="J146" s="1021" t="n"/>
      <c r="K146" s="1022" t="n"/>
      <c r="L146" s="963" t="n"/>
      <c r="M146" s="963" t="n"/>
      <c r="N146" s="963" t="n"/>
      <c r="O146" s="963" t="n"/>
      <c r="P146" s="963" t="n"/>
      <c r="Q146" s="963" t="n"/>
      <c r="R146" s="963" t="n"/>
      <c r="S146" s="963" t="n"/>
      <c r="T146" s="963" t="n"/>
      <c r="U146" s="991" t="n"/>
      <c r="V146" s="1021" t="n"/>
      <c r="W146" s="1021" t="n"/>
      <c r="X146" s="1021" t="n"/>
      <c r="Y146" s="1021" t="n"/>
      <c r="Z146" s="1021" t="n"/>
      <c r="AA146" s="989" t="n"/>
      <c r="AB146" s="1022" t="n"/>
      <c r="AC146" s="963" t="n"/>
      <c r="AD146" s="963" t="n"/>
      <c r="AE146" s="963" t="n"/>
      <c r="AF146" s="963" t="n"/>
      <c r="AG146" s="963" t="n"/>
      <c r="AH146" s="963" t="n"/>
      <c r="AI146" s="991" t="n"/>
      <c r="AJ146" s="1021" t="n"/>
      <c r="AK146" s="1021" t="n"/>
      <c r="AL146" s="1021" t="n"/>
      <c r="AM146" s="1021" t="n"/>
      <c r="AN146" s="1021" t="n"/>
      <c r="AO146" s="1021" t="n"/>
      <c r="AP146" s="1022" t="n"/>
      <c r="AQ146" s="963" t="n"/>
      <c r="AR146" s="963" t="n"/>
      <c r="AS146" s="963" t="n"/>
      <c r="AT146" s="963" t="n"/>
      <c r="AU146" s="963" t="n"/>
      <c r="AV146" s="963" t="n"/>
      <c r="AW146" s="991" t="n"/>
      <c r="AX146" s="18" t="n"/>
    </row>
    <row r="147" ht="16.4" customHeight="1" s="828">
      <c r="A147" s="722" t="n"/>
      <c r="B147" s="1021" t="n"/>
      <c r="C147" s="1021" t="n"/>
      <c r="D147" s="1021" t="n"/>
      <c r="E147" s="1021" t="n"/>
      <c r="F147" s="1021" t="n"/>
      <c r="G147" s="1021" t="n"/>
      <c r="H147" s="1021" t="n"/>
      <c r="I147" s="1021" t="n"/>
      <c r="J147" s="1021" t="n"/>
      <c r="K147" s="1022" t="n"/>
      <c r="L147" s="963" t="n"/>
      <c r="M147" s="963" t="n"/>
      <c r="N147" s="963" t="n"/>
      <c r="O147" s="963" t="n"/>
      <c r="P147" s="963" t="n"/>
      <c r="Q147" s="963" t="n"/>
      <c r="R147" s="963" t="n"/>
      <c r="S147" s="963" t="n"/>
      <c r="T147" s="963" t="n"/>
      <c r="U147" s="991" t="n"/>
      <c r="V147" s="1021" t="n"/>
      <c r="W147" s="1021" t="n"/>
      <c r="X147" s="1021" t="n"/>
      <c r="Y147" s="1021" t="n"/>
      <c r="Z147" s="1021" t="n"/>
      <c r="AA147" s="989" t="n"/>
      <c r="AB147" s="1022" t="n"/>
      <c r="AC147" s="963" t="n"/>
      <c r="AD147" s="963" t="n"/>
      <c r="AE147" s="963" t="n"/>
      <c r="AF147" s="963" t="n"/>
      <c r="AG147" s="963" t="n"/>
      <c r="AH147" s="963" t="n"/>
      <c r="AI147" s="991" t="n"/>
      <c r="AJ147" s="1021" t="n"/>
      <c r="AK147" s="1021" t="n"/>
      <c r="AL147" s="1021" t="n"/>
      <c r="AM147" s="1021" t="n"/>
      <c r="AN147" s="1021" t="n"/>
      <c r="AO147" s="1021" t="n"/>
      <c r="AP147" s="1022" t="n"/>
      <c r="AQ147" s="963" t="n"/>
      <c r="AR147" s="963" t="n"/>
      <c r="AS147" s="963" t="n"/>
      <c r="AT147" s="963" t="n"/>
      <c r="AU147" s="963" t="n"/>
      <c r="AV147" s="963" t="n"/>
      <c r="AW147" s="991" t="n"/>
      <c r="AX147" s="18" t="n"/>
    </row>
    <row r="148" ht="16.4" customHeight="1" s="828">
      <c r="A148" s="722" t="n"/>
      <c r="B148" s="1021" t="n"/>
      <c r="C148" s="1021" t="n"/>
      <c r="D148" s="1021" t="n"/>
      <c r="E148" s="1021" t="n"/>
      <c r="F148" s="1021" t="n"/>
      <c r="G148" s="1021" t="n"/>
      <c r="H148" s="1021" t="n"/>
      <c r="I148" s="1021" t="n"/>
      <c r="J148" s="1021" t="n"/>
      <c r="K148" s="1022" t="n"/>
      <c r="L148" s="963" t="n"/>
      <c r="M148" s="963" t="n"/>
      <c r="N148" s="963" t="n"/>
      <c r="O148" s="963" t="n"/>
      <c r="P148" s="963" t="n"/>
      <c r="Q148" s="963" t="n"/>
      <c r="R148" s="963" t="n"/>
      <c r="S148" s="963" t="n"/>
      <c r="T148" s="963" t="n"/>
      <c r="U148" s="991" t="n"/>
      <c r="V148" s="1021" t="n"/>
      <c r="W148" s="1021" t="n"/>
      <c r="X148" s="1021" t="n"/>
      <c r="Y148" s="1021" t="n"/>
      <c r="Z148" s="1021" t="n"/>
      <c r="AA148" s="989" t="n"/>
      <c r="AB148" s="1022" t="n"/>
      <c r="AC148" s="963" t="n"/>
      <c r="AD148" s="963" t="n"/>
      <c r="AE148" s="963" t="n"/>
      <c r="AF148" s="963" t="n"/>
      <c r="AG148" s="963" t="n"/>
      <c r="AH148" s="963" t="n"/>
      <c r="AI148" s="991" t="n"/>
      <c r="AJ148" s="1021" t="n"/>
      <c r="AK148" s="1021" t="n"/>
      <c r="AL148" s="1021" t="n"/>
      <c r="AM148" s="1021" t="n"/>
      <c r="AN148" s="1021" t="n"/>
      <c r="AO148" s="1021" t="n"/>
      <c r="AP148" s="1022" t="n"/>
      <c r="AQ148" s="963" t="n"/>
      <c r="AR148" s="963" t="n"/>
      <c r="AS148" s="963" t="n"/>
      <c r="AT148" s="963" t="n"/>
      <c r="AU148" s="963" t="n"/>
      <c r="AV148" s="963" t="n"/>
      <c r="AW148" s="991" t="n"/>
      <c r="AX148" s="18" t="n"/>
    </row>
    <row r="149" ht="16.4" customHeight="1" s="828">
      <c r="A149" s="722" t="n"/>
      <c r="B149" s="1021" t="n"/>
      <c r="C149" s="1021" t="n"/>
      <c r="D149" s="1021" t="n"/>
      <c r="E149" s="1021" t="n"/>
      <c r="F149" s="1021" t="n"/>
      <c r="G149" s="1021" t="n"/>
      <c r="H149" s="1021" t="n"/>
      <c r="I149" s="1021" t="n"/>
      <c r="J149" s="1021" t="n"/>
      <c r="K149" s="1022" t="n"/>
      <c r="L149" s="963" t="n"/>
      <c r="M149" s="963" t="n"/>
      <c r="N149" s="963" t="n"/>
      <c r="O149" s="963" t="n"/>
      <c r="P149" s="963" t="n"/>
      <c r="Q149" s="963" t="n"/>
      <c r="R149" s="963" t="n"/>
      <c r="S149" s="963" t="n"/>
      <c r="T149" s="963" t="n"/>
      <c r="U149" s="991" t="n"/>
      <c r="V149" s="1021" t="n"/>
      <c r="W149" s="1021" t="n"/>
      <c r="X149" s="1021" t="n"/>
      <c r="Y149" s="1021" t="n"/>
      <c r="Z149" s="1021" t="n"/>
      <c r="AA149" s="989" t="n"/>
      <c r="AB149" s="1022" t="n"/>
      <c r="AC149" s="963" t="n"/>
      <c r="AD149" s="963" t="n"/>
      <c r="AE149" s="963" t="n"/>
      <c r="AF149" s="963" t="n"/>
      <c r="AG149" s="963" t="n"/>
      <c r="AH149" s="963" t="n"/>
      <c r="AI149" s="991" t="n"/>
      <c r="AJ149" s="1021" t="n"/>
      <c r="AK149" s="1021" t="n"/>
      <c r="AL149" s="1021" t="n"/>
      <c r="AM149" s="1021" t="n"/>
      <c r="AN149" s="1021" t="n"/>
      <c r="AO149" s="1021" t="n"/>
      <c r="AP149" s="1022" t="n"/>
      <c r="AQ149" s="963" t="n"/>
      <c r="AR149" s="963" t="n"/>
      <c r="AS149" s="963" t="n"/>
      <c r="AT149" s="963" t="n"/>
      <c r="AU149" s="963" t="n"/>
      <c r="AV149" s="963" t="n"/>
      <c r="AW149" s="991" t="n"/>
      <c r="AX149" s="18" t="n"/>
    </row>
    <row r="150" ht="16.4" customHeight="1" s="828">
      <c r="A150" s="722" t="n"/>
      <c r="B150" s="1021" t="n"/>
      <c r="C150" s="1021" t="n"/>
      <c r="D150" s="1021" t="n"/>
      <c r="E150" s="1021" t="n"/>
      <c r="F150" s="1021" t="n"/>
      <c r="G150" s="1021" t="n"/>
      <c r="H150" s="1021" t="n"/>
      <c r="I150" s="1021" t="n"/>
      <c r="J150" s="1021" t="n"/>
      <c r="K150" s="1022" t="n"/>
      <c r="L150" s="963" t="n"/>
      <c r="M150" s="963" t="n"/>
      <c r="N150" s="963" t="n"/>
      <c r="O150" s="963" t="n"/>
      <c r="P150" s="963" t="n"/>
      <c r="Q150" s="963" t="n"/>
      <c r="R150" s="963" t="n"/>
      <c r="S150" s="963" t="n"/>
      <c r="T150" s="963" t="n"/>
      <c r="U150" s="991" t="n"/>
      <c r="V150" s="1021" t="n"/>
      <c r="W150" s="1021" t="n"/>
      <c r="X150" s="1021" t="n"/>
      <c r="Y150" s="1021" t="n"/>
      <c r="Z150" s="1021" t="n"/>
      <c r="AA150" s="989" t="n"/>
      <c r="AB150" s="1022" t="n"/>
      <c r="AC150" s="963" t="n"/>
      <c r="AD150" s="963" t="n"/>
      <c r="AE150" s="963" t="n"/>
      <c r="AF150" s="963" t="n"/>
      <c r="AG150" s="963" t="n"/>
      <c r="AH150" s="963" t="n"/>
      <c r="AI150" s="991" t="n"/>
      <c r="AJ150" s="1021" t="n"/>
      <c r="AK150" s="1021" t="n"/>
      <c r="AL150" s="1021" t="n"/>
      <c r="AM150" s="1021" t="n"/>
      <c r="AN150" s="1021" t="n"/>
      <c r="AO150" s="1021" t="n"/>
      <c r="AP150" s="1022" t="n"/>
      <c r="AQ150" s="963" t="n"/>
      <c r="AR150" s="963" t="n"/>
      <c r="AS150" s="963" t="n"/>
      <c r="AT150" s="963" t="n"/>
      <c r="AU150" s="963" t="n"/>
      <c r="AV150" s="963" t="n"/>
      <c r="AW150" s="991" t="n"/>
      <c r="AX150" s="18" t="n"/>
    </row>
    <row r="151" ht="16.4" customHeight="1" s="828">
      <c r="A151" s="722" t="n"/>
      <c r="B151" s="1021" t="n"/>
      <c r="C151" s="1021" t="n"/>
      <c r="D151" s="1021" t="n"/>
      <c r="E151" s="1021" t="n"/>
      <c r="F151" s="1021" t="n"/>
      <c r="G151" s="1021" t="n"/>
      <c r="H151" s="1021" t="n"/>
      <c r="I151" s="1021" t="n"/>
      <c r="J151" s="1021" t="n"/>
      <c r="K151" s="1022" t="n"/>
      <c r="L151" s="963" t="n"/>
      <c r="M151" s="963" t="n"/>
      <c r="N151" s="963" t="n"/>
      <c r="O151" s="963" t="n"/>
      <c r="P151" s="963" t="n"/>
      <c r="Q151" s="963" t="n"/>
      <c r="R151" s="963" t="n"/>
      <c r="S151" s="963" t="n"/>
      <c r="T151" s="963" t="n"/>
      <c r="U151" s="991" t="n"/>
      <c r="V151" s="1021" t="n"/>
      <c r="W151" s="1021" t="n"/>
      <c r="X151" s="1021" t="n"/>
      <c r="Y151" s="1021" t="n"/>
      <c r="Z151" s="1021" t="n"/>
      <c r="AA151" s="989" t="n"/>
      <c r="AB151" s="1022" t="n"/>
      <c r="AC151" s="963" t="n"/>
      <c r="AD151" s="963" t="n"/>
      <c r="AE151" s="963" t="n"/>
      <c r="AF151" s="963" t="n"/>
      <c r="AG151" s="963" t="n"/>
      <c r="AH151" s="963" t="n"/>
      <c r="AI151" s="991" t="n"/>
      <c r="AJ151" s="1021" t="n"/>
      <c r="AK151" s="1021" t="n"/>
      <c r="AL151" s="1021" t="n"/>
      <c r="AM151" s="1021" t="n"/>
      <c r="AN151" s="1021" t="n"/>
      <c r="AO151" s="1021" t="n"/>
      <c r="AP151" s="1022" t="n"/>
      <c r="AQ151" s="963" t="n"/>
      <c r="AR151" s="963" t="n"/>
      <c r="AS151" s="963" t="n"/>
      <c r="AT151" s="963" t="n"/>
      <c r="AU151" s="963" t="n"/>
      <c r="AV151" s="963" t="n"/>
      <c r="AW151" s="991" t="n"/>
      <c r="AX151" s="18" t="n"/>
    </row>
    <row r="152" ht="16.4" customHeight="1" s="828">
      <c r="A152" s="722" t="n"/>
      <c r="B152" s="1021" t="n"/>
      <c r="C152" s="1021" t="n"/>
      <c r="D152" s="1021" t="n"/>
      <c r="E152" s="1021" t="n"/>
      <c r="F152" s="1021" t="n"/>
      <c r="G152" s="1021" t="n"/>
      <c r="H152" s="1021" t="n"/>
      <c r="I152" s="1021" t="n"/>
      <c r="J152" s="1021" t="n"/>
      <c r="K152" s="1022" t="n"/>
      <c r="L152" s="963" t="n"/>
      <c r="M152" s="963" t="n"/>
      <c r="N152" s="963" t="n"/>
      <c r="O152" s="963" t="n"/>
      <c r="P152" s="963" t="n"/>
      <c r="Q152" s="963" t="n"/>
      <c r="R152" s="963" t="n"/>
      <c r="S152" s="963" t="n"/>
      <c r="T152" s="963" t="n"/>
      <c r="U152" s="991" t="n"/>
      <c r="V152" s="1021" t="n"/>
      <c r="W152" s="1021" t="n"/>
      <c r="X152" s="1021" t="n"/>
      <c r="Y152" s="1021" t="n"/>
      <c r="Z152" s="1021" t="n"/>
      <c r="AA152" s="989" t="n"/>
      <c r="AB152" s="1022" t="n"/>
      <c r="AC152" s="963" t="n"/>
      <c r="AD152" s="963" t="n"/>
      <c r="AE152" s="963" t="n"/>
      <c r="AF152" s="963" t="n"/>
      <c r="AG152" s="963" t="n"/>
      <c r="AH152" s="963" t="n"/>
      <c r="AI152" s="991" t="n"/>
      <c r="AJ152" s="1021" t="n"/>
      <c r="AK152" s="1021" t="n"/>
      <c r="AL152" s="1021" t="n"/>
      <c r="AM152" s="1021" t="n"/>
      <c r="AN152" s="1021" t="n"/>
      <c r="AO152" s="1021" t="n"/>
      <c r="AP152" s="1022" t="n"/>
      <c r="AQ152" s="963" t="n"/>
      <c r="AR152" s="963" t="n"/>
      <c r="AS152" s="963" t="n"/>
      <c r="AT152" s="963" t="n"/>
      <c r="AU152" s="963" t="n"/>
      <c r="AV152" s="963" t="n"/>
      <c r="AW152" s="991" t="n"/>
      <c r="AX152" s="18" t="n"/>
    </row>
    <row r="153" ht="16.4" customHeight="1" s="828">
      <c r="A153" s="722" t="n"/>
      <c r="B153" s="1021" t="n"/>
      <c r="C153" s="1021" t="n"/>
      <c r="D153" s="1021" t="n"/>
      <c r="E153" s="1021" t="n"/>
      <c r="F153" s="1021" t="n"/>
      <c r="G153" s="1021" t="n"/>
      <c r="H153" s="1021" t="n"/>
      <c r="I153" s="1021" t="n"/>
      <c r="J153" s="1021" t="n"/>
      <c r="K153" s="1022" t="n"/>
      <c r="L153" s="963" t="n"/>
      <c r="M153" s="963" t="n"/>
      <c r="N153" s="963" t="n"/>
      <c r="O153" s="963" t="n"/>
      <c r="P153" s="963" t="n"/>
      <c r="Q153" s="963" t="n"/>
      <c r="R153" s="963" t="n"/>
      <c r="S153" s="963" t="n"/>
      <c r="T153" s="963" t="n"/>
      <c r="U153" s="991" t="n"/>
      <c r="V153" s="1021" t="n"/>
      <c r="W153" s="1021" t="n"/>
      <c r="X153" s="1021" t="n"/>
      <c r="Y153" s="1021" t="n"/>
      <c r="Z153" s="1021" t="n"/>
      <c r="AA153" s="989" t="n"/>
      <c r="AB153" s="1022" t="n"/>
      <c r="AC153" s="963" t="n"/>
      <c r="AD153" s="963" t="n"/>
      <c r="AE153" s="963" t="n"/>
      <c r="AF153" s="963" t="n"/>
      <c r="AG153" s="963" t="n"/>
      <c r="AH153" s="963" t="n"/>
      <c r="AI153" s="991" t="n"/>
      <c r="AJ153" s="1021" t="n"/>
      <c r="AK153" s="1021" t="n"/>
      <c r="AL153" s="1021" t="n"/>
      <c r="AM153" s="1021" t="n"/>
      <c r="AN153" s="1021" t="n"/>
      <c r="AO153" s="1021" t="n"/>
      <c r="AP153" s="1022" t="n"/>
      <c r="AQ153" s="963" t="n"/>
      <c r="AR153" s="963" t="n"/>
      <c r="AS153" s="963" t="n"/>
      <c r="AT153" s="963" t="n"/>
      <c r="AU153" s="963" t="n"/>
      <c r="AV153" s="963" t="n"/>
      <c r="AW153" s="991" t="n"/>
      <c r="AX153" s="18" t="n"/>
    </row>
    <row r="154" ht="16.4" customHeight="1" s="828">
      <c r="A154" s="722" t="n"/>
      <c r="B154" s="1021" t="n"/>
      <c r="C154" s="1021" t="n"/>
      <c r="D154" s="1021" t="n"/>
      <c r="E154" s="1021" t="n"/>
      <c r="F154" s="1021" t="n"/>
      <c r="G154" s="1021" t="n"/>
      <c r="H154" s="1021" t="n"/>
      <c r="I154" s="1021" t="n"/>
      <c r="J154" s="1021" t="n"/>
      <c r="K154" s="1022" t="n"/>
      <c r="L154" s="963" t="n"/>
      <c r="M154" s="963" t="n"/>
      <c r="N154" s="963" t="n"/>
      <c r="O154" s="963" t="n"/>
      <c r="P154" s="963" t="n"/>
      <c r="Q154" s="963" t="n"/>
      <c r="R154" s="963" t="n"/>
      <c r="S154" s="963" t="n"/>
      <c r="T154" s="963" t="n"/>
      <c r="U154" s="991" t="n"/>
      <c r="V154" s="1021" t="n"/>
      <c r="W154" s="1021" t="n"/>
      <c r="X154" s="1021" t="n"/>
      <c r="Y154" s="1021" t="n"/>
      <c r="Z154" s="1021" t="n"/>
      <c r="AA154" s="989" t="n"/>
      <c r="AB154" s="1022" t="n"/>
      <c r="AC154" s="963" t="n"/>
      <c r="AD154" s="963" t="n"/>
      <c r="AE154" s="963" t="n"/>
      <c r="AF154" s="963" t="n"/>
      <c r="AG154" s="963" t="n"/>
      <c r="AH154" s="963" t="n"/>
      <c r="AI154" s="991" t="n"/>
      <c r="AJ154" s="1021" t="n"/>
      <c r="AK154" s="1021" t="n"/>
      <c r="AL154" s="1021" t="n"/>
      <c r="AM154" s="1021" t="n"/>
      <c r="AN154" s="1021" t="n"/>
      <c r="AO154" s="1021" t="n"/>
      <c r="AP154" s="1022" t="n"/>
      <c r="AQ154" s="963" t="n"/>
      <c r="AR154" s="963" t="n"/>
      <c r="AS154" s="963" t="n"/>
      <c r="AT154" s="963" t="n"/>
      <c r="AU154" s="963" t="n"/>
      <c r="AV154" s="963" t="n"/>
      <c r="AW154" s="991" t="n"/>
      <c r="AX154" s="18" t="n"/>
    </row>
    <row r="155" ht="16.4" customHeight="1" s="828">
      <c r="A155" s="722" t="n"/>
      <c r="B155" s="1021" t="n"/>
      <c r="C155" s="1021" t="n"/>
      <c r="D155" s="1021" t="n"/>
      <c r="E155" s="1021" t="n"/>
      <c r="F155" s="1021" t="n"/>
      <c r="G155" s="1021" t="n"/>
      <c r="H155" s="1021" t="n"/>
      <c r="I155" s="1021" t="n"/>
      <c r="J155" s="1021" t="n"/>
      <c r="K155" s="1022" t="n"/>
      <c r="L155" s="963" t="n"/>
      <c r="M155" s="963" t="n"/>
      <c r="N155" s="963" t="n"/>
      <c r="O155" s="963" t="n"/>
      <c r="P155" s="963" t="n"/>
      <c r="Q155" s="963" t="n"/>
      <c r="R155" s="963" t="n"/>
      <c r="S155" s="963" t="n"/>
      <c r="T155" s="963" t="n"/>
      <c r="U155" s="991" t="n"/>
      <c r="V155" s="1021" t="n"/>
      <c r="W155" s="1021" t="n"/>
      <c r="X155" s="1021" t="n"/>
      <c r="Y155" s="1021" t="n"/>
      <c r="Z155" s="1021" t="n"/>
      <c r="AA155" s="989" t="n"/>
      <c r="AB155" s="1022" t="n"/>
      <c r="AC155" s="963" t="n"/>
      <c r="AD155" s="963" t="n"/>
      <c r="AE155" s="963" t="n"/>
      <c r="AF155" s="963" t="n"/>
      <c r="AG155" s="963" t="n"/>
      <c r="AH155" s="963" t="n"/>
      <c r="AI155" s="991" t="n"/>
      <c r="AJ155" s="1021" t="n"/>
      <c r="AK155" s="1021" t="n"/>
      <c r="AL155" s="1021" t="n"/>
      <c r="AM155" s="1021" t="n"/>
      <c r="AN155" s="1021" t="n"/>
      <c r="AO155" s="1021" t="n"/>
      <c r="AP155" s="1022" t="n"/>
      <c r="AQ155" s="963" t="n"/>
      <c r="AR155" s="963" t="n"/>
      <c r="AS155" s="963" t="n"/>
      <c r="AT155" s="963" t="n"/>
      <c r="AU155" s="963" t="n"/>
      <c r="AV155" s="963" t="n"/>
      <c r="AW155" s="991" t="n"/>
      <c r="AX155" s="18" t="n"/>
    </row>
    <row r="156" ht="16.4" customHeight="1" s="828">
      <c r="A156" s="722" t="n"/>
      <c r="B156" s="1021" t="n"/>
      <c r="C156" s="1021" t="n"/>
      <c r="D156" s="1021" t="n"/>
      <c r="E156" s="1021" t="n"/>
      <c r="F156" s="1021" t="n"/>
      <c r="G156" s="1021" t="n"/>
      <c r="H156" s="1021" t="n"/>
      <c r="I156" s="1021" t="n"/>
      <c r="J156" s="1021" t="n"/>
      <c r="K156" s="1022" t="n"/>
      <c r="L156" s="963" t="n"/>
      <c r="M156" s="963" t="n"/>
      <c r="N156" s="963" t="n"/>
      <c r="O156" s="963" t="n"/>
      <c r="P156" s="963" t="n"/>
      <c r="Q156" s="963" t="n"/>
      <c r="R156" s="963" t="n"/>
      <c r="S156" s="963" t="n"/>
      <c r="T156" s="963" t="n"/>
      <c r="U156" s="991" t="n"/>
      <c r="V156" s="1021" t="n"/>
      <c r="W156" s="1021" t="n"/>
      <c r="X156" s="1021" t="n"/>
      <c r="Y156" s="1021" t="n"/>
      <c r="Z156" s="1021" t="n"/>
      <c r="AA156" s="989" t="n"/>
      <c r="AB156" s="1022" t="n"/>
      <c r="AC156" s="963" t="n"/>
      <c r="AD156" s="963" t="n"/>
      <c r="AE156" s="963" t="n"/>
      <c r="AF156" s="963" t="n"/>
      <c r="AG156" s="963" t="n"/>
      <c r="AH156" s="963" t="n"/>
      <c r="AI156" s="991" t="n"/>
      <c r="AJ156" s="1021" t="n"/>
      <c r="AK156" s="1021" t="n"/>
      <c r="AL156" s="1021" t="n"/>
      <c r="AM156" s="1021" t="n"/>
      <c r="AN156" s="1021" t="n"/>
      <c r="AO156" s="1021" t="n"/>
      <c r="AP156" s="1022" t="n"/>
      <c r="AQ156" s="963" t="n"/>
      <c r="AR156" s="963" t="n"/>
      <c r="AS156" s="963" t="n"/>
      <c r="AT156" s="963" t="n"/>
      <c r="AU156" s="963" t="n"/>
      <c r="AV156" s="963" t="n"/>
      <c r="AW156" s="991" t="n"/>
      <c r="AX156" s="18" t="n"/>
    </row>
    <row r="157" ht="16.4" customHeight="1" s="828">
      <c r="A157" s="722" t="n"/>
      <c r="B157" s="1021" t="n"/>
      <c r="C157" s="1021" t="n"/>
      <c r="D157" s="1021" t="n"/>
      <c r="E157" s="1021" t="n"/>
      <c r="F157" s="1021" t="n"/>
      <c r="G157" s="1021" t="n"/>
      <c r="H157" s="1021" t="n"/>
      <c r="I157" s="1021" t="n"/>
      <c r="J157" s="1021" t="n"/>
      <c r="K157" s="1022" t="n"/>
      <c r="L157" s="963" t="n"/>
      <c r="M157" s="963" t="n"/>
      <c r="N157" s="963" t="n"/>
      <c r="O157" s="963" t="n"/>
      <c r="P157" s="963" t="n"/>
      <c r="Q157" s="963" t="n"/>
      <c r="R157" s="963" t="n"/>
      <c r="S157" s="963" t="n"/>
      <c r="T157" s="963" t="n"/>
      <c r="U157" s="991" t="n"/>
      <c r="V157" s="1021" t="n"/>
      <c r="W157" s="1021" t="n"/>
      <c r="X157" s="1021" t="n"/>
      <c r="Y157" s="1021" t="n"/>
      <c r="Z157" s="1021" t="n"/>
      <c r="AA157" s="989" t="n"/>
      <c r="AB157" s="1022" t="n"/>
      <c r="AC157" s="963" t="n"/>
      <c r="AD157" s="963" t="n"/>
      <c r="AE157" s="963" t="n"/>
      <c r="AF157" s="963" t="n"/>
      <c r="AG157" s="963" t="n"/>
      <c r="AH157" s="963" t="n"/>
      <c r="AI157" s="991" t="n"/>
      <c r="AJ157" s="1021" t="n"/>
      <c r="AK157" s="1021" t="n"/>
      <c r="AL157" s="1021" t="n"/>
      <c r="AM157" s="1021" t="n"/>
      <c r="AN157" s="1021" t="n"/>
      <c r="AO157" s="1021" t="n"/>
      <c r="AP157" s="1022" t="n"/>
      <c r="AQ157" s="963" t="n"/>
      <c r="AR157" s="963" t="n"/>
      <c r="AS157" s="963" t="n"/>
      <c r="AT157" s="963" t="n"/>
      <c r="AU157" s="963" t="n"/>
      <c r="AV157" s="963" t="n"/>
      <c r="AW157" s="991" t="n"/>
      <c r="AX157" s="18" t="n"/>
    </row>
    <row r="158" ht="16.4" customHeight="1" s="828">
      <c r="A158" s="722" t="n"/>
      <c r="B158" s="1021" t="n"/>
      <c r="C158" s="1021" t="n"/>
      <c r="D158" s="1021" t="n"/>
      <c r="E158" s="1021" t="n"/>
      <c r="F158" s="1021" t="n"/>
      <c r="G158" s="1021" t="n"/>
      <c r="H158" s="1021" t="n"/>
      <c r="I158" s="1021" t="n"/>
      <c r="J158" s="1021" t="n"/>
      <c r="K158" s="1022" t="n"/>
      <c r="L158" s="963" t="n"/>
      <c r="M158" s="963" t="n"/>
      <c r="N158" s="963" t="n"/>
      <c r="O158" s="963" t="n"/>
      <c r="P158" s="963" t="n"/>
      <c r="Q158" s="963" t="n"/>
      <c r="R158" s="963" t="n"/>
      <c r="S158" s="963" t="n"/>
      <c r="T158" s="963" t="n"/>
      <c r="U158" s="991" t="n"/>
      <c r="V158" s="1021" t="n"/>
      <c r="W158" s="1021" t="n"/>
      <c r="X158" s="1021" t="n"/>
      <c r="Y158" s="1021" t="n"/>
      <c r="Z158" s="1021" t="n"/>
      <c r="AA158" s="989" t="n"/>
      <c r="AB158" s="1022" t="n"/>
      <c r="AC158" s="963" t="n"/>
      <c r="AD158" s="963" t="n"/>
      <c r="AE158" s="963" t="n"/>
      <c r="AF158" s="963" t="n"/>
      <c r="AG158" s="963" t="n"/>
      <c r="AH158" s="963" t="n"/>
      <c r="AI158" s="991" t="n"/>
      <c r="AJ158" s="1021" t="n"/>
      <c r="AK158" s="1021" t="n"/>
      <c r="AL158" s="1021" t="n"/>
      <c r="AM158" s="1021" t="n"/>
      <c r="AN158" s="1021" t="n"/>
      <c r="AO158" s="1021" t="n"/>
      <c r="AP158" s="1022" t="n"/>
      <c r="AQ158" s="963" t="n"/>
      <c r="AR158" s="963" t="n"/>
      <c r="AS158" s="963" t="n"/>
      <c r="AT158" s="963" t="n"/>
      <c r="AU158" s="963" t="n"/>
      <c r="AV158" s="963" t="n"/>
      <c r="AW158" s="991" t="n"/>
      <c r="AX158" s="18" t="n"/>
    </row>
    <row r="159" ht="16.4" customHeight="1" s="828">
      <c r="A159" s="722" t="n"/>
      <c r="B159" s="1021" t="n"/>
      <c r="C159" s="1021" t="n"/>
      <c r="D159" s="1021" t="n"/>
      <c r="E159" s="1021" t="n"/>
      <c r="F159" s="1021" t="n"/>
      <c r="G159" s="1021" t="n"/>
      <c r="H159" s="1021" t="n"/>
      <c r="I159" s="1021" t="n"/>
      <c r="J159" s="1021" t="n"/>
      <c r="K159" s="1022" t="n"/>
      <c r="L159" s="963" t="n"/>
      <c r="M159" s="963" t="n"/>
      <c r="N159" s="963" t="n"/>
      <c r="O159" s="963" t="n"/>
      <c r="P159" s="963" t="n"/>
      <c r="Q159" s="963" t="n"/>
      <c r="R159" s="963" t="n"/>
      <c r="S159" s="963" t="n"/>
      <c r="T159" s="963" t="n"/>
      <c r="U159" s="991" t="n"/>
      <c r="V159" s="1021" t="n"/>
      <c r="W159" s="1021" t="n"/>
      <c r="X159" s="1021" t="n"/>
      <c r="Y159" s="1021" t="n"/>
      <c r="Z159" s="1021" t="n"/>
      <c r="AA159" s="989" t="n"/>
      <c r="AB159" s="1022" t="n"/>
      <c r="AC159" s="963" t="n"/>
      <c r="AD159" s="963" t="n"/>
      <c r="AE159" s="963" t="n"/>
      <c r="AF159" s="963" t="n"/>
      <c r="AG159" s="963" t="n"/>
      <c r="AH159" s="963" t="n"/>
      <c r="AI159" s="991" t="n"/>
      <c r="AJ159" s="1021" t="n"/>
      <c r="AK159" s="1021" t="n"/>
      <c r="AL159" s="1021" t="n"/>
      <c r="AM159" s="1021" t="n"/>
      <c r="AN159" s="1021" t="n"/>
      <c r="AO159" s="1021" t="n"/>
      <c r="AP159" s="1022" t="n"/>
      <c r="AQ159" s="963" t="n"/>
      <c r="AR159" s="963" t="n"/>
      <c r="AS159" s="963" t="n"/>
      <c r="AT159" s="963" t="n"/>
      <c r="AU159" s="963" t="n"/>
      <c r="AV159" s="963" t="n"/>
      <c r="AW159" s="991" t="n"/>
      <c r="AX159" s="18" t="n"/>
    </row>
    <row r="160" ht="16.4" customHeight="1" s="828">
      <c r="A160" s="722" t="n"/>
      <c r="B160" s="1021" t="n"/>
      <c r="C160" s="1021" t="n"/>
      <c r="D160" s="1021" t="n"/>
      <c r="E160" s="1021" t="n"/>
      <c r="F160" s="1021" t="n"/>
      <c r="G160" s="1021" t="n"/>
      <c r="H160" s="1021" t="n"/>
      <c r="I160" s="1021" t="n"/>
      <c r="J160" s="1021" t="n"/>
      <c r="K160" s="1022" t="n"/>
      <c r="L160" s="963" t="n"/>
      <c r="M160" s="963" t="n"/>
      <c r="N160" s="963" t="n"/>
      <c r="O160" s="963" t="n"/>
      <c r="P160" s="963" t="n"/>
      <c r="Q160" s="963" t="n"/>
      <c r="R160" s="963" t="n"/>
      <c r="S160" s="963" t="n"/>
      <c r="T160" s="963" t="n"/>
      <c r="U160" s="991" t="n"/>
      <c r="V160" s="1021" t="n"/>
      <c r="W160" s="1021" t="n"/>
      <c r="X160" s="1021" t="n"/>
      <c r="Y160" s="1021" t="n"/>
      <c r="Z160" s="1021" t="n"/>
      <c r="AA160" s="989" t="n"/>
      <c r="AB160" s="1022" t="n"/>
      <c r="AC160" s="963" t="n"/>
      <c r="AD160" s="963" t="n"/>
      <c r="AE160" s="963" t="n"/>
      <c r="AF160" s="963" t="n"/>
      <c r="AG160" s="963" t="n"/>
      <c r="AH160" s="963" t="n"/>
      <c r="AI160" s="991" t="n"/>
      <c r="AJ160" s="1021" t="n"/>
      <c r="AK160" s="1021" t="n"/>
      <c r="AL160" s="1021" t="n"/>
      <c r="AM160" s="1021" t="n"/>
      <c r="AN160" s="1021" t="n"/>
      <c r="AO160" s="1021" t="n"/>
      <c r="AP160" s="1022" t="n"/>
      <c r="AQ160" s="963" t="n"/>
      <c r="AR160" s="963" t="n"/>
      <c r="AS160" s="963" t="n"/>
      <c r="AT160" s="963" t="n"/>
      <c r="AU160" s="963" t="n"/>
      <c r="AV160" s="963" t="n"/>
      <c r="AW160" s="991" t="n"/>
      <c r="AX160" s="18" t="n"/>
    </row>
    <row r="161" ht="16.4" customHeight="1" s="828">
      <c r="A161" s="722" t="n"/>
      <c r="B161" s="1021" t="n"/>
      <c r="C161" s="1021" t="n"/>
      <c r="D161" s="1021" t="n"/>
      <c r="E161" s="1021" t="n"/>
      <c r="F161" s="1021" t="n"/>
      <c r="G161" s="1021" t="n"/>
      <c r="H161" s="1021" t="n"/>
      <c r="I161" s="1021" t="n"/>
      <c r="J161" s="1021" t="n"/>
      <c r="K161" s="1022" t="n"/>
      <c r="L161" s="963" t="n"/>
      <c r="M161" s="963" t="n"/>
      <c r="N161" s="963" t="n"/>
      <c r="O161" s="963" t="n"/>
      <c r="P161" s="963" t="n"/>
      <c r="Q161" s="963" t="n"/>
      <c r="R161" s="963" t="n"/>
      <c r="S161" s="963" t="n"/>
      <c r="T161" s="963" t="n"/>
      <c r="U161" s="991" t="n"/>
      <c r="V161" s="1021" t="n"/>
      <c r="W161" s="1021" t="n"/>
      <c r="X161" s="1021" t="n"/>
      <c r="Y161" s="1021" t="n"/>
      <c r="Z161" s="1021" t="n"/>
      <c r="AA161" s="989" t="n"/>
      <c r="AB161" s="1022" t="n"/>
      <c r="AC161" s="963" t="n"/>
      <c r="AD161" s="963" t="n"/>
      <c r="AE161" s="963" t="n"/>
      <c r="AF161" s="963" t="n"/>
      <c r="AG161" s="963" t="n"/>
      <c r="AH161" s="963" t="n"/>
      <c r="AI161" s="991" t="n"/>
      <c r="AJ161" s="1021" t="n"/>
      <c r="AK161" s="1021" t="n"/>
      <c r="AL161" s="1021" t="n"/>
      <c r="AM161" s="1021" t="n"/>
      <c r="AN161" s="1021" t="n"/>
      <c r="AO161" s="1021" t="n"/>
      <c r="AP161" s="1022" t="n"/>
      <c r="AQ161" s="963" t="n"/>
      <c r="AR161" s="963" t="n"/>
      <c r="AS161" s="963" t="n"/>
      <c r="AT161" s="963" t="n"/>
      <c r="AU161" s="963" t="n"/>
      <c r="AV161" s="963" t="n"/>
      <c r="AW161" s="991" t="n"/>
      <c r="AX161" s="18" t="n"/>
    </row>
    <row r="162" ht="16.4" customHeight="1" s="828">
      <c r="A162" s="722" t="n"/>
      <c r="B162" s="1021" t="n"/>
      <c r="C162" s="1021" t="n"/>
      <c r="D162" s="1021" t="n"/>
      <c r="E162" s="1021" t="n"/>
      <c r="F162" s="1021" t="n"/>
      <c r="G162" s="1021" t="n"/>
      <c r="H162" s="1021" t="n"/>
      <c r="I162" s="1021" t="n"/>
      <c r="J162" s="1021" t="n"/>
      <c r="K162" s="1022" t="n"/>
      <c r="L162" s="963" t="n"/>
      <c r="M162" s="963" t="n"/>
      <c r="N162" s="963" t="n"/>
      <c r="O162" s="963" t="n"/>
      <c r="P162" s="963" t="n"/>
      <c r="Q162" s="963" t="n"/>
      <c r="R162" s="963" t="n"/>
      <c r="S162" s="963" t="n"/>
      <c r="T162" s="963" t="n"/>
      <c r="U162" s="991" t="n"/>
      <c r="V162" s="1021" t="n"/>
      <c r="W162" s="1021" t="n"/>
      <c r="X162" s="1021" t="n"/>
      <c r="Y162" s="1021" t="n"/>
      <c r="Z162" s="1021" t="n"/>
      <c r="AA162" s="989" t="n"/>
      <c r="AB162" s="1022" t="n"/>
      <c r="AC162" s="963" t="n"/>
      <c r="AD162" s="963" t="n"/>
      <c r="AE162" s="963" t="n"/>
      <c r="AF162" s="963" t="n"/>
      <c r="AG162" s="963" t="n"/>
      <c r="AH162" s="963" t="n"/>
      <c r="AI162" s="991" t="n"/>
      <c r="AJ162" s="1021" t="n"/>
      <c r="AK162" s="1021" t="n"/>
      <c r="AL162" s="1021" t="n"/>
      <c r="AM162" s="1021" t="n"/>
      <c r="AN162" s="1021" t="n"/>
      <c r="AO162" s="1021" t="n"/>
      <c r="AP162" s="1022" t="n"/>
      <c r="AQ162" s="963" t="n"/>
      <c r="AR162" s="963" t="n"/>
      <c r="AS162" s="963" t="n"/>
      <c r="AT162" s="963" t="n"/>
      <c r="AU162" s="963" t="n"/>
      <c r="AV162" s="963" t="n"/>
      <c r="AW162" s="991" t="n"/>
      <c r="AX162" s="18" t="n"/>
    </row>
    <row r="163" ht="16.4" customHeight="1" s="828">
      <c r="A163" s="722" t="n"/>
      <c r="B163" s="1021" t="n"/>
      <c r="C163" s="1021" t="n"/>
      <c r="D163" s="1021" t="n"/>
      <c r="E163" s="1021" t="n"/>
      <c r="F163" s="1021" t="n"/>
      <c r="G163" s="1021" t="n"/>
      <c r="H163" s="1021" t="n"/>
      <c r="I163" s="1021" t="n"/>
      <c r="J163" s="1021" t="n"/>
      <c r="K163" s="1022" t="n"/>
      <c r="L163" s="963" t="n"/>
      <c r="M163" s="963" t="n"/>
      <c r="N163" s="963" t="n"/>
      <c r="O163" s="963" t="n"/>
      <c r="P163" s="963" t="n"/>
      <c r="Q163" s="963" t="n"/>
      <c r="R163" s="963" t="n"/>
      <c r="S163" s="963" t="n"/>
      <c r="T163" s="963" t="n"/>
      <c r="U163" s="991" t="n"/>
      <c r="V163" s="1021" t="n"/>
      <c r="W163" s="1021" t="n"/>
      <c r="X163" s="1021" t="n"/>
      <c r="Y163" s="1021" t="n"/>
      <c r="Z163" s="1021" t="n"/>
      <c r="AA163" s="989" t="n"/>
      <c r="AB163" s="1022" t="n"/>
      <c r="AC163" s="963" t="n"/>
      <c r="AD163" s="963" t="n"/>
      <c r="AE163" s="963" t="n"/>
      <c r="AF163" s="963" t="n"/>
      <c r="AG163" s="963" t="n"/>
      <c r="AH163" s="963" t="n"/>
      <c r="AI163" s="991" t="n"/>
      <c r="AJ163" s="1021" t="n"/>
      <c r="AK163" s="1021" t="n"/>
      <c r="AL163" s="1021" t="n"/>
      <c r="AM163" s="1021" t="n"/>
      <c r="AN163" s="1021" t="n"/>
      <c r="AO163" s="1021" t="n"/>
      <c r="AP163" s="1022" t="n"/>
      <c r="AQ163" s="963" t="n"/>
      <c r="AR163" s="963" t="n"/>
      <c r="AS163" s="963" t="n"/>
      <c r="AT163" s="963" t="n"/>
      <c r="AU163" s="963" t="n"/>
      <c r="AV163" s="963" t="n"/>
      <c r="AW163" s="991" t="n"/>
      <c r="AX163" s="18" t="n"/>
    </row>
    <row r="164" ht="16.4" customHeight="1" s="828">
      <c r="A164" s="722" t="n"/>
      <c r="B164" s="1021" t="n"/>
      <c r="C164" s="1021" t="n"/>
      <c r="D164" s="1021" t="n"/>
      <c r="E164" s="1021" t="n"/>
      <c r="F164" s="1021" t="n"/>
      <c r="G164" s="1021" t="n"/>
      <c r="H164" s="1021" t="n"/>
      <c r="I164" s="1021" t="n"/>
      <c r="J164" s="1021" t="n"/>
      <c r="K164" s="1022" t="n"/>
      <c r="L164" s="963" t="n"/>
      <c r="M164" s="963" t="n"/>
      <c r="N164" s="963" t="n"/>
      <c r="O164" s="963" t="n"/>
      <c r="P164" s="963" t="n"/>
      <c r="Q164" s="963" t="n"/>
      <c r="R164" s="963" t="n"/>
      <c r="S164" s="963" t="n"/>
      <c r="T164" s="963" t="n"/>
      <c r="U164" s="991" t="n"/>
      <c r="V164" s="1021" t="n"/>
      <c r="W164" s="1021" t="n"/>
      <c r="X164" s="1021" t="n"/>
      <c r="Y164" s="1021" t="n"/>
      <c r="Z164" s="1021" t="n"/>
      <c r="AA164" s="989" t="n"/>
      <c r="AB164" s="1022" t="n"/>
      <c r="AC164" s="963" t="n"/>
      <c r="AD164" s="963" t="n"/>
      <c r="AE164" s="963" t="n"/>
      <c r="AF164" s="963" t="n"/>
      <c r="AG164" s="963" t="n"/>
      <c r="AH164" s="963" t="n"/>
      <c r="AI164" s="991" t="n"/>
      <c r="AJ164" s="1021" t="n"/>
      <c r="AK164" s="1021" t="n"/>
      <c r="AL164" s="1021" t="n"/>
      <c r="AM164" s="1021" t="n"/>
      <c r="AN164" s="1021" t="n"/>
      <c r="AO164" s="1021" t="n"/>
      <c r="AP164" s="1022" t="n"/>
      <c r="AQ164" s="963" t="n"/>
      <c r="AR164" s="963" t="n"/>
      <c r="AS164" s="963" t="n"/>
      <c r="AT164" s="963" t="n"/>
      <c r="AU164" s="963" t="n"/>
      <c r="AV164" s="963" t="n"/>
      <c r="AW164" s="991" t="n"/>
      <c r="AX164" s="18" t="n"/>
    </row>
    <row r="165" ht="16.4" customHeight="1" s="828">
      <c r="A165" s="722" t="n"/>
      <c r="B165" s="1021" t="n"/>
      <c r="C165" s="1021" t="n"/>
      <c r="D165" s="1021" t="n"/>
      <c r="E165" s="1021" t="n"/>
      <c r="F165" s="1021" t="n"/>
      <c r="G165" s="1021" t="n"/>
      <c r="H165" s="1021" t="n"/>
      <c r="I165" s="1021" t="n"/>
      <c r="J165" s="1021" t="n"/>
      <c r="K165" s="1022" t="n"/>
      <c r="L165" s="963" t="n"/>
      <c r="M165" s="963" t="n"/>
      <c r="N165" s="963" t="n"/>
      <c r="O165" s="963" t="n"/>
      <c r="P165" s="963" t="n"/>
      <c r="Q165" s="963" t="n"/>
      <c r="R165" s="963" t="n"/>
      <c r="S165" s="963" t="n"/>
      <c r="T165" s="963" t="n"/>
      <c r="U165" s="991" t="n"/>
      <c r="V165" s="1021" t="n"/>
      <c r="W165" s="1021" t="n"/>
      <c r="X165" s="1021" t="n"/>
      <c r="Y165" s="1021" t="n"/>
      <c r="Z165" s="1021" t="n"/>
      <c r="AA165" s="989" t="n"/>
      <c r="AB165" s="1022" t="n"/>
      <c r="AC165" s="963" t="n"/>
      <c r="AD165" s="963" t="n"/>
      <c r="AE165" s="963" t="n"/>
      <c r="AF165" s="963" t="n"/>
      <c r="AG165" s="963" t="n"/>
      <c r="AH165" s="963" t="n"/>
      <c r="AI165" s="991" t="n"/>
      <c r="AJ165" s="1021" t="n"/>
      <c r="AK165" s="1021" t="n"/>
      <c r="AL165" s="1021" t="n"/>
      <c r="AM165" s="1021" t="n"/>
      <c r="AN165" s="1021" t="n"/>
      <c r="AO165" s="1021" t="n"/>
      <c r="AP165" s="1022" t="n"/>
      <c r="AQ165" s="963" t="n"/>
      <c r="AR165" s="963" t="n"/>
      <c r="AS165" s="963" t="n"/>
      <c r="AT165" s="963" t="n"/>
      <c r="AU165" s="963" t="n"/>
      <c r="AV165" s="963" t="n"/>
      <c r="AW165" s="991" t="n"/>
      <c r="AX165" s="18" t="n"/>
    </row>
    <row r="166" ht="16.4" customHeight="1" s="828">
      <c r="A166" s="722" t="n"/>
      <c r="B166" s="1021" t="n"/>
      <c r="C166" s="1021" t="n"/>
      <c r="D166" s="1021" t="n"/>
      <c r="E166" s="1021" t="n"/>
      <c r="F166" s="1021" t="n"/>
      <c r="G166" s="1021" t="n"/>
      <c r="H166" s="1021" t="n"/>
      <c r="I166" s="1021" t="n"/>
      <c r="J166" s="1021" t="n"/>
      <c r="K166" s="1022" t="n"/>
      <c r="L166" s="963" t="n"/>
      <c r="M166" s="963" t="n"/>
      <c r="N166" s="963" t="n"/>
      <c r="O166" s="963" t="n"/>
      <c r="P166" s="963" t="n"/>
      <c r="Q166" s="963" t="n"/>
      <c r="R166" s="963" t="n"/>
      <c r="S166" s="963" t="n"/>
      <c r="T166" s="963" t="n"/>
      <c r="U166" s="991" t="n"/>
      <c r="V166" s="1021" t="n"/>
      <c r="W166" s="1021" t="n"/>
      <c r="X166" s="1021" t="n"/>
      <c r="Y166" s="1021" t="n"/>
      <c r="Z166" s="1021" t="n"/>
      <c r="AA166" s="989" t="n"/>
      <c r="AB166" s="1022" t="n"/>
      <c r="AC166" s="963" t="n"/>
      <c r="AD166" s="963" t="n"/>
      <c r="AE166" s="963" t="n"/>
      <c r="AF166" s="963" t="n"/>
      <c r="AG166" s="963" t="n"/>
      <c r="AH166" s="963" t="n"/>
      <c r="AI166" s="991" t="n"/>
      <c r="AJ166" s="1021" t="n"/>
      <c r="AK166" s="1021" t="n"/>
      <c r="AL166" s="1021" t="n"/>
      <c r="AM166" s="1021" t="n"/>
      <c r="AN166" s="1021" t="n"/>
      <c r="AO166" s="1021" t="n"/>
      <c r="AP166" s="1022" t="n"/>
      <c r="AQ166" s="963" t="n"/>
      <c r="AR166" s="963" t="n"/>
      <c r="AS166" s="963" t="n"/>
      <c r="AT166" s="963" t="n"/>
      <c r="AU166" s="963" t="n"/>
      <c r="AV166" s="963" t="n"/>
      <c r="AW166" s="991" t="n"/>
      <c r="AX166" s="18" t="n"/>
    </row>
    <row r="167" ht="16.4" customHeight="1" s="828">
      <c r="A167" s="722" t="n"/>
      <c r="B167" s="1021" t="n"/>
      <c r="C167" s="1021" t="n"/>
      <c r="D167" s="1021" t="n"/>
      <c r="E167" s="1021" t="n"/>
      <c r="F167" s="1021" t="n"/>
      <c r="G167" s="1021" t="n"/>
      <c r="H167" s="1021" t="n"/>
      <c r="I167" s="1021" t="n"/>
      <c r="J167" s="1021" t="n"/>
      <c r="K167" s="1022" t="n"/>
      <c r="L167" s="963" t="n"/>
      <c r="M167" s="963" t="n"/>
      <c r="N167" s="963" t="n"/>
      <c r="O167" s="963" t="n"/>
      <c r="P167" s="963" t="n"/>
      <c r="Q167" s="963" t="n"/>
      <c r="R167" s="963" t="n"/>
      <c r="S167" s="963" t="n"/>
      <c r="T167" s="963" t="n"/>
      <c r="U167" s="991" t="n"/>
      <c r="V167" s="1021" t="n"/>
      <c r="W167" s="1021" t="n"/>
      <c r="X167" s="1021" t="n"/>
      <c r="Y167" s="1021" t="n"/>
      <c r="Z167" s="1021" t="n"/>
      <c r="AA167" s="989" t="n"/>
      <c r="AB167" s="1022" t="n"/>
      <c r="AC167" s="963" t="n"/>
      <c r="AD167" s="963" t="n"/>
      <c r="AE167" s="963" t="n"/>
      <c r="AF167" s="963" t="n"/>
      <c r="AG167" s="963" t="n"/>
      <c r="AH167" s="963" t="n"/>
      <c r="AI167" s="991" t="n"/>
      <c r="AJ167" s="1021" t="n"/>
      <c r="AK167" s="1021" t="n"/>
      <c r="AL167" s="1021" t="n"/>
      <c r="AM167" s="1021" t="n"/>
      <c r="AN167" s="1021" t="n"/>
      <c r="AO167" s="1021" t="n"/>
      <c r="AP167" s="1022" t="n"/>
      <c r="AQ167" s="963" t="n"/>
      <c r="AR167" s="963" t="n"/>
      <c r="AS167" s="963" t="n"/>
      <c r="AT167" s="963" t="n"/>
      <c r="AU167" s="963" t="n"/>
      <c r="AV167" s="963" t="n"/>
      <c r="AW167" s="991" t="n"/>
      <c r="AX167" s="18" t="n"/>
    </row>
    <row r="168" ht="16.4" customHeight="1" s="828">
      <c r="A168" s="722" t="n"/>
      <c r="B168" s="1021" t="n"/>
      <c r="C168" s="1021" t="n"/>
      <c r="D168" s="1021" t="n"/>
      <c r="E168" s="1021" t="n"/>
      <c r="F168" s="1021" t="n"/>
      <c r="G168" s="1021" t="n"/>
      <c r="H168" s="1021" t="n"/>
      <c r="I168" s="1021" t="n"/>
      <c r="J168" s="1021" t="n"/>
      <c r="K168" s="1022" t="n"/>
      <c r="L168" s="963" t="n"/>
      <c r="M168" s="963" t="n"/>
      <c r="N168" s="963" t="n"/>
      <c r="O168" s="963" t="n"/>
      <c r="P168" s="963" t="n"/>
      <c r="Q168" s="963" t="n"/>
      <c r="R168" s="963" t="n"/>
      <c r="S168" s="963" t="n"/>
      <c r="T168" s="963" t="n"/>
      <c r="U168" s="991" t="n"/>
      <c r="V168" s="1021" t="n"/>
      <c r="W168" s="1021" t="n"/>
      <c r="X168" s="1021" t="n"/>
      <c r="Y168" s="1021" t="n"/>
      <c r="Z168" s="1021" t="n"/>
      <c r="AA168" s="989" t="n"/>
      <c r="AB168" s="1022" t="n"/>
      <c r="AC168" s="963" t="n"/>
      <c r="AD168" s="963" t="n"/>
      <c r="AE168" s="963" t="n"/>
      <c r="AF168" s="963" t="n"/>
      <c r="AG168" s="963" t="n"/>
      <c r="AH168" s="963" t="n"/>
      <c r="AI168" s="991" t="n"/>
      <c r="AJ168" s="1021" t="n"/>
      <c r="AK168" s="1021" t="n"/>
      <c r="AL168" s="1021" t="n"/>
      <c r="AM168" s="1021" t="n"/>
      <c r="AN168" s="1021" t="n"/>
      <c r="AO168" s="1021" t="n"/>
      <c r="AP168" s="1022" t="n"/>
      <c r="AQ168" s="963" t="n"/>
      <c r="AR168" s="963" t="n"/>
      <c r="AS168" s="963" t="n"/>
      <c r="AT168" s="963" t="n"/>
      <c r="AU168" s="963" t="n"/>
      <c r="AV168" s="963" t="n"/>
      <c r="AW168" s="991" t="n"/>
      <c r="AX168" s="18" t="n"/>
    </row>
    <row r="169" ht="16.4" customHeight="1" s="828">
      <c r="A169" s="722" t="n"/>
      <c r="B169" s="1021" t="n"/>
      <c r="C169" s="1021" t="n"/>
      <c r="D169" s="1021" t="n"/>
      <c r="E169" s="1021" t="n"/>
      <c r="F169" s="1021" t="n"/>
      <c r="G169" s="1021" t="n"/>
      <c r="H169" s="1021" t="n"/>
      <c r="I169" s="1021" t="n"/>
      <c r="J169" s="1021" t="n"/>
      <c r="K169" s="1022" t="n"/>
      <c r="L169" s="963" t="n"/>
      <c r="M169" s="963" t="n"/>
      <c r="N169" s="963" t="n"/>
      <c r="O169" s="963" t="n"/>
      <c r="P169" s="963" t="n"/>
      <c r="Q169" s="963" t="n"/>
      <c r="R169" s="963" t="n"/>
      <c r="S169" s="963" t="n"/>
      <c r="T169" s="963" t="n"/>
      <c r="U169" s="991" t="n"/>
      <c r="V169" s="1021" t="n"/>
      <c r="W169" s="1021" t="n"/>
      <c r="X169" s="1021" t="n"/>
      <c r="Y169" s="1021" t="n"/>
      <c r="Z169" s="1021" t="n"/>
      <c r="AA169" s="989" t="n"/>
      <c r="AB169" s="1022" t="n"/>
      <c r="AC169" s="963" t="n"/>
      <c r="AD169" s="963" t="n"/>
      <c r="AE169" s="963" t="n"/>
      <c r="AF169" s="963" t="n"/>
      <c r="AG169" s="963" t="n"/>
      <c r="AH169" s="963" t="n"/>
      <c r="AI169" s="991" t="n"/>
      <c r="AJ169" s="1021" t="n"/>
      <c r="AK169" s="1021" t="n"/>
      <c r="AL169" s="1021" t="n"/>
      <c r="AM169" s="1021" t="n"/>
      <c r="AN169" s="1021" t="n"/>
      <c r="AO169" s="1021" t="n"/>
      <c r="AP169" s="1022" t="n"/>
      <c r="AQ169" s="963" t="n"/>
      <c r="AR169" s="963" t="n"/>
      <c r="AS169" s="963" t="n"/>
      <c r="AT169" s="963" t="n"/>
      <c r="AU169" s="963" t="n"/>
      <c r="AV169" s="963" t="n"/>
      <c r="AW169" s="991" t="n"/>
      <c r="AX169" s="18" t="n"/>
    </row>
    <row r="170" ht="16.4" customHeight="1" s="828">
      <c r="A170" s="722" t="n"/>
      <c r="B170" s="1021" t="n"/>
      <c r="C170" s="1021" t="n"/>
      <c r="D170" s="1021" t="n"/>
      <c r="E170" s="1021" t="n"/>
      <c r="F170" s="1021" t="n"/>
      <c r="G170" s="1021" t="n"/>
      <c r="H170" s="1021" t="n"/>
      <c r="I170" s="1021" t="n"/>
      <c r="J170" s="1021" t="n"/>
      <c r="K170" s="1022" t="n"/>
      <c r="L170" s="963" t="n"/>
      <c r="M170" s="963" t="n"/>
      <c r="N170" s="963" t="n"/>
      <c r="O170" s="963" t="n"/>
      <c r="P170" s="963" t="n"/>
      <c r="Q170" s="963" t="n"/>
      <c r="R170" s="963" t="n"/>
      <c r="S170" s="963" t="n"/>
      <c r="T170" s="963" t="n"/>
      <c r="U170" s="991" t="n"/>
      <c r="V170" s="1021" t="n"/>
      <c r="W170" s="1021" t="n"/>
      <c r="X170" s="1021" t="n"/>
      <c r="Y170" s="1021" t="n"/>
      <c r="Z170" s="1021" t="n"/>
      <c r="AA170" s="989" t="n"/>
      <c r="AB170" s="1022" t="n"/>
      <c r="AC170" s="963" t="n"/>
      <c r="AD170" s="963" t="n"/>
      <c r="AE170" s="963" t="n"/>
      <c r="AF170" s="963" t="n"/>
      <c r="AG170" s="963" t="n"/>
      <c r="AH170" s="963" t="n"/>
      <c r="AI170" s="991" t="n"/>
      <c r="AJ170" s="1021" t="n"/>
      <c r="AK170" s="1021" t="n"/>
      <c r="AL170" s="1021" t="n"/>
      <c r="AM170" s="1021" t="n"/>
      <c r="AN170" s="1021" t="n"/>
      <c r="AO170" s="1021" t="n"/>
      <c r="AP170" s="1022" t="n"/>
      <c r="AQ170" s="963" t="n"/>
      <c r="AR170" s="963" t="n"/>
      <c r="AS170" s="963" t="n"/>
      <c r="AT170" s="963" t="n"/>
      <c r="AU170" s="963" t="n"/>
      <c r="AV170" s="963" t="n"/>
      <c r="AW170" s="991" t="n"/>
      <c r="AX170" s="18" t="n"/>
    </row>
    <row r="171" ht="16.4" customHeight="1" s="828">
      <c r="A171" s="722" t="n"/>
      <c r="B171" s="1021" t="n"/>
      <c r="C171" s="1021" t="n"/>
      <c r="D171" s="1021" t="n"/>
      <c r="E171" s="1021" t="n"/>
      <c r="F171" s="1021" t="n"/>
      <c r="G171" s="1021" t="n"/>
      <c r="H171" s="1021" t="n"/>
      <c r="I171" s="1021" t="n"/>
      <c r="J171" s="1021" t="n"/>
      <c r="K171" s="1022" t="n"/>
      <c r="L171" s="963" t="n"/>
      <c r="M171" s="963" t="n"/>
      <c r="N171" s="963" t="n"/>
      <c r="O171" s="963" t="n"/>
      <c r="P171" s="963" t="n"/>
      <c r="Q171" s="963" t="n"/>
      <c r="R171" s="963" t="n"/>
      <c r="S171" s="963" t="n"/>
      <c r="T171" s="963" t="n"/>
      <c r="U171" s="991" t="n"/>
      <c r="V171" s="1021" t="n"/>
      <c r="W171" s="1021" t="n"/>
      <c r="X171" s="1021" t="n"/>
      <c r="Y171" s="1021" t="n"/>
      <c r="Z171" s="1021" t="n"/>
      <c r="AA171" s="989" t="n"/>
      <c r="AB171" s="1022" t="n"/>
      <c r="AC171" s="963" t="n"/>
      <c r="AD171" s="963" t="n"/>
      <c r="AE171" s="963" t="n"/>
      <c r="AF171" s="963" t="n"/>
      <c r="AG171" s="963" t="n"/>
      <c r="AH171" s="963" t="n"/>
      <c r="AI171" s="991" t="n"/>
      <c r="AJ171" s="1021" t="n"/>
      <c r="AK171" s="1021" t="n"/>
      <c r="AL171" s="1021" t="n"/>
      <c r="AM171" s="1021" t="n"/>
      <c r="AN171" s="1021" t="n"/>
      <c r="AO171" s="1021" t="n"/>
      <c r="AP171" s="1022" t="n"/>
      <c r="AQ171" s="963" t="n"/>
      <c r="AR171" s="963" t="n"/>
      <c r="AS171" s="963" t="n"/>
      <c r="AT171" s="963" t="n"/>
      <c r="AU171" s="963" t="n"/>
      <c r="AV171" s="963" t="n"/>
      <c r="AW171" s="991" t="n"/>
      <c r="AX171" s="18" t="n"/>
    </row>
    <row r="172" ht="16.4" customHeight="1" s="828">
      <c r="A172" s="722" t="n"/>
      <c r="B172" s="1021" t="n"/>
      <c r="C172" s="1021" t="n"/>
      <c r="D172" s="1021" t="n"/>
      <c r="E172" s="1021" t="n"/>
      <c r="F172" s="1021" t="n"/>
      <c r="G172" s="1021" t="n"/>
      <c r="H172" s="1021" t="n"/>
      <c r="I172" s="1021" t="n"/>
      <c r="J172" s="1021" t="n"/>
      <c r="K172" s="1022" t="n"/>
      <c r="L172" s="963" t="n"/>
      <c r="M172" s="963" t="n"/>
      <c r="N172" s="963" t="n"/>
      <c r="O172" s="963" t="n"/>
      <c r="P172" s="963" t="n"/>
      <c r="Q172" s="963" t="n"/>
      <c r="R172" s="963" t="n"/>
      <c r="S172" s="963" t="n"/>
      <c r="T172" s="963" t="n"/>
      <c r="U172" s="991" t="n"/>
      <c r="V172" s="1021" t="n"/>
      <c r="W172" s="1021" t="n"/>
      <c r="X172" s="1021" t="n"/>
      <c r="Y172" s="1021" t="n"/>
      <c r="Z172" s="1021" t="n"/>
      <c r="AA172" s="989" t="n"/>
      <c r="AB172" s="1022" t="n"/>
      <c r="AC172" s="963" t="n"/>
      <c r="AD172" s="963" t="n"/>
      <c r="AE172" s="963" t="n"/>
      <c r="AF172" s="963" t="n"/>
      <c r="AG172" s="963" t="n"/>
      <c r="AH172" s="963" t="n"/>
      <c r="AI172" s="991" t="n"/>
      <c r="AJ172" s="1021" t="n"/>
      <c r="AK172" s="1021" t="n"/>
      <c r="AL172" s="1021" t="n"/>
      <c r="AM172" s="1021" t="n"/>
      <c r="AN172" s="1021" t="n"/>
      <c r="AO172" s="1021" t="n"/>
      <c r="AP172" s="1022" t="n"/>
      <c r="AQ172" s="963" t="n"/>
      <c r="AR172" s="963" t="n"/>
      <c r="AS172" s="963" t="n"/>
      <c r="AT172" s="963" t="n"/>
      <c r="AU172" s="963" t="n"/>
      <c r="AV172" s="963" t="n"/>
      <c r="AW172" s="991" t="n"/>
      <c r="AX172" s="18" t="n"/>
    </row>
    <row r="173" ht="16.4" customHeight="1" s="828">
      <c r="A173" s="722" t="n"/>
      <c r="B173" s="1021" t="n"/>
      <c r="C173" s="1021" t="n"/>
      <c r="D173" s="1021" t="n"/>
      <c r="E173" s="1021" t="n"/>
      <c r="F173" s="1021" t="n"/>
      <c r="G173" s="1021" t="n"/>
      <c r="H173" s="1021" t="n"/>
      <c r="I173" s="1021" t="n"/>
      <c r="J173" s="1021" t="n"/>
      <c r="K173" s="1022" t="n"/>
      <c r="L173" s="963" t="n"/>
      <c r="M173" s="963" t="n"/>
      <c r="N173" s="963" t="n"/>
      <c r="O173" s="963" t="n"/>
      <c r="P173" s="963" t="n"/>
      <c r="Q173" s="963" t="n"/>
      <c r="R173" s="963" t="n"/>
      <c r="S173" s="963" t="n"/>
      <c r="T173" s="963" t="n"/>
      <c r="U173" s="991" t="n"/>
      <c r="V173" s="1021" t="n"/>
      <c r="W173" s="1021" t="n"/>
      <c r="X173" s="1021" t="n"/>
      <c r="Y173" s="1021" t="n"/>
      <c r="Z173" s="1021" t="n"/>
      <c r="AA173" s="989" t="n"/>
      <c r="AB173" s="1022" t="n"/>
      <c r="AC173" s="963" t="n"/>
      <c r="AD173" s="963" t="n"/>
      <c r="AE173" s="963" t="n"/>
      <c r="AF173" s="963" t="n"/>
      <c r="AG173" s="963" t="n"/>
      <c r="AH173" s="963" t="n"/>
      <c r="AI173" s="991" t="n"/>
      <c r="AJ173" s="1021" t="n"/>
      <c r="AK173" s="1021" t="n"/>
      <c r="AL173" s="1021" t="n"/>
      <c r="AM173" s="1021" t="n"/>
      <c r="AN173" s="1021" t="n"/>
      <c r="AO173" s="1021" t="n"/>
      <c r="AP173" s="1022" t="n"/>
      <c r="AQ173" s="963" t="n"/>
      <c r="AR173" s="963" t="n"/>
      <c r="AS173" s="963" t="n"/>
      <c r="AT173" s="963" t="n"/>
      <c r="AU173" s="963" t="n"/>
      <c r="AV173" s="963" t="n"/>
      <c r="AW173" s="991" t="n"/>
      <c r="AX173" s="18" t="n"/>
    </row>
    <row r="174" ht="16.4" customHeight="1" s="828">
      <c r="A174" s="722" t="n"/>
      <c r="B174" s="1021" t="n"/>
      <c r="C174" s="1021" t="n"/>
      <c r="D174" s="1021" t="n"/>
      <c r="E174" s="1021" t="n"/>
      <c r="F174" s="1021" t="n"/>
      <c r="G174" s="1021" t="n"/>
      <c r="H174" s="1021" t="n"/>
      <c r="I174" s="1021" t="n"/>
      <c r="J174" s="1021" t="n"/>
      <c r="K174" s="1022" t="n"/>
      <c r="L174" s="963" t="n"/>
      <c r="M174" s="963" t="n"/>
      <c r="N174" s="963" t="n"/>
      <c r="O174" s="963" t="n"/>
      <c r="P174" s="963" t="n"/>
      <c r="Q174" s="963" t="n"/>
      <c r="R174" s="963" t="n"/>
      <c r="S174" s="963" t="n"/>
      <c r="T174" s="963" t="n"/>
      <c r="U174" s="991" t="n"/>
      <c r="V174" s="1021" t="n"/>
      <c r="W174" s="1021" t="n"/>
      <c r="X174" s="1021" t="n"/>
      <c r="Y174" s="1021" t="n"/>
      <c r="Z174" s="1021" t="n"/>
      <c r="AA174" s="989" t="n"/>
      <c r="AB174" s="1022" t="n"/>
      <c r="AC174" s="963" t="n"/>
      <c r="AD174" s="963" t="n"/>
      <c r="AE174" s="963" t="n"/>
      <c r="AF174" s="963" t="n"/>
      <c r="AG174" s="963" t="n"/>
      <c r="AH174" s="963" t="n"/>
      <c r="AI174" s="991" t="n"/>
      <c r="AJ174" s="1021" t="n"/>
      <c r="AK174" s="1021" t="n"/>
      <c r="AL174" s="1021" t="n"/>
      <c r="AM174" s="1021" t="n"/>
      <c r="AN174" s="1021" t="n"/>
      <c r="AO174" s="1021" t="n"/>
      <c r="AP174" s="1022" t="n"/>
      <c r="AQ174" s="963" t="n"/>
      <c r="AR174" s="963" t="n"/>
      <c r="AS174" s="963" t="n"/>
      <c r="AT174" s="963" t="n"/>
      <c r="AU174" s="963" t="n"/>
      <c r="AV174" s="963" t="n"/>
      <c r="AW174" s="991" t="n"/>
      <c r="AX174" s="18" t="n"/>
    </row>
    <row r="175" ht="16.4" customHeight="1" s="828">
      <c r="A175" s="722" t="n"/>
      <c r="B175" s="1021" t="n"/>
      <c r="C175" s="1021" t="n"/>
      <c r="D175" s="1021" t="n"/>
      <c r="E175" s="1021" t="n"/>
      <c r="F175" s="1021" t="n"/>
      <c r="G175" s="1021" t="n"/>
      <c r="H175" s="1021" t="n"/>
      <c r="I175" s="1021" t="n"/>
      <c r="J175" s="1021" t="n"/>
      <c r="K175" s="1022" t="n"/>
      <c r="L175" s="963" t="n"/>
      <c r="M175" s="963" t="n"/>
      <c r="N175" s="963" t="n"/>
      <c r="O175" s="963" t="n"/>
      <c r="P175" s="963" t="n"/>
      <c r="Q175" s="963" t="n"/>
      <c r="R175" s="963" t="n"/>
      <c r="S175" s="963" t="n"/>
      <c r="T175" s="963" t="n"/>
      <c r="U175" s="991" t="n"/>
      <c r="V175" s="1021" t="n"/>
      <c r="W175" s="1021" t="n"/>
      <c r="X175" s="1021" t="n"/>
      <c r="Y175" s="1021" t="n"/>
      <c r="Z175" s="1021" t="n"/>
      <c r="AA175" s="989" t="n"/>
      <c r="AB175" s="1022" t="n"/>
      <c r="AC175" s="963" t="n"/>
      <c r="AD175" s="963" t="n"/>
      <c r="AE175" s="963" t="n"/>
      <c r="AF175" s="963" t="n"/>
      <c r="AG175" s="963" t="n"/>
      <c r="AH175" s="963" t="n"/>
      <c r="AI175" s="991" t="n"/>
      <c r="AJ175" s="1021" t="n"/>
      <c r="AK175" s="1021" t="n"/>
      <c r="AL175" s="1021" t="n"/>
      <c r="AM175" s="1021" t="n"/>
      <c r="AN175" s="1021" t="n"/>
      <c r="AO175" s="1021" t="n"/>
      <c r="AP175" s="1022" t="n"/>
      <c r="AQ175" s="963" t="n"/>
      <c r="AR175" s="963" t="n"/>
      <c r="AS175" s="963" t="n"/>
      <c r="AT175" s="963" t="n"/>
      <c r="AU175" s="963" t="n"/>
      <c r="AV175" s="963" t="n"/>
      <c r="AW175" s="991" t="n"/>
      <c r="AX175" s="18" t="n"/>
    </row>
    <row r="176" ht="16.4" customHeight="1" s="828">
      <c r="A176" s="722" t="n"/>
      <c r="B176" s="1021" t="n"/>
      <c r="C176" s="1021" t="n"/>
      <c r="D176" s="1021" t="n"/>
      <c r="E176" s="1021" t="n"/>
      <c r="F176" s="1021" t="n"/>
      <c r="G176" s="1021" t="n"/>
      <c r="H176" s="1021" t="n"/>
      <c r="I176" s="1021" t="n"/>
      <c r="J176" s="1021" t="n"/>
      <c r="K176" s="1022" t="n"/>
      <c r="L176" s="963" t="n"/>
      <c r="M176" s="963" t="n"/>
      <c r="N176" s="963" t="n"/>
      <c r="O176" s="963" t="n"/>
      <c r="P176" s="963" t="n"/>
      <c r="Q176" s="963" t="n"/>
      <c r="R176" s="963" t="n"/>
      <c r="S176" s="963" t="n"/>
      <c r="T176" s="963" t="n"/>
      <c r="U176" s="991" t="n"/>
      <c r="V176" s="1021" t="n"/>
      <c r="W176" s="1021" t="n"/>
      <c r="X176" s="1021" t="n"/>
      <c r="Y176" s="1021" t="n"/>
      <c r="Z176" s="1021" t="n"/>
      <c r="AA176" s="989" t="n"/>
      <c r="AB176" s="1022" t="n"/>
      <c r="AC176" s="963" t="n"/>
      <c r="AD176" s="963" t="n"/>
      <c r="AE176" s="963" t="n"/>
      <c r="AF176" s="963" t="n"/>
      <c r="AG176" s="963" t="n"/>
      <c r="AH176" s="963" t="n"/>
      <c r="AI176" s="991" t="n"/>
      <c r="AJ176" s="1021" t="n"/>
      <c r="AK176" s="1021" t="n"/>
      <c r="AL176" s="1021" t="n"/>
      <c r="AM176" s="1021" t="n"/>
      <c r="AN176" s="1021" t="n"/>
      <c r="AO176" s="1021" t="n"/>
      <c r="AP176" s="1022" t="n"/>
      <c r="AQ176" s="963" t="n"/>
      <c r="AR176" s="963" t="n"/>
      <c r="AS176" s="963" t="n"/>
      <c r="AT176" s="963" t="n"/>
      <c r="AU176" s="963" t="n"/>
      <c r="AV176" s="963" t="n"/>
      <c r="AW176" s="991" t="n"/>
      <c r="AX176" s="18" t="n"/>
    </row>
    <row r="177" ht="16.4" customHeight="1" s="828">
      <c r="A177" s="722" t="n"/>
      <c r="B177" s="1021" t="n"/>
      <c r="C177" s="1021" t="n"/>
      <c r="D177" s="1021" t="n"/>
      <c r="E177" s="1021" t="n"/>
      <c r="F177" s="1021" t="n"/>
      <c r="G177" s="1021" t="n"/>
      <c r="H177" s="1021" t="n"/>
      <c r="I177" s="1021" t="n"/>
      <c r="J177" s="1021" t="n"/>
      <c r="K177" s="1022" t="n"/>
      <c r="L177" s="963" t="n"/>
      <c r="M177" s="963" t="n"/>
      <c r="N177" s="963" t="n"/>
      <c r="O177" s="963" t="n"/>
      <c r="P177" s="963" t="n"/>
      <c r="Q177" s="963" t="n"/>
      <c r="R177" s="963" t="n"/>
      <c r="S177" s="963" t="n"/>
      <c r="T177" s="963" t="n"/>
      <c r="U177" s="991" t="n"/>
      <c r="V177" s="1021" t="n"/>
      <c r="W177" s="1021" t="n"/>
      <c r="X177" s="1021" t="n"/>
      <c r="Y177" s="1021" t="n"/>
      <c r="Z177" s="1021" t="n"/>
      <c r="AA177" s="989" t="n"/>
      <c r="AB177" s="1022" t="n"/>
      <c r="AC177" s="963" t="n"/>
      <c r="AD177" s="963" t="n"/>
      <c r="AE177" s="963" t="n"/>
      <c r="AF177" s="963" t="n"/>
      <c r="AG177" s="963" t="n"/>
      <c r="AH177" s="963" t="n"/>
      <c r="AI177" s="991" t="n"/>
      <c r="AJ177" s="1021" t="n"/>
      <c r="AK177" s="1021" t="n"/>
      <c r="AL177" s="1021" t="n"/>
      <c r="AM177" s="1021" t="n"/>
      <c r="AN177" s="1021" t="n"/>
      <c r="AO177" s="1021" t="n"/>
      <c r="AP177" s="1022" t="n"/>
      <c r="AQ177" s="963" t="n"/>
      <c r="AR177" s="963" t="n"/>
      <c r="AS177" s="963" t="n"/>
      <c r="AT177" s="963" t="n"/>
      <c r="AU177" s="963" t="n"/>
      <c r="AV177" s="963" t="n"/>
      <c r="AW177" s="991" t="n"/>
      <c r="AX177" s="18" t="n"/>
    </row>
    <row r="178" ht="16.4" customHeight="1" s="828">
      <c r="A178" s="722" t="n"/>
      <c r="B178" s="1021" t="n"/>
      <c r="C178" s="1021" t="n"/>
      <c r="D178" s="1021" t="n"/>
      <c r="E178" s="1021" t="n"/>
      <c r="F178" s="1021" t="n"/>
      <c r="G178" s="1021" t="n"/>
      <c r="H178" s="1021" t="n"/>
      <c r="I178" s="1021" t="n"/>
      <c r="J178" s="1021" t="n"/>
      <c r="K178" s="1022" t="n"/>
      <c r="L178" s="963" t="n"/>
      <c r="M178" s="963" t="n"/>
      <c r="N178" s="963" t="n"/>
      <c r="O178" s="963" t="n"/>
      <c r="P178" s="963" t="n"/>
      <c r="Q178" s="963" t="n"/>
      <c r="R178" s="963" t="n"/>
      <c r="S178" s="963" t="n"/>
      <c r="T178" s="963" t="n"/>
      <c r="U178" s="991" t="n"/>
      <c r="V178" s="1021" t="n"/>
      <c r="W178" s="1021" t="n"/>
      <c r="X178" s="1021" t="n"/>
      <c r="Y178" s="1021" t="n"/>
      <c r="Z178" s="1021" t="n"/>
      <c r="AA178" s="989" t="n"/>
      <c r="AB178" s="1022" t="n"/>
      <c r="AC178" s="963" t="n"/>
      <c r="AD178" s="963" t="n"/>
      <c r="AE178" s="963" t="n"/>
      <c r="AF178" s="963" t="n"/>
      <c r="AG178" s="963" t="n"/>
      <c r="AH178" s="963" t="n"/>
      <c r="AI178" s="991" t="n"/>
      <c r="AJ178" s="1021" t="n"/>
      <c r="AK178" s="1021" t="n"/>
      <c r="AL178" s="1021" t="n"/>
      <c r="AM178" s="1021" t="n"/>
      <c r="AN178" s="1021" t="n"/>
      <c r="AO178" s="1021" t="n"/>
      <c r="AP178" s="1022" t="n"/>
      <c r="AQ178" s="963" t="n"/>
      <c r="AR178" s="963" t="n"/>
      <c r="AS178" s="963" t="n"/>
      <c r="AT178" s="963" t="n"/>
      <c r="AU178" s="963" t="n"/>
      <c r="AV178" s="963" t="n"/>
      <c r="AW178" s="991" t="n"/>
      <c r="AX178" s="18" t="n"/>
    </row>
    <row r="179" ht="16.4" customHeight="1" s="828">
      <c r="A179" s="722" t="n"/>
      <c r="B179" s="1021" t="n"/>
      <c r="C179" s="1021" t="n"/>
      <c r="D179" s="1021" t="n"/>
      <c r="E179" s="1021" t="n"/>
      <c r="F179" s="1021" t="n"/>
      <c r="G179" s="1021" t="n"/>
      <c r="H179" s="1021" t="n"/>
      <c r="I179" s="1021" t="n"/>
      <c r="J179" s="1021" t="n"/>
      <c r="K179" s="1022" t="n"/>
      <c r="L179" s="963" t="n"/>
      <c r="M179" s="963" t="n"/>
      <c r="N179" s="963" t="n"/>
      <c r="O179" s="963" t="n"/>
      <c r="P179" s="963" t="n"/>
      <c r="Q179" s="963" t="n"/>
      <c r="R179" s="963" t="n"/>
      <c r="S179" s="963" t="n"/>
      <c r="T179" s="963" t="n"/>
      <c r="U179" s="991" t="n"/>
      <c r="V179" s="1021" t="n"/>
      <c r="W179" s="1021" t="n"/>
      <c r="X179" s="1021" t="n"/>
      <c r="Y179" s="1021" t="n"/>
      <c r="Z179" s="1021" t="n"/>
      <c r="AA179" s="989" t="n"/>
      <c r="AB179" s="1022" t="n"/>
      <c r="AC179" s="963" t="n"/>
      <c r="AD179" s="963" t="n"/>
      <c r="AE179" s="963" t="n"/>
      <c r="AF179" s="963" t="n"/>
      <c r="AG179" s="963" t="n"/>
      <c r="AH179" s="963" t="n"/>
      <c r="AI179" s="991" t="n"/>
      <c r="AJ179" s="1021" t="n"/>
      <c r="AK179" s="1021" t="n"/>
      <c r="AL179" s="1021" t="n"/>
      <c r="AM179" s="1021" t="n"/>
      <c r="AN179" s="1021" t="n"/>
      <c r="AO179" s="1021" t="n"/>
      <c r="AP179" s="1022" t="n"/>
      <c r="AQ179" s="963" t="n"/>
      <c r="AR179" s="963" t="n"/>
      <c r="AS179" s="963" t="n"/>
      <c r="AT179" s="963" t="n"/>
      <c r="AU179" s="963" t="n"/>
      <c r="AV179" s="963" t="n"/>
      <c r="AW179" s="991" t="n"/>
      <c r="AX179" s="18" t="n"/>
    </row>
    <row r="180" ht="16.4" customHeight="1" s="828">
      <c r="A180" s="722" t="n"/>
      <c r="B180" s="1021" t="n"/>
      <c r="C180" s="1021" t="n"/>
      <c r="D180" s="1021" t="n"/>
      <c r="E180" s="1021" t="n"/>
      <c r="F180" s="1021" t="n"/>
      <c r="G180" s="1021" t="n"/>
      <c r="H180" s="1021" t="n"/>
      <c r="I180" s="1021" t="n"/>
      <c r="J180" s="1021" t="n"/>
      <c r="K180" s="1022" t="n"/>
      <c r="L180" s="963" t="n"/>
      <c r="M180" s="963" t="n"/>
      <c r="N180" s="963" t="n"/>
      <c r="O180" s="963" t="n"/>
      <c r="P180" s="963" t="n"/>
      <c r="Q180" s="963" t="n"/>
      <c r="R180" s="963" t="n"/>
      <c r="S180" s="963" t="n"/>
      <c r="T180" s="963" t="n"/>
      <c r="U180" s="991" t="n"/>
      <c r="V180" s="1021" t="n"/>
      <c r="W180" s="1021" t="n"/>
      <c r="X180" s="1021" t="n"/>
      <c r="Y180" s="1021" t="n"/>
      <c r="Z180" s="1021" t="n"/>
      <c r="AA180" s="989" t="n"/>
      <c r="AB180" s="1022" t="n"/>
      <c r="AC180" s="963" t="n"/>
      <c r="AD180" s="963" t="n"/>
      <c r="AE180" s="963" t="n"/>
      <c r="AF180" s="963" t="n"/>
      <c r="AG180" s="963" t="n"/>
      <c r="AH180" s="963" t="n"/>
      <c r="AI180" s="991" t="n"/>
      <c r="AJ180" s="1021" t="n"/>
      <c r="AK180" s="1021" t="n"/>
      <c r="AL180" s="1021" t="n"/>
      <c r="AM180" s="1021" t="n"/>
      <c r="AN180" s="1021" t="n"/>
      <c r="AO180" s="1021" t="n"/>
      <c r="AP180" s="1022" t="n"/>
      <c r="AQ180" s="963" t="n"/>
      <c r="AR180" s="963" t="n"/>
      <c r="AS180" s="963" t="n"/>
      <c r="AT180" s="963" t="n"/>
      <c r="AU180" s="963" t="n"/>
      <c r="AV180" s="963" t="n"/>
      <c r="AW180" s="991" t="n"/>
      <c r="AX180" s="18" t="n"/>
    </row>
    <row r="181" ht="16.4" customHeight="1" s="828">
      <c r="A181" s="722" t="n"/>
      <c r="B181" s="1021" t="n"/>
      <c r="C181" s="1021" t="n"/>
      <c r="D181" s="1021" t="n"/>
      <c r="E181" s="1021" t="n"/>
      <c r="F181" s="1021" t="n"/>
      <c r="G181" s="1021" t="n"/>
      <c r="H181" s="1021" t="n"/>
      <c r="I181" s="1021" t="n"/>
      <c r="J181" s="1021" t="n"/>
      <c r="K181" s="1022" t="n"/>
      <c r="L181" s="963" t="n"/>
      <c r="M181" s="963" t="n"/>
      <c r="N181" s="963" t="n"/>
      <c r="O181" s="963" t="n"/>
      <c r="P181" s="963" t="n"/>
      <c r="Q181" s="963" t="n"/>
      <c r="R181" s="963" t="n"/>
      <c r="S181" s="963" t="n"/>
      <c r="T181" s="963" t="n"/>
      <c r="U181" s="991" t="n"/>
      <c r="V181" s="1021" t="n"/>
      <c r="W181" s="1021" t="n"/>
      <c r="X181" s="1021" t="n"/>
      <c r="Y181" s="1021" t="n"/>
      <c r="Z181" s="1021" t="n"/>
      <c r="AA181" s="989" t="n"/>
      <c r="AB181" s="1022" t="n"/>
      <c r="AC181" s="963" t="n"/>
      <c r="AD181" s="963" t="n"/>
      <c r="AE181" s="963" t="n"/>
      <c r="AF181" s="963" t="n"/>
      <c r="AG181" s="963" t="n"/>
      <c r="AH181" s="963" t="n"/>
      <c r="AI181" s="991" t="n"/>
      <c r="AJ181" s="1021" t="n"/>
      <c r="AK181" s="1021" t="n"/>
      <c r="AL181" s="1021" t="n"/>
      <c r="AM181" s="1021" t="n"/>
      <c r="AN181" s="1021" t="n"/>
      <c r="AO181" s="1021" t="n"/>
      <c r="AP181" s="1022" t="n"/>
      <c r="AQ181" s="963" t="n"/>
      <c r="AR181" s="963" t="n"/>
      <c r="AS181" s="963" t="n"/>
      <c r="AT181" s="963" t="n"/>
      <c r="AU181" s="963" t="n"/>
      <c r="AV181" s="963" t="n"/>
      <c r="AW181" s="991" t="n"/>
      <c r="AX181" s="18" t="n"/>
    </row>
    <row r="182" ht="16.4" customHeight="1" s="828">
      <c r="A182" s="722" t="n"/>
      <c r="B182" s="1021" t="n"/>
      <c r="C182" s="1021" t="n"/>
      <c r="D182" s="1021" t="n"/>
      <c r="E182" s="1021" t="n"/>
      <c r="F182" s="1021" t="n"/>
      <c r="G182" s="1021" t="n"/>
      <c r="H182" s="1021" t="n"/>
      <c r="I182" s="1021" t="n"/>
      <c r="J182" s="1021" t="n"/>
      <c r="K182" s="1022" t="n"/>
      <c r="L182" s="963" t="n"/>
      <c r="M182" s="963" t="n"/>
      <c r="N182" s="963" t="n"/>
      <c r="O182" s="963" t="n"/>
      <c r="P182" s="963" t="n"/>
      <c r="Q182" s="963" t="n"/>
      <c r="R182" s="963" t="n"/>
      <c r="S182" s="963" t="n"/>
      <c r="T182" s="963" t="n"/>
      <c r="U182" s="991" t="n"/>
      <c r="V182" s="1021" t="n"/>
      <c r="W182" s="1021" t="n"/>
      <c r="X182" s="1021" t="n"/>
      <c r="Y182" s="1021" t="n"/>
      <c r="Z182" s="1021" t="n"/>
      <c r="AA182" s="989" t="n"/>
      <c r="AB182" s="1022" t="n"/>
      <c r="AC182" s="963" t="n"/>
      <c r="AD182" s="963" t="n"/>
      <c r="AE182" s="963" t="n"/>
      <c r="AF182" s="963" t="n"/>
      <c r="AG182" s="963" t="n"/>
      <c r="AH182" s="963" t="n"/>
      <c r="AI182" s="991" t="n"/>
      <c r="AJ182" s="1021" t="n"/>
      <c r="AK182" s="1021" t="n"/>
      <c r="AL182" s="1021" t="n"/>
      <c r="AM182" s="1021" t="n"/>
      <c r="AN182" s="1021" t="n"/>
      <c r="AO182" s="1021" t="n"/>
      <c r="AP182" s="1022" t="n"/>
      <c r="AQ182" s="963" t="n"/>
      <c r="AR182" s="963" t="n"/>
      <c r="AS182" s="963" t="n"/>
      <c r="AT182" s="963" t="n"/>
      <c r="AU182" s="963" t="n"/>
      <c r="AV182" s="963" t="n"/>
      <c r="AW182" s="991" t="n"/>
      <c r="AX182" s="18" t="n"/>
    </row>
    <row r="183" ht="16.4" customHeight="1" s="828">
      <c r="A183" s="722" t="n"/>
      <c r="B183" s="1021" t="n"/>
      <c r="C183" s="1021" t="n"/>
      <c r="D183" s="1021" t="n"/>
      <c r="E183" s="1021" t="n"/>
      <c r="F183" s="1021" t="n"/>
      <c r="G183" s="1021" t="n"/>
      <c r="H183" s="1021" t="n"/>
      <c r="I183" s="1021" t="n"/>
      <c r="J183" s="1021" t="n"/>
      <c r="K183" s="1022" t="n"/>
      <c r="L183" s="963" t="n"/>
      <c r="M183" s="963" t="n"/>
      <c r="N183" s="963" t="n"/>
      <c r="O183" s="963" t="n"/>
      <c r="P183" s="963" t="n"/>
      <c r="Q183" s="963" t="n"/>
      <c r="R183" s="963" t="n"/>
      <c r="S183" s="963" t="n"/>
      <c r="T183" s="963" t="n"/>
      <c r="U183" s="991" t="n"/>
      <c r="V183" s="1021" t="n"/>
      <c r="W183" s="1021" t="n"/>
      <c r="X183" s="1021" t="n"/>
      <c r="Y183" s="1021" t="n"/>
      <c r="Z183" s="1021" t="n"/>
      <c r="AA183" s="989" t="n"/>
      <c r="AB183" s="1022" t="n"/>
      <c r="AC183" s="963" t="n"/>
      <c r="AD183" s="963" t="n"/>
      <c r="AE183" s="963" t="n"/>
      <c r="AF183" s="963" t="n"/>
      <c r="AG183" s="963" t="n"/>
      <c r="AH183" s="963" t="n"/>
      <c r="AI183" s="991" t="n"/>
      <c r="AJ183" s="1021" t="n"/>
      <c r="AK183" s="1021" t="n"/>
      <c r="AL183" s="1021" t="n"/>
      <c r="AM183" s="1021" t="n"/>
      <c r="AN183" s="1021" t="n"/>
      <c r="AO183" s="1021" t="n"/>
      <c r="AP183" s="1022" t="n"/>
      <c r="AQ183" s="963" t="n"/>
      <c r="AR183" s="963" t="n"/>
      <c r="AS183" s="963" t="n"/>
      <c r="AT183" s="963" t="n"/>
      <c r="AU183" s="963" t="n"/>
      <c r="AV183" s="963" t="n"/>
      <c r="AW183" s="991" t="n"/>
      <c r="AX183" s="18" t="n"/>
    </row>
    <row r="184" ht="16.4" customHeight="1" s="828">
      <c r="A184" s="722" t="n"/>
      <c r="B184" s="1021" t="n"/>
      <c r="C184" s="1021" t="n"/>
      <c r="D184" s="1021" t="n"/>
      <c r="E184" s="1021" t="n"/>
      <c r="F184" s="1021" t="n"/>
      <c r="G184" s="1021" t="n"/>
      <c r="H184" s="1021" t="n"/>
      <c r="I184" s="1021" t="n"/>
      <c r="J184" s="1021" t="n"/>
      <c r="K184" s="1022" t="n"/>
      <c r="L184" s="963" t="n"/>
      <c r="M184" s="963" t="n"/>
      <c r="N184" s="963" t="n"/>
      <c r="O184" s="963" t="n"/>
      <c r="P184" s="963" t="n"/>
      <c r="Q184" s="963" t="n"/>
      <c r="R184" s="963" t="n"/>
      <c r="S184" s="963" t="n"/>
      <c r="T184" s="963" t="n"/>
      <c r="U184" s="991" t="n"/>
      <c r="V184" s="1021" t="n"/>
      <c r="W184" s="1021" t="n"/>
      <c r="X184" s="1021" t="n"/>
      <c r="Y184" s="1021" t="n"/>
      <c r="Z184" s="1021" t="n"/>
      <c r="AA184" s="989" t="n"/>
      <c r="AB184" s="1022" t="n"/>
      <c r="AC184" s="963" t="n"/>
      <c r="AD184" s="963" t="n"/>
      <c r="AE184" s="963" t="n"/>
      <c r="AF184" s="963" t="n"/>
      <c r="AG184" s="963" t="n"/>
      <c r="AH184" s="963" t="n"/>
      <c r="AI184" s="991" t="n"/>
      <c r="AJ184" s="1021" t="n"/>
      <c r="AK184" s="1021" t="n"/>
      <c r="AL184" s="1021" t="n"/>
      <c r="AM184" s="1021" t="n"/>
      <c r="AN184" s="1021" t="n"/>
      <c r="AO184" s="1021" t="n"/>
      <c r="AP184" s="1022" t="n"/>
      <c r="AQ184" s="963" t="n"/>
      <c r="AR184" s="963" t="n"/>
      <c r="AS184" s="963" t="n"/>
      <c r="AT184" s="963" t="n"/>
      <c r="AU184" s="963" t="n"/>
      <c r="AV184" s="963" t="n"/>
      <c r="AW184" s="991" t="n"/>
      <c r="AX184" s="18" t="n"/>
    </row>
    <row r="185" ht="16.4" customHeight="1" s="828">
      <c r="A185" s="722" t="n"/>
      <c r="B185" s="1021" t="n"/>
      <c r="C185" s="1021" t="n"/>
      <c r="D185" s="1021" t="n"/>
      <c r="E185" s="1021" t="n"/>
      <c r="F185" s="1021" t="n"/>
      <c r="G185" s="1021" t="n"/>
      <c r="H185" s="1021" t="n"/>
      <c r="I185" s="1021" t="n"/>
      <c r="J185" s="1021" t="n"/>
      <c r="K185" s="1022" t="n"/>
      <c r="L185" s="963" t="n"/>
      <c r="M185" s="963" t="n"/>
      <c r="N185" s="963" t="n"/>
      <c r="O185" s="963" t="n"/>
      <c r="P185" s="963" t="n"/>
      <c r="Q185" s="963" t="n"/>
      <c r="R185" s="963" t="n"/>
      <c r="S185" s="963" t="n"/>
      <c r="T185" s="963" t="n"/>
      <c r="U185" s="991" t="n"/>
      <c r="V185" s="1021" t="n"/>
      <c r="W185" s="1021" t="n"/>
      <c r="X185" s="1021" t="n"/>
      <c r="Y185" s="1021" t="n"/>
      <c r="Z185" s="1021" t="n"/>
      <c r="AA185" s="989" t="n"/>
      <c r="AB185" s="1022" t="n"/>
      <c r="AC185" s="963" t="n"/>
      <c r="AD185" s="963" t="n"/>
      <c r="AE185" s="963" t="n"/>
      <c r="AF185" s="963" t="n"/>
      <c r="AG185" s="963" t="n"/>
      <c r="AH185" s="963" t="n"/>
      <c r="AI185" s="991" t="n"/>
      <c r="AJ185" s="1021" t="n"/>
      <c r="AK185" s="1021" t="n"/>
      <c r="AL185" s="1021" t="n"/>
      <c r="AM185" s="1021" t="n"/>
      <c r="AN185" s="1021" t="n"/>
      <c r="AO185" s="1021" t="n"/>
      <c r="AP185" s="1022" t="n"/>
      <c r="AQ185" s="963" t="n"/>
      <c r="AR185" s="963" t="n"/>
      <c r="AS185" s="963" t="n"/>
      <c r="AT185" s="963" t="n"/>
      <c r="AU185" s="963" t="n"/>
      <c r="AV185" s="963" t="n"/>
      <c r="AW185" s="991" t="n"/>
      <c r="AX185" s="18" t="n"/>
    </row>
    <row r="186" ht="16.4" customHeight="1" s="828">
      <c r="A186" s="722" t="n"/>
      <c r="B186" s="1021" t="n"/>
      <c r="C186" s="1021" t="n"/>
      <c r="D186" s="1021" t="n"/>
      <c r="E186" s="1021" t="n"/>
      <c r="F186" s="1021" t="n"/>
      <c r="G186" s="1021" t="n"/>
      <c r="H186" s="1021" t="n"/>
      <c r="I186" s="1021" t="n"/>
      <c r="J186" s="1021" t="n"/>
      <c r="K186" s="1022" t="n"/>
      <c r="L186" s="963" t="n"/>
      <c r="M186" s="963" t="n"/>
      <c r="N186" s="963" t="n"/>
      <c r="O186" s="963" t="n"/>
      <c r="P186" s="963" t="n"/>
      <c r="Q186" s="963" t="n"/>
      <c r="R186" s="963" t="n"/>
      <c r="S186" s="963" t="n"/>
      <c r="T186" s="963" t="n"/>
      <c r="U186" s="991" t="n"/>
      <c r="V186" s="1021" t="n"/>
      <c r="W186" s="1021" t="n"/>
      <c r="X186" s="1021" t="n"/>
      <c r="Y186" s="1021" t="n"/>
      <c r="Z186" s="1021" t="n"/>
      <c r="AA186" s="989" t="n"/>
      <c r="AB186" s="1022" t="n"/>
      <c r="AC186" s="963" t="n"/>
      <c r="AD186" s="963" t="n"/>
      <c r="AE186" s="963" t="n"/>
      <c r="AF186" s="963" t="n"/>
      <c r="AG186" s="963" t="n"/>
      <c r="AH186" s="963" t="n"/>
      <c r="AI186" s="991" t="n"/>
      <c r="AJ186" s="1021" t="n"/>
      <c r="AK186" s="1021" t="n"/>
      <c r="AL186" s="1021" t="n"/>
      <c r="AM186" s="1021" t="n"/>
      <c r="AN186" s="1021" t="n"/>
      <c r="AO186" s="1021" t="n"/>
      <c r="AP186" s="1022" t="n"/>
      <c r="AQ186" s="963" t="n"/>
      <c r="AR186" s="963" t="n"/>
      <c r="AS186" s="963" t="n"/>
      <c r="AT186" s="963" t="n"/>
      <c r="AU186" s="963" t="n"/>
      <c r="AV186" s="963" t="n"/>
      <c r="AW186" s="991" t="n"/>
      <c r="AX186" s="18" t="n"/>
    </row>
    <row r="187" ht="16.4" customHeight="1" s="828">
      <c r="A187" s="722" t="n"/>
      <c r="B187" s="1021" t="n"/>
      <c r="C187" s="1021" t="n"/>
      <c r="D187" s="1021" t="n"/>
      <c r="E187" s="1021" t="n"/>
      <c r="F187" s="1021" t="n"/>
      <c r="G187" s="1021" t="n"/>
      <c r="H187" s="1021" t="n"/>
      <c r="I187" s="1021" t="n"/>
      <c r="J187" s="1021" t="n"/>
      <c r="K187" s="1022" t="n"/>
      <c r="L187" s="963" t="n"/>
      <c r="M187" s="963" t="n"/>
      <c r="N187" s="963" t="n"/>
      <c r="O187" s="963" t="n"/>
      <c r="P187" s="963" t="n"/>
      <c r="Q187" s="963" t="n"/>
      <c r="R187" s="963" t="n"/>
      <c r="S187" s="963" t="n"/>
      <c r="T187" s="963" t="n"/>
      <c r="U187" s="991" t="n"/>
      <c r="V187" s="1021" t="n"/>
      <c r="W187" s="1021" t="n"/>
      <c r="X187" s="1021" t="n"/>
      <c r="Y187" s="1021" t="n"/>
      <c r="Z187" s="1021" t="n"/>
      <c r="AA187" s="989" t="n"/>
      <c r="AB187" s="1022" t="n"/>
      <c r="AC187" s="963" t="n"/>
      <c r="AD187" s="963" t="n"/>
      <c r="AE187" s="963" t="n"/>
      <c r="AF187" s="963" t="n"/>
      <c r="AG187" s="963" t="n"/>
      <c r="AH187" s="963" t="n"/>
      <c r="AI187" s="991" t="n"/>
      <c r="AJ187" s="1021" t="n"/>
      <c r="AK187" s="1021" t="n"/>
      <c r="AL187" s="1021" t="n"/>
      <c r="AM187" s="1021" t="n"/>
      <c r="AN187" s="1021" t="n"/>
      <c r="AO187" s="1021" t="n"/>
      <c r="AP187" s="1022" t="n"/>
      <c r="AQ187" s="963" t="n"/>
      <c r="AR187" s="963" t="n"/>
      <c r="AS187" s="963" t="n"/>
      <c r="AT187" s="963" t="n"/>
      <c r="AU187" s="963" t="n"/>
      <c r="AV187" s="963" t="n"/>
      <c r="AW187" s="991" t="n"/>
      <c r="AX187" s="18" t="n"/>
    </row>
    <row r="188" ht="16.4" customHeight="1" s="828">
      <c r="A188" s="722" t="n"/>
      <c r="B188" s="1021" t="n"/>
      <c r="C188" s="1021" t="n"/>
      <c r="D188" s="1021" t="n"/>
      <c r="E188" s="1021" t="n"/>
      <c r="F188" s="1021" t="n"/>
      <c r="G188" s="1021" t="n"/>
      <c r="H188" s="1021" t="n"/>
      <c r="I188" s="1021" t="n"/>
      <c r="J188" s="1021" t="n"/>
      <c r="K188" s="1022" t="n"/>
      <c r="L188" s="963" t="n"/>
      <c r="M188" s="963" t="n"/>
      <c r="N188" s="963" t="n"/>
      <c r="O188" s="963" t="n"/>
      <c r="P188" s="963" t="n"/>
      <c r="Q188" s="963" t="n"/>
      <c r="R188" s="963" t="n"/>
      <c r="S188" s="963" t="n"/>
      <c r="T188" s="963" t="n"/>
      <c r="U188" s="991" t="n"/>
      <c r="V188" s="1021" t="n"/>
      <c r="W188" s="1021" t="n"/>
      <c r="X188" s="1021" t="n"/>
      <c r="Y188" s="1021" t="n"/>
      <c r="Z188" s="1021" t="n"/>
      <c r="AA188" s="989" t="n"/>
      <c r="AB188" s="1022" t="n"/>
      <c r="AC188" s="963" t="n"/>
      <c r="AD188" s="963" t="n"/>
      <c r="AE188" s="963" t="n"/>
      <c r="AF188" s="963" t="n"/>
      <c r="AG188" s="963" t="n"/>
      <c r="AH188" s="963" t="n"/>
      <c r="AI188" s="991" t="n"/>
      <c r="AJ188" s="1021" t="n"/>
      <c r="AK188" s="1021" t="n"/>
      <c r="AL188" s="1021" t="n"/>
      <c r="AM188" s="1021" t="n"/>
      <c r="AN188" s="1021" t="n"/>
      <c r="AO188" s="1021" t="n"/>
      <c r="AP188" s="1022" t="n"/>
      <c r="AQ188" s="963" t="n"/>
      <c r="AR188" s="963" t="n"/>
      <c r="AS188" s="963" t="n"/>
      <c r="AT188" s="963" t="n"/>
      <c r="AU188" s="963" t="n"/>
      <c r="AV188" s="963" t="n"/>
      <c r="AW188" s="991" t="n"/>
      <c r="AX188" s="18" t="n"/>
    </row>
    <row r="189" ht="16.4" customHeight="1" s="828">
      <c r="A189" s="722" t="n"/>
      <c r="B189" s="1021" t="n"/>
      <c r="C189" s="1021" t="n"/>
      <c r="D189" s="1021" t="n"/>
      <c r="E189" s="1021" t="n"/>
      <c r="F189" s="1021" t="n"/>
      <c r="G189" s="1021" t="n"/>
      <c r="H189" s="1021" t="n"/>
      <c r="I189" s="1021" t="n"/>
      <c r="J189" s="1021" t="n"/>
      <c r="K189" s="1022" t="n"/>
      <c r="L189" s="963" t="n"/>
      <c r="M189" s="963" t="n"/>
      <c r="N189" s="963" t="n"/>
      <c r="O189" s="963" t="n"/>
      <c r="P189" s="963" t="n"/>
      <c r="Q189" s="963" t="n"/>
      <c r="R189" s="963" t="n"/>
      <c r="S189" s="963" t="n"/>
      <c r="T189" s="963" t="n"/>
      <c r="U189" s="991" t="n"/>
      <c r="V189" s="1021" t="n"/>
      <c r="W189" s="1021" t="n"/>
      <c r="X189" s="1021" t="n"/>
      <c r="Y189" s="1021" t="n"/>
      <c r="Z189" s="1021" t="n"/>
      <c r="AA189" s="989" t="n"/>
      <c r="AB189" s="1022" t="n"/>
      <c r="AC189" s="963" t="n"/>
      <c r="AD189" s="963" t="n"/>
      <c r="AE189" s="963" t="n"/>
      <c r="AF189" s="963" t="n"/>
      <c r="AG189" s="963" t="n"/>
      <c r="AH189" s="963" t="n"/>
      <c r="AI189" s="991" t="n"/>
      <c r="AJ189" s="1021" t="n"/>
      <c r="AK189" s="1021" t="n"/>
      <c r="AL189" s="1021" t="n"/>
      <c r="AM189" s="1021" t="n"/>
      <c r="AN189" s="1021" t="n"/>
      <c r="AO189" s="1021" t="n"/>
      <c r="AP189" s="1022" t="n"/>
      <c r="AQ189" s="963" t="n"/>
      <c r="AR189" s="963" t="n"/>
      <c r="AS189" s="963" t="n"/>
      <c r="AT189" s="963" t="n"/>
      <c r="AU189" s="963" t="n"/>
      <c r="AV189" s="963" t="n"/>
      <c r="AW189" s="991" t="n"/>
      <c r="AX189" s="18" t="n"/>
    </row>
    <row r="190" ht="16.4" customHeight="1" s="828">
      <c r="A190" s="722" t="n"/>
      <c r="B190" s="1021" t="n"/>
      <c r="C190" s="1021" t="n"/>
      <c r="D190" s="1021" t="n"/>
      <c r="E190" s="1021" t="n"/>
      <c r="F190" s="1021" t="n"/>
      <c r="G190" s="1021" t="n"/>
      <c r="H190" s="1021" t="n"/>
      <c r="I190" s="1021" t="n"/>
      <c r="J190" s="1021" t="n"/>
      <c r="K190" s="1022" t="n"/>
      <c r="L190" s="963" t="n"/>
      <c r="M190" s="963" t="n"/>
      <c r="N190" s="963" t="n"/>
      <c r="O190" s="963" t="n"/>
      <c r="P190" s="963" t="n"/>
      <c r="Q190" s="963" t="n"/>
      <c r="R190" s="963" t="n"/>
      <c r="S190" s="963" t="n"/>
      <c r="T190" s="963" t="n"/>
      <c r="U190" s="991" t="n"/>
      <c r="V190" s="1021" t="n"/>
      <c r="W190" s="1021" t="n"/>
      <c r="X190" s="1021" t="n"/>
      <c r="Y190" s="1021" t="n"/>
      <c r="Z190" s="1021" t="n"/>
      <c r="AA190" s="989" t="n"/>
      <c r="AB190" s="1022" t="n"/>
      <c r="AC190" s="963" t="n"/>
      <c r="AD190" s="963" t="n"/>
      <c r="AE190" s="963" t="n"/>
      <c r="AF190" s="963" t="n"/>
      <c r="AG190" s="963" t="n"/>
      <c r="AH190" s="963" t="n"/>
      <c r="AI190" s="991" t="n"/>
      <c r="AJ190" s="1021" t="n"/>
      <c r="AK190" s="1021" t="n"/>
      <c r="AL190" s="1021" t="n"/>
      <c r="AM190" s="1021" t="n"/>
      <c r="AN190" s="1021" t="n"/>
      <c r="AO190" s="1021" t="n"/>
      <c r="AP190" s="1022" t="n"/>
      <c r="AQ190" s="963" t="n"/>
      <c r="AR190" s="963" t="n"/>
      <c r="AS190" s="963" t="n"/>
      <c r="AT190" s="963" t="n"/>
      <c r="AU190" s="963" t="n"/>
      <c r="AV190" s="963" t="n"/>
      <c r="AW190" s="991" t="n"/>
      <c r="AX190" s="18" t="n"/>
    </row>
    <row r="191" ht="16.4" customHeight="1" s="828">
      <c r="A191" s="722" t="n"/>
      <c r="B191" s="1021" t="n"/>
      <c r="C191" s="1021" t="n"/>
      <c r="D191" s="1021" t="n"/>
      <c r="E191" s="1021" t="n"/>
      <c r="F191" s="1021" t="n"/>
      <c r="G191" s="1021" t="n"/>
      <c r="H191" s="1021" t="n"/>
      <c r="I191" s="1021" t="n"/>
      <c r="J191" s="1021" t="n"/>
      <c r="K191" s="1022" t="n"/>
      <c r="L191" s="963" t="n"/>
      <c r="M191" s="963" t="n"/>
      <c r="N191" s="963" t="n"/>
      <c r="O191" s="963" t="n"/>
      <c r="P191" s="963" t="n"/>
      <c r="Q191" s="963" t="n"/>
      <c r="R191" s="963" t="n"/>
      <c r="S191" s="963" t="n"/>
      <c r="T191" s="963" t="n"/>
      <c r="U191" s="991" t="n"/>
      <c r="V191" s="1021" t="n"/>
      <c r="W191" s="1021" t="n"/>
      <c r="X191" s="1021" t="n"/>
      <c r="Y191" s="1021" t="n"/>
      <c r="Z191" s="1021" t="n"/>
      <c r="AA191" s="989" t="n"/>
      <c r="AB191" s="1022" t="n"/>
      <c r="AC191" s="963" t="n"/>
      <c r="AD191" s="963" t="n"/>
      <c r="AE191" s="963" t="n"/>
      <c r="AF191" s="963" t="n"/>
      <c r="AG191" s="963" t="n"/>
      <c r="AH191" s="963" t="n"/>
      <c r="AI191" s="991" t="n"/>
      <c r="AJ191" s="1021" t="n"/>
      <c r="AK191" s="1021" t="n"/>
      <c r="AL191" s="1021" t="n"/>
      <c r="AM191" s="1021" t="n"/>
      <c r="AN191" s="1021" t="n"/>
      <c r="AO191" s="1021" t="n"/>
      <c r="AP191" s="1022" t="n"/>
      <c r="AQ191" s="963" t="n"/>
      <c r="AR191" s="963" t="n"/>
      <c r="AS191" s="963" t="n"/>
      <c r="AT191" s="963" t="n"/>
      <c r="AU191" s="963" t="n"/>
      <c r="AV191" s="963" t="n"/>
      <c r="AW191" s="991" t="n"/>
      <c r="AX191" s="18" t="n"/>
    </row>
    <row r="192" ht="16.4" customHeight="1" s="828">
      <c r="A192" s="722" t="n"/>
      <c r="B192" s="1021" t="n"/>
      <c r="C192" s="1021" t="n"/>
      <c r="D192" s="1021" t="n"/>
      <c r="E192" s="1021" t="n"/>
      <c r="F192" s="1021" t="n"/>
      <c r="G192" s="1021" t="n"/>
      <c r="H192" s="1021" t="n"/>
      <c r="I192" s="1021" t="n"/>
      <c r="J192" s="1021" t="n"/>
      <c r="K192" s="1022" t="n"/>
      <c r="L192" s="963" t="n"/>
      <c r="M192" s="963" t="n"/>
      <c r="N192" s="963" t="n"/>
      <c r="O192" s="963" t="n"/>
      <c r="P192" s="963" t="n"/>
      <c r="Q192" s="963" t="n"/>
      <c r="R192" s="963" t="n"/>
      <c r="S192" s="963" t="n"/>
      <c r="T192" s="963" t="n"/>
      <c r="U192" s="991" t="n"/>
      <c r="V192" s="1021" t="n"/>
      <c r="W192" s="1021" t="n"/>
      <c r="X192" s="1021" t="n"/>
      <c r="Y192" s="1021" t="n"/>
      <c r="Z192" s="1021" t="n"/>
      <c r="AA192" s="989" t="n"/>
      <c r="AB192" s="1022" t="n"/>
      <c r="AC192" s="963" t="n"/>
      <c r="AD192" s="963" t="n"/>
      <c r="AE192" s="963" t="n"/>
      <c r="AF192" s="963" t="n"/>
      <c r="AG192" s="963" t="n"/>
      <c r="AH192" s="963" t="n"/>
      <c r="AI192" s="991" t="n"/>
      <c r="AJ192" s="1021" t="n"/>
      <c r="AK192" s="1021" t="n"/>
      <c r="AL192" s="1021" t="n"/>
      <c r="AM192" s="1021" t="n"/>
      <c r="AN192" s="1021" t="n"/>
      <c r="AO192" s="1021" t="n"/>
      <c r="AP192" s="1022" t="n"/>
      <c r="AQ192" s="963" t="n"/>
      <c r="AR192" s="963" t="n"/>
      <c r="AS192" s="963" t="n"/>
      <c r="AT192" s="963" t="n"/>
      <c r="AU192" s="963" t="n"/>
      <c r="AV192" s="963" t="n"/>
      <c r="AW192" s="991" t="n"/>
      <c r="AX192" s="18" t="n"/>
    </row>
    <row r="193" ht="16.4" customHeight="1" s="828">
      <c r="A193" s="722" t="n"/>
      <c r="B193" s="1021" t="n"/>
      <c r="C193" s="1021" t="n"/>
      <c r="D193" s="1021" t="n"/>
      <c r="E193" s="1021" t="n"/>
      <c r="F193" s="1021" t="n"/>
      <c r="G193" s="1021" t="n"/>
      <c r="H193" s="1021" t="n"/>
      <c r="I193" s="1021" t="n"/>
      <c r="J193" s="1021" t="n"/>
      <c r="K193" s="1022" t="n"/>
      <c r="L193" s="963" t="n"/>
      <c r="M193" s="963" t="n"/>
      <c r="N193" s="963" t="n"/>
      <c r="O193" s="963" t="n"/>
      <c r="P193" s="963" t="n"/>
      <c r="Q193" s="963" t="n"/>
      <c r="R193" s="963" t="n"/>
      <c r="S193" s="963" t="n"/>
      <c r="T193" s="963" t="n"/>
      <c r="U193" s="991" t="n"/>
      <c r="V193" s="1021" t="n"/>
      <c r="W193" s="1021" t="n"/>
      <c r="X193" s="1021" t="n"/>
      <c r="Y193" s="1021" t="n"/>
      <c r="Z193" s="1021" t="n"/>
      <c r="AA193" s="989" t="n"/>
      <c r="AB193" s="1022" t="n"/>
      <c r="AC193" s="963" t="n"/>
      <c r="AD193" s="963" t="n"/>
      <c r="AE193" s="963" t="n"/>
      <c r="AF193" s="963" t="n"/>
      <c r="AG193" s="963" t="n"/>
      <c r="AH193" s="963" t="n"/>
      <c r="AI193" s="991" t="n"/>
      <c r="AJ193" s="1021" t="n"/>
      <c r="AK193" s="1021" t="n"/>
      <c r="AL193" s="1021" t="n"/>
      <c r="AM193" s="1021" t="n"/>
      <c r="AN193" s="1021" t="n"/>
      <c r="AO193" s="1021" t="n"/>
      <c r="AP193" s="1022" t="n"/>
      <c r="AQ193" s="963" t="n"/>
      <c r="AR193" s="963" t="n"/>
      <c r="AS193" s="963" t="n"/>
      <c r="AT193" s="963" t="n"/>
      <c r="AU193" s="963" t="n"/>
      <c r="AV193" s="963" t="n"/>
      <c r="AW193" s="991" t="n"/>
      <c r="AX193" s="18" t="n"/>
    </row>
    <row r="194" ht="16.4" customHeight="1" s="828">
      <c r="A194" s="722" t="n"/>
      <c r="B194" s="1021" t="n"/>
      <c r="C194" s="1021" t="n"/>
      <c r="D194" s="1021" t="n"/>
      <c r="E194" s="1021" t="n"/>
      <c r="F194" s="1021" t="n"/>
      <c r="G194" s="1021" t="n"/>
      <c r="H194" s="1021" t="n"/>
      <c r="I194" s="1021" t="n"/>
      <c r="J194" s="1021" t="n"/>
      <c r="K194" s="1022" t="n"/>
      <c r="L194" s="963" t="n"/>
      <c r="M194" s="963" t="n"/>
      <c r="N194" s="963" t="n"/>
      <c r="O194" s="963" t="n"/>
      <c r="P194" s="963" t="n"/>
      <c r="Q194" s="963" t="n"/>
      <c r="R194" s="963" t="n"/>
      <c r="S194" s="963" t="n"/>
      <c r="T194" s="963" t="n"/>
      <c r="U194" s="991" t="n"/>
      <c r="V194" s="1021" t="n"/>
      <c r="W194" s="1021" t="n"/>
      <c r="X194" s="1021" t="n"/>
      <c r="Y194" s="1021" t="n"/>
      <c r="Z194" s="1021" t="n"/>
      <c r="AA194" s="989" t="n"/>
      <c r="AB194" s="1022" t="n"/>
      <c r="AC194" s="963" t="n"/>
      <c r="AD194" s="963" t="n"/>
      <c r="AE194" s="963" t="n"/>
      <c r="AF194" s="963" t="n"/>
      <c r="AG194" s="963" t="n"/>
      <c r="AH194" s="963" t="n"/>
      <c r="AI194" s="991" t="n"/>
      <c r="AJ194" s="1021" t="n"/>
      <c r="AK194" s="1021" t="n"/>
      <c r="AL194" s="1021" t="n"/>
      <c r="AM194" s="1021" t="n"/>
      <c r="AN194" s="1021" t="n"/>
      <c r="AO194" s="1021" t="n"/>
      <c r="AP194" s="1022" t="n"/>
      <c r="AQ194" s="963" t="n"/>
      <c r="AR194" s="963" t="n"/>
      <c r="AS194" s="963" t="n"/>
      <c r="AT194" s="963" t="n"/>
      <c r="AU194" s="963" t="n"/>
      <c r="AV194" s="963" t="n"/>
      <c r="AW194" s="991" t="n"/>
      <c r="AX194" s="18" t="n"/>
    </row>
    <row r="195" ht="16.4" customHeight="1" s="828">
      <c r="A195" s="722" t="n"/>
      <c r="B195" s="1021" t="n"/>
      <c r="C195" s="1021" t="n"/>
      <c r="D195" s="1021" t="n"/>
      <c r="E195" s="1021" t="n"/>
      <c r="F195" s="1021" t="n"/>
      <c r="G195" s="1021" t="n"/>
      <c r="H195" s="1021" t="n"/>
      <c r="I195" s="1021" t="n"/>
      <c r="J195" s="1021" t="n"/>
      <c r="K195" s="1022" t="n"/>
      <c r="L195" s="963" t="n"/>
      <c r="M195" s="963" t="n"/>
      <c r="N195" s="963" t="n"/>
      <c r="O195" s="963" t="n"/>
      <c r="P195" s="963" t="n"/>
      <c r="Q195" s="963" t="n"/>
      <c r="R195" s="963" t="n"/>
      <c r="S195" s="963" t="n"/>
      <c r="T195" s="963" t="n"/>
      <c r="U195" s="991" t="n"/>
      <c r="V195" s="1021" t="n"/>
      <c r="W195" s="1021" t="n"/>
      <c r="X195" s="1021" t="n"/>
      <c r="Y195" s="1021" t="n"/>
      <c r="Z195" s="1021" t="n"/>
      <c r="AA195" s="989" t="n"/>
      <c r="AB195" s="1022" t="n"/>
      <c r="AC195" s="963" t="n"/>
      <c r="AD195" s="963" t="n"/>
      <c r="AE195" s="963" t="n"/>
      <c r="AF195" s="963" t="n"/>
      <c r="AG195" s="963" t="n"/>
      <c r="AH195" s="963" t="n"/>
      <c r="AI195" s="991" t="n"/>
      <c r="AJ195" s="1021" t="n"/>
      <c r="AK195" s="1021" t="n"/>
      <c r="AL195" s="1021" t="n"/>
      <c r="AM195" s="1021" t="n"/>
      <c r="AN195" s="1021" t="n"/>
      <c r="AO195" s="1021" t="n"/>
      <c r="AP195" s="1022" t="n"/>
      <c r="AQ195" s="963" t="n"/>
      <c r="AR195" s="963" t="n"/>
      <c r="AS195" s="963" t="n"/>
      <c r="AT195" s="963" t="n"/>
      <c r="AU195" s="963" t="n"/>
      <c r="AV195" s="963" t="n"/>
      <c r="AW195" s="991" t="n"/>
      <c r="AX195" s="18" t="n"/>
    </row>
    <row r="196" ht="16.4" customHeight="1" s="828">
      <c r="A196" s="722" t="n"/>
      <c r="B196" s="1021" t="n"/>
      <c r="C196" s="1021" t="n"/>
      <c r="D196" s="1021" t="n"/>
      <c r="E196" s="1021" t="n"/>
      <c r="F196" s="1021" t="n"/>
      <c r="G196" s="1021" t="n"/>
      <c r="H196" s="1021" t="n"/>
      <c r="I196" s="1021" t="n"/>
      <c r="J196" s="1021" t="n"/>
      <c r="K196" s="1022" t="n"/>
      <c r="L196" s="963" t="n"/>
      <c r="M196" s="963" t="n"/>
      <c r="N196" s="963" t="n"/>
      <c r="O196" s="963" t="n"/>
      <c r="P196" s="963" t="n"/>
      <c r="Q196" s="963" t="n"/>
      <c r="R196" s="963" t="n"/>
      <c r="S196" s="963" t="n"/>
      <c r="T196" s="963" t="n"/>
      <c r="U196" s="991" t="n"/>
      <c r="V196" s="1021" t="n"/>
      <c r="W196" s="1021" t="n"/>
      <c r="X196" s="1021" t="n"/>
      <c r="Y196" s="1021" t="n"/>
      <c r="Z196" s="1021" t="n"/>
      <c r="AA196" s="989" t="n"/>
      <c r="AB196" s="1022" t="n"/>
      <c r="AC196" s="963" t="n"/>
      <c r="AD196" s="963" t="n"/>
      <c r="AE196" s="963" t="n"/>
      <c r="AF196" s="963" t="n"/>
      <c r="AG196" s="963" t="n"/>
      <c r="AH196" s="963" t="n"/>
      <c r="AI196" s="991" t="n"/>
      <c r="AJ196" s="1021" t="n"/>
      <c r="AK196" s="1021" t="n"/>
      <c r="AL196" s="1021" t="n"/>
      <c r="AM196" s="1021" t="n"/>
      <c r="AN196" s="1021" t="n"/>
      <c r="AO196" s="1021" t="n"/>
      <c r="AP196" s="1022" t="n"/>
      <c r="AQ196" s="963" t="n"/>
      <c r="AR196" s="963" t="n"/>
      <c r="AS196" s="963" t="n"/>
      <c r="AT196" s="963" t="n"/>
      <c r="AU196" s="963" t="n"/>
      <c r="AV196" s="963" t="n"/>
      <c r="AW196" s="991" t="n"/>
      <c r="AX196" s="18" t="n"/>
    </row>
    <row r="197" ht="16.4" customHeight="1" s="828">
      <c r="A197" s="722" t="n"/>
      <c r="B197" s="1021" t="n"/>
      <c r="C197" s="1021" t="n"/>
      <c r="D197" s="1021" t="n"/>
      <c r="E197" s="1021" t="n"/>
      <c r="F197" s="1021" t="n"/>
      <c r="G197" s="1021" t="n"/>
      <c r="H197" s="1021" t="n"/>
      <c r="I197" s="1021" t="n"/>
      <c r="J197" s="1021" t="n"/>
      <c r="K197" s="1022" t="n"/>
      <c r="L197" s="963" t="n"/>
      <c r="M197" s="963" t="n"/>
      <c r="N197" s="963" t="n"/>
      <c r="O197" s="963" t="n"/>
      <c r="P197" s="963" t="n"/>
      <c r="Q197" s="963" t="n"/>
      <c r="R197" s="963" t="n"/>
      <c r="S197" s="963" t="n"/>
      <c r="T197" s="963" t="n"/>
      <c r="U197" s="991" t="n"/>
      <c r="V197" s="1021" t="n"/>
      <c r="W197" s="1021" t="n"/>
      <c r="X197" s="1021" t="n"/>
      <c r="Y197" s="1021" t="n"/>
      <c r="Z197" s="1021" t="n"/>
      <c r="AA197" s="989" t="n"/>
      <c r="AB197" s="1022" t="n"/>
      <c r="AC197" s="963" t="n"/>
      <c r="AD197" s="963" t="n"/>
      <c r="AE197" s="963" t="n"/>
      <c r="AF197" s="963" t="n"/>
      <c r="AG197" s="963" t="n"/>
      <c r="AH197" s="963" t="n"/>
      <c r="AI197" s="991" t="n"/>
      <c r="AJ197" s="1021" t="n"/>
      <c r="AK197" s="1021" t="n"/>
      <c r="AL197" s="1021" t="n"/>
      <c r="AM197" s="1021" t="n"/>
      <c r="AN197" s="1021" t="n"/>
      <c r="AO197" s="1021" t="n"/>
      <c r="AP197" s="1022" t="n"/>
      <c r="AQ197" s="963" t="n"/>
      <c r="AR197" s="963" t="n"/>
      <c r="AS197" s="963" t="n"/>
      <c r="AT197" s="963" t="n"/>
      <c r="AU197" s="963" t="n"/>
      <c r="AV197" s="963" t="n"/>
      <c r="AW197" s="991" t="n"/>
      <c r="AX197" s="18" t="n"/>
    </row>
    <row r="198" ht="16.4" customHeight="1" s="828">
      <c r="A198" s="722" t="n"/>
      <c r="B198" s="1021" t="n"/>
      <c r="C198" s="1021" t="n"/>
      <c r="D198" s="1021" t="n"/>
      <c r="E198" s="1021" t="n"/>
      <c r="F198" s="1021" t="n"/>
      <c r="G198" s="1021" t="n"/>
      <c r="H198" s="1021" t="n"/>
      <c r="I198" s="1021" t="n"/>
      <c r="J198" s="1021" t="n"/>
      <c r="K198" s="1022" t="n"/>
      <c r="L198" s="963" t="n"/>
      <c r="M198" s="963" t="n"/>
      <c r="N198" s="963" t="n"/>
      <c r="O198" s="963" t="n"/>
      <c r="P198" s="963" t="n"/>
      <c r="Q198" s="963" t="n"/>
      <c r="R198" s="963" t="n"/>
      <c r="S198" s="963" t="n"/>
      <c r="T198" s="963" t="n"/>
      <c r="U198" s="991" t="n"/>
      <c r="V198" s="1021" t="n"/>
      <c r="W198" s="1021" t="n"/>
      <c r="X198" s="1021" t="n"/>
      <c r="Y198" s="1021" t="n"/>
      <c r="Z198" s="1021" t="n"/>
      <c r="AA198" s="989" t="n"/>
      <c r="AB198" s="1022" t="n"/>
      <c r="AC198" s="963" t="n"/>
      <c r="AD198" s="963" t="n"/>
      <c r="AE198" s="963" t="n"/>
      <c r="AF198" s="963" t="n"/>
      <c r="AG198" s="963" t="n"/>
      <c r="AH198" s="963" t="n"/>
      <c r="AI198" s="991" t="n"/>
      <c r="AJ198" s="1021" t="n"/>
      <c r="AK198" s="1021" t="n"/>
      <c r="AL198" s="1021" t="n"/>
      <c r="AM198" s="1021" t="n"/>
      <c r="AN198" s="1021" t="n"/>
      <c r="AO198" s="1021" t="n"/>
      <c r="AP198" s="1022" t="n"/>
      <c r="AQ198" s="963" t="n"/>
      <c r="AR198" s="963" t="n"/>
      <c r="AS198" s="963" t="n"/>
      <c r="AT198" s="963" t="n"/>
      <c r="AU198" s="963" t="n"/>
      <c r="AV198" s="963" t="n"/>
      <c r="AW198" s="991" t="n"/>
      <c r="AX198" s="18" t="n"/>
    </row>
    <row r="199" ht="16.4" customHeight="1" s="828">
      <c r="A199" s="722" t="n"/>
      <c r="B199" s="1021" t="n"/>
      <c r="C199" s="1021" t="n"/>
      <c r="D199" s="1021" t="n"/>
      <c r="E199" s="1021" t="n"/>
      <c r="F199" s="1021" t="n"/>
      <c r="G199" s="1021" t="n"/>
      <c r="H199" s="1021" t="n"/>
      <c r="I199" s="1021" t="n"/>
      <c r="J199" s="1021" t="n"/>
      <c r="K199" s="1022" t="n"/>
      <c r="L199" s="963" t="n"/>
      <c r="M199" s="963" t="n"/>
      <c r="N199" s="963" t="n"/>
      <c r="O199" s="963" t="n"/>
      <c r="P199" s="963" t="n"/>
      <c r="Q199" s="963" t="n"/>
      <c r="R199" s="963" t="n"/>
      <c r="S199" s="963" t="n"/>
      <c r="T199" s="963" t="n"/>
      <c r="U199" s="991" t="n"/>
      <c r="V199" s="1021" t="n"/>
      <c r="W199" s="1021" t="n"/>
      <c r="X199" s="1021" t="n"/>
      <c r="Y199" s="1021" t="n"/>
      <c r="Z199" s="1021" t="n"/>
      <c r="AA199" s="989" t="n"/>
      <c r="AB199" s="1022" t="n"/>
      <c r="AC199" s="963" t="n"/>
      <c r="AD199" s="963" t="n"/>
      <c r="AE199" s="963" t="n"/>
      <c r="AF199" s="963" t="n"/>
      <c r="AG199" s="963" t="n"/>
      <c r="AH199" s="963" t="n"/>
      <c r="AI199" s="991" t="n"/>
      <c r="AJ199" s="1021" t="n"/>
      <c r="AK199" s="1021" t="n"/>
      <c r="AL199" s="1021" t="n"/>
      <c r="AM199" s="1021" t="n"/>
      <c r="AN199" s="1021" t="n"/>
      <c r="AO199" s="1021" t="n"/>
      <c r="AP199" s="1022" t="n"/>
      <c r="AQ199" s="963" t="n"/>
      <c r="AR199" s="963" t="n"/>
      <c r="AS199" s="963" t="n"/>
      <c r="AT199" s="963" t="n"/>
      <c r="AU199" s="963" t="n"/>
      <c r="AV199" s="963" t="n"/>
      <c r="AW199" s="991" t="n"/>
      <c r="AX199" s="18" t="n"/>
    </row>
    <row r="200" ht="16.4" customHeight="1" s="828">
      <c r="A200" s="722" t="n"/>
      <c r="B200" s="1021" t="n"/>
      <c r="C200" s="1021" t="n"/>
      <c r="D200" s="1021" t="n"/>
      <c r="E200" s="1021" t="n"/>
      <c r="F200" s="1021" t="n"/>
      <c r="G200" s="1021" t="n"/>
      <c r="H200" s="1021" t="n"/>
      <c r="I200" s="1021" t="n"/>
      <c r="J200" s="1021" t="n"/>
      <c r="K200" s="1022" t="n"/>
      <c r="L200" s="963" t="n"/>
      <c r="M200" s="963" t="n"/>
      <c r="N200" s="963" t="n"/>
      <c r="O200" s="963" t="n"/>
      <c r="P200" s="963" t="n"/>
      <c r="Q200" s="963" t="n"/>
      <c r="R200" s="963" t="n"/>
      <c r="S200" s="963" t="n"/>
      <c r="T200" s="963" t="n"/>
      <c r="U200" s="991" t="n"/>
      <c r="V200" s="1021" t="n"/>
      <c r="W200" s="1021" t="n"/>
      <c r="X200" s="1021" t="n"/>
      <c r="Y200" s="1021" t="n"/>
      <c r="Z200" s="1021" t="n"/>
      <c r="AA200" s="989" t="n"/>
      <c r="AB200" s="1022" t="n"/>
      <c r="AC200" s="963" t="n"/>
      <c r="AD200" s="963" t="n"/>
      <c r="AE200" s="963" t="n"/>
      <c r="AF200" s="963" t="n"/>
      <c r="AG200" s="963" t="n"/>
      <c r="AH200" s="963" t="n"/>
      <c r="AI200" s="991" t="n"/>
      <c r="AJ200" s="1021" t="n"/>
      <c r="AK200" s="1021" t="n"/>
      <c r="AL200" s="1021" t="n"/>
      <c r="AM200" s="1021" t="n"/>
      <c r="AN200" s="1021" t="n"/>
      <c r="AO200" s="1021" t="n"/>
      <c r="AP200" s="1022" t="n"/>
      <c r="AQ200" s="963" t="n"/>
      <c r="AR200" s="963" t="n"/>
      <c r="AS200" s="963" t="n"/>
      <c r="AT200" s="963" t="n"/>
      <c r="AU200" s="963" t="n"/>
      <c r="AV200" s="963" t="n"/>
      <c r="AW200" s="991" t="n"/>
      <c r="AX200" s="18" t="n"/>
    </row>
    <row r="201" ht="16.4" customHeight="1" s="828">
      <c r="A201" s="722" t="n"/>
      <c r="B201" s="1021" t="n"/>
      <c r="C201" s="1021" t="n"/>
      <c r="D201" s="1021" t="n"/>
      <c r="E201" s="1021" t="n"/>
      <c r="F201" s="1021" t="n"/>
      <c r="G201" s="1021" t="n"/>
      <c r="H201" s="1021" t="n"/>
      <c r="I201" s="1021" t="n"/>
      <c r="J201" s="1021" t="n"/>
      <c r="K201" s="1022" t="n"/>
      <c r="L201" s="963" t="n"/>
      <c r="M201" s="963" t="n"/>
      <c r="N201" s="963" t="n"/>
      <c r="O201" s="963" t="n"/>
      <c r="P201" s="963" t="n"/>
      <c r="Q201" s="963" t="n"/>
      <c r="R201" s="963" t="n"/>
      <c r="S201" s="963" t="n"/>
      <c r="T201" s="963" t="n"/>
      <c r="U201" s="991" t="n"/>
      <c r="V201" s="1021" t="n"/>
      <c r="W201" s="1021" t="n"/>
      <c r="X201" s="1021" t="n"/>
      <c r="Y201" s="1021" t="n"/>
      <c r="Z201" s="1021" t="n"/>
      <c r="AA201" s="989" t="n"/>
      <c r="AB201" s="1022" t="n"/>
      <c r="AC201" s="963" t="n"/>
      <c r="AD201" s="963" t="n"/>
      <c r="AE201" s="963" t="n"/>
      <c r="AF201" s="963" t="n"/>
      <c r="AG201" s="963" t="n"/>
      <c r="AH201" s="963" t="n"/>
      <c r="AI201" s="991" t="n"/>
      <c r="AJ201" s="1021" t="n"/>
      <c r="AK201" s="1021" t="n"/>
      <c r="AL201" s="1021" t="n"/>
      <c r="AM201" s="1021" t="n"/>
      <c r="AN201" s="1021" t="n"/>
      <c r="AO201" s="1021" t="n"/>
      <c r="AP201" s="1022" t="n"/>
      <c r="AQ201" s="963" t="n"/>
      <c r="AR201" s="963" t="n"/>
      <c r="AS201" s="963" t="n"/>
      <c r="AT201" s="963" t="n"/>
      <c r="AU201" s="963" t="n"/>
      <c r="AV201" s="963" t="n"/>
      <c r="AW201" s="991" t="n"/>
      <c r="AX201" s="18" t="n"/>
    </row>
    <row r="202" ht="16.4" customHeight="1" s="828">
      <c r="A202" s="722" t="n"/>
      <c r="B202" s="1021" t="n"/>
      <c r="C202" s="1021" t="n"/>
      <c r="D202" s="1021" t="n"/>
      <c r="E202" s="1021" t="n"/>
      <c r="F202" s="1021" t="n"/>
      <c r="G202" s="1021" t="n"/>
      <c r="H202" s="1021" t="n"/>
      <c r="I202" s="1021" t="n"/>
      <c r="J202" s="1021" t="n"/>
      <c r="K202" s="1022" t="n"/>
      <c r="L202" s="963" t="n"/>
      <c r="M202" s="963" t="n"/>
      <c r="N202" s="963" t="n"/>
      <c r="O202" s="963" t="n"/>
      <c r="P202" s="963" t="n"/>
      <c r="Q202" s="963" t="n"/>
      <c r="R202" s="963" t="n"/>
      <c r="S202" s="963" t="n"/>
      <c r="T202" s="963" t="n"/>
      <c r="U202" s="991" t="n"/>
      <c r="V202" s="1021" t="n"/>
      <c r="W202" s="1021" t="n"/>
      <c r="X202" s="1021" t="n"/>
      <c r="Y202" s="1021" t="n"/>
      <c r="Z202" s="1021" t="n"/>
      <c r="AA202" s="989" t="n"/>
      <c r="AB202" s="1022" t="n"/>
      <c r="AC202" s="963" t="n"/>
      <c r="AD202" s="963" t="n"/>
      <c r="AE202" s="963" t="n"/>
      <c r="AF202" s="963" t="n"/>
      <c r="AG202" s="963" t="n"/>
      <c r="AH202" s="963" t="n"/>
      <c r="AI202" s="991" t="n"/>
      <c r="AJ202" s="1021" t="n"/>
      <c r="AK202" s="1021" t="n"/>
      <c r="AL202" s="1021" t="n"/>
      <c r="AM202" s="1021" t="n"/>
      <c r="AN202" s="1021" t="n"/>
      <c r="AO202" s="1021" t="n"/>
      <c r="AP202" s="1022" t="n"/>
      <c r="AQ202" s="963" t="n"/>
      <c r="AR202" s="963" t="n"/>
      <c r="AS202" s="963" t="n"/>
      <c r="AT202" s="963" t="n"/>
      <c r="AU202" s="963" t="n"/>
      <c r="AV202" s="963" t="n"/>
      <c r="AW202" s="991" t="n"/>
      <c r="AX202" s="18" t="n"/>
    </row>
    <row r="203" ht="16.4" customHeight="1" s="828">
      <c r="A203" s="722" t="n"/>
      <c r="B203" s="1021" t="n"/>
      <c r="C203" s="1021" t="n"/>
      <c r="D203" s="1021" t="n"/>
      <c r="E203" s="1021" t="n"/>
      <c r="F203" s="1021" t="n"/>
      <c r="G203" s="1021" t="n"/>
      <c r="H203" s="1021" t="n"/>
      <c r="I203" s="1021" t="n"/>
      <c r="J203" s="1021" t="n"/>
      <c r="K203" s="1022" t="n"/>
      <c r="L203" s="963" t="n"/>
      <c r="M203" s="963" t="n"/>
      <c r="N203" s="963" t="n"/>
      <c r="O203" s="963" t="n"/>
      <c r="P203" s="963" t="n"/>
      <c r="Q203" s="963" t="n"/>
      <c r="R203" s="963" t="n"/>
      <c r="S203" s="963" t="n"/>
      <c r="T203" s="963" t="n"/>
      <c r="U203" s="991" t="n"/>
      <c r="V203" s="1021" t="n"/>
      <c r="W203" s="1021" t="n"/>
      <c r="X203" s="1021" t="n"/>
      <c r="Y203" s="1021" t="n"/>
      <c r="Z203" s="1021" t="n"/>
      <c r="AA203" s="989" t="n"/>
      <c r="AB203" s="1022" t="n"/>
      <c r="AC203" s="963" t="n"/>
      <c r="AD203" s="963" t="n"/>
      <c r="AE203" s="963" t="n"/>
      <c r="AF203" s="963" t="n"/>
      <c r="AG203" s="963" t="n"/>
      <c r="AH203" s="963" t="n"/>
      <c r="AI203" s="991" t="n"/>
      <c r="AJ203" s="1021" t="n"/>
      <c r="AK203" s="1021" t="n"/>
      <c r="AL203" s="1021" t="n"/>
      <c r="AM203" s="1021" t="n"/>
      <c r="AN203" s="1021" t="n"/>
      <c r="AO203" s="1021" t="n"/>
      <c r="AP203" s="1022" t="n"/>
      <c r="AQ203" s="963" t="n"/>
      <c r="AR203" s="963" t="n"/>
      <c r="AS203" s="963" t="n"/>
      <c r="AT203" s="963" t="n"/>
      <c r="AU203" s="963" t="n"/>
      <c r="AV203" s="963" t="n"/>
      <c r="AW203" s="991" t="n"/>
      <c r="AX203" s="18" t="n"/>
    </row>
    <row r="204" ht="16.4" customHeight="1" s="828">
      <c r="A204" s="722" t="n"/>
      <c r="B204" s="1021" t="n"/>
      <c r="C204" s="1021" t="n"/>
      <c r="D204" s="1021" t="n"/>
      <c r="E204" s="1021" t="n"/>
      <c r="F204" s="1021" t="n"/>
      <c r="G204" s="1021" t="n"/>
      <c r="H204" s="1021" t="n"/>
      <c r="I204" s="1021" t="n"/>
      <c r="J204" s="1021" t="n"/>
      <c r="K204" s="1022" t="n"/>
      <c r="L204" s="963" t="n"/>
      <c r="M204" s="963" t="n"/>
      <c r="N204" s="963" t="n"/>
      <c r="O204" s="963" t="n"/>
      <c r="P204" s="963" t="n"/>
      <c r="Q204" s="963" t="n"/>
      <c r="R204" s="963" t="n"/>
      <c r="S204" s="963" t="n"/>
      <c r="T204" s="963" t="n"/>
      <c r="U204" s="991" t="n"/>
      <c r="V204" s="1021" t="n"/>
      <c r="W204" s="1021" t="n"/>
      <c r="X204" s="1021" t="n"/>
      <c r="Y204" s="1021" t="n"/>
      <c r="Z204" s="1021" t="n"/>
      <c r="AA204" s="989" t="n"/>
      <c r="AB204" s="1022" t="n"/>
      <c r="AC204" s="963" t="n"/>
      <c r="AD204" s="963" t="n"/>
      <c r="AE204" s="963" t="n"/>
      <c r="AF204" s="963" t="n"/>
      <c r="AG204" s="963" t="n"/>
      <c r="AH204" s="963" t="n"/>
      <c r="AI204" s="991" t="n"/>
      <c r="AJ204" s="1021" t="n"/>
      <c r="AK204" s="1021" t="n"/>
      <c r="AL204" s="1021" t="n"/>
      <c r="AM204" s="1021" t="n"/>
      <c r="AN204" s="1021" t="n"/>
      <c r="AO204" s="1021" t="n"/>
      <c r="AP204" s="1022" t="n"/>
      <c r="AQ204" s="963" t="n"/>
      <c r="AR204" s="963" t="n"/>
      <c r="AS204" s="963" t="n"/>
      <c r="AT204" s="963" t="n"/>
      <c r="AU204" s="963" t="n"/>
      <c r="AV204" s="963" t="n"/>
      <c r="AW204" s="991" t="n"/>
      <c r="AX204" s="18" t="n"/>
    </row>
    <row r="205" ht="16.4" customHeight="1" s="828">
      <c r="A205" s="722" t="n"/>
      <c r="B205" s="1021" t="n"/>
      <c r="C205" s="1021" t="n"/>
      <c r="D205" s="1021" t="n"/>
      <c r="E205" s="1021" t="n"/>
      <c r="F205" s="1021" t="n"/>
      <c r="G205" s="1021" t="n"/>
      <c r="H205" s="1021" t="n"/>
      <c r="I205" s="1021" t="n"/>
      <c r="J205" s="1021" t="n"/>
      <c r="K205" s="1022" t="n"/>
      <c r="L205" s="963" t="n"/>
      <c r="M205" s="963" t="n"/>
      <c r="N205" s="963" t="n"/>
      <c r="O205" s="963" t="n"/>
      <c r="P205" s="963" t="n"/>
      <c r="Q205" s="963" t="n"/>
      <c r="R205" s="963" t="n"/>
      <c r="S205" s="963" t="n"/>
      <c r="T205" s="963" t="n"/>
      <c r="U205" s="991" t="n"/>
      <c r="V205" s="1021" t="n"/>
      <c r="W205" s="1021" t="n"/>
      <c r="X205" s="1021" t="n"/>
      <c r="Y205" s="1021" t="n"/>
      <c r="Z205" s="1021" t="n"/>
      <c r="AA205" s="989" t="n"/>
      <c r="AB205" s="1022" t="n"/>
      <c r="AC205" s="963" t="n"/>
      <c r="AD205" s="963" t="n"/>
      <c r="AE205" s="963" t="n"/>
      <c r="AF205" s="963" t="n"/>
      <c r="AG205" s="963" t="n"/>
      <c r="AH205" s="963" t="n"/>
      <c r="AI205" s="991" t="n"/>
      <c r="AJ205" s="1021" t="n"/>
      <c r="AK205" s="1021" t="n"/>
      <c r="AL205" s="1021" t="n"/>
      <c r="AM205" s="1021" t="n"/>
      <c r="AN205" s="1021" t="n"/>
      <c r="AO205" s="1021" t="n"/>
      <c r="AP205" s="1022" t="n"/>
      <c r="AQ205" s="963" t="n"/>
      <c r="AR205" s="963" t="n"/>
      <c r="AS205" s="963" t="n"/>
      <c r="AT205" s="963" t="n"/>
      <c r="AU205" s="963" t="n"/>
      <c r="AV205" s="963" t="n"/>
      <c r="AW205" s="991" t="n"/>
      <c r="AX205" s="18" t="n"/>
    </row>
    <row r="206" ht="16.4" customHeight="1" s="828">
      <c r="A206" s="722" t="n"/>
      <c r="B206" s="1021" t="n"/>
      <c r="C206" s="1021" t="n"/>
      <c r="D206" s="1021" t="n"/>
      <c r="E206" s="1021" t="n"/>
      <c r="F206" s="1021" t="n"/>
      <c r="G206" s="1021" t="n"/>
      <c r="H206" s="1021" t="n"/>
      <c r="I206" s="1021" t="n"/>
      <c r="J206" s="1021" t="n"/>
      <c r="K206" s="1022" t="n"/>
      <c r="L206" s="963" t="n"/>
      <c r="M206" s="963" t="n"/>
      <c r="N206" s="963" t="n"/>
      <c r="O206" s="963" t="n"/>
      <c r="P206" s="963" t="n"/>
      <c r="Q206" s="963" t="n"/>
      <c r="R206" s="963" t="n"/>
      <c r="S206" s="963" t="n"/>
      <c r="T206" s="963" t="n"/>
      <c r="U206" s="991" t="n"/>
      <c r="V206" s="1021" t="n"/>
      <c r="W206" s="1021" t="n"/>
      <c r="X206" s="1021" t="n"/>
      <c r="Y206" s="1021" t="n"/>
      <c r="Z206" s="1021" t="n"/>
      <c r="AA206" s="989" t="n"/>
      <c r="AB206" s="1022" t="n"/>
      <c r="AC206" s="963" t="n"/>
      <c r="AD206" s="963" t="n"/>
      <c r="AE206" s="963" t="n"/>
      <c r="AF206" s="963" t="n"/>
      <c r="AG206" s="963" t="n"/>
      <c r="AH206" s="963" t="n"/>
      <c r="AI206" s="991" t="n"/>
      <c r="AJ206" s="1021" t="n"/>
      <c r="AK206" s="1021" t="n"/>
      <c r="AL206" s="1021" t="n"/>
      <c r="AM206" s="1021" t="n"/>
      <c r="AN206" s="1021" t="n"/>
      <c r="AO206" s="1021" t="n"/>
      <c r="AP206" s="1022" t="n"/>
      <c r="AQ206" s="963" t="n"/>
      <c r="AR206" s="963" t="n"/>
      <c r="AS206" s="963" t="n"/>
      <c r="AT206" s="963" t="n"/>
      <c r="AU206" s="963" t="n"/>
      <c r="AV206" s="963" t="n"/>
      <c r="AW206" s="991" t="n"/>
      <c r="AX206" s="18" t="n"/>
    </row>
    <row r="207" ht="16.4" customHeight="1" s="828">
      <c r="A207" s="722" t="n"/>
      <c r="B207" s="1021" t="n"/>
      <c r="C207" s="1021" t="n"/>
      <c r="D207" s="1021" t="n"/>
      <c r="E207" s="1021" t="n"/>
      <c r="F207" s="1021" t="n"/>
      <c r="G207" s="1021" t="n"/>
      <c r="H207" s="1021" t="n"/>
      <c r="I207" s="1021" t="n"/>
      <c r="J207" s="1021" t="n"/>
      <c r="K207" s="1022" t="n"/>
      <c r="L207" s="963" t="n"/>
      <c r="M207" s="963" t="n"/>
      <c r="N207" s="963" t="n"/>
      <c r="O207" s="963" t="n"/>
      <c r="P207" s="963" t="n"/>
      <c r="Q207" s="963" t="n"/>
      <c r="R207" s="963" t="n"/>
      <c r="S207" s="963" t="n"/>
      <c r="T207" s="963" t="n"/>
      <c r="U207" s="991" t="n"/>
      <c r="V207" s="1021" t="n"/>
      <c r="W207" s="1021" t="n"/>
      <c r="X207" s="1021" t="n"/>
      <c r="Y207" s="1021" t="n"/>
      <c r="Z207" s="1021" t="n"/>
      <c r="AA207" s="989" t="n"/>
      <c r="AB207" s="1022" t="n"/>
      <c r="AC207" s="963" t="n"/>
      <c r="AD207" s="963" t="n"/>
      <c r="AE207" s="963" t="n"/>
      <c r="AF207" s="963" t="n"/>
      <c r="AG207" s="963" t="n"/>
      <c r="AH207" s="963" t="n"/>
      <c r="AI207" s="991" t="n"/>
      <c r="AJ207" s="1021" t="n"/>
      <c r="AK207" s="1021" t="n"/>
      <c r="AL207" s="1021" t="n"/>
      <c r="AM207" s="1021" t="n"/>
      <c r="AN207" s="1021" t="n"/>
      <c r="AO207" s="1021" t="n"/>
      <c r="AP207" s="1022" t="n"/>
      <c r="AQ207" s="963" t="n"/>
      <c r="AR207" s="963" t="n"/>
      <c r="AS207" s="963" t="n"/>
      <c r="AT207" s="963" t="n"/>
      <c r="AU207" s="963" t="n"/>
      <c r="AV207" s="963" t="n"/>
      <c r="AW207" s="991" t="n"/>
      <c r="AX207" s="18" t="n"/>
    </row>
    <row r="208" ht="16.4" customHeight="1" s="828">
      <c r="A208" s="722" t="n"/>
      <c r="B208" s="1021" t="n"/>
      <c r="C208" s="1021" t="n"/>
      <c r="D208" s="1021" t="n"/>
      <c r="E208" s="1021" t="n"/>
      <c r="F208" s="1021" t="n"/>
      <c r="G208" s="1021" t="n"/>
      <c r="H208" s="1021" t="n"/>
      <c r="I208" s="1021" t="n"/>
      <c r="J208" s="1021" t="n"/>
      <c r="K208" s="1022" t="n"/>
      <c r="L208" s="963" t="n"/>
      <c r="M208" s="963" t="n"/>
      <c r="N208" s="963" t="n"/>
      <c r="O208" s="963" t="n"/>
      <c r="P208" s="963" t="n"/>
      <c r="Q208" s="963" t="n"/>
      <c r="R208" s="963" t="n"/>
      <c r="S208" s="963" t="n"/>
      <c r="T208" s="963" t="n"/>
      <c r="U208" s="991" t="n"/>
      <c r="V208" s="1021" t="n"/>
      <c r="W208" s="1021" t="n"/>
      <c r="X208" s="1021" t="n"/>
      <c r="Y208" s="1021" t="n"/>
      <c r="Z208" s="1021" t="n"/>
      <c r="AA208" s="989" t="n"/>
      <c r="AB208" s="1022" t="n"/>
      <c r="AC208" s="963" t="n"/>
      <c r="AD208" s="963" t="n"/>
      <c r="AE208" s="963" t="n"/>
      <c r="AF208" s="963" t="n"/>
      <c r="AG208" s="963" t="n"/>
      <c r="AH208" s="963" t="n"/>
      <c r="AI208" s="991" t="n"/>
      <c r="AJ208" s="1021" t="n"/>
      <c r="AK208" s="1021" t="n"/>
      <c r="AL208" s="1021" t="n"/>
      <c r="AM208" s="1021" t="n"/>
      <c r="AN208" s="1021" t="n"/>
      <c r="AO208" s="1021" t="n"/>
      <c r="AP208" s="1022" t="n"/>
      <c r="AQ208" s="963" t="n"/>
      <c r="AR208" s="963" t="n"/>
      <c r="AS208" s="963" t="n"/>
      <c r="AT208" s="963" t="n"/>
      <c r="AU208" s="963" t="n"/>
      <c r="AV208" s="963" t="n"/>
      <c r="AW208" s="991" t="n"/>
      <c r="AX208" s="18" t="n"/>
    </row>
    <row r="209" ht="16.4" customHeight="1" s="828">
      <c r="A209" s="722" t="n"/>
      <c r="B209" s="1021" t="n"/>
      <c r="C209" s="1021" t="n"/>
      <c r="D209" s="1021" t="n"/>
      <c r="E209" s="1021" t="n"/>
      <c r="F209" s="1021" t="n"/>
      <c r="G209" s="1021" t="n"/>
      <c r="H209" s="1021" t="n"/>
      <c r="I209" s="1021" t="n"/>
      <c r="J209" s="1021" t="n"/>
      <c r="K209" s="1022" t="n"/>
      <c r="L209" s="963" t="n"/>
      <c r="M209" s="963" t="n"/>
      <c r="N209" s="963" t="n"/>
      <c r="O209" s="963" t="n"/>
      <c r="P209" s="963" t="n"/>
      <c r="Q209" s="963" t="n"/>
      <c r="R209" s="963" t="n"/>
      <c r="S209" s="963" t="n"/>
      <c r="T209" s="963" t="n"/>
      <c r="U209" s="991" t="n"/>
      <c r="V209" s="1021" t="n"/>
      <c r="W209" s="1021" t="n"/>
      <c r="X209" s="1021" t="n"/>
      <c r="Y209" s="1021" t="n"/>
      <c r="Z209" s="1021" t="n"/>
      <c r="AA209" s="989" t="n"/>
      <c r="AB209" s="1022" t="n"/>
      <c r="AC209" s="963" t="n"/>
      <c r="AD209" s="963" t="n"/>
      <c r="AE209" s="963" t="n"/>
      <c r="AF209" s="963" t="n"/>
      <c r="AG209" s="963" t="n"/>
      <c r="AH209" s="963" t="n"/>
      <c r="AI209" s="991" t="n"/>
      <c r="AJ209" s="1021" t="n"/>
      <c r="AK209" s="1021" t="n"/>
      <c r="AL209" s="1021" t="n"/>
      <c r="AM209" s="1021" t="n"/>
      <c r="AN209" s="1021" t="n"/>
      <c r="AO209" s="1021" t="n"/>
      <c r="AP209" s="1022" t="n"/>
      <c r="AQ209" s="963" t="n"/>
      <c r="AR209" s="963" t="n"/>
      <c r="AS209" s="963" t="n"/>
      <c r="AT209" s="963" t="n"/>
      <c r="AU209" s="963" t="n"/>
      <c r="AV209" s="963" t="n"/>
      <c r="AW209" s="991" t="n"/>
      <c r="AX209" s="18" t="n"/>
    </row>
    <row r="210" ht="16.4" customHeight="1" s="828">
      <c r="A210" s="722" t="n"/>
      <c r="B210" s="1021" t="n"/>
      <c r="C210" s="1021" t="n"/>
      <c r="D210" s="1021" t="n"/>
      <c r="E210" s="1021" t="n"/>
      <c r="F210" s="1021" t="n"/>
      <c r="G210" s="1021" t="n"/>
      <c r="H210" s="1021" t="n"/>
      <c r="I210" s="1021" t="n"/>
      <c r="J210" s="1021" t="n"/>
      <c r="K210" s="1022" t="n"/>
      <c r="L210" s="963" t="n"/>
      <c r="M210" s="963" t="n"/>
      <c r="N210" s="963" t="n"/>
      <c r="O210" s="963" t="n"/>
      <c r="P210" s="963" t="n"/>
      <c r="Q210" s="963" t="n"/>
      <c r="R210" s="963" t="n"/>
      <c r="S210" s="963" t="n"/>
      <c r="T210" s="963" t="n"/>
      <c r="U210" s="991" t="n"/>
      <c r="V210" s="1021" t="n"/>
      <c r="W210" s="1021" t="n"/>
      <c r="X210" s="1021" t="n"/>
      <c r="Y210" s="1021" t="n"/>
      <c r="Z210" s="1021" t="n"/>
      <c r="AA210" s="989" t="n"/>
      <c r="AB210" s="1022" t="n"/>
      <c r="AC210" s="963" t="n"/>
      <c r="AD210" s="963" t="n"/>
      <c r="AE210" s="963" t="n"/>
      <c r="AF210" s="963" t="n"/>
      <c r="AG210" s="963" t="n"/>
      <c r="AH210" s="963" t="n"/>
      <c r="AI210" s="991" t="n"/>
      <c r="AJ210" s="1021" t="n"/>
      <c r="AK210" s="1021" t="n"/>
      <c r="AL210" s="1021" t="n"/>
      <c r="AM210" s="1021" t="n"/>
      <c r="AN210" s="1021" t="n"/>
      <c r="AO210" s="1021" t="n"/>
      <c r="AP210" s="1022" t="n"/>
      <c r="AQ210" s="963" t="n"/>
      <c r="AR210" s="963" t="n"/>
      <c r="AS210" s="963" t="n"/>
      <c r="AT210" s="963" t="n"/>
      <c r="AU210" s="963" t="n"/>
      <c r="AV210" s="963" t="n"/>
      <c r="AW210" s="991" t="n"/>
      <c r="AX210" s="18" t="n"/>
    </row>
    <row r="211" ht="16.4" customHeight="1" s="828">
      <c r="A211" s="722" t="n"/>
      <c r="B211" s="1021" t="n"/>
      <c r="C211" s="1021" t="n"/>
      <c r="D211" s="1021" t="n"/>
      <c r="E211" s="1021" t="n"/>
      <c r="F211" s="1021" t="n"/>
      <c r="G211" s="1021" t="n"/>
      <c r="H211" s="1021" t="n"/>
      <c r="I211" s="1021" t="n"/>
      <c r="J211" s="1021" t="n"/>
      <c r="K211" s="1022" t="n"/>
      <c r="L211" s="963" t="n"/>
      <c r="M211" s="963" t="n"/>
      <c r="N211" s="963" t="n"/>
      <c r="O211" s="963" t="n"/>
      <c r="P211" s="963" t="n"/>
      <c r="Q211" s="963" t="n"/>
      <c r="R211" s="963" t="n"/>
      <c r="S211" s="963" t="n"/>
      <c r="T211" s="963" t="n"/>
      <c r="U211" s="991" t="n"/>
      <c r="V211" s="1021" t="n"/>
      <c r="W211" s="1021" t="n"/>
      <c r="X211" s="1021" t="n"/>
      <c r="Y211" s="1021" t="n"/>
      <c r="Z211" s="1021" t="n"/>
      <c r="AA211" s="989" t="n"/>
      <c r="AB211" s="1022" t="n"/>
      <c r="AC211" s="963" t="n"/>
      <c r="AD211" s="963" t="n"/>
      <c r="AE211" s="963" t="n"/>
      <c r="AF211" s="963" t="n"/>
      <c r="AG211" s="963" t="n"/>
      <c r="AH211" s="963" t="n"/>
      <c r="AI211" s="991" t="n"/>
      <c r="AJ211" s="1021" t="n"/>
      <c r="AK211" s="1021" t="n"/>
      <c r="AL211" s="1021" t="n"/>
      <c r="AM211" s="1021" t="n"/>
      <c r="AN211" s="1021" t="n"/>
      <c r="AO211" s="1021" t="n"/>
      <c r="AP211" s="1022" t="n"/>
      <c r="AQ211" s="963" t="n"/>
      <c r="AR211" s="963" t="n"/>
      <c r="AS211" s="963" t="n"/>
      <c r="AT211" s="963" t="n"/>
      <c r="AU211" s="963" t="n"/>
      <c r="AV211" s="963" t="n"/>
      <c r="AW211" s="991" t="n"/>
      <c r="AX211" s="18" t="n"/>
    </row>
    <row r="212" ht="16.4" customHeight="1" s="828">
      <c r="A212" s="722" t="n"/>
      <c r="B212" s="1021" t="n"/>
      <c r="C212" s="1021" t="n"/>
      <c r="D212" s="1021" t="n"/>
      <c r="E212" s="1021" t="n"/>
      <c r="F212" s="1021" t="n"/>
      <c r="G212" s="1021" t="n"/>
      <c r="H212" s="1021" t="n"/>
      <c r="I212" s="1021" t="n"/>
      <c r="J212" s="1021" t="n"/>
      <c r="K212" s="1022" t="n"/>
      <c r="L212" s="963" t="n"/>
      <c r="M212" s="963" t="n"/>
      <c r="N212" s="963" t="n"/>
      <c r="O212" s="963" t="n"/>
      <c r="P212" s="963" t="n"/>
      <c r="Q212" s="963" t="n"/>
      <c r="R212" s="963" t="n"/>
      <c r="S212" s="963" t="n"/>
      <c r="T212" s="963" t="n"/>
      <c r="U212" s="991" t="n"/>
      <c r="V212" s="1021" t="n"/>
      <c r="W212" s="1021" t="n"/>
      <c r="X212" s="1021" t="n"/>
      <c r="Y212" s="1021" t="n"/>
      <c r="Z212" s="1021" t="n"/>
      <c r="AA212" s="989" t="n"/>
      <c r="AB212" s="1022" t="n"/>
      <c r="AC212" s="963" t="n"/>
      <c r="AD212" s="963" t="n"/>
      <c r="AE212" s="963" t="n"/>
      <c r="AF212" s="963" t="n"/>
      <c r="AG212" s="963" t="n"/>
      <c r="AH212" s="963" t="n"/>
      <c r="AI212" s="991" t="n"/>
      <c r="AJ212" s="1021" t="n"/>
      <c r="AK212" s="1021" t="n"/>
      <c r="AL212" s="1021" t="n"/>
      <c r="AM212" s="1021" t="n"/>
      <c r="AN212" s="1021" t="n"/>
      <c r="AO212" s="1021" t="n"/>
      <c r="AP212" s="1022" t="n"/>
      <c r="AQ212" s="963" t="n"/>
      <c r="AR212" s="963" t="n"/>
      <c r="AS212" s="963" t="n"/>
      <c r="AT212" s="963" t="n"/>
      <c r="AU212" s="963" t="n"/>
      <c r="AV212" s="963" t="n"/>
      <c r="AW212" s="991" t="n"/>
      <c r="AX212" s="18" t="n"/>
    </row>
    <row r="213" ht="16.4" customHeight="1" s="828">
      <c r="A213" s="722" t="n"/>
      <c r="B213" s="1021" t="n"/>
      <c r="C213" s="1021" t="n"/>
      <c r="D213" s="1021" t="n"/>
      <c r="E213" s="1021" t="n"/>
      <c r="F213" s="1021" t="n"/>
      <c r="G213" s="1021" t="n"/>
      <c r="H213" s="1021" t="n"/>
      <c r="I213" s="1021" t="n"/>
      <c r="J213" s="1021" t="n"/>
      <c r="K213" s="1022" t="n"/>
      <c r="L213" s="963" t="n"/>
      <c r="M213" s="963" t="n"/>
      <c r="N213" s="963" t="n"/>
      <c r="O213" s="963" t="n"/>
      <c r="P213" s="963" t="n"/>
      <c r="Q213" s="963" t="n"/>
      <c r="R213" s="963" t="n"/>
      <c r="S213" s="963" t="n"/>
      <c r="T213" s="963" t="n"/>
      <c r="U213" s="991" t="n"/>
      <c r="V213" s="1021" t="n"/>
      <c r="W213" s="1021" t="n"/>
      <c r="X213" s="1021" t="n"/>
      <c r="Y213" s="1021" t="n"/>
      <c r="Z213" s="1021" t="n"/>
      <c r="AA213" s="989" t="n"/>
      <c r="AB213" s="1022" t="n"/>
      <c r="AC213" s="963" t="n"/>
      <c r="AD213" s="963" t="n"/>
      <c r="AE213" s="963" t="n"/>
      <c r="AF213" s="963" t="n"/>
      <c r="AG213" s="963" t="n"/>
      <c r="AH213" s="963" t="n"/>
      <c r="AI213" s="991" t="n"/>
      <c r="AJ213" s="1021" t="n"/>
      <c r="AK213" s="1021" t="n"/>
      <c r="AL213" s="1021" t="n"/>
      <c r="AM213" s="1021" t="n"/>
      <c r="AN213" s="1021" t="n"/>
      <c r="AO213" s="1021" t="n"/>
      <c r="AP213" s="1022" t="n"/>
      <c r="AQ213" s="963" t="n"/>
      <c r="AR213" s="963" t="n"/>
      <c r="AS213" s="963" t="n"/>
      <c r="AT213" s="963" t="n"/>
      <c r="AU213" s="963" t="n"/>
      <c r="AV213" s="963" t="n"/>
      <c r="AW213" s="991" t="n"/>
      <c r="AX213" s="18" t="n"/>
    </row>
    <row r="214" ht="16.4" customHeight="1" s="828">
      <c r="A214" s="722" t="n"/>
      <c r="B214" s="1021" t="n"/>
      <c r="C214" s="1021" t="n"/>
      <c r="D214" s="1021" t="n"/>
      <c r="E214" s="1021" t="n"/>
      <c r="F214" s="1021" t="n"/>
      <c r="G214" s="1021" t="n"/>
      <c r="H214" s="1021" t="n"/>
      <c r="I214" s="1021" t="n"/>
      <c r="J214" s="1021" t="n"/>
      <c r="K214" s="1022" t="n"/>
      <c r="L214" s="963" t="n"/>
      <c r="M214" s="963" t="n"/>
      <c r="N214" s="963" t="n"/>
      <c r="O214" s="963" t="n"/>
      <c r="P214" s="963" t="n"/>
      <c r="Q214" s="963" t="n"/>
      <c r="R214" s="963" t="n"/>
      <c r="S214" s="963" t="n"/>
      <c r="T214" s="963" t="n"/>
      <c r="U214" s="991" t="n"/>
      <c r="V214" s="1021" t="n"/>
      <c r="W214" s="1021" t="n"/>
      <c r="X214" s="1021" t="n"/>
      <c r="Y214" s="1021" t="n"/>
      <c r="Z214" s="1021" t="n"/>
      <c r="AA214" s="989" t="n"/>
      <c r="AB214" s="1022" t="n"/>
      <c r="AC214" s="963" t="n"/>
      <c r="AD214" s="963" t="n"/>
      <c r="AE214" s="963" t="n"/>
      <c r="AF214" s="963" t="n"/>
      <c r="AG214" s="963" t="n"/>
      <c r="AH214" s="963" t="n"/>
      <c r="AI214" s="991" t="n"/>
      <c r="AJ214" s="1021" t="n"/>
      <c r="AK214" s="1021" t="n"/>
      <c r="AL214" s="1021" t="n"/>
      <c r="AM214" s="1021" t="n"/>
      <c r="AN214" s="1021" t="n"/>
      <c r="AO214" s="1021" t="n"/>
      <c r="AP214" s="1022" t="n"/>
      <c r="AQ214" s="963" t="n"/>
      <c r="AR214" s="963" t="n"/>
      <c r="AS214" s="963" t="n"/>
      <c r="AT214" s="963" t="n"/>
      <c r="AU214" s="963" t="n"/>
      <c r="AV214" s="963" t="n"/>
      <c r="AW214" s="991" t="n"/>
      <c r="AX214" s="18" t="n"/>
    </row>
    <row r="215" ht="16.4" customHeight="1" s="828">
      <c r="A215" s="722" t="n"/>
      <c r="B215" s="1021" t="n"/>
      <c r="C215" s="1021" t="n"/>
      <c r="D215" s="1021" t="n"/>
      <c r="E215" s="1021" t="n"/>
      <c r="F215" s="1021" t="n"/>
      <c r="G215" s="1021" t="n"/>
      <c r="H215" s="1021" t="n"/>
      <c r="I215" s="1021" t="n"/>
      <c r="J215" s="1021" t="n"/>
      <c r="K215" s="1022" t="n"/>
      <c r="L215" s="963" t="n"/>
      <c r="M215" s="963" t="n"/>
      <c r="N215" s="963" t="n"/>
      <c r="O215" s="963" t="n"/>
      <c r="P215" s="963" t="n"/>
      <c r="Q215" s="963" t="n"/>
      <c r="R215" s="963" t="n"/>
      <c r="S215" s="963" t="n"/>
      <c r="T215" s="963" t="n"/>
      <c r="U215" s="991" t="n"/>
      <c r="V215" s="1021" t="n"/>
      <c r="W215" s="1021" t="n"/>
      <c r="X215" s="1021" t="n"/>
      <c r="Y215" s="1021" t="n"/>
      <c r="Z215" s="1021" t="n"/>
      <c r="AA215" s="989" t="n"/>
      <c r="AB215" s="1022" t="n"/>
      <c r="AC215" s="963" t="n"/>
      <c r="AD215" s="963" t="n"/>
      <c r="AE215" s="963" t="n"/>
      <c r="AF215" s="963" t="n"/>
      <c r="AG215" s="963" t="n"/>
      <c r="AH215" s="963" t="n"/>
      <c r="AI215" s="991" t="n"/>
      <c r="AJ215" s="1021" t="n"/>
      <c r="AK215" s="1021" t="n"/>
      <c r="AL215" s="1021" t="n"/>
      <c r="AM215" s="1021" t="n"/>
      <c r="AN215" s="1021" t="n"/>
      <c r="AO215" s="1021" t="n"/>
      <c r="AP215" s="1022" t="n"/>
      <c r="AQ215" s="963" t="n"/>
      <c r="AR215" s="963" t="n"/>
      <c r="AS215" s="963" t="n"/>
      <c r="AT215" s="963" t="n"/>
      <c r="AU215" s="963" t="n"/>
      <c r="AV215" s="963" t="n"/>
      <c r="AW215" s="991" t="n"/>
      <c r="AX215" s="18" t="n"/>
    </row>
    <row r="216" ht="16.4" customHeight="1" s="828">
      <c r="A216" s="722" t="n"/>
      <c r="B216" s="1021" t="n"/>
      <c r="C216" s="1021" t="n"/>
      <c r="D216" s="1021" t="n"/>
      <c r="E216" s="1021" t="n"/>
      <c r="F216" s="1021" t="n"/>
      <c r="G216" s="1021" t="n"/>
      <c r="H216" s="1021" t="n"/>
      <c r="I216" s="1021" t="n"/>
      <c r="J216" s="1021" t="n"/>
      <c r="K216" s="1022" t="n"/>
      <c r="L216" s="963" t="n"/>
      <c r="M216" s="963" t="n"/>
      <c r="N216" s="963" t="n"/>
      <c r="O216" s="963" t="n"/>
      <c r="P216" s="963" t="n"/>
      <c r="Q216" s="963" t="n"/>
      <c r="R216" s="963" t="n"/>
      <c r="S216" s="963" t="n"/>
      <c r="T216" s="963" t="n"/>
      <c r="U216" s="991" t="n"/>
      <c r="V216" s="1021" t="n"/>
      <c r="W216" s="1021" t="n"/>
      <c r="X216" s="1021" t="n"/>
      <c r="Y216" s="1021" t="n"/>
      <c r="Z216" s="1021" t="n"/>
      <c r="AA216" s="989" t="n"/>
      <c r="AB216" s="1022" t="n"/>
      <c r="AC216" s="963" t="n"/>
      <c r="AD216" s="963" t="n"/>
      <c r="AE216" s="963" t="n"/>
      <c r="AF216" s="963" t="n"/>
      <c r="AG216" s="963" t="n"/>
      <c r="AH216" s="963" t="n"/>
      <c r="AI216" s="991" t="n"/>
      <c r="AJ216" s="1021" t="n"/>
      <c r="AK216" s="1021" t="n"/>
      <c r="AL216" s="1021" t="n"/>
      <c r="AM216" s="1021" t="n"/>
      <c r="AN216" s="1021" t="n"/>
      <c r="AO216" s="1021" t="n"/>
      <c r="AP216" s="1022" t="n"/>
      <c r="AQ216" s="963" t="n"/>
      <c r="AR216" s="963" t="n"/>
      <c r="AS216" s="963" t="n"/>
      <c r="AT216" s="963" t="n"/>
      <c r="AU216" s="963" t="n"/>
      <c r="AV216" s="963" t="n"/>
      <c r="AW216" s="991" t="n"/>
      <c r="AX216" s="18" t="n"/>
    </row>
    <row r="217" ht="16.4" customHeight="1" s="828">
      <c r="A217" s="722" t="n"/>
      <c r="B217" s="1021" t="n"/>
      <c r="C217" s="1021" t="n"/>
      <c r="D217" s="1021" t="n"/>
      <c r="E217" s="1021" t="n"/>
      <c r="F217" s="1021" t="n"/>
      <c r="G217" s="1021" t="n"/>
      <c r="H217" s="1021" t="n"/>
      <c r="I217" s="1021" t="n"/>
      <c r="J217" s="1021" t="n"/>
      <c r="K217" s="1022" t="n"/>
      <c r="L217" s="963" t="n"/>
      <c r="M217" s="963" t="n"/>
      <c r="N217" s="963" t="n"/>
      <c r="O217" s="963" t="n"/>
      <c r="P217" s="963" t="n"/>
      <c r="Q217" s="963" t="n"/>
      <c r="R217" s="963" t="n"/>
      <c r="S217" s="963" t="n"/>
      <c r="T217" s="963" t="n"/>
      <c r="U217" s="991" t="n"/>
      <c r="V217" s="1021" t="n"/>
      <c r="W217" s="1021" t="n"/>
      <c r="X217" s="1021" t="n"/>
      <c r="Y217" s="1021" t="n"/>
      <c r="Z217" s="1021" t="n"/>
      <c r="AA217" s="989" t="n"/>
      <c r="AB217" s="1022" t="n"/>
      <c r="AC217" s="963" t="n"/>
      <c r="AD217" s="963" t="n"/>
      <c r="AE217" s="963" t="n"/>
      <c r="AF217" s="963" t="n"/>
      <c r="AG217" s="963" t="n"/>
      <c r="AH217" s="963" t="n"/>
      <c r="AI217" s="991" t="n"/>
      <c r="AJ217" s="1021" t="n"/>
      <c r="AK217" s="1021" t="n"/>
      <c r="AL217" s="1021" t="n"/>
      <c r="AM217" s="1021" t="n"/>
      <c r="AN217" s="1021" t="n"/>
      <c r="AO217" s="1021" t="n"/>
      <c r="AP217" s="1022" t="n"/>
      <c r="AQ217" s="963" t="n"/>
      <c r="AR217" s="963" t="n"/>
      <c r="AS217" s="963" t="n"/>
      <c r="AT217" s="963" t="n"/>
      <c r="AU217" s="963" t="n"/>
      <c r="AV217" s="963" t="n"/>
      <c r="AW217" s="991" t="n"/>
      <c r="AX217" s="18" t="n"/>
    </row>
    <row r="218" ht="16.4" customHeight="1" s="828">
      <c r="A218" s="722" t="n"/>
      <c r="B218" s="1021" t="n"/>
      <c r="C218" s="1021" t="n"/>
      <c r="D218" s="1021" t="n"/>
      <c r="E218" s="1021" t="n"/>
      <c r="F218" s="1021" t="n"/>
      <c r="G218" s="1021" t="n"/>
      <c r="H218" s="1021" t="n"/>
      <c r="I218" s="1021" t="n"/>
      <c r="J218" s="1021" t="n"/>
      <c r="K218" s="1022" t="n"/>
      <c r="L218" s="963" t="n"/>
      <c r="M218" s="963" t="n"/>
      <c r="N218" s="963" t="n"/>
      <c r="O218" s="963" t="n"/>
      <c r="P218" s="963" t="n"/>
      <c r="Q218" s="963" t="n"/>
      <c r="R218" s="963" t="n"/>
      <c r="S218" s="963" t="n"/>
      <c r="T218" s="963" t="n"/>
      <c r="U218" s="991" t="n"/>
      <c r="V218" s="1021" t="n"/>
      <c r="W218" s="1021" t="n"/>
      <c r="X218" s="1021" t="n"/>
      <c r="Y218" s="1021" t="n"/>
      <c r="Z218" s="1021" t="n"/>
      <c r="AA218" s="989" t="n"/>
      <c r="AB218" s="1022" t="n"/>
      <c r="AC218" s="963" t="n"/>
      <c r="AD218" s="963" t="n"/>
      <c r="AE218" s="963" t="n"/>
      <c r="AF218" s="963" t="n"/>
      <c r="AG218" s="963" t="n"/>
      <c r="AH218" s="963" t="n"/>
      <c r="AI218" s="991" t="n"/>
      <c r="AJ218" s="1021" t="n"/>
      <c r="AK218" s="1021" t="n"/>
      <c r="AL218" s="1021" t="n"/>
      <c r="AM218" s="1021" t="n"/>
      <c r="AN218" s="1021" t="n"/>
      <c r="AO218" s="1021" t="n"/>
      <c r="AP218" s="1022" t="n"/>
      <c r="AQ218" s="963" t="n"/>
      <c r="AR218" s="963" t="n"/>
      <c r="AS218" s="963" t="n"/>
      <c r="AT218" s="963" t="n"/>
      <c r="AU218" s="963" t="n"/>
      <c r="AV218" s="963" t="n"/>
      <c r="AW218" s="991" t="n"/>
      <c r="AX218" s="18" t="n"/>
    </row>
    <row r="219" ht="16.4" customHeight="1" s="828">
      <c r="A219" s="722" t="n"/>
      <c r="B219" s="1021" t="n"/>
      <c r="C219" s="1021" t="n"/>
      <c r="D219" s="1021" t="n"/>
      <c r="E219" s="1021" t="n"/>
      <c r="F219" s="1021" t="n"/>
      <c r="G219" s="1021" t="n"/>
      <c r="H219" s="1021" t="n"/>
      <c r="I219" s="1021" t="n"/>
      <c r="J219" s="1021" t="n"/>
      <c r="K219" s="1022" t="n"/>
      <c r="L219" s="963" t="n"/>
      <c r="M219" s="963" t="n"/>
      <c r="N219" s="963" t="n"/>
      <c r="O219" s="963" t="n"/>
      <c r="P219" s="963" t="n"/>
      <c r="Q219" s="963" t="n"/>
      <c r="R219" s="963" t="n"/>
      <c r="S219" s="963" t="n"/>
      <c r="T219" s="963" t="n"/>
      <c r="U219" s="991" t="n"/>
      <c r="V219" s="1021" t="n"/>
      <c r="W219" s="1021" t="n"/>
      <c r="X219" s="1021" t="n"/>
      <c r="Y219" s="1021" t="n"/>
      <c r="Z219" s="1021" t="n"/>
      <c r="AA219" s="989" t="n"/>
      <c r="AB219" s="1022" t="n"/>
      <c r="AC219" s="963" t="n"/>
      <c r="AD219" s="963" t="n"/>
      <c r="AE219" s="963" t="n"/>
      <c r="AF219" s="963" t="n"/>
      <c r="AG219" s="963" t="n"/>
      <c r="AH219" s="963" t="n"/>
      <c r="AI219" s="991" t="n"/>
      <c r="AJ219" s="1021" t="n"/>
      <c r="AK219" s="1021" t="n"/>
      <c r="AL219" s="1021" t="n"/>
      <c r="AM219" s="1021" t="n"/>
      <c r="AN219" s="1021" t="n"/>
      <c r="AO219" s="1021" t="n"/>
      <c r="AP219" s="1022" t="n"/>
      <c r="AQ219" s="963" t="n"/>
      <c r="AR219" s="963" t="n"/>
      <c r="AS219" s="963" t="n"/>
      <c r="AT219" s="963" t="n"/>
      <c r="AU219" s="963" t="n"/>
      <c r="AV219" s="963" t="n"/>
      <c r="AW219" s="991" t="n"/>
      <c r="AX219" s="18" t="n"/>
    </row>
    <row r="220" ht="16.4" customHeight="1" s="828">
      <c r="A220" s="722" t="n"/>
      <c r="B220" s="1021" t="n"/>
      <c r="C220" s="1021" t="n"/>
      <c r="D220" s="1021" t="n"/>
      <c r="E220" s="1021" t="n"/>
      <c r="F220" s="1021" t="n"/>
      <c r="G220" s="1021" t="n"/>
      <c r="H220" s="1021" t="n"/>
      <c r="I220" s="1021" t="n"/>
      <c r="J220" s="1021" t="n"/>
      <c r="K220" s="1022" t="n"/>
      <c r="L220" s="963" t="n"/>
      <c r="M220" s="963" t="n"/>
      <c r="N220" s="963" t="n"/>
      <c r="O220" s="963" t="n"/>
      <c r="P220" s="963" t="n"/>
      <c r="Q220" s="963" t="n"/>
      <c r="R220" s="963" t="n"/>
      <c r="S220" s="963" t="n"/>
      <c r="T220" s="963" t="n"/>
      <c r="U220" s="991" t="n"/>
      <c r="V220" s="1021" t="n"/>
      <c r="W220" s="1021" t="n"/>
      <c r="X220" s="1021" t="n"/>
      <c r="Y220" s="1021" t="n"/>
      <c r="Z220" s="1021" t="n"/>
      <c r="AA220" s="989" t="n"/>
      <c r="AB220" s="1022" t="n"/>
      <c r="AC220" s="963" t="n"/>
      <c r="AD220" s="963" t="n"/>
      <c r="AE220" s="963" t="n"/>
      <c r="AF220" s="963" t="n"/>
      <c r="AG220" s="963" t="n"/>
      <c r="AH220" s="963" t="n"/>
      <c r="AI220" s="991" t="n"/>
      <c r="AJ220" s="1021" t="n"/>
      <c r="AK220" s="1021" t="n"/>
      <c r="AL220" s="1021" t="n"/>
      <c r="AM220" s="1021" t="n"/>
      <c r="AN220" s="1021" t="n"/>
      <c r="AO220" s="1021" t="n"/>
      <c r="AP220" s="1022" t="n"/>
      <c r="AQ220" s="963" t="n"/>
      <c r="AR220" s="963" t="n"/>
      <c r="AS220" s="963" t="n"/>
      <c r="AT220" s="963" t="n"/>
      <c r="AU220" s="963" t="n"/>
      <c r="AV220" s="963" t="n"/>
      <c r="AW220" s="991" t="n"/>
      <c r="AX220" s="18" t="n"/>
    </row>
    <row r="221" ht="16.4" customHeight="1" s="828">
      <c r="A221" s="722" t="n"/>
      <c r="B221" s="1021" t="n"/>
      <c r="C221" s="1021" t="n"/>
      <c r="D221" s="1021" t="n"/>
      <c r="E221" s="1021" t="n"/>
      <c r="F221" s="1021" t="n"/>
      <c r="G221" s="1021" t="n"/>
      <c r="H221" s="1021" t="n"/>
      <c r="I221" s="1021" t="n"/>
      <c r="J221" s="1021" t="n"/>
      <c r="K221" s="1022" t="n"/>
      <c r="L221" s="963" t="n"/>
      <c r="M221" s="963" t="n"/>
      <c r="N221" s="963" t="n"/>
      <c r="O221" s="963" t="n"/>
      <c r="P221" s="963" t="n"/>
      <c r="Q221" s="963" t="n"/>
      <c r="R221" s="963" t="n"/>
      <c r="S221" s="963" t="n"/>
      <c r="T221" s="963" t="n"/>
      <c r="U221" s="991" t="n"/>
      <c r="V221" s="1021" t="n"/>
      <c r="W221" s="1021" t="n"/>
      <c r="X221" s="1021" t="n"/>
      <c r="Y221" s="1021" t="n"/>
      <c r="Z221" s="1021" t="n"/>
      <c r="AA221" s="989" t="n"/>
      <c r="AB221" s="1022" t="n"/>
      <c r="AC221" s="963" t="n"/>
      <c r="AD221" s="963" t="n"/>
      <c r="AE221" s="963" t="n"/>
      <c r="AF221" s="963" t="n"/>
      <c r="AG221" s="963" t="n"/>
      <c r="AH221" s="963" t="n"/>
      <c r="AI221" s="991" t="n"/>
      <c r="AJ221" s="1021" t="n"/>
      <c r="AK221" s="1021" t="n"/>
      <c r="AL221" s="1021" t="n"/>
      <c r="AM221" s="1021" t="n"/>
      <c r="AN221" s="1021" t="n"/>
      <c r="AO221" s="1021" t="n"/>
      <c r="AP221" s="1022" t="n"/>
      <c r="AQ221" s="963" t="n"/>
      <c r="AR221" s="963" t="n"/>
      <c r="AS221" s="963" t="n"/>
      <c r="AT221" s="963" t="n"/>
      <c r="AU221" s="963" t="n"/>
      <c r="AV221" s="963" t="n"/>
      <c r="AW221" s="991" t="n"/>
      <c r="AX221" s="18" t="n"/>
    </row>
    <row r="222" ht="16.4" customHeight="1" s="828">
      <c r="A222" s="722" t="n"/>
      <c r="B222" s="1021" t="n"/>
      <c r="C222" s="1021" t="n"/>
      <c r="D222" s="1021" t="n"/>
      <c r="E222" s="1021" t="n"/>
      <c r="F222" s="1021" t="n"/>
      <c r="G222" s="1021" t="n"/>
      <c r="H222" s="1021" t="n"/>
      <c r="I222" s="1021" t="n"/>
      <c r="J222" s="1021" t="n"/>
      <c r="K222" s="1022" t="n"/>
      <c r="L222" s="963" t="n"/>
      <c r="M222" s="963" t="n"/>
      <c r="N222" s="963" t="n"/>
      <c r="O222" s="963" t="n"/>
      <c r="P222" s="963" t="n"/>
      <c r="Q222" s="963" t="n"/>
      <c r="R222" s="963" t="n"/>
      <c r="S222" s="963" t="n"/>
      <c r="T222" s="963" t="n"/>
      <c r="U222" s="991" t="n"/>
      <c r="V222" s="1021" t="n"/>
      <c r="W222" s="1021" t="n"/>
      <c r="X222" s="1021" t="n"/>
      <c r="Y222" s="1021" t="n"/>
      <c r="Z222" s="1021" t="n"/>
      <c r="AA222" s="989" t="n"/>
      <c r="AB222" s="1022" t="n"/>
      <c r="AC222" s="963" t="n"/>
      <c r="AD222" s="963" t="n"/>
      <c r="AE222" s="963" t="n"/>
      <c r="AF222" s="963" t="n"/>
      <c r="AG222" s="963" t="n"/>
      <c r="AH222" s="963" t="n"/>
      <c r="AI222" s="991" t="n"/>
      <c r="AJ222" s="1021" t="n"/>
      <c r="AK222" s="1021" t="n"/>
      <c r="AL222" s="1021" t="n"/>
      <c r="AM222" s="1021" t="n"/>
      <c r="AN222" s="1021" t="n"/>
      <c r="AO222" s="1021" t="n"/>
      <c r="AP222" s="1022" t="n"/>
      <c r="AQ222" s="963" t="n"/>
      <c r="AR222" s="963" t="n"/>
      <c r="AS222" s="963" t="n"/>
      <c r="AT222" s="963" t="n"/>
      <c r="AU222" s="963" t="n"/>
      <c r="AV222" s="963" t="n"/>
      <c r="AW222" s="991" t="n"/>
      <c r="AX222" s="18" t="n"/>
    </row>
    <row r="223" ht="16.4" customHeight="1" s="828">
      <c r="A223" s="722" t="n"/>
      <c r="B223" s="1021" t="n"/>
      <c r="C223" s="1021" t="n"/>
      <c r="D223" s="1021" t="n"/>
      <c r="E223" s="1021" t="n"/>
      <c r="F223" s="1021" t="n"/>
      <c r="G223" s="1021" t="n"/>
      <c r="H223" s="1021" t="n"/>
      <c r="I223" s="1021" t="n"/>
      <c r="J223" s="1021" t="n"/>
      <c r="K223" s="1022" t="n"/>
      <c r="L223" s="963" t="n"/>
      <c r="M223" s="963" t="n"/>
      <c r="N223" s="963" t="n"/>
      <c r="O223" s="963" t="n"/>
      <c r="P223" s="963" t="n"/>
      <c r="Q223" s="963" t="n"/>
      <c r="R223" s="963" t="n"/>
      <c r="S223" s="963" t="n"/>
      <c r="T223" s="963" t="n"/>
      <c r="U223" s="991" t="n"/>
      <c r="V223" s="1021" t="n"/>
      <c r="W223" s="1021" t="n"/>
      <c r="X223" s="1021" t="n"/>
      <c r="Y223" s="1021" t="n"/>
      <c r="Z223" s="1021" t="n"/>
      <c r="AA223" s="989" t="n"/>
      <c r="AB223" s="1022" t="n"/>
      <c r="AC223" s="963" t="n"/>
      <c r="AD223" s="963" t="n"/>
      <c r="AE223" s="963" t="n"/>
      <c r="AF223" s="963" t="n"/>
      <c r="AG223" s="963" t="n"/>
      <c r="AH223" s="963" t="n"/>
      <c r="AI223" s="991" t="n"/>
      <c r="AJ223" s="1021" t="n"/>
      <c r="AK223" s="1021" t="n"/>
      <c r="AL223" s="1021" t="n"/>
      <c r="AM223" s="1021" t="n"/>
      <c r="AN223" s="1021" t="n"/>
      <c r="AO223" s="1021" t="n"/>
      <c r="AP223" s="1022" t="n"/>
      <c r="AQ223" s="963" t="n"/>
      <c r="AR223" s="963" t="n"/>
      <c r="AS223" s="963" t="n"/>
      <c r="AT223" s="963" t="n"/>
      <c r="AU223" s="963" t="n"/>
      <c r="AV223" s="963" t="n"/>
      <c r="AW223" s="991" t="n"/>
      <c r="AX223" s="18" t="n"/>
    </row>
    <row r="224" ht="16.4" customHeight="1" s="828">
      <c r="A224" s="722" t="n"/>
      <c r="B224" s="1021" t="n"/>
      <c r="C224" s="1021" t="n"/>
      <c r="D224" s="1021" t="n"/>
      <c r="E224" s="1021" t="n"/>
      <c r="F224" s="1021" t="n"/>
      <c r="G224" s="1021" t="n"/>
      <c r="H224" s="1021" t="n"/>
      <c r="I224" s="1021" t="n"/>
      <c r="J224" s="1021" t="n"/>
      <c r="K224" s="1022" t="n"/>
      <c r="L224" s="963" t="n"/>
      <c r="M224" s="963" t="n"/>
      <c r="N224" s="963" t="n"/>
      <c r="O224" s="963" t="n"/>
      <c r="P224" s="963" t="n"/>
      <c r="Q224" s="963" t="n"/>
      <c r="R224" s="963" t="n"/>
      <c r="S224" s="963" t="n"/>
      <c r="T224" s="963" t="n"/>
      <c r="U224" s="991" t="n"/>
      <c r="V224" s="1021" t="n"/>
      <c r="W224" s="1021" t="n"/>
      <c r="X224" s="1021" t="n"/>
      <c r="Y224" s="1021" t="n"/>
      <c r="Z224" s="1021" t="n"/>
      <c r="AA224" s="989" t="n"/>
      <c r="AB224" s="1022" t="n"/>
      <c r="AC224" s="963" t="n"/>
      <c r="AD224" s="963" t="n"/>
      <c r="AE224" s="963" t="n"/>
      <c r="AF224" s="963" t="n"/>
      <c r="AG224" s="963" t="n"/>
      <c r="AH224" s="963" t="n"/>
      <c r="AI224" s="991" t="n"/>
      <c r="AJ224" s="1021" t="n"/>
      <c r="AK224" s="1021" t="n"/>
      <c r="AL224" s="1021" t="n"/>
      <c r="AM224" s="1021" t="n"/>
      <c r="AN224" s="1021" t="n"/>
      <c r="AO224" s="1021" t="n"/>
      <c r="AP224" s="1022" t="n"/>
      <c r="AQ224" s="963" t="n"/>
      <c r="AR224" s="963" t="n"/>
      <c r="AS224" s="963" t="n"/>
      <c r="AT224" s="963" t="n"/>
      <c r="AU224" s="963" t="n"/>
      <c r="AV224" s="963" t="n"/>
      <c r="AW224" s="991" t="n"/>
      <c r="AX224" s="18" t="n"/>
    </row>
    <row r="225" ht="16.4" customHeight="1" s="828">
      <c r="A225" s="722" t="n"/>
      <c r="B225" s="1021" t="n"/>
      <c r="C225" s="1021" t="n"/>
      <c r="D225" s="1021" t="n"/>
      <c r="E225" s="1021" t="n"/>
      <c r="F225" s="1021" t="n"/>
      <c r="G225" s="1021" t="n"/>
      <c r="H225" s="1021" t="n"/>
      <c r="I225" s="1021" t="n"/>
      <c r="J225" s="1021" t="n"/>
      <c r="K225" s="1022" t="n"/>
      <c r="L225" s="963" t="n"/>
      <c r="M225" s="963" t="n"/>
      <c r="N225" s="963" t="n"/>
      <c r="O225" s="963" t="n"/>
      <c r="P225" s="963" t="n"/>
      <c r="Q225" s="963" t="n"/>
      <c r="R225" s="963" t="n"/>
      <c r="S225" s="963" t="n"/>
      <c r="T225" s="963" t="n"/>
      <c r="U225" s="991" t="n"/>
      <c r="V225" s="1021" t="n"/>
      <c r="W225" s="1021" t="n"/>
      <c r="X225" s="1021" t="n"/>
      <c r="Y225" s="1021" t="n"/>
      <c r="Z225" s="1021" t="n"/>
      <c r="AA225" s="989" t="n"/>
      <c r="AB225" s="1022" t="n"/>
      <c r="AC225" s="963" t="n"/>
      <c r="AD225" s="963" t="n"/>
      <c r="AE225" s="963" t="n"/>
      <c r="AF225" s="963" t="n"/>
      <c r="AG225" s="963" t="n"/>
      <c r="AH225" s="963" t="n"/>
      <c r="AI225" s="991" t="n"/>
      <c r="AJ225" s="1021" t="n"/>
      <c r="AK225" s="1021" t="n"/>
      <c r="AL225" s="1021" t="n"/>
      <c r="AM225" s="1021" t="n"/>
      <c r="AN225" s="1021" t="n"/>
      <c r="AO225" s="1021" t="n"/>
      <c r="AP225" s="1022" t="n"/>
      <c r="AQ225" s="963" t="n"/>
      <c r="AR225" s="963" t="n"/>
      <c r="AS225" s="963" t="n"/>
      <c r="AT225" s="963" t="n"/>
      <c r="AU225" s="963" t="n"/>
      <c r="AV225" s="963" t="n"/>
      <c r="AW225" s="991" t="n"/>
      <c r="AX225" s="18" t="n"/>
    </row>
    <row r="226" ht="16.4" customHeight="1" s="828">
      <c r="A226" s="722" t="n"/>
      <c r="B226" s="1021" t="n"/>
      <c r="C226" s="1021" t="n"/>
      <c r="D226" s="1021" t="n"/>
      <c r="E226" s="1021" t="n"/>
      <c r="F226" s="1021" t="n"/>
      <c r="G226" s="1021" t="n"/>
      <c r="H226" s="1021" t="n"/>
      <c r="I226" s="1021" t="n"/>
      <c r="J226" s="1021" t="n"/>
      <c r="K226" s="1022" t="n"/>
      <c r="L226" s="963" t="n"/>
      <c r="M226" s="963" t="n"/>
      <c r="N226" s="963" t="n"/>
      <c r="O226" s="963" t="n"/>
      <c r="P226" s="963" t="n"/>
      <c r="Q226" s="963" t="n"/>
      <c r="R226" s="963" t="n"/>
      <c r="S226" s="963" t="n"/>
      <c r="T226" s="963" t="n"/>
      <c r="U226" s="991" t="n"/>
      <c r="V226" s="1021" t="n"/>
      <c r="W226" s="1021" t="n"/>
      <c r="X226" s="1021" t="n"/>
      <c r="Y226" s="1021" t="n"/>
      <c r="Z226" s="1021" t="n"/>
      <c r="AA226" s="989" t="n"/>
      <c r="AB226" s="1022" t="n"/>
      <c r="AC226" s="963" t="n"/>
      <c r="AD226" s="963" t="n"/>
      <c r="AE226" s="963" t="n"/>
      <c r="AF226" s="963" t="n"/>
      <c r="AG226" s="963" t="n"/>
      <c r="AH226" s="963" t="n"/>
      <c r="AI226" s="991" t="n"/>
      <c r="AJ226" s="1021" t="n"/>
      <c r="AK226" s="1021" t="n"/>
      <c r="AL226" s="1021" t="n"/>
      <c r="AM226" s="1021" t="n"/>
      <c r="AN226" s="1021" t="n"/>
      <c r="AO226" s="1021" t="n"/>
      <c r="AP226" s="1022" t="n"/>
      <c r="AQ226" s="963" t="n"/>
      <c r="AR226" s="963" t="n"/>
      <c r="AS226" s="963" t="n"/>
      <c r="AT226" s="963" t="n"/>
      <c r="AU226" s="963" t="n"/>
      <c r="AV226" s="963" t="n"/>
      <c r="AW226" s="991" t="n"/>
      <c r="AX226" s="18" t="n"/>
    </row>
    <row r="227" ht="16.4" customHeight="1" s="828">
      <c r="A227" s="722" t="n"/>
      <c r="B227" s="1021" t="n"/>
      <c r="C227" s="1021" t="n"/>
      <c r="D227" s="1021" t="n"/>
      <c r="E227" s="1021" t="n"/>
      <c r="F227" s="1021" t="n"/>
      <c r="G227" s="1021" t="n"/>
      <c r="H227" s="1021" t="n"/>
      <c r="I227" s="1021" t="n"/>
      <c r="J227" s="1021" t="n"/>
      <c r="K227" s="1022" t="n"/>
      <c r="L227" s="963" t="n"/>
      <c r="M227" s="963" t="n"/>
      <c r="N227" s="963" t="n"/>
      <c r="O227" s="963" t="n"/>
      <c r="P227" s="963" t="n"/>
      <c r="Q227" s="963" t="n"/>
      <c r="R227" s="963" t="n"/>
      <c r="S227" s="963" t="n"/>
      <c r="T227" s="963" t="n"/>
      <c r="U227" s="991" t="n"/>
      <c r="V227" s="1021" t="n"/>
      <c r="W227" s="1021" t="n"/>
      <c r="X227" s="1021" t="n"/>
      <c r="Y227" s="1021" t="n"/>
      <c r="Z227" s="1021" t="n"/>
      <c r="AA227" s="989" t="n"/>
      <c r="AB227" s="1022" t="n"/>
      <c r="AC227" s="963" t="n"/>
      <c r="AD227" s="963" t="n"/>
      <c r="AE227" s="963" t="n"/>
      <c r="AF227" s="963" t="n"/>
      <c r="AG227" s="963" t="n"/>
      <c r="AH227" s="963" t="n"/>
      <c r="AI227" s="991" t="n"/>
      <c r="AJ227" s="1021" t="n"/>
      <c r="AK227" s="1021" t="n"/>
      <c r="AL227" s="1021" t="n"/>
      <c r="AM227" s="1021" t="n"/>
      <c r="AN227" s="1021" t="n"/>
      <c r="AO227" s="1021" t="n"/>
      <c r="AP227" s="1022" t="n"/>
      <c r="AQ227" s="963" t="n"/>
      <c r="AR227" s="963" t="n"/>
      <c r="AS227" s="963" t="n"/>
      <c r="AT227" s="963" t="n"/>
      <c r="AU227" s="963" t="n"/>
      <c r="AV227" s="963" t="n"/>
      <c r="AW227" s="991" t="n"/>
      <c r="AX227" s="18" t="n"/>
    </row>
    <row r="228" ht="16.4" customHeight="1" s="828">
      <c r="A228" s="722" t="n"/>
      <c r="B228" s="1021" t="n"/>
      <c r="C228" s="1021" t="n"/>
      <c r="D228" s="1021" t="n"/>
      <c r="E228" s="1021" t="n"/>
      <c r="F228" s="1021" t="n"/>
      <c r="G228" s="1021" t="n"/>
      <c r="H228" s="1021" t="n"/>
      <c r="I228" s="1021" t="n"/>
      <c r="J228" s="1021" t="n"/>
      <c r="K228" s="1022" t="n"/>
      <c r="L228" s="963" t="n"/>
      <c r="M228" s="963" t="n"/>
      <c r="N228" s="963" t="n"/>
      <c r="O228" s="963" t="n"/>
      <c r="P228" s="963" t="n"/>
      <c r="Q228" s="963" t="n"/>
      <c r="R228" s="963" t="n"/>
      <c r="S228" s="963" t="n"/>
      <c r="T228" s="963" t="n"/>
      <c r="U228" s="991" t="n"/>
      <c r="V228" s="1021" t="n"/>
      <c r="W228" s="1021" t="n"/>
      <c r="X228" s="1021" t="n"/>
      <c r="Y228" s="1021" t="n"/>
      <c r="Z228" s="1021" t="n"/>
      <c r="AA228" s="989" t="n"/>
      <c r="AB228" s="1022" t="n"/>
      <c r="AC228" s="963" t="n"/>
      <c r="AD228" s="963" t="n"/>
      <c r="AE228" s="963" t="n"/>
      <c r="AF228" s="963" t="n"/>
      <c r="AG228" s="963" t="n"/>
      <c r="AH228" s="963" t="n"/>
      <c r="AI228" s="991" t="n"/>
      <c r="AJ228" s="1021" t="n"/>
      <c r="AK228" s="1021" t="n"/>
      <c r="AL228" s="1021" t="n"/>
      <c r="AM228" s="1021" t="n"/>
      <c r="AN228" s="1021" t="n"/>
      <c r="AO228" s="1021" t="n"/>
      <c r="AP228" s="1022" t="n"/>
      <c r="AQ228" s="963" t="n"/>
      <c r="AR228" s="963" t="n"/>
      <c r="AS228" s="963" t="n"/>
      <c r="AT228" s="963" t="n"/>
      <c r="AU228" s="963" t="n"/>
      <c r="AV228" s="963" t="n"/>
      <c r="AW228" s="991" t="n"/>
      <c r="AX228" s="18" t="n"/>
    </row>
    <row r="229" ht="16.4" customHeight="1" s="828">
      <c r="A229" s="722" t="n"/>
      <c r="B229" s="1021" t="n"/>
      <c r="C229" s="1021" t="n"/>
      <c r="D229" s="1021" t="n"/>
      <c r="E229" s="1021" t="n"/>
      <c r="F229" s="1021" t="n"/>
      <c r="G229" s="1021" t="n"/>
      <c r="H229" s="1021" t="n"/>
      <c r="I229" s="1021" t="n"/>
      <c r="J229" s="1021" t="n"/>
      <c r="K229" s="1022" t="n"/>
      <c r="L229" s="963" t="n"/>
      <c r="M229" s="963" t="n"/>
      <c r="N229" s="963" t="n"/>
      <c r="O229" s="963" t="n"/>
      <c r="P229" s="963" t="n"/>
      <c r="Q229" s="963" t="n"/>
      <c r="R229" s="963" t="n"/>
      <c r="S229" s="963" t="n"/>
      <c r="T229" s="963" t="n"/>
      <c r="U229" s="991" t="n"/>
      <c r="V229" s="1021" t="n"/>
      <c r="W229" s="1021" t="n"/>
      <c r="X229" s="1021" t="n"/>
      <c r="Y229" s="1021" t="n"/>
      <c r="Z229" s="1021" t="n"/>
      <c r="AA229" s="989" t="n"/>
      <c r="AB229" s="1022" t="n"/>
      <c r="AC229" s="963" t="n"/>
      <c r="AD229" s="963" t="n"/>
      <c r="AE229" s="963" t="n"/>
      <c r="AF229" s="963" t="n"/>
      <c r="AG229" s="963" t="n"/>
      <c r="AH229" s="963" t="n"/>
      <c r="AI229" s="991" t="n"/>
      <c r="AJ229" s="1021" t="n"/>
      <c r="AK229" s="1021" t="n"/>
      <c r="AL229" s="1021" t="n"/>
      <c r="AM229" s="1021" t="n"/>
      <c r="AN229" s="1021" t="n"/>
      <c r="AO229" s="1021" t="n"/>
      <c r="AP229" s="1022" t="n"/>
      <c r="AQ229" s="963" t="n"/>
      <c r="AR229" s="963" t="n"/>
      <c r="AS229" s="963" t="n"/>
      <c r="AT229" s="963" t="n"/>
      <c r="AU229" s="963" t="n"/>
      <c r="AV229" s="963" t="n"/>
      <c r="AW229" s="991" t="n"/>
      <c r="AX229" s="18" t="n"/>
    </row>
    <row r="230" ht="16.4" customHeight="1" s="828">
      <c r="A230" s="722" t="n"/>
      <c r="B230" s="1021" t="n"/>
      <c r="C230" s="1021" t="n"/>
      <c r="D230" s="1021" t="n"/>
      <c r="E230" s="1021" t="n"/>
      <c r="F230" s="1021" t="n"/>
      <c r="G230" s="1021" t="n"/>
      <c r="H230" s="1021" t="n"/>
      <c r="I230" s="1021" t="n"/>
      <c r="J230" s="1021" t="n"/>
      <c r="K230" s="1022" t="n"/>
      <c r="L230" s="963" t="n"/>
      <c r="M230" s="963" t="n"/>
      <c r="N230" s="963" t="n"/>
      <c r="O230" s="963" t="n"/>
      <c r="P230" s="963" t="n"/>
      <c r="Q230" s="963" t="n"/>
      <c r="R230" s="963" t="n"/>
      <c r="S230" s="963" t="n"/>
      <c r="T230" s="963" t="n"/>
      <c r="U230" s="991" t="n"/>
      <c r="V230" s="1021" t="n"/>
      <c r="W230" s="1021" t="n"/>
      <c r="X230" s="1021" t="n"/>
      <c r="Y230" s="1021" t="n"/>
      <c r="Z230" s="1021" t="n"/>
      <c r="AA230" s="989" t="n"/>
      <c r="AB230" s="1022" t="n"/>
      <c r="AC230" s="963" t="n"/>
      <c r="AD230" s="963" t="n"/>
      <c r="AE230" s="963" t="n"/>
      <c r="AF230" s="963" t="n"/>
      <c r="AG230" s="963" t="n"/>
      <c r="AH230" s="963" t="n"/>
      <c r="AI230" s="991" t="n"/>
      <c r="AJ230" s="1021" t="n"/>
      <c r="AK230" s="1021" t="n"/>
      <c r="AL230" s="1021" t="n"/>
      <c r="AM230" s="1021" t="n"/>
      <c r="AN230" s="1021" t="n"/>
      <c r="AO230" s="1021" t="n"/>
      <c r="AP230" s="1022" t="n"/>
      <c r="AQ230" s="963" t="n"/>
      <c r="AR230" s="963" t="n"/>
      <c r="AS230" s="963" t="n"/>
      <c r="AT230" s="963" t="n"/>
      <c r="AU230" s="963" t="n"/>
      <c r="AV230" s="963" t="n"/>
      <c r="AW230" s="991" t="n"/>
      <c r="AX230" s="18" t="n"/>
    </row>
    <row r="231" ht="16.4" customHeight="1" s="828">
      <c r="A231" s="722" t="n"/>
      <c r="B231" s="1021" t="n"/>
      <c r="C231" s="1021" t="n"/>
      <c r="D231" s="1021" t="n"/>
      <c r="E231" s="1021" t="n"/>
      <c r="F231" s="1021" t="n"/>
      <c r="G231" s="1021" t="n"/>
      <c r="H231" s="1021" t="n"/>
      <c r="I231" s="1021" t="n"/>
      <c r="J231" s="1021" t="n"/>
      <c r="K231" s="1022" t="n"/>
      <c r="L231" s="963" t="n"/>
      <c r="M231" s="963" t="n"/>
      <c r="N231" s="963" t="n"/>
      <c r="O231" s="963" t="n"/>
      <c r="P231" s="963" t="n"/>
      <c r="Q231" s="963" t="n"/>
      <c r="R231" s="963" t="n"/>
      <c r="S231" s="963" t="n"/>
      <c r="T231" s="963" t="n"/>
      <c r="U231" s="991" t="n"/>
      <c r="V231" s="1021" t="n"/>
      <c r="W231" s="1021" t="n"/>
      <c r="X231" s="1021" t="n"/>
      <c r="Y231" s="1021" t="n"/>
      <c r="Z231" s="1021" t="n"/>
      <c r="AA231" s="989" t="n"/>
      <c r="AB231" s="1022" t="n"/>
      <c r="AC231" s="963" t="n"/>
      <c r="AD231" s="963" t="n"/>
      <c r="AE231" s="963" t="n"/>
      <c r="AF231" s="963" t="n"/>
      <c r="AG231" s="963" t="n"/>
      <c r="AH231" s="963" t="n"/>
      <c r="AI231" s="991" t="n"/>
      <c r="AJ231" s="1021" t="n"/>
      <c r="AK231" s="1021" t="n"/>
      <c r="AL231" s="1021" t="n"/>
      <c r="AM231" s="1021" t="n"/>
      <c r="AN231" s="1021" t="n"/>
      <c r="AO231" s="1021" t="n"/>
      <c r="AP231" s="1022" t="n"/>
      <c r="AQ231" s="963" t="n"/>
      <c r="AR231" s="963" t="n"/>
      <c r="AS231" s="963" t="n"/>
      <c r="AT231" s="963" t="n"/>
      <c r="AU231" s="963" t="n"/>
      <c r="AV231" s="963" t="n"/>
      <c r="AW231" s="991" t="n"/>
      <c r="AX231" s="18" t="n"/>
    </row>
    <row r="232" ht="16.4" customHeight="1" s="828">
      <c r="A232" s="722" t="n"/>
      <c r="B232" s="1021" t="n"/>
      <c r="C232" s="1021" t="n"/>
      <c r="D232" s="1021" t="n"/>
      <c r="E232" s="1021" t="n"/>
      <c r="F232" s="1021" t="n"/>
      <c r="G232" s="1021" t="n"/>
      <c r="H232" s="1021" t="n"/>
      <c r="I232" s="1021" t="n"/>
      <c r="J232" s="1021" t="n"/>
      <c r="K232" s="1022" t="n"/>
      <c r="L232" s="963" t="n"/>
      <c r="M232" s="963" t="n"/>
      <c r="N232" s="963" t="n"/>
      <c r="O232" s="963" t="n"/>
      <c r="P232" s="963" t="n"/>
      <c r="Q232" s="963" t="n"/>
      <c r="R232" s="963" t="n"/>
      <c r="S232" s="963" t="n"/>
      <c r="T232" s="963" t="n"/>
      <c r="U232" s="991" t="n"/>
      <c r="V232" s="1021" t="n"/>
      <c r="W232" s="1021" t="n"/>
      <c r="X232" s="1021" t="n"/>
      <c r="Y232" s="1021" t="n"/>
      <c r="Z232" s="1021" t="n"/>
      <c r="AA232" s="989" t="n"/>
      <c r="AB232" s="1022" t="n"/>
      <c r="AC232" s="963" t="n"/>
      <c r="AD232" s="963" t="n"/>
      <c r="AE232" s="963" t="n"/>
      <c r="AF232" s="963" t="n"/>
      <c r="AG232" s="963" t="n"/>
      <c r="AH232" s="963" t="n"/>
      <c r="AI232" s="991" t="n"/>
      <c r="AJ232" s="1021" t="n"/>
      <c r="AK232" s="1021" t="n"/>
      <c r="AL232" s="1021" t="n"/>
      <c r="AM232" s="1021" t="n"/>
      <c r="AN232" s="1021" t="n"/>
      <c r="AO232" s="1021" t="n"/>
      <c r="AP232" s="1022" t="n"/>
      <c r="AQ232" s="963" t="n"/>
      <c r="AR232" s="963" t="n"/>
      <c r="AS232" s="963" t="n"/>
      <c r="AT232" s="963" t="n"/>
      <c r="AU232" s="963" t="n"/>
      <c r="AV232" s="963" t="n"/>
      <c r="AW232" s="991" t="n"/>
      <c r="AX232" s="18" t="n"/>
    </row>
    <row r="233" ht="16.4" customHeight="1" s="828">
      <c r="A233" s="722" t="n"/>
      <c r="B233" s="1021" t="n"/>
      <c r="C233" s="1021" t="n"/>
      <c r="D233" s="1021" t="n"/>
      <c r="E233" s="1021" t="n"/>
      <c r="F233" s="1021" t="n"/>
      <c r="G233" s="1021" t="n"/>
      <c r="H233" s="1021" t="n"/>
      <c r="I233" s="1021" t="n"/>
      <c r="J233" s="1021" t="n"/>
      <c r="K233" s="1022" t="n"/>
      <c r="L233" s="963" t="n"/>
      <c r="M233" s="963" t="n"/>
      <c r="N233" s="963" t="n"/>
      <c r="O233" s="963" t="n"/>
      <c r="P233" s="963" t="n"/>
      <c r="Q233" s="963" t="n"/>
      <c r="R233" s="963" t="n"/>
      <c r="S233" s="963" t="n"/>
      <c r="T233" s="963" t="n"/>
      <c r="U233" s="991" t="n"/>
      <c r="V233" s="1021" t="n"/>
      <c r="W233" s="1021" t="n"/>
      <c r="X233" s="1021" t="n"/>
      <c r="Y233" s="1021" t="n"/>
      <c r="Z233" s="1021" t="n"/>
      <c r="AA233" s="989" t="n"/>
      <c r="AB233" s="1022" t="n"/>
      <c r="AC233" s="963" t="n"/>
      <c r="AD233" s="963" t="n"/>
      <c r="AE233" s="963" t="n"/>
      <c r="AF233" s="963" t="n"/>
      <c r="AG233" s="963" t="n"/>
      <c r="AH233" s="963" t="n"/>
      <c r="AI233" s="991" t="n"/>
      <c r="AJ233" s="1021" t="n"/>
      <c r="AK233" s="1021" t="n"/>
      <c r="AL233" s="1021" t="n"/>
      <c r="AM233" s="1021" t="n"/>
      <c r="AN233" s="1021" t="n"/>
      <c r="AO233" s="1021" t="n"/>
      <c r="AP233" s="1022" t="n"/>
      <c r="AQ233" s="963" t="n"/>
      <c r="AR233" s="963" t="n"/>
      <c r="AS233" s="963" t="n"/>
      <c r="AT233" s="963" t="n"/>
      <c r="AU233" s="963" t="n"/>
      <c r="AV233" s="963" t="n"/>
      <c r="AW233" s="991" t="n"/>
      <c r="AX233" s="18" t="n"/>
    </row>
    <row r="234" ht="16.4" customHeight="1" s="828">
      <c r="A234" s="722" t="n"/>
      <c r="B234" s="1021" t="n"/>
      <c r="C234" s="1021" t="n"/>
      <c r="D234" s="1021" t="n"/>
      <c r="E234" s="1021" t="n"/>
      <c r="F234" s="1021" t="n"/>
      <c r="G234" s="1021" t="n"/>
      <c r="H234" s="1021" t="n"/>
      <c r="I234" s="1021" t="n"/>
      <c r="J234" s="1021" t="n"/>
      <c r="K234" s="1022" t="n"/>
      <c r="L234" s="963" t="n"/>
      <c r="M234" s="963" t="n"/>
      <c r="N234" s="963" t="n"/>
      <c r="O234" s="963" t="n"/>
      <c r="P234" s="963" t="n"/>
      <c r="Q234" s="963" t="n"/>
      <c r="R234" s="963" t="n"/>
      <c r="S234" s="963" t="n"/>
      <c r="T234" s="963" t="n"/>
      <c r="U234" s="991" t="n"/>
      <c r="V234" s="1021" t="n"/>
      <c r="W234" s="1021" t="n"/>
      <c r="X234" s="1021" t="n"/>
      <c r="Y234" s="1021" t="n"/>
      <c r="Z234" s="1021" t="n"/>
      <c r="AA234" s="989" t="n"/>
      <c r="AB234" s="1022" t="n"/>
      <c r="AC234" s="963" t="n"/>
      <c r="AD234" s="963" t="n"/>
      <c r="AE234" s="963" t="n"/>
      <c r="AF234" s="963" t="n"/>
      <c r="AG234" s="963" t="n"/>
      <c r="AH234" s="963" t="n"/>
      <c r="AI234" s="991" t="n"/>
      <c r="AJ234" s="1021" t="n"/>
      <c r="AK234" s="1021" t="n"/>
      <c r="AL234" s="1021" t="n"/>
      <c r="AM234" s="1021" t="n"/>
      <c r="AN234" s="1021" t="n"/>
      <c r="AO234" s="1021" t="n"/>
      <c r="AP234" s="1022" t="n"/>
      <c r="AQ234" s="963" t="n"/>
      <c r="AR234" s="963" t="n"/>
      <c r="AS234" s="963" t="n"/>
      <c r="AT234" s="963" t="n"/>
      <c r="AU234" s="963" t="n"/>
      <c r="AV234" s="963" t="n"/>
      <c r="AW234" s="991" t="n"/>
      <c r="AX234" s="18" t="n"/>
    </row>
    <row r="235" ht="16.4" customHeight="1" s="828">
      <c r="A235" s="722" t="n"/>
      <c r="B235" s="1021" t="n"/>
      <c r="C235" s="1021" t="n"/>
      <c r="D235" s="1021" t="n"/>
      <c r="E235" s="1021" t="n"/>
      <c r="F235" s="1021" t="n"/>
      <c r="G235" s="1021" t="n"/>
      <c r="H235" s="1021" t="n"/>
      <c r="I235" s="1021" t="n"/>
      <c r="J235" s="1021" t="n"/>
      <c r="K235" s="1022" t="n"/>
      <c r="L235" s="963" t="n"/>
      <c r="M235" s="963" t="n"/>
      <c r="N235" s="963" t="n"/>
      <c r="O235" s="963" t="n"/>
      <c r="P235" s="963" t="n"/>
      <c r="Q235" s="963" t="n"/>
      <c r="R235" s="963" t="n"/>
      <c r="S235" s="963" t="n"/>
      <c r="T235" s="963" t="n"/>
      <c r="U235" s="991" t="n"/>
      <c r="V235" s="1021" t="n"/>
      <c r="W235" s="1021" t="n"/>
      <c r="X235" s="1021" t="n"/>
      <c r="Y235" s="1021" t="n"/>
      <c r="Z235" s="1021" t="n"/>
      <c r="AA235" s="989" t="n"/>
      <c r="AB235" s="1022" t="n"/>
      <c r="AC235" s="963" t="n"/>
      <c r="AD235" s="963" t="n"/>
      <c r="AE235" s="963" t="n"/>
      <c r="AF235" s="963" t="n"/>
      <c r="AG235" s="963" t="n"/>
      <c r="AH235" s="963" t="n"/>
      <c r="AI235" s="991" t="n"/>
      <c r="AJ235" s="1021" t="n"/>
      <c r="AK235" s="1021" t="n"/>
      <c r="AL235" s="1021" t="n"/>
      <c r="AM235" s="1021" t="n"/>
      <c r="AN235" s="1021" t="n"/>
      <c r="AO235" s="1021" t="n"/>
      <c r="AP235" s="1022" t="n"/>
      <c r="AQ235" s="963" t="n"/>
      <c r="AR235" s="963" t="n"/>
      <c r="AS235" s="963" t="n"/>
      <c r="AT235" s="963" t="n"/>
      <c r="AU235" s="963" t="n"/>
      <c r="AV235" s="963" t="n"/>
      <c r="AW235" s="991" t="n"/>
      <c r="AX235" s="18" t="n"/>
    </row>
    <row r="236" ht="16.4" customHeight="1" s="828">
      <c r="A236" s="722" t="n"/>
      <c r="B236" s="1021" t="n"/>
      <c r="C236" s="1021" t="n"/>
      <c r="D236" s="1021" t="n"/>
      <c r="E236" s="1021" t="n"/>
      <c r="F236" s="1021" t="n"/>
      <c r="G236" s="1021" t="n"/>
      <c r="H236" s="1021" t="n"/>
      <c r="I236" s="1021" t="n"/>
      <c r="J236" s="1021" t="n"/>
      <c r="K236" s="1022" t="n"/>
      <c r="L236" s="963" t="n"/>
      <c r="M236" s="963" t="n"/>
      <c r="N236" s="963" t="n"/>
      <c r="O236" s="963" t="n"/>
      <c r="P236" s="963" t="n"/>
      <c r="Q236" s="963" t="n"/>
      <c r="R236" s="963" t="n"/>
      <c r="S236" s="963" t="n"/>
      <c r="T236" s="963" t="n"/>
      <c r="U236" s="991" t="n"/>
      <c r="V236" s="1021" t="n"/>
      <c r="W236" s="1021" t="n"/>
      <c r="X236" s="1021" t="n"/>
      <c r="Y236" s="1021" t="n"/>
      <c r="Z236" s="1021" t="n"/>
      <c r="AA236" s="989" t="n"/>
      <c r="AB236" s="1022" t="n"/>
      <c r="AC236" s="963" t="n"/>
      <c r="AD236" s="963" t="n"/>
      <c r="AE236" s="963" t="n"/>
      <c r="AF236" s="963" t="n"/>
      <c r="AG236" s="963" t="n"/>
      <c r="AH236" s="963" t="n"/>
      <c r="AI236" s="991" t="n"/>
      <c r="AJ236" s="1021" t="n"/>
      <c r="AK236" s="1021" t="n"/>
      <c r="AL236" s="1021" t="n"/>
      <c r="AM236" s="1021" t="n"/>
      <c r="AN236" s="1021" t="n"/>
      <c r="AO236" s="1021" t="n"/>
      <c r="AP236" s="1022" t="n"/>
      <c r="AQ236" s="963" t="n"/>
      <c r="AR236" s="963" t="n"/>
      <c r="AS236" s="963" t="n"/>
      <c r="AT236" s="963" t="n"/>
      <c r="AU236" s="963" t="n"/>
      <c r="AV236" s="963" t="n"/>
      <c r="AW236" s="991" t="n"/>
      <c r="AX236" s="18" t="n"/>
    </row>
    <row r="237" ht="16.4" customHeight="1" s="828">
      <c r="A237" s="722" t="n"/>
      <c r="B237" s="1021" t="n"/>
      <c r="C237" s="1021" t="n"/>
      <c r="D237" s="1021" t="n"/>
      <c r="E237" s="1021" t="n"/>
      <c r="F237" s="1021" t="n"/>
      <c r="G237" s="1021" t="n"/>
      <c r="H237" s="1021" t="n"/>
      <c r="I237" s="1021" t="n"/>
      <c r="J237" s="1021" t="n"/>
      <c r="K237" s="1022" t="n"/>
      <c r="L237" s="963" t="n"/>
      <c r="M237" s="963" t="n"/>
      <c r="N237" s="963" t="n"/>
      <c r="O237" s="963" t="n"/>
      <c r="P237" s="963" t="n"/>
      <c r="Q237" s="963" t="n"/>
      <c r="R237" s="963" t="n"/>
      <c r="S237" s="963" t="n"/>
      <c r="T237" s="963" t="n"/>
      <c r="U237" s="991" t="n"/>
      <c r="V237" s="1021" t="n"/>
      <c r="W237" s="1021" t="n"/>
      <c r="X237" s="1021" t="n"/>
      <c r="Y237" s="1021" t="n"/>
      <c r="Z237" s="1021" t="n"/>
      <c r="AA237" s="989" t="n"/>
      <c r="AB237" s="1022" t="n"/>
      <c r="AC237" s="963" t="n"/>
      <c r="AD237" s="963" t="n"/>
      <c r="AE237" s="963" t="n"/>
      <c r="AF237" s="963" t="n"/>
      <c r="AG237" s="963" t="n"/>
      <c r="AH237" s="963" t="n"/>
      <c r="AI237" s="991" t="n"/>
      <c r="AJ237" s="1021" t="n"/>
      <c r="AK237" s="1021" t="n"/>
      <c r="AL237" s="1021" t="n"/>
      <c r="AM237" s="1021" t="n"/>
      <c r="AN237" s="1021" t="n"/>
      <c r="AO237" s="1021" t="n"/>
      <c r="AP237" s="1022" t="n"/>
      <c r="AQ237" s="963" t="n"/>
      <c r="AR237" s="963" t="n"/>
      <c r="AS237" s="963" t="n"/>
      <c r="AT237" s="963" t="n"/>
      <c r="AU237" s="963" t="n"/>
      <c r="AV237" s="963" t="n"/>
      <c r="AW237" s="991" t="n"/>
      <c r="AX237" s="18" t="n"/>
    </row>
    <row r="238" ht="16.4" customHeight="1" s="828">
      <c r="A238" s="722" t="n"/>
      <c r="B238" s="1021" t="n"/>
      <c r="C238" s="1021" t="n"/>
      <c r="D238" s="1021" t="n"/>
      <c r="E238" s="1021" t="n"/>
      <c r="F238" s="1021" t="n"/>
      <c r="G238" s="1021" t="n"/>
      <c r="H238" s="1021" t="n"/>
      <c r="I238" s="1021" t="n"/>
      <c r="J238" s="1021" t="n"/>
      <c r="K238" s="1022" t="n"/>
      <c r="L238" s="963" t="n"/>
      <c r="M238" s="963" t="n"/>
      <c r="N238" s="963" t="n"/>
      <c r="O238" s="963" t="n"/>
      <c r="P238" s="963" t="n"/>
      <c r="Q238" s="963" t="n"/>
      <c r="R238" s="963" t="n"/>
      <c r="S238" s="963" t="n"/>
      <c r="T238" s="963" t="n"/>
      <c r="U238" s="991" t="n"/>
      <c r="V238" s="1021" t="n"/>
      <c r="W238" s="1021" t="n"/>
      <c r="X238" s="1021" t="n"/>
      <c r="Y238" s="1021" t="n"/>
      <c r="Z238" s="1021" t="n"/>
      <c r="AA238" s="989" t="n"/>
      <c r="AB238" s="1022" t="n"/>
      <c r="AC238" s="963" t="n"/>
      <c r="AD238" s="963" t="n"/>
      <c r="AE238" s="963" t="n"/>
      <c r="AF238" s="963" t="n"/>
      <c r="AG238" s="963" t="n"/>
      <c r="AH238" s="963" t="n"/>
      <c r="AI238" s="991" t="n"/>
      <c r="AJ238" s="1021" t="n"/>
      <c r="AK238" s="1021" t="n"/>
      <c r="AL238" s="1021" t="n"/>
      <c r="AM238" s="1021" t="n"/>
      <c r="AN238" s="1021" t="n"/>
      <c r="AO238" s="1021" t="n"/>
      <c r="AP238" s="1022" t="n"/>
      <c r="AQ238" s="963" t="n"/>
      <c r="AR238" s="963" t="n"/>
      <c r="AS238" s="963" t="n"/>
      <c r="AT238" s="963" t="n"/>
      <c r="AU238" s="963" t="n"/>
      <c r="AV238" s="963" t="n"/>
      <c r="AW238" s="991" t="n"/>
      <c r="AX238" s="18" t="n"/>
    </row>
    <row r="239" ht="16.4" customHeight="1" s="828">
      <c r="A239" s="722" t="n"/>
      <c r="B239" s="1021" t="n"/>
      <c r="C239" s="1021" t="n"/>
      <c r="D239" s="1021" t="n"/>
      <c r="E239" s="1021" t="n"/>
      <c r="F239" s="1021" t="n"/>
      <c r="G239" s="1021" t="n"/>
      <c r="H239" s="1021" t="n"/>
      <c r="I239" s="1021" t="n"/>
      <c r="J239" s="1021" t="n"/>
      <c r="K239" s="1022" t="n"/>
      <c r="L239" s="963" t="n"/>
      <c r="M239" s="963" t="n"/>
      <c r="N239" s="963" t="n"/>
      <c r="O239" s="963" t="n"/>
      <c r="P239" s="963" t="n"/>
      <c r="Q239" s="963" t="n"/>
      <c r="R239" s="963" t="n"/>
      <c r="S239" s="963" t="n"/>
      <c r="T239" s="963" t="n"/>
      <c r="U239" s="991" t="n"/>
      <c r="V239" s="1021" t="n"/>
      <c r="W239" s="1021" t="n"/>
      <c r="X239" s="1021" t="n"/>
      <c r="Y239" s="1021" t="n"/>
      <c r="Z239" s="1021" t="n"/>
      <c r="AA239" s="989" t="n"/>
      <c r="AB239" s="1022" t="n"/>
      <c r="AC239" s="963" t="n"/>
      <c r="AD239" s="963" t="n"/>
      <c r="AE239" s="963" t="n"/>
      <c r="AF239" s="963" t="n"/>
      <c r="AG239" s="963" t="n"/>
      <c r="AH239" s="963" t="n"/>
      <c r="AI239" s="991" t="n"/>
      <c r="AJ239" s="1021" t="n"/>
      <c r="AK239" s="1021" t="n"/>
      <c r="AL239" s="1021" t="n"/>
      <c r="AM239" s="1021" t="n"/>
      <c r="AN239" s="1021" t="n"/>
      <c r="AO239" s="1021" t="n"/>
      <c r="AP239" s="1022" t="n"/>
      <c r="AQ239" s="963" t="n"/>
      <c r="AR239" s="963" t="n"/>
      <c r="AS239" s="963" t="n"/>
      <c r="AT239" s="963" t="n"/>
      <c r="AU239" s="963" t="n"/>
      <c r="AV239" s="963" t="n"/>
      <c r="AW239" s="991" t="n"/>
      <c r="AX239" s="18" t="n"/>
    </row>
    <row r="240" ht="16.4" customHeight="1" s="828">
      <c r="A240" s="722" t="n"/>
      <c r="B240" s="1021" t="n"/>
      <c r="C240" s="1021" t="n"/>
      <c r="D240" s="1021" t="n"/>
      <c r="E240" s="1021" t="n"/>
      <c r="F240" s="1021" t="n"/>
      <c r="G240" s="1021" t="n"/>
      <c r="H240" s="1021" t="n"/>
      <c r="I240" s="1021" t="n"/>
      <c r="J240" s="1021" t="n"/>
      <c r="K240" s="1022" t="n"/>
      <c r="L240" s="963" t="n"/>
      <c r="M240" s="963" t="n"/>
      <c r="N240" s="963" t="n"/>
      <c r="O240" s="963" t="n"/>
      <c r="P240" s="963" t="n"/>
      <c r="Q240" s="963" t="n"/>
      <c r="R240" s="963" t="n"/>
      <c r="S240" s="963" t="n"/>
      <c r="T240" s="963" t="n"/>
      <c r="U240" s="991" t="n"/>
      <c r="V240" s="1021" t="n"/>
      <c r="W240" s="1021" t="n"/>
      <c r="X240" s="1021" t="n"/>
      <c r="Y240" s="1021" t="n"/>
      <c r="Z240" s="1021" t="n"/>
      <c r="AA240" s="989" t="n"/>
      <c r="AB240" s="1022" t="n"/>
      <c r="AC240" s="963" t="n"/>
      <c r="AD240" s="963" t="n"/>
      <c r="AE240" s="963" t="n"/>
      <c r="AF240" s="963" t="n"/>
      <c r="AG240" s="963" t="n"/>
      <c r="AH240" s="963" t="n"/>
      <c r="AI240" s="991" t="n"/>
      <c r="AJ240" s="1021" t="n"/>
      <c r="AK240" s="1021" t="n"/>
      <c r="AL240" s="1021" t="n"/>
      <c r="AM240" s="1021" t="n"/>
      <c r="AN240" s="1021" t="n"/>
      <c r="AO240" s="1021" t="n"/>
      <c r="AP240" s="1022" t="n"/>
      <c r="AQ240" s="963" t="n"/>
      <c r="AR240" s="963" t="n"/>
      <c r="AS240" s="963" t="n"/>
      <c r="AT240" s="963" t="n"/>
      <c r="AU240" s="963" t="n"/>
      <c r="AV240" s="963" t="n"/>
      <c r="AW240" s="991" t="n"/>
      <c r="AX240" s="18" t="n"/>
    </row>
    <row r="241" ht="16.4" customHeight="1" s="828">
      <c r="A241" s="722" t="n"/>
      <c r="B241" s="1021" t="n"/>
      <c r="C241" s="1021" t="n"/>
      <c r="D241" s="1021" t="n"/>
      <c r="E241" s="1021" t="n"/>
      <c r="F241" s="1021" t="n"/>
      <c r="G241" s="1021" t="n"/>
      <c r="H241" s="1021" t="n"/>
      <c r="I241" s="1021" t="n"/>
      <c r="J241" s="1021" t="n"/>
      <c r="K241" s="1022" t="n"/>
      <c r="L241" s="963" t="n"/>
      <c r="M241" s="963" t="n"/>
      <c r="N241" s="963" t="n"/>
      <c r="O241" s="963" t="n"/>
      <c r="P241" s="963" t="n"/>
      <c r="Q241" s="963" t="n"/>
      <c r="R241" s="963" t="n"/>
      <c r="S241" s="963" t="n"/>
      <c r="T241" s="963" t="n"/>
      <c r="U241" s="991" t="n"/>
      <c r="V241" s="1021" t="n"/>
      <c r="W241" s="1021" t="n"/>
      <c r="X241" s="1021" t="n"/>
      <c r="Y241" s="1021" t="n"/>
      <c r="Z241" s="1021" t="n"/>
      <c r="AA241" s="989" t="n"/>
      <c r="AB241" s="1022" t="n"/>
      <c r="AC241" s="963" t="n"/>
      <c r="AD241" s="963" t="n"/>
      <c r="AE241" s="963" t="n"/>
      <c r="AF241" s="963" t="n"/>
      <c r="AG241" s="963" t="n"/>
      <c r="AH241" s="963" t="n"/>
      <c r="AI241" s="991" t="n"/>
      <c r="AJ241" s="1021" t="n"/>
      <c r="AK241" s="1021" t="n"/>
      <c r="AL241" s="1021" t="n"/>
      <c r="AM241" s="1021" t="n"/>
      <c r="AN241" s="1021" t="n"/>
      <c r="AO241" s="1021" t="n"/>
      <c r="AP241" s="1022" t="n"/>
      <c r="AQ241" s="963" t="n"/>
      <c r="AR241" s="963" t="n"/>
      <c r="AS241" s="963" t="n"/>
      <c r="AT241" s="963" t="n"/>
      <c r="AU241" s="963" t="n"/>
      <c r="AV241" s="963" t="n"/>
      <c r="AW241" s="991" t="n"/>
      <c r="AX241" s="18" t="n"/>
    </row>
    <row r="242" ht="16.4" customHeight="1" s="828">
      <c r="A242" s="722" t="n"/>
      <c r="B242" s="1021" t="n"/>
      <c r="C242" s="1021" t="n"/>
      <c r="D242" s="1021" t="n"/>
      <c r="E242" s="1021" t="n"/>
      <c r="F242" s="1021" t="n"/>
      <c r="G242" s="1021" t="n"/>
      <c r="H242" s="1021" t="n"/>
      <c r="I242" s="1021" t="n"/>
      <c r="J242" s="1021" t="n"/>
      <c r="K242" s="1022" t="n"/>
      <c r="L242" s="963" t="n"/>
      <c r="M242" s="963" t="n"/>
      <c r="N242" s="963" t="n"/>
      <c r="O242" s="963" t="n"/>
      <c r="P242" s="963" t="n"/>
      <c r="Q242" s="963" t="n"/>
      <c r="R242" s="963" t="n"/>
      <c r="S242" s="963" t="n"/>
      <c r="T242" s="963" t="n"/>
      <c r="U242" s="991" t="n"/>
      <c r="V242" s="1021" t="n"/>
      <c r="W242" s="1021" t="n"/>
      <c r="X242" s="1021" t="n"/>
      <c r="Y242" s="1021" t="n"/>
      <c r="Z242" s="1021" t="n"/>
      <c r="AA242" s="989" t="n"/>
      <c r="AB242" s="1022" t="n"/>
      <c r="AC242" s="963" t="n"/>
      <c r="AD242" s="963" t="n"/>
      <c r="AE242" s="963" t="n"/>
      <c r="AF242" s="963" t="n"/>
      <c r="AG242" s="963" t="n"/>
      <c r="AH242" s="963" t="n"/>
      <c r="AI242" s="991" t="n"/>
      <c r="AJ242" s="1021" t="n"/>
      <c r="AK242" s="1021" t="n"/>
      <c r="AL242" s="1021" t="n"/>
      <c r="AM242" s="1021" t="n"/>
      <c r="AN242" s="1021" t="n"/>
      <c r="AO242" s="1021" t="n"/>
      <c r="AP242" s="1022" t="n"/>
      <c r="AQ242" s="963" t="n"/>
      <c r="AR242" s="963" t="n"/>
      <c r="AS242" s="963" t="n"/>
      <c r="AT242" s="963" t="n"/>
      <c r="AU242" s="963" t="n"/>
      <c r="AV242" s="963" t="n"/>
      <c r="AW242" s="991" t="n"/>
      <c r="AX242" s="18" t="n"/>
    </row>
    <row r="243" ht="16.4" customHeight="1" s="828">
      <c r="A243" s="722" t="n"/>
      <c r="B243" s="1021" t="n"/>
      <c r="C243" s="1021" t="n"/>
      <c r="D243" s="1021" t="n"/>
      <c r="E243" s="1021" t="n"/>
      <c r="F243" s="1021" t="n"/>
      <c r="G243" s="1021" t="n"/>
      <c r="H243" s="1021" t="n"/>
      <c r="I243" s="1021" t="n"/>
      <c r="J243" s="1021" t="n"/>
      <c r="K243" s="1022" t="n"/>
      <c r="L243" s="963" t="n"/>
      <c r="M243" s="963" t="n"/>
      <c r="N243" s="963" t="n"/>
      <c r="O243" s="963" t="n"/>
      <c r="P243" s="963" t="n"/>
      <c r="Q243" s="963" t="n"/>
      <c r="R243" s="963" t="n"/>
      <c r="S243" s="963" t="n"/>
      <c r="T243" s="963" t="n"/>
      <c r="U243" s="991" t="n"/>
      <c r="V243" s="1021" t="n"/>
      <c r="W243" s="1021" t="n"/>
      <c r="X243" s="1021" t="n"/>
      <c r="Y243" s="1021" t="n"/>
      <c r="Z243" s="1021" t="n"/>
      <c r="AA243" s="989" t="n"/>
      <c r="AB243" s="1022" t="n"/>
      <c r="AC243" s="963" t="n"/>
      <c r="AD243" s="963" t="n"/>
      <c r="AE243" s="963" t="n"/>
      <c r="AF243" s="963" t="n"/>
      <c r="AG243" s="963" t="n"/>
      <c r="AH243" s="963" t="n"/>
      <c r="AI243" s="991" t="n"/>
      <c r="AJ243" s="1021" t="n"/>
      <c r="AK243" s="1021" t="n"/>
      <c r="AL243" s="1021" t="n"/>
      <c r="AM243" s="1021" t="n"/>
      <c r="AN243" s="1021" t="n"/>
      <c r="AO243" s="1021" t="n"/>
      <c r="AP243" s="1022" t="n"/>
      <c r="AQ243" s="963" t="n"/>
      <c r="AR243" s="963" t="n"/>
      <c r="AS243" s="963" t="n"/>
      <c r="AT243" s="963" t="n"/>
      <c r="AU243" s="963" t="n"/>
      <c r="AV243" s="963" t="n"/>
      <c r="AW243" s="991" t="n"/>
      <c r="AX243" s="18" t="n"/>
    </row>
    <row r="244" ht="16.4" customHeight="1" s="828">
      <c r="A244" s="722" t="n"/>
      <c r="B244" s="1021" t="n"/>
      <c r="C244" s="1021" t="n"/>
      <c r="D244" s="1021" t="n"/>
      <c r="E244" s="1021" t="n"/>
      <c r="F244" s="1021" t="n"/>
      <c r="G244" s="1021" t="n"/>
      <c r="H244" s="1021" t="n"/>
      <c r="I244" s="1021" t="n"/>
      <c r="J244" s="1021" t="n"/>
      <c r="K244" s="1022" t="n"/>
      <c r="L244" s="963" t="n"/>
      <c r="M244" s="963" t="n"/>
      <c r="N244" s="963" t="n"/>
      <c r="O244" s="963" t="n"/>
      <c r="P244" s="963" t="n"/>
      <c r="Q244" s="963" t="n"/>
      <c r="R244" s="963" t="n"/>
      <c r="S244" s="963" t="n"/>
      <c r="T244" s="963" t="n"/>
      <c r="U244" s="991" t="n"/>
      <c r="V244" s="1021" t="n"/>
      <c r="W244" s="1021" t="n"/>
      <c r="X244" s="1021" t="n"/>
      <c r="Y244" s="1021" t="n"/>
      <c r="Z244" s="1021" t="n"/>
      <c r="AA244" s="989" t="n"/>
      <c r="AB244" s="1022" t="n"/>
      <c r="AC244" s="963" t="n"/>
      <c r="AD244" s="963" t="n"/>
      <c r="AE244" s="963" t="n"/>
      <c r="AF244" s="963" t="n"/>
      <c r="AG244" s="963" t="n"/>
      <c r="AH244" s="963" t="n"/>
      <c r="AI244" s="991" t="n"/>
      <c r="AJ244" s="1021" t="n"/>
      <c r="AK244" s="1021" t="n"/>
      <c r="AL244" s="1021" t="n"/>
      <c r="AM244" s="1021" t="n"/>
      <c r="AN244" s="1021" t="n"/>
      <c r="AO244" s="1021" t="n"/>
      <c r="AP244" s="1022" t="n"/>
      <c r="AQ244" s="963" t="n"/>
      <c r="AR244" s="963" t="n"/>
      <c r="AS244" s="963" t="n"/>
      <c r="AT244" s="963" t="n"/>
      <c r="AU244" s="963" t="n"/>
      <c r="AV244" s="963" t="n"/>
      <c r="AW244" s="991" t="n"/>
      <c r="AX244" s="18" t="n"/>
    </row>
    <row r="245" ht="16.4" customHeight="1" s="828">
      <c r="A245" s="722" t="n"/>
      <c r="B245" s="1021" t="n"/>
      <c r="C245" s="1021" t="n"/>
      <c r="D245" s="1021" t="n"/>
      <c r="E245" s="1021" t="n"/>
      <c r="F245" s="1021" t="n"/>
      <c r="G245" s="1021" t="n"/>
      <c r="H245" s="1021" t="n"/>
      <c r="I245" s="1021" t="n"/>
      <c r="J245" s="1021" t="n"/>
      <c r="K245" s="1022" t="n"/>
      <c r="L245" s="963" t="n"/>
      <c r="M245" s="963" t="n"/>
      <c r="N245" s="963" t="n"/>
      <c r="O245" s="963" t="n"/>
      <c r="P245" s="963" t="n"/>
      <c r="Q245" s="963" t="n"/>
      <c r="R245" s="963" t="n"/>
      <c r="S245" s="963" t="n"/>
      <c r="T245" s="963" t="n"/>
      <c r="U245" s="991" t="n"/>
      <c r="V245" s="1021" t="n"/>
      <c r="W245" s="1021" t="n"/>
      <c r="X245" s="1021" t="n"/>
      <c r="Y245" s="1021" t="n"/>
      <c r="Z245" s="1021" t="n"/>
      <c r="AA245" s="989" t="n"/>
      <c r="AB245" s="1022" t="n"/>
      <c r="AC245" s="963" t="n"/>
      <c r="AD245" s="963" t="n"/>
      <c r="AE245" s="963" t="n"/>
      <c r="AF245" s="963" t="n"/>
      <c r="AG245" s="963" t="n"/>
      <c r="AH245" s="963" t="n"/>
      <c r="AI245" s="991" t="n"/>
      <c r="AJ245" s="1021" t="n"/>
      <c r="AK245" s="1021" t="n"/>
      <c r="AL245" s="1021" t="n"/>
      <c r="AM245" s="1021" t="n"/>
      <c r="AN245" s="1021" t="n"/>
      <c r="AO245" s="1021" t="n"/>
      <c r="AP245" s="1022" t="n"/>
      <c r="AQ245" s="963" t="n"/>
      <c r="AR245" s="963" t="n"/>
      <c r="AS245" s="963" t="n"/>
      <c r="AT245" s="963" t="n"/>
      <c r="AU245" s="963" t="n"/>
      <c r="AV245" s="963" t="n"/>
      <c r="AW245" s="991" t="n"/>
      <c r="AX245" s="18" t="n"/>
    </row>
    <row r="246" ht="16.4" customHeight="1" s="828">
      <c r="A246" s="722" t="n"/>
      <c r="B246" s="1021" t="n"/>
      <c r="C246" s="1021" t="n"/>
      <c r="D246" s="1021" t="n"/>
      <c r="E246" s="1021" t="n"/>
      <c r="F246" s="1021" t="n"/>
      <c r="G246" s="1021" t="n"/>
      <c r="H246" s="1021" t="n"/>
      <c r="I246" s="1021" t="n"/>
      <c r="J246" s="1021" t="n"/>
      <c r="K246" s="1022" t="n"/>
      <c r="L246" s="963" t="n"/>
      <c r="M246" s="963" t="n"/>
      <c r="N246" s="963" t="n"/>
      <c r="O246" s="963" t="n"/>
      <c r="P246" s="963" t="n"/>
      <c r="Q246" s="963" t="n"/>
      <c r="R246" s="963" t="n"/>
      <c r="S246" s="963" t="n"/>
      <c r="T246" s="963" t="n"/>
      <c r="U246" s="991" t="n"/>
      <c r="V246" s="1021" t="n"/>
      <c r="W246" s="1021" t="n"/>
      <c r="X246" s="1021" t="n"/>
      <c r="Y246" s="1021" t="n"/>
      <c r="Z246" s="1021" t="n"/>
      <c r="AA246" s="989" t="n"/>
      <c r="AB246" s="1022" t="n"/>
      <c r="AC246" s="963" t="n"/>
      <c r="AD246" s="963" t="n"/>
      <c r="AE246" s="963" t="n"/>
      <c r="AF246" s="963" t="n"/>
      <c r="AG246" s="963" t="n"/>
      <c r="AH246" s="963" t="n"/>
      <c r="AI246" s="991" t="n"/>
      <c r="AJ246" s="1021" t="n"/>
      <c r="AK246" s="1021" t="n"/>
      <c r="AL246" s="1021" t="n"/>
      <c r="AM246" s="1021" t="n"/>
      <c r="AN246" s="1021" t="n"/>
      <c r="AO246" s="1021" t="n"/>
      <c r="AP246" s="1022" t="n"/>
      <c r="AQ246" s="963" t="n"/>
      <c r="AR246" s="963" t="n"/>
      <c r="AS246" s="963" t="n"/>
      <c r="AT246" s="963" t="n"/>
      <c r="AU246" s="963" t="n"/>
      <c r="AV246" s="963" t="n"/>
      <c r="AW246" s="991" t="n"/>
      <c r="AX246" s="18" t="n"/>
    </row>
    <row r="247" ht="16.4" customHeight="1" s="828">
      <c r="A247" s="722" t="n"/>
      <c r="B247" s="1021" t="n"/>
      <c r="C247" s="1021" t="n"/>
      <c r="D247" s="1021" t="n"/>
      <c r="E247" s="1021" t="n"/>
      <c r="F247" s="1021" t="n"/>
      <c r="G247" s="1021" t="n"/>
      <c r="H247" s="1021" t="n"/>
      <c r="I247" s="1021" t="n"/>
      <c r="J247" s="1021" t="n"/>
      <c r="K247" s="1022" t="n"/>
      <c r="L247" s="963" t="n"/>
      <c r="M247" s="963" t="n"/>
      <c r="N247" s="963" t="n"/>
      <c r="O247" s="963" t="n"/>
      <c r="P247" s="963" t="n"/>
      <c r="Q247" s="963" t="n"/>
      <c r="R247" s="963" t="n"/>
      <c r="S247" s="963" t="n"/>
      <c r="T247" s="963" t="n"/>
      <c r="U247" s="991" t="n"/>
      <c r="V247" s="1021" t="n"/>
      <c r="W247" s="1021" t="n"/>
      <c r="X247" s="1021" t="n"/>
      <c r="Y247" s="1021" t="n"/>
      <c r="Z247" s="1021" t="n"/>
      <c r="AA247" s="989" t="n"/>
      <c r="AB247" s="1022" t="n"/>
      <c r="AC247" s="963" t="n"/>
      <c r="AD247" s="963" t="n"/>
      <c r="AE247" s="963" t="n"/>
      <c r="AF247" s="963" t="n"/>
      <c r="AG247" s="963" t="n"/>
      <c r="AH247" s="963" t="n"/>
      <c r="AI247" s="991" t="n"/>
      <c r="AJ247" s="1021" t="n"/>
      <c r="AK247" s="1021" t="n"/>
      <c r="AL247" s="1021" t="n"/>
      <c r="AM247" s="1021" t="n"/>
      <c r="AN247" s="1021" t="n"/>
      <c r="AO247" s="1021" t="n"/>
      <c r="AP247" s="1022" t="n"/>
      <c r="AQ247" s="963" t="n"/>
      <c r="AR247" s="963" t="n"/>
      <c r="AS247" s="963" t="n"/>
      <c r="AT247" s="963" t="n"/>
      <c r="AU247" s="963" t="n"/>
      <c r="AV247" s="963" t="n"/>
      <c r="AW247" s="991" t="n"/>
      <c r="AX247" s="18" t="n"/>
    </row>
    <row r="248" ht="16.4" customHeight="1" s="828">
      <c r="A248" s="722" t="n"/>
      <c r="B248" s="1021" t="n"/>
      <c r="C248" s="1021" t="n"/>
      <c r="D248" s="1021" t="n"/>
      <c r="E248" s="1021" t="n"/>
      <c r="F248" s="1021" t="n"/>
      <c r="G248" s="1021" t="n"/>
      <c r="H248" s="1021" t="n"/>
      <c r="I248" s="1021" t="n"/>
      <c r="J248" s="1021" t="n"/>
      <c r="K248" s="1022" t="n"/>
      <c r="L248" s="963" t="n"/>
      <c r="M248" s="963" t="n"/>
      <c r="N248" s="963" t="n"/>
      <c r="O248" s="963" t="n"/>
      <c r="P248" s="963" t="n"/>
      <c r="Q248" s="963" t="n"/>
      <c r="R248" s="963" t="n"/>
      <c r="S248" s="963" t="n"/>
      <c r="T248" s="963" t="n"/>
      <c r="U248" s="991" t="n"/>
      <c r="V248" s="1021" t="n"/>
      <c r="W248" s="1021" t="n"/>
      <c r="X248" s="1021" t="n"/>
      <c r="Y248" s="1021" t="n"/>
      <c r="Z248" s="1021" t="n"/>
      <c r="AA248" s="989" t="n"/>
      <c r="AB248" s="1022" t="n"/>
      <c r="AC248" s="963" t="n"/>
      <c r="AD248" s="963" t="n"/>
      <c r="AE248" s="963" t="n"/>
      <c r="AF248" s="963" t="n"/>
      <c r="AG248" s="963" t="n"/>
      <c r="AH248" s="963" t="n"/>
      <c r="AI248" s="991" t="n"/>
      <c r="AJ248" s="1021" t="n"/>
      <c r="AK248" s="1021" t="n"/>
      <c r="AL248" s="1021" t="n"/>
      <c r="AM248" s="1021" t="n"/>
      <c r="AN248" s="1021" t="n"/>
      <c r="AO248" s="1021" t="n"/>
      <c r="AP248" s="1022" t="n"/>
      <c r="AQ248" s="963" t="n"/>
      <c r="AR248" s="963" t="n"/>
      <c r="AS248" s="963" t="n"/>
      <c r="AT248" s="963" t="n"/>
      <c r="AU248" s="963" t="n"/>
      <c r="AV248" s="963" t="n"/>
      <c r="AW248" s="991" t="n"/>
      <c r="AX248" s="18" t="n"/>
    </row>
    <row r="249" ht="16.4" customHeight="1" s="828">
      <c r="A249" s="722" t="n"/>
      <c r="B249" s="1021" t="n"/>
      <c r="C249" s="1021" t="n"/>
      <c r="D249" s="1021" t="n"/>
      <c r="E249" s="1021" t="n"/>
      <c r="F249" s="1021" t="n"/>
      <c r="G249" s="1021" t="n"/>
      <c r="H249" s="1021" t="n"/>
      <c r="I249" s="1021" t="n"/>
      <c r="J249" s="1021" t="n"/>
      <c r="K249" s="1022" t="n"/>
      <c r="L249" s="963" t="n"/>
      <c r="M249" s="963" t="n"/>
      <c r="N249" s="963" t="n"/>
      <c r="O249" s="963" t="n"/>
      <c r="P249" s="963" t="n"/>
      <c r="Q249" s="963" t="n"/>
      <c r="R249" s="963" t="n"/>
      <c r="S249" s="963" t="n"/>
      <c r="T249" s="963" t="n"/>
      <c r="U249" s="991" t="n"/>
      <c r="V249" s="1021" t="n"/>
      <c r="W249" s="1021" t="n"/>
      <c r="X249" s="1021" t="n"/>
      <c r="Y249" s="1021" t="n"/>
      <c r="Z249" s="1021" t="n"/>
      <c r="AA249" s="989" t="n"/>
      <c r="AB249" s="1022" t="n"/>
      <c r="AC249" s="963" t="n"/>
      <c r="AD249" s="963" t="n"/>
      <c r="AE249" s="963" t="n"/>
      <c r="AF249" s="963" t="n"/>
      <c r="AG249" s="963" t="n"/>
      <c r="AH249" s="963" t="n"/>
      <c r="AI249" s="991" t="n"/>
      <c r="AJ249" s="1021" t="n"/>
      <c r="AK249" s="1021" t="n"/>
      <c r="AL249" s="1021" t="n"/>
      <c r="AM249" s="1021" t="n"/>
      <c r="AN249" s="1021" t="n"/>
      <c r="AO249" s="1021" t="n"/>
      <c r="AP249" s="1022" t="n"/>
      <c r="AQ249" s="963" t="n"/>
      <c r="AR249" s="963" t="n"/>
      <c r="AS249" s="963" t="n"/>
      <c r="AT249" s="963" t="n"/>
      <c r="AU249" s="963" t="n"/>
      <c r="AV249" s="963" t="n"/>
      <c r="AW249" s="991" t="n"/>
      <c r="AX249" s="18" t="n"/>
    </row>
    <row r="250" ht="16.4" customHeight="1" s="828">
      <c r="A250" s="722" t="n"/>
      <c r="B250" s="1021" t="n"/>
      <c r="C250" s="1021" t="n"/>
      <c r="D250" s="1021" t="n"/>
      <c r="E250" s="1021" t="n"/>
      <c r="F250" s="1021" t="n"/>
      <c r="G250" s="1021" t="n"/>
      <c r="H250" s="1021" t="n"/>
      <c r="I250" s="1021" t="n"/>
      <c r="J250" s="1021" t="n"/>
      <c r="K250" s="1022" t="n"/>
      <c r="L250" s="963" t="n"/>
      <c r="M250" s="963" t="n"/>
      <c r="N250" s="963" t="n"/>
      <c r="O250" s="963" t="n"/>
      <c r="P250" s="963" t="n"/>
      <c r="Q250" s="963" t="n"/>
      <c r="R250" s="963" t="n"/>
      <c r="S250" s="963" t="n"/>
      <c r="T250" s="963" t="n"/>
      <c r="U250" s="991" t="n"/>
      <c r="V250" s="1021" t="n"/>
      <c r="W250" s="1021" t="n"/>
      <c r="X250" s="1021" t="n"/>
      <c r="Y250" s="1021" t="n"/>
      <c r="Z250" s="1021" t="n"/>
      <c r="AA250" s="989" t="n"/>
      <c r="AB250" s="1022" t="n"/>
      <c r="AC250" s="963" t="n"/>
      <c r="AD250" s="963" t="n"/>
      <c r="AE250" s="963" t="n"/>
      <c r="AF250" s="963" t="n"/>
      <c r="AG250" s="963" t="n"/>
      <c r="AH250" s="963" t="n"/>
      <c r="AI250" s="991" t="n"/>
      <c r="AJ250" s="1021" t="n"/>
      <c r="AK250" s="1021" t="n"/>
      <c r="AL250" s="1021" t="n"/>
      <c r="AM250" s="1021" t="n"/>
      <c r="AN250" s="1021" t="n"/>
      <c r="AO250" s="1021" t="n"/>
      <c r="AP250" s="1022" t="n"/>
      <c r="AQ250" s="963" t="n"/>
      <c r="AR250" s="963" t="n"/>
      <c r="AS250" s="963" t="n"/>
      <c r="AT250" s="963" t="n"/>
      <c r="AU250" s="963" t="n"/>
      <c r="AV250" s="963" t="n"/>
      <c r="AW250" s="991" t="n"/>
      <c r="AX250" s="18" t="n"/>
    </row>
    <row r="251" ht="16.4" customHeight="1" s="828">
      <c r="A251" s="722" t="n"/>
      <c r="B251" s="1021" t="n"/>
      <c r="C251" s="1021" t="n"/>
      <c r="D251" s="1021" t="n"/>
      <c r="E251" s="1021" t="n"/>
      <c r="F251" s="1021" t="n"/>
      <c r="G251" s="1021" t="n"/>
      <c r="H251" s="1021" t="n"/>
      <c r="I251" s="1021" t="n"/>
      <c r="J251" s="1021" t="n"/>
      <c r="K251" s="1022" t="n"/>
      <c r="L251" s="963" t="n"/>
      <c r="M251" s="963" t="n"/>
      <c r="N251" s="963" t="n"/>
      <c r="O251" s="963" t="n"/>
      <c r="P251" s="963" t="n"/>
      <c r="Q251" s="963" t="n"/>
      <c r="R251" s="963" t="n"/>
      <c r="S251" s="963" t="n"/>
      <c r="T251" s="963" t="n"/>
      <c r="U251" s="991" t="n"/>
      <c r="V251" s="1021" t="n"/>
      <c r="W251" s="1021" t="n"/>
      <c r="X251" s="1021" t="n"/>
      <c r="Y251" s="1021" t="n"/>
      <c r="Z251" s="1021" t="n"/>
      <c r="AA251" s="989" t="n"/>
      <c r="AB251" s="1022" t="n"/>
      <c r="AC251" s="963" t="n"/>
      <c r="AD251" s="963" t="n"/>
      <c r="AE251" s="963" t="n"/>
      <c r="AF251" s="963" t="n"/>
      <c r="AG251" s="963" t="n"/>
      <c r="AH251" s="963" t="n"/>
      <c r="AI251" s="991" t="n"/>
      <c r="AJ251" s="1021" t="n"/>
      <c r="AK251" s="1021" t="n"/>
      <c r="AL251" s="1021" t="n"/>
      <c r="AM251" s="1021" t="n"/>
      <c r="AN251" s="1021" t="n"/>
      <c r="AO251" s="1021" t="n"/>
      <c r="AP251" s="1022" t="n"/>
      <c r="AQ251" s="963" t="n"/>
      <c r="AR251" s="963" t="n"/>
      <c r="AS251" s="963" t="n"/>
      <c r="AT251" s="963" t="n"/>
      <c r="AU251" s="963" t="n"/>
      <c r="AV251" s="963" t="n"/>
      <c r="AW251" s="991" t="n"/>
      <c r="AX251" s="18" t="n"/>
    </row>
    <row r="252" ht="16.4" customHeight="1" s="828">
      <c r="A252" s="722" t="n"/>
      <c r="B252" s="1021" t="n"/>
      <c r="C252" s="1021" t="n"/>
      <c r="D252" s="1021" t="n"/>
      <c r="E252" s="1021" t="n"/>
      <c r="F252" s="1021" t="n"/>
      <c r="G252" s="1021" t="n"/>
      <c r="H252" s="1021" t="n"/>
      <c r="I252" s="1021" t="n"/>
      <c r="J252" s="1021" t="n"/>
      <c r="K252" s="1022" t="n"/>
      <c r="L252" s="963" t="n"/>
      <c r="M252" s="963" t="n"/>
      <c r="N252" s="963" t="n"/>
      <c r="O252" s="963" t="n"/>
      <c r="P252" s="963" t="n"/>
      <c r="Q252" s="963" t="n"/>
      <c r="R252" s="963" t="n"/>
      <c r="S252" s="963" t="n"/>
      <c r="T252" s="963" t="n"/>
      <c r="U252" s="991" t="n"/>
      <c r="V252" s="1021" t="n"/>
      <c r="W252" s="1021" t="n"/>
      <c r="X252" s="1021" t="n"/>
      <c r="Y252" s="1021" t="n"/>
      <c r="Z252" s="1021" t="n"/>
      <c r="AA252" s="989" t="n"/>
      <c r="AB252" s="1022" t="n"/>
      <c r="AC252" s="963" t="n"/>
      <c r="AD252" s="963" t="n"/>
      <c r="AE252" s="963" t="n"/>
      <c r="AF252" s="963" t="n"/>
      <c r="AG252" s="963" t="n"/>
      <c r="AH252" s="963" t="n"/>
      <c r="AI252" s="991" t="n"/>
      <c r="AJ252" s="1021" t="n"/>
      <c r="AK252" s="1021" t="n"/>
      <c r="AL252" s="1021" t="n"/>
      <c r="AM252" s="1021" t="n"/>
      <c r="AN252" s="1021" t="n"/>
      <c r="AO252" s="1021" t="n"/>
      <c r="AP252" s="1022" t="n"/>
      <c r="AQ252" s="963" t="n"/>
      <c r="AR252" s="963" t="n"/>
      <c r="AS252" s="963" t="n"/>
      <c r="AT252" s="963" t="n"/>
      <c r="AU252" s="963" t="n"/>
      <c r="AV252" s="963" t="n"/>
      <c r="AW252" s="991" t="n"/>
      <c r="AX252" s="18" t="n"/>
    </row>
    <row r="253" ht="16.4" customHeight="1" s="828">
      <c r="A253" s="722" t="n"/>
      <c r="B253" s="1021" t="n"/>
      <c r="C253" s="1021" t="n"/>
      <c r="D253" s="1021" t="n"/>
      <c r="E253" s="1021" t="n"/>
      <c r="F253" s="1021" t="n"/>
      <c r="G253" s="1021" t="n"/>
      <c r="H253" s="1021" t="n"/>
      <c r="I253" s="1021" t="n"/>
      <c r="J253" s="1021" t="n"/>
      <c r="K253" s="1022" t="n"/>
      <c r="L253" s="963" t="n"/>
      <c r="M253" s="963" t="n"/>
      <c r="N253" s="963" t="n"/>
      <c r="O253" s="963" t="n"/>
      <c r="P253" s="963" t="n"/>
      <c r="Q253" s="963" t="n"/>
      <c r="R253" s="963" t="n"/>
      <c r="S253" s="963" t="n"/>
      <c r="T253" s="963" t="n"/>
      <c r="U253" s="991" t="n"/>
      <c r="V253" s="1021" t="n"/>
      <c r="W253" s="1021" t="n"/>
      <c r="X253" s="1021" t="n"/>
      <c r="Y253" s="1021" t="n"/>
      <c r="Z253" s="1021" t="n"/>
      <c r="AA253" s="989" t="n"/>
      <c r="AB253" s="1022" t="n"/>
      <c r="AC253" s="963" t="n"/>
      <c r="AD253" s="963" t="n"/>
      <c r="AE253" s="963" t="n"/>
      <c r="AF253" s="963" t="n"/>
      <c r="AG253" s="963" t="n"/>
      <c r="AH253" s="963" t="n"/>
      <c r="AI253" s="991" t="n"/>
      <c r="AJ253" s="1021" t="n"/>
      <c r="AK253" s="1021" t="n"/>
      <c r="AL253" s="1021" t="n"/>
      <c r="AM253" s="1021" t="n"/>
      <c r="AN253" s="1021" t="n"/>
      <c r="AO253" s="1021" t="n"/>
      <c r="AP253" s="1022" t="n"/>
      <c r="AQ253" s="963" t="n"/>
      <c r="AR253" s="963" t="n"/>
      <c r="AS253" s="963" t="n"/>
      <c r="AT253" s="963" t="n"/>
      <c r="AU253" s="963" t="n"/>
      <c r="AV253" s="963" t="n"/>
      <c r="AW253" s="991" t="n"/>
      <c r="AX253" s="18" t="n"/>
    </row>
    <row r="254" ht="16.4" customHeight="1" s="828">
      <c r="A254" s="722" t="n"/>
      <c r="B254" s="1021" t="n"/>
      <c r="C254" s="1021" t="n"/>
      <c r="D254" s="1021" t="n"/>
      <c r="E254" s="1021" t="n"/>
      <c r="F254" s="1021" t="n"/>
      <c r="G254" s="1021" t="n"/>
      <c r="H254" s="1021" t="n"/>
      <c r="I254" s="1021" t="n"/>
      <c r="J254" s="1021" t="n"/>
      <c r="K254" s="1022" t="n"/>
      <c r="L254" s="963" t="n"/>
      <c r="M254" s="963" t="n"/>
      <c r="N254" s="963" t="n"/>
      <c r="O254" s="963" t="n"/>
      <c r="P254" s="963" t="n"/>
      <c r="Q254" s="963" t="n"/>
      <c r="R254" s="963" t="n"/>
      <c r="S254" s="963" t="n"/>
      <c r="T254" s="963" t="n"/>
      <c r="U254" s="991" t="n"/>
      <c r="V254" s="1021" t="n"/>
      <c r="W254" s="1021" t="n"/>
      <c r="X254" s="1021" t="n"/>
      <c r="Y254" s="1021" t="n"/>
      <c r="Z254" s="1021" t="n"/>
      <c r="AA254" s="989" t="n"/>
      <c r="AB254" s="1022" t="n"/>
      <c r="AC254" s="963" t="n"/>
      <c r="AD254" s="963" t="n"/>
      <c r="AE254" s="963" t="n"/>
      <c r="AF254" s="963" t="n"/>
      <c r="AG254" s="963" t="n"/>
      <c r="AH254" s="963" t="n"/>
      <c r="AI254" s="991" t="n"/>
      <c r="AJ254" s="1021" t="n"/>
      <c r="AK254" s="1021" t="n"/>
      <c r="AL254" s="1021" t="n"/>
      <c r="AM254" s="1021" t="n"/>
      <c r="AN254" s="1021" t="n"/>
      <c r="AO254" s="1021" t="n"/>
      <c r="AP254" s="1022" t="n"/>
      <c r="AQ254" s="963" t="n"/>
      <c r="AR254" s="963" t="n"/>
      <c r="AS254" s="963" t="n"/>
      <c r="AT254" s="963" t="n"/>
      <c r="AU254" s="963" t="n"/>
      <c r="AV254" s="963" t="n"/>
      <c r="AW254" s="991" t="n"/>
      <c r="AX254" s="18" t="n"/>
    </row>
    <row r="255" ht="16.4" customHeight="1" s="828">
      <c r="A255" s="722" t="n"/>
      <c r="B255" s="1021" t="n"/>
      <c r="C255" s="1021" t="n"/>
      <c r="D255" s="1021" t="n"/>
      <c r="E255" s="1021" t="n"/>
      <c r="F255" s="1021" t="n"/>
      <c r="G255" s="1021" t="n"/>
      <c r="H255" s="1021" t="n"/>
      <c r="I255" s="1021" t="n"/>
      <c r="J255" s="1021" t="n"/>
      <c r="K255" s="1022" t="n"/>
      <c r="L255" s="963" t="n"/>
      <c r="M255" s="963" t="n"/>
      <c r="N255" s="963" t="n"/>
      <c r="O255" s="963" t="n"/>
      <c r="P255" s="963" t="n"/>
      <c r="Q255" s="963" t="n"/>
      <c r="R255" s="963" t="n"/>
      <c r="S255" s="963" t="n"/>
      <c r="T255" s="963" t="n"/>
      <c r="U255" s="991" t="n"/>
      <c r="V255" s="1021" t="n"/>
      <c r="W255" s="1021" t="n"/>
      <c r="X255" s="1021" t="n"/>
      <c r="Y255" s="1021" t="n"/>
      <c r="Z255" s="1021" t="n"/>
      <c r="AA255" s="989" t="n"/>
      <c r="AB255" s="1022" t="n"/>
      <c r="AC255" s="963" t="n"/>
      <c r="AD255" s="963" t="n"/>
      <c r="AE255" s="963" t="n"/>
      <c r="AF255" s="963" t="n"/>
      <c r="AG255" s="963" t="n"/>
      <c r="AH255" s="963" t="n"/>
      <c r="AI255" s="991" t="n"/>
      <c r="AJ255" s="1021" t="n"/>
      <c r="AK255" s="1021" t="n"/>
      <c r="AL255" s="1021" t="n"/>
      <c r="AM255" s="1021" t="n"/>
      <c r="AN255" s="1021" t="n"/>
      <c r="AO255" s="1021" t="n"/>
      <c r="AP255" s="1022" t="n"/>
      <c r="AQ255" s="963" t="n"/>
      <c r="AR255" s="963" t="n"/>
      <c r="AS255" s="963" t="n"/>
      <c r="AT255" s="963" t="n"/>
      <c r="AU255" s="963" t="n"/>
      <c r="AV255" s="963" t="n"/>
      <c r="AW255" s="991" t="n"/>
      <c r="AX255" s="18" t="n"/>
    </row>
    <row r="256" ht="16.4" customHeight="1" s="828">
      <c r="A256" s="722" t="n"/>
      <c r="B256" s="1021" t="n"/>
      <c r="C256" s="1021" t="n"/>
      <c r="D256" s="1021" t="n"/>
      <c r="E256" s="1021" t="n"/>
      <c r="F256" s="1021" t="n"/>
      <c r="G256" s="1021" t="n"/>
      <c r="H256" s="1021" t="n"/>
      <c r="I256" s="1021" t="n"/>
      <c r="J256" s="1021" t="n"/>
      <c r="K256" s="1022" t="n"/>
      <c r="L256" s="963" t="n"/>
      <c r="M256" s="963" t="n"/>
      <c r="N256" s="963" t="n"/>
      <c r="O256" s="963" t="n"/>
      <c r="P256" s="963" t="n"/>
      <c r="Q256" s="963" t="n"/>
      <c r="R256" s="963" t="n"/>
      <c r="S256" s="963" t="n"/>
      <c r="T256" s="963" t="n"/>
      <c r="U256" s="991" t="n"/>
      <c r="V256" s="1021" t="n"/>
      <c r="W256" s="1021" t="n"/>
      <c r="X256" s="1021" t="n"/>
      <c r="Y256" s="1021" t="n"/>
      <c r="Z256" s="1021" t="n"/>
      <c r="AA256" s="989" t="n"/>
      <c r="AB256" s="1022" t="n"/>
      <c r="AC256" s="963" t="n"/>
      <c r="AD256" s="963" t="n"/>
      <c r="AE256" s="963" t="n"/>
      <c r="AF256" s="963" t="n"/>
      <c r="AG256" s="963" t="n"/>
      <c r="AH256" s="963" t="n"/>
      <c r="AI256" s="991" t="n"/>
      <c r="AJ256" s="1021" t="n"/>
      <c r="AK256" s="1021" t="n"/>
      <c r="AL256" s="1021" t="n"/>
      <c r="AM256" s="1021" t="n"/>
      <c r="AN256" s="1021" t="n"/>
      <c r="AO256" s="1021" t="n"/>
      <c r="AP256" s="1022" t="n"/>
      <c r="AQ256" s="963" t="n"/>
      <c r="AR256" s="963" t="n"/>
      <c r="AS256" s="963" t="n"/>
      <c r="AT256" s="963" t="n"/>
      <c r="AU256" s="963" t="n"/>
      <c r="AV256" s="963" t="n"/>
      <c r="AW256" s="991" t="n"/>
      <c r="AX256" s="18" t="n"/>
    </row>
    <row r="257" ht="16.4" customHeight="1" s="828">
      <c r="A257" s="722" t="n"/>
      <c r="B257" s="1021" t="n"/>
      <c r="C257" s="1021" t="n"/>
      <c r="D257" s="1021" t="n"/>
      <c r="E257" s="1021" t="n"/>
      <c r="F257" s="1021" t="n"/>
      <c r="G257" s="1021" t="n"/>
      <c r="H257" s="1021" t="n"/>
      <c r="I257" s="1021" t="n"/>
      <c r="J257" s="1021" t="n"/>
      <c r="K257" s="1022" t="n"/>
      <c r="L257" s="963" t="n"/>
      <c r="M257" s="963" t="n"/>
      <c r="N257" s="963" t="n"/>
      <c r="O257" s="963" t="n"/>
      <c r="P257" s="963" t="n"/>
      <c r="Q257" s="963" t="n"/>
      <c r="R257" s="963" t="n"/>
      <c r="S257" s="963" t="n"/>
      <c r="T257" s="963" t="n"/>
      <c r="U257" s="991" t="n"/>
      <c r="V257" s="1021" t="n"/>
      <c r="W257" s="1021" t="n"/>
      <c r="X257" s="1021" t="n"/>
      <c r="Y257" s="1021" t="n"/>
      <c r="Z257" s="1021" t="n"/>
      <c r="AA257" s="989" t="n"/>
      <c r="AB257" s="1022" t="n"/>
      <c r="AC257" s="963" t="n"/>
      <c r="AD257" s="963" t="n"/>
      <c r="AE257" s="963" t="n"/>
      <c r="AF257" s="963" t="n"/>
      <c r="AG257" s="963" t="n"/>
      <c r="AH257" s="963" t="n"/>
      <c r="AI257" s="991" t="n"/>
      <c r="AJ257" s="1021" t="n"/>
      <c r="AK257" s="1021" t="n"/>
      <c r="AL257" s="1021" t="n"/>
      <c r="AM257" s="1021" t="n"/>
      <c r="AN257" s="1021" t="n"/>
      <c r="AO257" s="1021" t="n"/>
      <c r="AP257" s="1022" t="n"/>
      <c r="AQ257" s="963" t="n"/>
      <c r="AR257" s="963" t="n"/>
      <c r="AS257" s="963" t="n"/>
      <c r="AT257" s="963" t="n"/>
      <c r="AU257" s="963" t="n"/>
      <c r="AV257" s="963" t="n"/>
      <c r="AW257" s="991" t="n"/>
      <c r="AX257" s="18" t="n"/>
    </row>
    <row r="258" ht="16.4" customHeight="1" s="828">
      <c r="A258" s="722" t="n"/>
      <c r="B258" s="1021" t="n"/>
      <c r="C258" s="1021" t="n"/>
      <c r="D258" s="1021" t="n"/>
      <c r="E258" s="1021" t="n"/>
      <c r="F258" s="1021" t="n"/>
      <c r="G258" s="1021" t="n"/>
      <c r="H258" s="1021" t="n"/>
      <c r="I258" s="1021" t="n"/>
      <c r="J258" s="1021" t="n"/>
      <c r="K258" s="1022" t="n"/>
      <c r="L258" s="963" t="n"/>
      <c r="M258" s="963" t="n"/>
      <c r="N258" s="963" t="n"/>
      <c r="O258" s="963" t="n"/>
      <c r="P258" s="963" t="n"/>
      <c r="Q258" s="963" t="n"/>
      <c r="R258" s="963" t="n"/>
      <c r="S258" s="963" t="n"/>
      <c r="T258" s="963" t="n"/>
      <c r="U258" s="991" t="n"/>
      <c r="V258" s="1021" t="n"/>
      <c r="W258" s="1021" t="n"/>
      <c r="X258" s="1021" t="n"/>
      <c r="Y258" s="1021" t="n"/>
      <c r="Z258" s="1021" t="n"/>
      <c r="AA258" s="989" t="n"/>
      <c r="AB258" s="1022" t="n"/>
      <c r="AC258" s="963" t="n"/>
      <c r="AD258" s="963" t="n"/>
      <c r="AE258" s="963" t="n"/>
      <c r="AF258" s="963" t="n"/>
      <c r="AG258" s="963" t="n"/>
      <c r="AH258" s="963" t="n"/>
      <c r="AI258" s="991" t="n"/>
      <c r="AJ258" s="1021" t="n"/>
      <c r="AK258" s="1021" t="n"/>
      <c r="AL258" s="1021" t="n"/>
      <c r="AM258" s="1021" t="n"/>
      <c r="AN258" s="1021" t="n"/>
      <c r="AO258" s="1021" t="n"/>
      <c r="AP258" s="1022" t="n"/>
      <c r="AQ258" s="963" t="n"/>
      <c r="AR258" s="963" t="n"/>
      <c r="AS258" s="963" t="n"/>
      <c r="AT258" s="963" t="n"/>
      <c r="AU258" s="963" t="n"/>
      <c r="AV258" s="963" t="n"/>
      <c r="AW258" s="991" t="n"/>
      <c r="AX258" s="18" t="n"/>
    </row>
    <row r="259" ht="16.4" customHeight="1" s="828">
      <c r="A259" s="722" t="n"/>
      <c r="B259" s="1021" t="n"/>
      <c r="C259" s="1021" t="n"/>
      <c r="D259" s="1021" t="n"/>
      <c r="E259" s="1021" t="n"/>
      <c r="F259" s="1021" t="n"/>
      <c r="G259" s="1021" t="n"/>
      <c r="H259" s="1021" t="n"/>
      <c r="I259" s="1021" t="n"/>
      <c r="J259" s="1021" t="n"/>
      <c r="K259" s="1022" t="n"/>
      <c r="L259" s="963" t="n"/>
      <c r="M259" s="963" t="n"/>
      <c r="N259" s="963" t="n"/>
      <c r="O259" s="963" t="n"/>
      <c r="P259" s="963" t="n"/>
      <c r="Q259" s="963" t="n"/>
      <c r="R259" s="963" t="n"/>
      <c r="S259" s="963" t="n"/>
      <c r="T259" s="963" t="n"/>
      <c r="U259" s="991" t="n"/>
      <c r="V259" s="1021" t="n"/>
      <c r="W259" s="1021" t="n"/>
      <c r="X259" s="1021" t="n"/>
      <c r="Y259" s="1021" t="n"/>
      <c r="Z259" s="1021" t="n"/>
      <c r="AA259" s="989" t="n"/>
      <c r="AB259" s="1022" t="n"/>
      <c r="AC259" s="963" t="n"/>
      <c r="AD259" s="963" t="n"/>
      <c r="AE259" s="963" t="n"/>
      <c r="AF259" s="963" t="n"/>
      <c r="AG259" s="963" t="n"/>
      <c r="AH259" s="963" t="n"/>
      <c r="AI259" s="991" t="n"/>
      <c r="AJ259" s="1021" t="n"/>
      <c r="AK259" s="1021" t="n"/>
      <c r="AL259" s="1021" t="n"/>
      <c r="AM259" s="1021" t="n"/>
      <c r="AN259" s="1021" t="n"/>
      <c r="AO259" s="1021" t="n"/>
      <c r="AP259" s="1022" t="n"/>
      <c r="AQ259" s="963" t="n"/>
      <c r="AR259" s="963" t="n"/>
      <c r="AS259" s="963" t="n"/>
      <c r="AT259" s="963" t="n"/>
      <c r="AU259" s="963" t="n"/>
      <c r="AV259" s="963" t="n"/>
      <c r="AW259" s="991" t="n"/>
      <c r="AX259" s="18" t="n"/>
    </row>
    <row r="260" ht="16.4" customHeight="1" s="828">
      <c r="A260" s="722" t="n"/>
      <c r="B260" s="1021" t="n"/>
      <c r="C260" s="1021" t="n"/>
      <c r="D260" s="1021" t="n"/>
      <c r="E260" s="1021" t="n"/>
      <c r="F260" s="1021" t="n"/>
      <c r="G260" s="1021" t="n"/>
      <c r="H260" s="1021" t="n"/>
      <c r="I260" s="1021" t="n"/>
      <c r="J260" s="1021" t="n"/>
      <c r="K260" s="1022" t="n"/>
      <c r="L260" s="963" t="n"/>
      <c r="M260" s="963" t="n"/>
      <c r="N260" s="963" t="n"/>
      <c r="O260" s="963" t="n"/>
      <c r="P260" s="963" t="n"/>
      <c r="Q260" s="963" t="n"/>
      <c r="R260" s="963" t="n"/>
      <c r="S260" s="963" t="n"/>
      <c r="T260" s="963" t="n"/>
      <c r="U260" s="991" t="n"/>
      <c r="V260" s="1021" t="n"/>
      <c r="W260" s="1021" t="n"/>
      <c r="X260" s="1021" t="n"/>
      <c r="Y260" s="1021" t="n"/>
      <c r="Z260" s="1021" t="n"/>
      <c r="AA260" s="989" t="n"/>
      <c r="AB260" s="1022" t="n"/>
      <c r="AC260" s="963" t="n"/>
      <c r="AD260" s="963" t="n"/>
      <c r="AE260" s="963" t="n"/>
      <c r="AF260" s="963" t="n"/>
      <c r="AG260" s="963" t="n"/>
      <c r="AH260" s="963" t="n"/>
      <c r="AI260" s="991" t="n"/>
      <c r="AJ260" s="1021" t="n"/>
      <c r="AK260" s="1021" t="n"/>
      <c r="AL260" s="1021" t="n"/>
      <c r="AM260" s="1021" t="n"/>
      <c r="AN260" s="1021" t="n"/>
      <c r="AO260" s="1021" t="n"/>
      <c r="AP260" s="1022" t="n"/>
      <c r="AQ260" s="963" t="n"/>
      <c r="AR260" s="963" t="n"/>
      <c r="AS260" s="963" t="n"/>
      <c r="AT260" s="963" t="n"/>
      <c r="AU260" s="963" t="n"/>
      <c r="AV260" s="963" t="n"/>
      <c r="AW260" s="991" t="n"/>
      <c r="AX260" s="18" t="n"/>
    </row>
    <row r="261" ht="16.4" customHeight="1" s="828">
      <c r="A261" s="722" t="n"/>
      <c r="B261" s="1021" t="n"/>
      <c r="C261" s="1021" t="n"/>
      <c r="D261" s="1021" t="n"/>
      <c r="E261" s="1021" t="n"/>
      <c r="F261" s="1021" t="n"/>
      <c r="G261" s="1021" t="n"/>
      <c r="H261" s="1021" t="n"/>
      <c r="I261" s="1021" t="n"/>
      <c r="J261" s="1021" t="n"/>
      <c r="K261" s="1022" t="n"/>
      <c r="L261" s="963" t="n"/>
      <c r="M261" s="963" t="n"/>
      <c r="N261" s="963" t="n"/>
      <c r="O261" s="963" t="n"/>
      <c r="P261" s="963" t="n"/>
      <c r="Q261" s="963" t="n"/>
      <c r="R261" s="963" t="n"/>
      <c r="S261" s="963" t="n"/>
      <c r="T261" s="963" t="n"/>
      <c r="U261" s="991" t="n"/>
      <c r="V261" s="1021" t="n"/>
      <c r="W261" s="1021" t="n"/>
      <c r="X261" s="1021" t="n"/>
      <c r="Y261" s="1021" t="n"/>
      <c r="Z261" s="1021" t="n"/>
      <c r="AA261" s="989" t="n"/>
      <c r="AB261" s="1022" t="n"/>
      <c r="AC261" s="963" t="n"/>
      <c r="AD261" s="963" t="n"/>
      <c r="AE261" s="963" t="n"/>
      <c r="AF261" s="963" t="n"/>
      <c r="AG261" s="963" t="n"/>
      <c r="AH261" s="963" t="n"/>
      <c r="AI261" s="991" t="n"/>
      <c r="AJ261" s="1021" t="n"/>
      <c r="AK261" s="1021" t="n"/>
      <c r="AL261" s="1021" t="n"/>
      <c r="AM261" s="1021" t="n"/>
      <c r="AN261" s="1021" t="n"/>
      <c r="AO261" s="1021" t="n"/>
      <c r="AP261" s="1022" t="n"/>
      <c r="AQ261" s="963" t="n"/>
      <c r="AR261" s="963" t="n"/>
      <c r="AS261" s="963" t="n"/>
      <c r="AT261" s="963" t="n"/>
      <c r="AU261" s="963" t="n"/>
      <c r="AV261" s="963" t="n"/>
      <c r="AW261" s="991" t="n"/>
      <c r="AX261" s="18" t="n"/>
    </row>
    <row r="262" ht="16.4" customHeight="1" s="828">
      <c r="A262" s="722" t="n"/>
      <c r="B262" s="1021" t="n"/>
      <c r="C262" s="1021" t="n"/>
      <c r="D262" s="1021" t="n"/>
      <c r="E262" s="1021" t="n"/>
      <c r="F262" s="1021" t="n"/>
      <c r="G262" s="1021" t="n"/>
      <c r="H262" s="1021" t="n"/>
      <c r="I262" s="1021" t="n"/>
      <c r="J262" s="1021" t="n"/>
      <c r="K262" s="1022" t="n"/>
      <c r="L262" s="963" t="n"/>
      <c r="M262" s="963" t="n"/>
      <c r="N262" s="963" t="n"/>
      <c r="O262" s="963" t="n"/>
      <c r="P262" s="963" t="n"/>
      <c r="Q262" s="963" t="n"/>
      <c r="R262" s="963" t="n"/>
      <c r="S262" s="963" t="n"/>
      <c r="T262" s="963" t="n"/>
      <c r="U262" s="991" t="n"/>
      <c r="V262" s="1021" t="n"/>
      <c r="W262" s="1021" t="n"/>
      <c r="X262" s="1021" t="n"/>
      <c r="Y262" s="1021" t="n"/>
      <c r="Z262" s="1021" t="n"/>
      <c r="AA262" s="989" t="n"/>
      <c r="AB262" s="1022" t="n"/>
      <c r="AC262" s="963" t="n"/>
      <c r="AD262" s="963" t="n"/>
      <c r="AE262" s="963" t="n"/>
      <c r="AF262" s="963" t="n"/>
      <c r="AG262" s="963" t="n"/>
      <c r="AH262" s="963" t="n"/>
      <c r="AI262" s="991" t="n"/>
      <c r="AJ262" s="1021" t="n"/>
      <c r="AK262" s="1021" t="n"/>
      <c r="AL262" s="1021" t="n"/>
      <c r="AM262" s="1021" t="n"/>
      <c r="AN262" s="1021" t="n"/>
      <c r="AO262" s="1021" t="n"/>
      <c r="AP262" s="1022" t="n"/>
      <c r="AQ262" s="963" t="n"/>
      <c r="AR262" s="963" t="n"/>
      <c r="AS262" s="963" t="n"/>
      <c r="AT262" s="963" t="n"/>
      <c r="AU262" s="963" t="n"/>
      <c r="AV262" s="963" t="n"/>
      <c r="AW262" s="991" t="n"/>
      <c r="AX262" s="18" t="n"/>
    </row>
    <row r="263" ht="16.4" customHeight="1" s="828">
      <c r="A263" s="722" t="n"/>
      <c r="B263" s="1021" t="n"/>
      <c r="C263" s="1021" t="n"/>
      <c r="D263" s="1021" t="n"/>
      <c r="E263" s="1021" t="n"/>
      <c r="F263" s="1021" t="n"/>
      <c r="G263" s="1021" t="n"/>
      <c r="H263" s="1021" t="n"/>
      <c r="I263" s="1021" t="n"/>
      <c r="J263" s="1021" t="n"/>
      <c r="K263" s="1022" t="n"/>
      <c r="L263" s="963" t="n"/>
      <c r="M263" s="963" t="n"/>
      <c r="N263" s="963" t="n"/>
      <c r="O263" s="963" t="n"/>
      <c r="P263" s="963" t="n"/>
      <c r="Q263" s="963" t="n"/>
      <c r="R263" s="963" t="n"/>
      <c r="S263" s="963" t="n"/>
      <c r="T263" s="963" t="n"/>
      <c r="U263" s="991" t="n"/>
      <c r="V263" s="1021" t="n"/>
      <c r="W263" s="1021" t="n"/>
      <c r="X263" s="1021" t="n"/>
      <c r="Y263" s="1021" t="n"/>
      <c r="Z263" s="1021" t="n"/>
      <c r="AA263" s="989" t="n"/>
      <c r="AB263" s="1022" t="n"/>
      <c r="AC263" s="963" t="n"/>
      <c r="AD263" s="963" t="n"/>
      <c r="AE263" s="963" t="n"/>
      <c r="AF263" s="963" t="n"/>
      <c r="AG263" s="963" t="n"/>
      <c r="AH263" s="963" t="n"/>
      <c r="AI263" s="991" t="n"/>
      <c r="AJ263" s="1021" t="n"/>
      <c r="AK263" s="1021" t="n"/>
      <c r="AL263" s="1021" t="n"/>
      <c r="AM263" s="1021" t="n"/>
      <c r="AN263" s="1021" t="n"/>
      <c r="AO263" s="1021" t="n"/>
      <c r="AP263" s="1022" t="n"/>
      <c r="AQ263" s="963" t="n"/>
      <c r="AR263" s="963" t="n"/>
      <c r="AS263" s="963" t="n"/>
      <c r="AT263" s="963" t="n"/>
      <c r="AU263" s="963" t="n"/>
      <c r="AV263" s="963" t="n"/>
      <c r="AW263" s="991" t="n"/>
      <c r="AX263" s="18" t="n"/>
    </row>
    <row r="264" ht="16.4" customHeight="1" s="828">
      <c r="A264" s="722" t="n"/>
      <c r="B264" s="1021" t="n"/>
      <c r="C264" s="1021" t="n"/>
      <c r="D264" s="1021" t="n"/>
      <c r="E264" s="1021" t="n"/>
      <c r="F264" s="1021" t="n"/>
      <c r="G264" s="1021" t="n"/>
      <c r="H264" s="1021" t="n"/>
      <c r="I264" s="1021" t="n"/>
      <c r="J264" s="1021" t="n"/>
      <c r="K264" s="1022" t="n"/>
      <c r="L264" s="963" t="n"/>
      <c r="M264" s="963" t="n"/>
      <c r="N264" s="963" t="n"/>
      <c r="O264" s="963" t="n"/>
      <c r="P264" s="963" t="n"/>
      <c r="Q264" s="963" t="n"/>
      <c r="R264" s="963" t="n"/>
      <c r="S264" s="963" t="n"/>
      <c r="T264" s="963" t="n"/>
      <c r="U264" s="991" t="n"/>
      <c r="V264" s="1021" t="n"/>
      <c r="W264" s="1021" t="n"/>
      <c r="X264" s="1021" t="n"/>
      <c r="Y264" s="1021" t="n"/>
      <c r="Z264" s="1021" t="n"/>
      <c r="AA264" s="989" t="n"/>
      <c r="AB264" s="1022" t="n"/>
      <c r="AC264" s="963" t="n"/>
      <c r="AD264" s="963" t="n"/>
      <c r="AE264" s="963" t="n"/>
      <c r="AF264" s="963" t="n"/>
      <c r="AG264" s="963" t="n"/>
      <c r="AH264" s="963" t="n"/>
      <c r="AI264" s="991" t="n"/>
      <c r="AJ264" s="1021" t="n"/>
      <c r="AK264" s="1021" t="n"/>
      <c r="AL264" s="1021" t="n"/>
      <c r="AM264" s="1021" t="n"/>
      <c r="AN264" s="1021" t="n"/>
      <c r="AO264" s="1021" t="n"/>
      <c r="AP264" s="1022" t="n"/>
      <c r="AQ264" s="963" t="n"/>
      <c r="AR264" s="963" t="n"/>
      <c r="AS264" s="963" t="n"/>
      <c r="AT264" s="963" t="n"/>
      <c r="AU264" s="963" t="n"/>
      <c r="AV264" s="963" t="n"/>
      <c r="AW264" s="991" t="n"/>
      <c r="AX264" s="18" t="n"/>
    </row>
    <row r="265" ht="16.4" customHeight="1" s="828">
      <c r="A265" s="722" t="n"/>
      <c r="B265" s="1021" t="n"/>
      <c r="C265" s="1021" t="n"/>
      <c r="D265" s="1021" t="n"/>
      <c r="E265" s="1021" t="n"/>
      <c r="F265" s="1021" t="n"/>
      <c r="G265" s="1021" t="n"/>
      <c r="H265" s="1021" t="n"/>
      <c r="I265" s="1021" t="n"/>
      <c r="J265" s="1021" t="n"/>
      <c r="K265" s="1022" t="n"/>
      <c r="L265" s="963" t="n"/>
      <c r="M265" s="963" t="n"/>
      <c r="N265" s="963" t="n"/>
      <c r="O265" s="963" t="n"/>
      <c r="P265" s="963" t="n"/>
      <c r="Q265" s="963" t="n"/>
      <c r="R265" s="963" t="n"/>
      <c r="S265" s="963" t="n"/>
      <c r="T265" s="963" t="n"/>
      <c r="U265" s="991" t="n"/>
      <c r="V265" s="1021" t="n"/>
      <c r="W265" s="1021" t="n"/>
      <c r="X265" s="1021" t="n"/>
      <c r="Y265" s="1021" t="n"/>
      <c r="Z265" s="1021" t="n"/>
      <c r="AA265" s="989" t="n"/>
      <c r="AB265" s="1022" t="n"/>
      <c r="AC265" s="963" t="n"/>
      <c r="AD265" s="963" t="n"/>
      <c r="AE265" s="963" t="n"/>
      <c r="AF265" s="963" t="n"/>
      <c r="AG265" s="963" t="n"/>
      <c r="AH265" s="963" t="n"/>
      <c r="AI265" s="991" t="n"/>
      <c r="AJ265" s="1021" t="n"/>
      <c r="AK265" s="1021" t="n"/>
      <c r="AL265" s="1021" t="n"/>
      <c r="AM265" s="1021" t="n"/>
      <c r="AN265" s="1021" t="n"/>
      <c r="AO265" s="1021" t="n"/>
      <c r="AP265" s="1022" t="n"/>
      <c r="AQ265" s="963" t="n"/>
      <c r="AR265" s="963" t="n"/>
      <c r="AS265" s="963" t="n"/>
      <c r="AT265" s="963" t="n"/>
      <c r="AU265" s="963" t="n"/>
      <c r="AV265" s="963" t="n"/>
      <c r="AW265" s="991" t="n"/>
      <c r="AX265" s="18" t="n"/>
    </row>
    <row r="266" ht="16.4" customHeight="1" s="828">
      <c r="A266" s="722" t="n"/>
      <c r="B266" s="1021" t="n"/>
      <c r="C266" s="1021" t="n"/>
      <c r="D266" s="1021" t="n"/>
      <c r="E266" s="1021" t="n"/>
      <c r="F266" s="1021" t="n"/>
      <c r="G266" s="1021" t="n"/>
      <c r="H266" s="1021" t="n"/>
      <c r="I266" s="1021" t="n"/>
      <c r="J266" s="1021" t="n"/>
      <c r="K266" s="1022" t="n"/>
      <c r="L266" s="963" t="n"/>
      <c r="M266" s="963" t="n"/>
      <c r="N266" s="963" t="n"/>
      <c r="O266" s="963" t="n"/>
      <c r="P266" s="963" t="n"/>
      <c r="Q266" s="963" t="n"/>
      <c r="R266" s="963" t="n"/>
      <c r="S266" s="963" t="n"/>
      <c r="T266" s="963" t="n"/>
      <c r="U266" s="991" t="n"/>
      <c r="V266" s="1021" t="n"/>
      <c r="W266" s="1021" t="n"/>
      <c r="X266" s="1021" t="n"/>
      <c r="Y266" s="1021" t="n"/>
      <c r="Z266" s="1021" t="n"/>
      <c r="AA266" s="989" t="n"/>
      <c r="AB266" s="1022" t="n"/>
      <c r="AC266" s="963" t="n"/>
      <c r="AD266" s="963" t="n"/>
      <c r="AE266" s="963" t="n"/>
      <c r="AF266" s="963" t="n"/>
      <c r="AG266" s="963" t="n"/>
      <c r="AH266" s="963" t="n"/>
      <c r="AI266" s="991" t="n"/>
      <c r="AJ266" s="1021" t="n"/>
      <c r="AK266" s="1021" t="n"/>
      <c r="AL266" s="1021" t="n"/>
      <c r="AM266" s="1021" t="n"/>
      <c r="AN266" s="1021" t="n"/>
      <c r="AO266" s="1021" t="n"/>
      <c r="AP266" s="1022" t="n"/>
      <c r="AQ266" s="963" t="n"/>
      <c r="AR266" s="963" t="n"/>
      <c r="AS266" s="963" t="n"/>
      <c r="AT266" s="963" t="n"/>
      <c r="AU266" s="963" t="n"/>
      <c r="AV266" s="963" t="n"/>
      <c r="AW266" s="991" t="n"/>
      <c r="AX266" s="18" t="n"/>
    </row>
    <row r="267" ht="16.4" customHeight="1" s="828">
      <c r="A267" s="722" t="n"/>
      <c r="B267" s="1021" t="n"/>
      <c r="C267" s="1021" t="n"/>
      <c r="D267" s="1021" t="n"/>
      <c r="E267" s="1021" t="n"/>
      <c r="F267" s="1021" t="n"/>
      <c r="G267" s="1021" t="n"/>
      <c r="H267" s="1021" t="n"/>
      <c r="I267" s="1021" t="n"/>
      <c r="J267" s="1021" t="n"/>
      <c r="K267" s="1022" t="n"/>
      <c r="L267" s="963" t="n"/>
      <c r="M267" s="963" t="n"/>
      <c r="N267" s="963" t="n"/>
      <c r="O267" s="963" t="n"/>
      <c r="P267" s="963" t="n"/>
      <c r="Q267" s="963" t="n"/>
      <c r="R267" s="963" t="n"/>
      <c r="S267" s="963" t="n"/>
      <c r="T267" s="963" t="n"/>
      <c r="U267" s="991" t="n"/>
      <c r="V267" s="1021" t="n"/>
      <c r="W267" s="1021" t="n"/>
      <c r="X267" s="1021" t="n"/>
      <c r="Y267" s="1021" t="n"/>
      <c r="Z267" s="1021" t="n"/>
      <c r="AA267" s="989" t="n"/>
      <c r="AB267" s="1022" t="n"/>
      <c r="AC267" s="963" t="n"/>
      <c r="AD267" s="963" t="n"/>
      <c r="AE267" s="963" t="n"/>
      <c r="AF267" s="963" t="n"/>
      <c r="AG267" s="963" t="n"/>
      <c r="AH267" s="963" t="n"/>
      <c r="AI267" s="991" t="n"/>
      <c r="AJ267" s="1021" t="n"/>
      <c r="AK267" s="1021" t="n"/>
      <c r="AL267" s="1021" t="n"/>
      <c r="AM267" s="1021" t="n"/>
      <c r="AN267" s="1021" t="n"/>
      <c r="AO267" s="1021" t="n"/>
      <c r="AP267" s="1022" t="n"/>
      <c r="AQ267" s="963" t="n"/>
      <c r="AR267" s="963" t="n"/>
      <c r="AS267" s="963" t="n"/>
      <c r="AT267" s="963" t="n"/>
      <c r="AU267" s="963" t="n"/>
      <c r="AV267" s="963" t="n"/>
      <c r="AW267" s="991" t="n"/>
      <c r="AX267" s="18" t="n"/>
    </row>
    <row r="268" ht="16.4" customHeight="1" s="828">
      <c r="A268" s="722" t="n"/>
      <c r="B268" s="1021" t="n"/>
      <c r="C268" s="1021" t="n"/>
      <c r="D268" s="1021" t="n"/>
      <c r="E268" s="1021" t="n"/>
      <c r="F268" s="1021" t="n"/>
      <c r="G268" s="1021" t="n"/>
      <c r="H268" s="1021" t="n"/>
      <c r="I268" s="1021" t="n"/>
      <c r="J268" s="1021" t="n"/>
      <c r="K268" s="1022" t="n"/>
      <c r="L268" s="963" t="n"/>
      <c r="M268" s="963" t="n"/>
      <c r="N268" s="963" t="n"/>
      <c r="O268" s="963" t="n"/>
      <c r="P268" s="963" t="n"/>
      <c r="Q268" s="963" t="n"/>
      <c r="R268" s="963" t="n"/>
      <c r="S268" s="963" t="n"/>
      <c r="T268" s="963" t="n"/>
      <c r="U268" s="991" t="n"/>
      <c r="V268" s="1021" t="n"/>
      <c r="W268" s="1021" t="n"/>
      <c r="X268" s="1021" t="n"/>
      <c r="Y268" s="1021" t="n"/>
      <c r="Z268" s="1021" t="n"/>
      <c r="AA268" s="989" t="n"/>
      <c r="AB268" s="1022" t="n"/>
      <c r="AC268" s="963" t="n"/>
      <c r="AD268" s="963" t="n"/>
      <c r="AE268" s="963" t="n"/>
      <c r="AF268" s="963" t="n"/>
      <c r="AG268" s="963" t="n"/>
      <c r="AH268" s="963" t="n"/>
      <c r="AI268" s="991" t="n"/>
      <c r="AJ268" s="1021" t="n"/>
      <c r="AK268" s="1021" t="n"/>
      <c r="AL268" s="1021" t="n"/>
      <c r="AM268" s="1021" t="n"/>
      <c r="AN268" s="1021" t="n"/>
      <c r="AO268" s="1021" t="n"/>
      <c r="AP268" s="1022" t="n"/>
      <c r="AQ268" s="963" t="n"/>
      <c r="AR268" s="963" t="n"/>
      <c r="AS268" s="963" t="n"/>
      <c r="AT268" s="963" t="n"/>
      <c r="AU268" s="963" t="n"/>
      <c r="AV268" s="963" t="n"/>
      <c r="AW268" s="991" t="n"/>
      <c r="AX268" s="18" t="n"/>
    </row>
    <row r="269" ht="16.4" customHeight="1" s="828">
      <c r="A269" s="722" t="n"/>
      <c r="B269" s="1021" t="n"/>
      <c r="C269" s="1021" t="n"/>
      <c r="D269" s="1021" t="n"/>
      <c r="E269" s="1021" t="n"/>
      <c r="F269" s="1021" t="n"/>
      <c r="G269" s="1021" t="n"/>
      <c r="H269" s="1021" t="n"/>
      <c r="I269" s="1021" t="n"/>
      <c r="J269" s="1021" t="n"/>
      <c r="K269" s="1022" t="n"/>
      <c r="L269" s="963" t="n"/>
      <c r="M269" s="963" t="n"/>
      <c r="N269" s="963" t="n"/>
      <c r="O269" s="963" t="n"/>
      <c r="P269" s="963" t="n"/>
      <c r="Q269" s="963" t="n"/>
      <c r="R269" s="963" t="n"/>
      <c r="S269" s="963" t="n"/>
      <c r="T269" s="963" t="n"/>
      <c r="U269" s="991" t="n"/>
      <c r="V269" s="1021" t="n"/>
      <c r="W269" s="1021" t="n"/>
      <c r="X269" s="1021" t="n"/>
      <c r="Y269" s="1021" t="n"/>
      <c r="Z269" s="1021" t="n"/>
      <c r="AA269" s="989" t="n"/>
      <c r="AB269" s="1022" t="n"/>
      <c r="AC269" s="963" t="n"/>
      <c r="AD269" s="963" t="n"/>
      <c r="AE269" s="963" t="n"/>
      <c r="AF269" s="963" t="n"/>
      <c r="AG269" s="963" t="n"/>
      <c r="AH269" s="963" t="n"/>
      <c r="AI269" s="991" t="n"/>
      <c r="AJ269" s="1021" t="n"/>
      <c r="AK269" s="1021" t="n"/>
      <c r="AL269" s="1021" t="n"/>
      <c r="AM269" s="1021" t="n"/>
      <c r="AN269" s="1021" t="n"/>
      <c r="AO269" s="1021" t="n"/>
      <c r="AP269" s="1022" t="n"/>
      <c r="AQ269" s="963" t="n"/>
      <c r="AR269" s="963" t="n"/>
      <c r="AS269" s="963" t="n"/>
      <c r="AT269" s="963" t="n"/>
      <c r="AU269" s="963" t="n"/>
      <c r="AV269" s="963" t="n"/>
      <c r="AW269" s="991" t="n"/>
      <c r="AX269" s="18" t="n"/>
    </row>
    <row r="270" ht="16.4" customHeight="1" s="828">
      <c r="A270" s="722" t="n"/>
      <c r="B270" s="1021" t="n"/>
      <c r="C270" s="1021" t="n"/>
      <c r="D270" s="1021" t="n"/>
      <c r="E270" s="1021" t="n"/>
      <c r="F270" s="1021" t="n"/>
      <c r="G270" s="1021" t="n"/>
      <c r="H270" s="1021" t="n"/>
      <c r="I270" s="1021" t="n"/>
      <c r="J270" s="1021" t="n"/>
      <c r="K270" s="1022" t="n"/>
      <c r="L270" s="963" t="n"/>
      <c r="M270" s="963" t="n"/>
      <c r="N270" s="963" t="n"/>
      <c r="O270" s="963" t="n"/>
      <c r="P270" s="963" t="n"/>
      <c r="Q270" s="963" t="n"/>
      <c r="R270" s="963" t="n"/>
      <c r="S270" s="963" t="n"/>
      <c r="T270" s="963" t="n"/>
      <c r="U270" s="991" t="n"/>
      <c r="V270" s="1021" t="n"/>
      <c r="W270" s="1021" t="n"/>
      <c r="X270" s="1021" t="n"/>
      <c r="Y270" s="1021" t="n"/>
      <c r="Z270" s="1021" t="n"/>
      <c r="AA270" s="989" t="n"/>
      <c r="AB270" s="1022" t="n"/>
      <c r="AC270" s="963" t="n"/>
      <c r="AD270" s="963" t="n"/>
      <c r="AE270" s="963" t="n"/>
      <c r="AF270" s="963" t="n"/>
      <c r="AG270" s="963" t="n"/>
      <c r="AH270" s="963" t="n"/>
      <c r="AI270" s="991" t="n"/>
      <c r="AJ270" s="1021" t="n"/>
      <c r="AK270" s="1021" t="n"/>
      <c r="AL270" s="1021" t="n"/>
      <c r="AM270" s="1021" t="n"/>
      <c r="AN270" s="1021" t="n"/>
      <c r="AO270" s="1021" t="n"/>
      <c r="AP270" s="1022" t="n"/>
      <c r="AQ270" s="963" t="n"/>
      <c r="AR270" s="963" t="n"/>
      <c r="AS270" s="963" t="n"/>
      <c r="AT270" s="963" t="n"/>
      <c r="AU270" s="963" t="n"/>
      <c r="AV270" s="963" t="n"/>
      <c r="AW270" s="991" t="n"/>
      <c r="AX270" s="18" t="n"/>
    </row>
    <row r="271" ht="16.4" customHeight="1" s="828">
      <c r="A271" s="722" t="n"/>
      <c r="B271" s="1021" t="n"/>
      <c r="C271" s="1021" t="n"/>
      <c r="D271" s="1021" t="n"/>
      <c r="E271" s="1021" t="n"/>
      <c r="F271" s="1021" t="n"/>
      <c r="G271" s="1021" t="n"/>
      <c r="H271" s="1021" t="n"/>
      <c r="I271" s="1021" t="n"/>
      <c r="J271" s="1021" t="n"/>
      <c r="K271" s="1022" t="n"/>
      <c r="L271" s="963" t="n"/>
      <c r="M271" s="963" t="n"/>
      <c r="N271" s="963" t="n"/>
      <c r="O271" s="963" t="n"/>
      <c r="P271" s="963" t="n"/>
      <c r="Q271" s="963" t="n"/>
      <c r="R271" s="963" t="n"/>
      <c r="S271" s="963" t="n"/>
      <c r="T271" s="963" t="n"/>
      <c r="U271" s="991" t="n"/>
      <c r="V271" s="1021" t="n"/>
      <c r="W271" s="1021" t="n"/>
      <c r="X271" s="1021" t="n"/>
      <c r="Y271" s="1021" t="n"/>
      <c r="Z271" s="1021" t="n"/>
      <c r="AA271" s="989" t="n"/>
      <c r="AB271" s="1022" t="n"/>
      <c r="AC271" s="963" t="n"/>
      <c r="AD271" s="963" t="n"/>
      <c r="AE271" s="963" t="n"/>
      <c r="AF271" s="963" t="n"/>
      <c r="AG271" s="963" t="n"/>
      <c r="AH271" s="963" t="n"/>
      <c r="AI271" s="991" t="n"/>
      <c r="AJ271" s="1021" t="n"/>
      <c r="AK271" s="1021" t="n"/>
      <c r="AL271" s="1021" t="n"/>
      <c r="AM271" s="1021" t="n"/>
      <c r="AN271" s="1021" t="n"/>
      <c r="AO271" s="1021" t="n"/>
      <c r="AP271" s="1022" t="n"/>
      <c r="AQ271" s="963" t="n"/>
      <c r="AR271" s="963" t="n"/>
      <c r="AS271" s="963" t="n"/>
      <c r="AT271" s="963" t="n"/>
      <c r="AU271" s="963" t="n"/>
      <c r="AV271" s="963" t="n"/>
      <c r="AW271" s="991" t="n"/>
      <c r="AX271" s="18" t="n"/>
    </row>
    <row r="272" ht="16.4" customHeight="1" s="828">
      <c r="A272" s="722" t="n"/>
      <c r="B272" s="1021" t="n"/>
      <c r="C272" s="1021" t="n"/>
      <c r="D272" s="1021" t="n"/>
      <c r="E272" s="1021" t="n"/>
      <c r="F272" s="1021" t="n"/>
      <c r="G272" s="1021" t="n"/>
      <c r="H272" s="1021" t="n"/>
      <c r="I272" s="1021" t="n"/>
      <c r="J272" s="1021" t="n"/>
      <c r="K272" s="1022" t="n"/>
      <c r="L272" s="963" t="n"/>
      <c r="M272" s="963" t="n"/>
      <c r="N272" s="963" t="n"/>
      <c r="O272" s="963" t="n"/>
      <c r="P272" s="963" t="n"/>
      <c r="Q272" s="963" t="n"/>
      <c r="R272" s="963" t="n"/>
      <c r="S272" s="963" t="n"/>
      <c r="T272" s="963" t="n"/>
      <c r="U272" s="991" t="n"/>
      <c r="V272" s="1021" t="n"/>
      <c r="W272" s="1021" t="n"/>
      <c r="X272" s="1021" t="n"/>
      <c r="Y272" s="1021" t="n"/>
      <c r="Z272" s="1021" t="n"/>
      <c r="AA272" s="989" t="n"/>
      <c r="AB272" s="1022" t="n"/>
      <c r="AC272" s="963" t="n"/>
      <c r="AD272" s="963" t="n"/>
      <c r="AE272" s="963" t="n"/>
      <c r="AF272" s="963" t="n"/>
      <c r="AG272" s="963" t="n"/>
      <c r="AH272" s="963" t="n"/>
      <c r="AI272" s="991" t="n"/>
      <c r="AJ272" s="1021" t="n"/>
      <c r="AK272" s="1021" t="n"/>
      <c r="AL272" s="1021" t="n"/>
      <c r="AM272" s="1021" t="n"/>
      <c r="AN272" s="1021" t="n"/>
      <c r="AO272" s="1021" t="n"/>
      <c r="AP272" s="1022" t="n"/>
      <c r="AQ272" s="963" t="n"/>
      <c r="AR272" s="963" t="n"/>
      <c r="AS272" s="963" t="n"/>
      <c r="AT272" s="963" t="n"/>
      <c r="AU272" s="963" t="n"/>
      <c r="AV272" s="963" t="n"/>
      <c r="AW272" s="991" t="n"/>
      <c r="AX272" s="18" t="n"/>
    </row>
    <row r="273" ht="16.4" customHeight="1" s="828">
      <c r="A273" s="722" t="n"/>
      <c r="B273" s="1021" t="n"/>
      <c r="C273" s="1021" t="n"/>
      <c r="D273" s="1021" t="n"/>
      <c r="E273" s="1021" t="n"/>
      <c r="F273" s="1021" t="n"/>
      <c r="G273" s="1021" t="n"/>
      <c r="H273" s="1021" t="n"/>
      <c r="I273" s="1021" t="n"/>
      <c r="J273" s="1021" t="n"/>
      <c r="K273" s="1022" t="n"/>
      <c r="L273" s="963" t="n"/>
      <c r="M273" s="963" t="n"/>
      <c r="N273" s="963" t="n"/>
      <c r="O273" s="963" t="n"/>
      <c r="P273" s="963" t="n"/>
      <c r="Q273" s="963" t="n"/>
      <c r="R273" s="963" t="n"/>
      <c r="S273" s="963" t="n"/>
      <c r="T273" s="963" t="n"/>
      <c r="U273" s="991" t="n"/>
      <c r="V273" s="1021" t="n"/>
      <c r="W273" s="1021" t="n"/>
      <c r="X273" s="1021" t="n"/>
      <c r="Y273" s="1021" t="n"/>
      <c r="Z273" s="1021" t="n"/>
      <c r="AA273" s="989" t="n"/>
      <c r="AB273" s="1022" t="n"/>
      <c r="AC273" s="963" t="n"/>
      <c r="AD273" s="963" t="n"/>
      <c r="AE273" s="963" t="n"/>
      <c r="AF273" s="963" t="n"/>
      <c r="AG273" s="963" t="n"/>
      <c r="AH273" s="963" t="n"/>
      <c r="AI273" s="991" t="n"/>
      <c r="AJ273" s="1021" t="n"/>
      <c r="AK273" s="1021" t="n"/>
      <c r="AL273" s="1021" t="n"/>
      <c r="AM273" s="1021" t="n"/>
      <c r="AN273" s="1021" t="n"/>
      <c r="AO273" s="1021" t="n"/>
      <c r="AP273" s="1022" t="n"/>
      <c r="AQ273" s="963" t="n"/>
      <c r="AR273" s="963" t="n"/>
      <c r="AS273" s="963" t="n"/>
      <c r="AT273" s="963" t="n"/>
      <c r="AU273" s="963" t="n"/>
      <c r="AV273" s="963" t="n"/>
      <c r="AW273" s="991" t="n"/>
      <c r="AX273" s="18" t="n"/>
    </row>
    <row r="274" ht="16.4" customHeight="1" s="828">
      <c r="A274" s="722" t="n"/>
      <c r="B274" s="1021" t="n"/>
      <c r="C274" s="1021" t="n"/>
      <c r="D274" s="1021" t="n"/>
      <c r="E274" s="1021" t="n"/>
      <c r="F274" s="1021" t="n"/>
      <c r="G274" s="1021" t="n"/>
      <c r="H274" s="1021" t="n"/>
      <c r="I274" s="1021" t="n"/>
      <c r="J274" s="1021" t="n"/>
      <c r="K274" s="1022" t="n"/>
      <c r="L274" s="963" t="n"/>
      <c r="M274" s="963" t="n"/>
      <c r="N274" s="963" t="n"/>
      <c r="O274" s="963" t="n"/>
      <c r="P274" s="963" t="n"/>
      <c r="Q274" s="963" t="n"/>
      <c r="R274" s="963" t="n"/>
      <c r="S274" s="963" t="n"/>
      <c r="T274" s="963" t="n"/>
      <c r="U274" s="991" t="n"/>
      <c r="V274" s="1021" t="n"/>
      <c r="W274" s="1021" t="n"/>
      <c r="X274" s="1021" t="n"/>
      <c r="Y274" s="1021" t="n"/>
      <c r="Z274" s="1021" t="n"/>
      <c r="AA274" s="989" t="n"/>
      <c r="AB274" s="1022" t="n"/>
      <c r="AC274" s="963" t="n"/>
      <c r="AD274" s="963" t="n"/>
      <c r="AE274" s="963" t="n"/>
      <c r="AF274" s="963" t="n"/>
      <c r="AG274" s="963" t="n"/>
      <c r="AH274" s="963" t="n"/>
      <c r="AI274" s="991" t="n"/>
      <c r="AJ274" s="1021" t="n"/>
      <c r="AK274" s="1021" t="n"/>
      <c r="AL274" s="1021" t="n"/>
      <c r="AM274" s="1021" t="n"/>
      <c r="AN274" s="1021" t="n"/>
      <c r="AO274" s="1021" t="n"/>
      <c r="AP274" s="1022" t="n"/>
      <c r="AQ274" s="963" t="n"/>
      <c r="AR274" s="963" t="n"/>
      <c r="AS274" s="963" t="n"/>
      <c r="AT274" s="963" t="n"/>
      <c r="AU274" s="963" t="n"/>
      <c r="AV274" s="963" t="n"/>
      <c r="AW274" s="991" t="n"/>
      <c r="AX274" s="18" t="n"/>
    </row>
    <row r="275" ht="16.4" customHeight="1" s="828">
      <c r="A275" s="722" t="n"/>
      <c r="B275" s="1021" t="n"/>
      <c r="C275" s="1021" t="n"/>
      <c r="D275" s="1021" t="n"/>
      <c r="E275" s="1021" t="n"/>
      <c r="F275" s="1021" t="n"/>
      <c r="G275" s="1021" t="n"/>
      <c r="H275" s="1021" t="n"/>
      <c r="I275" s="1021" t="n"/>
      <c r="J275" s="1021" t="n"/>
      <c r="K275" s="1022" t="n"/>
      <c r="L275" s="963" t="n"/>
      <c r="M275" s="963" t="n"/>
      <c r="N275" s="963" t="n"/>
      <c r="O275" s="963" t="n"/>
      <c r="P275" s="963" t="n"/>
      <c r="Q275" s="963" t="n"/>
      <c r="R275" s="963" t="n"/>
      <c r="S275" s="963" t="n"/>
      <c r="T275" s="963" t="n"/>
      <c r="U275" s="991" t="n"/>
      <c r="V275" s="1021" t="n"/>
      <c r="W275" s="1021" t="n"/>
      <c r="X275" s="1021" t="n"/>
      <c r="Y275" s="1021" t="n"/>
      <c r="Z275" s="1021" t="n"/>
      <c r="AA275" s="989" t="n"/>
      <c r="AB275" s="1022" t="n"/>
      <c r="AC275" s="963" t="n"/>
      <c r="AD275" s="963" t="n"/>
      <c r="AE275" s="963" t="n"/>
      <c r="AF275" s="963" t="n"/>
      <c r="AG275" s="963" t="n"/>
      <c r="AH275" s="963" t="n"/>
      <c r="AI275" s="991" t="n"/>
      <c r="AJ275" s="1021" t="n"/>
      <c r="AK275" s="1021" t="n"/>
      <c r="AL275" s="1021" t="n"/>
      <c r="AM275" s="1021" t="n"/>
      <c r="AN275" s="1021" t="n"/>
      <c r="AO275" s="1021" t="n"/>
      <c r="AP275" s="1022" t="n"/>
      <c r="AQ275" s="963" t="n"/>
      <c r="AR275" s="963" t="n"/>
      <c r="AS275" s="963" t="n"/>
      <c r="AT275" s="963" t="n"/>
      <c r="AU275" s="963" t="n"/>
      <c r="AV275" s="963" t="n"/>
      <c r="AW275" s="991" t="n"/>
      <c r="AX275" s="18" t="n"/>
    </row>
    <row r="276" ht="16.4" customHeight="1" s="828">
      <c r="A276" s="722" t="n"/>
      <c r="B276" s="1021" t="n"/>
      <c r="C276" s="1021" t="n"/>
      <c r="D276" s="1021" t="n"/>
      <c r="E276" s="1021" t="n"/>
      <c r="F276" s="1021" t="n"/>
      <c r="G276" s="1021" t="n"/>
      <c r="H276" s="1021" t="n"/>
      <c r="I276" s="1021" t="n"/>
      <c r="J276" s="1021" t="n"/>
      <c r="K276" s="1022" t="n"/>
      <c r="L276" s="963" t="n"/>
      <c r="M276" s="963" t="n"/>
      <c r="N276" s="963" t="n"/>
      <c r="O276" s="963" t="n"/>
      <c r="P276" s="963" t="n"/>
      <c r="Q276" s="963" t="n"/>
      <c r="R276" s="963" t="n"/>
      <c r="S276" s="963" t="n"/>
      <c r="T276" s="963" t="n"/>
      <c r="U276" s="991" t="n"/>
      <c r="V276" s="1021" t="n"/>
      <c r="W276" s="1021" t="n"/>
      <c r="X276" s="1021" t="n"/>
      <c r="Y276" s="1021" t="n"/>
      <c r="Z276" s="1021" t="n"/>
      <c r="AA276" s="989" t="n"/>
      <c r="AB276" s="1022" t="n"/>
      <c r="AC276" s="963" t="n"/>
      <c r="AD276" s="963" t="n"/>
      <c r="AE276" s="963" t="n"/>
      <c r="AF276" s="963" t="n"/>
      <c r="AG276" s="963" t="n"/>
      <c r="AH276" s="963" t="n"/>
      <c r="AI276" s="991" t="n"/>
      <c r="AJ276" s="1021" t="n"/>
      <c r="AK276" s="1021" t="n"/>
      <c r="AL276" s="1021" t="n"/>
      <c r="AM276" s="1021" t="n"/>
      <c r="AN276" s="1021" t="n"/>
      <c r="AO276" s="1021" t="n"/>
      <c r="AP276" s="1022" t="n"/>
      <c r="AQ276" s="963" t="n"/>
      <c r="AR276" s="963" t="n"/>
      <c r="AS276" s="963" t="n"/>
      <c r="AT276" s="963" t="n"/>
      <c r="AU276" s="963" t="n"/>
      <c r="AV276" s="963" t="n"/>
      <c r="AW276" s="991" t="n"/>
      <c r="AX276" s="18" t="n"/>
    </row>
    <row r="277" ht="16.4" customHeight="1" s="828">
      <c r="A277" s="722" t="n"/>
      <c r="B277" s="1021" t="n"/>
      <c r="C277" s="1021" t="n"/>
      <c r="D277" s="1021" t="n"/>
      <c r="E277" s="1021" t="n"/>
      <c r="F277" s="1021" t="n"/>
      <c r="G277" s="1021" t="n"/>
      <c r="H277" s="1021" t="n"/>
      <c r="I277" s="1021" t="n"/>
      <c r="J277" s="1021" t="n"/>
      <c r="K277" s="1022" t="n"/>
      <c r="L277" s="963" t="n"/>
      <c r="M277" s="963" t="n"/>
      <c r="N277" s="963" t="n"/>
      <c r="O277" s="963" t="n"/>
      <c r="P277" s="963" t="n"/>
      <c r="Q277" s="963" t="n"/>
      <c r="R277" s="963" t="n"/>
      <c r="S277" s="963" t="n"/>
      <c r="T277" s="963" t="n"/>
      <c r="U277" s="991" t="n"/>
      <c r="V277" s="1021" t="n"/>
      <c r="W277" s="1021" t="n"/>
      <c r="X277" s="1021" t="n"/>
      <c r="Y277" s="1021" t="n"/>
      <c r="Z277" s="1021" t="n"/>
      <c r="AA277" s="989" t="n"/>
      <c r="AB277" s="1022" t="n"/>
      <c r="AC277" s="963" t="n"/>
      <c r="AD277" s="963" t="n"/>
      <c r="AE277" s="963" t="n"/>
      <c r="AF277" s="963" t="n"/>
      <c r="AG277" s="963" t="n"/>
      <c r="AH277" s="963" t="n"/>
      <c r="AI277" s="991" t="n"/>
      <c r="AJ277" s="1021" t="n"/>
      <c r="AK277" s="1021" t="n"/>
      <c r="AL277" s="1021" t="n"/>
      <c r="AM277" s="1021" t="n"/>
      <c r="AN277" s="1021" t="n"/>
      <c r="AO277" s="1021" t="n"/>
      <c r="AP277" s="1022" t="n"/>
      <c r="AQ277" s="963" t="n"/>
      <c r="AR277" s="963" t="n"/>
      <c r="AS277" s="963" t="n"/>
      <c r="AT277" s="963" t="n"/>
      <c r="AU277" s="963" t="n"/>
      <c r="AV277" s="963" t="n"/>
      <c r="AW277" s="991" t="n"/>
      <c r="AX277" s="18" t="n"/>
    </row>
    <row r="278" ht="16.4" customHeight="1" s="828">
      <c r="A278" s="722" t="n"/>
      <c r="B278" s="1021" t="n"/>
      <c r="C278" s="1021" t="n"/>
      <c r="D278" s="1021" t="n"/>
      <c r="E278" s="1021" t="n"/>
      <c r="F278" s="1021" t="n"/>
      <c r="G278" s="1021" t="n"/>
      <c r="H278" s="1021" t="n"/>
      <c r="I278" s="1021" t="n"/>
      <c r="J278" s="1021" t="n"/>
      <c r="K278" s="1022" t="n"/>
      <c r="L278" s="963" t="n"/>
      <c r="M278" s="963" t="n"/>
      <c r="N278" s="963" t="n"/>
      <c r="O278" s="963" t="n"/>
      <c r="P278" s="963" t="n"/>
      <c r="Q278" s="963" t="n"/>
      <c r="R278" s="963" t="n"/>
      <c r="S278" s="963" t="n"/>
      <c r="T278" s="963" t="n"/>
      <c r="U278" s="991" t="n"/>
      <c r="V278" s="1021" t="n"/>
      <c r="W278" s="1021" t="n"/>
      <c r="X278" s="1021" t="n"/>
      <c r="Y278" s="1021" t="n"/>
      <c r="Z278" s="1021" t="n"/>
      <c r="AA278" s="989" t="n"/>
      <c r="AB278" s="1022" t="n"/>
      <c r="AC278" s="963" t="n"/>
      <c r="AD278" s="963" t="n"/>
      <c r="AE278" s="963" t="n"/>
      <c r="AF278" s="963" t="n"/>
      <c r="AG278" s="963" t="n"/>
      <c r="AH278" s="963" t="n"/>
      <c r="AI278" s="991" t="n"/>
      <c r="AJ278" s="1021" t="n"/>
      <c r="AK278" s="1021" t="n"/>
      <c r="AL278" s="1021" t="n"/>
      <c r="AM278" s="1021" t="n"/>
      <c r="AN278" s="1021" t="n"/>
      <c r="AO278" s="1021" t="n"/>
      <c r="AP278" s="1022" t="n"/>
      <c r="AQ278" s="963" t="n"/>
      <c r="AR278" s="963" t="n"/>
      <c r="AS278" s="963" t="n"/>
      <c r="AT278" s="963" t="n"/>
      <c r="AU278" s="963" t="n"/>
      <c r="AV278" s="963" t="n"/>
      <c r="AW278" s="991" t="n"/>
      <c r="AX278" s="18" t="n"/>
    </row>
    <row r="279" ht="16.4" customHeight="1" s="828">
      <c r="A279" s="722" t="n"/>
      <c r="B279" s="1021" t="n"/>
      <c r="C279" s="1021" t="n"/>
      <c r="D279" s="1021" t="n"/>
      <c r="E279" s="1021" t="n"/>
      <c r="F279" s="1021" t="n"/>
      <c r="G279" s="1021" t="n"/>
      <c r="H279" s="1021" t="n"/>
      <c r="I279" s="1021" t="n"/>
      <c r="J279" s="1021" t="n"/>
      <c r="K279" s="1022" t="n"/>
      <c r="L279" s="963" t="n"/>
      <c r="M279" s="963" t="n"/>
      <c r="N279" s="963" t="n"/>
      <c r="O279" s="963" t="n"/>
      <c r="P279" s="963" t="n"/>
      <c r="Q279" s="963" t="n"/>
      <c r="R279" s="963" t="n"/>
      <c r="S279" s="963" t="n"/>
      <c r="T279" s="963" t="n"/>
      <c r="U279" s="991" t="n"/>
      <c r="V279" s="1021" t="n"/>
      <c r="W279" s="1021" t="n"/>
      <c r="X279" s="1021" t="n"/>
      <c r="Y279" s="1021" t="n"/>
      <c r="Z279" s="1021" t="n"/>
      <c r="AA279" s="989" t="n"/>
      <c r="AB279" s="1022" t="n"/>
      <c r="AC279" s="963" t="n"/>
      <c r="AD279" s="963" t="n"/>
      <c r="AE279" s="963" t="n"/>
      <c r="AF279" s="963" t="n"/>
      <c r="AG279" s="963" t="n"/>
      <c r="AH279" s="963" t="n"/>
      <c r="AI279" s="991" t="n"/>
      <c r="AJ279" s="1021" t="n"/>
      <c r="AK279" s="1021" t="n"/>
      <c r="AL279" s="1021" t="n"/>
      <c r="AM279" s="1021" t="n"/>
      <c r="AN279" s="1021" t="n"/>
      <c r="AO279" s="1021" t="n"/>
      <c r="AP279" s="1022" t="n"/>
      <c r="AQ279" s="963" t="n"/>
      <c r="AR279" s="963" t="n"/>
      <c r="AS279" s="963" t="n"/>
      <c r="AT279" s="963" t="n"/>
      <c r="AU279" s="963" t="n"/>
      <c r="AV279" s="963" t="n"/>
      <c r="AW279" s="991" t="n"/>
      <c r="AX279" s="18" t="n"/>
    </row>
    <row r="280" ht="16.4" customHeight="1" s="828">
      <c r="A280" s="722" t="n"/>
      <c r="B280" s="1021" t="n"/>
      <c r="C280" s="1021" t="n"/>
      <c r="D280" s="1021" t="n"/>
      <c r="E280" s="1021" t="n"/>
      <c r="F280" s="1021" t="n"/>
      <c r="G280" s="1021" t="n"/>
      <c r="H280" s="1021" t="n"/>
      <c r="I280" s="1021" t="n"/>
      <c r="J280" s="1021" t="n"/>
      <c r="K280" s="1022" t="n"/>
      <c r="L280" s="963" t="n"/>
      <c r="M280" s="963" t="n"/>
      <c r="N280" s="963" t="n"/>
      <c r="O280" s="963" t="n"/>
      <c r="P280" s="963" t="n"/>
      <c r="Q280" s="963" t="n"/>
      <c r="R280" s="963" t="n"/>
      <c r="S280" s="963" t="n"/>
      <c r="T280" s="963" t="n"/>
      <c r="U280" s="991" t="n"/>
      <c r="V280" s="1021" t="n"/>
      <c r="W280" s="1021" t="n"/>
      <c r="X280" s="1021" t="n"/>
      <c r="Y280" s="1021" t="n"/>
      <c r="Z280" s="1021" t="n"/>
      <c r="AA280" s="989" t="n"/>
      <c r="AB280" s="1022" t="n"/>
      <c r="AC280" s="963" t="n"/>
      <c r="AD280" s="963" t="n"/>
      <c r="AE280" s="963" t="n"/>
      <c r="AF280" s="963" t="n"/>
      <c r="AG280" s="963" t="n"/>
      <c r="AH280" s="963" t="n"/>
      <c r="AI280" s="991" t="n"/>
      <c r="AJ280" s="1021" t="n"/>
      <c r="AK280" s="1021" t="n"/>
      <c r="AL280" s="1021" t="n"/>
      <c r="AM280" s="1021" t="n"/>
      <c r="AN280" s="1021" t="n"/>
      <c r="AO280" s="1021" t="n"/>
      <c r="AP280" s="1022" t="n"/>
      <c r="AQ280" s="963" t="n"/>
      <c r="AR280" s="963" t="n"/>
      <c r="AS280" s="963" t="n"/>
      <c r="AT280" s="963" t="n"/>
      <c r="AU280" s="963" t="n"/>
      <c r="AV280" s="963" t="n"/>
      <c r="AW280" s="991" t="n"/>
      <c r="AX280" s="18" t="n"/>
    </row>
    <row r="281" ht="16.4" customHeight="1" s="828">
      <c r="A281" s="722" t="n"/>
      <c r="B281" s="1021" t="n"/>
      <c r="C281" s="1021" t="n"/>
      <c r="D281" s="1021" t="n"/>
      <c r="E281" s="1021" t="n"/>
      <c r="F281" s="1021" t="n"/>
      <c r="G281" s="1021" t="n"/>
      <c r="H281" s="1021" t="n"/>
      <c r="I281" s="1021" t="n"/>
      <c r="J281" s="1021" t="n"/>
      <c r="K281" s="1022" t="n"/>
      <c r="L281" s="963" t="n"/>
      <c r="M281" s="963" t="n"/>
      <c r="N281" s="963" t="n"/>
      <c r="O281" s="963" t="n"/>
      <c r="P281" s="963" t="n"/>
      <c r="Q281" s="963" t="n"/>
      <c r="R281" s="963" t="n"/>
      <c r="S281" s="963" t="n"/>
      <c r="T281" s="963" t="n"/>
      <c r="U281" s="991" t="n"/>
      <c r="V281" s="1021" t="n"/>
      <c r="W281" s="1021" t="n"/>
      <c r="X281" s="1021" t="n"/>
      <c r="Y281" s="1021" t="n"/>
      <c r="Z281" s="1021" t="n"/>
      <c r="AA281" s="989" t="n"/>
      <c r="AB281" s="1022" t="n"/>
      <c r="AC281" s="963" t="n"/>
      <c r="AD281" s="963" t="n"/>
      <c r="AE281" s="963" t="n"/>
      <c r="AF281" s="963" t="n"/>
      <c r="AG281" s="963" t="n"/>
      <c r="AH281" s="963" t="n"/>
      <c r="AI281" s="991" t="n"/>
      <c r="AJ281" s="1021" t="n"/>
      <c r="AK281" s="1021" t="n"/>
      <c r="AL281" s="1021" t="n"/>
      <c r="AM281" s="1021" t="n"/>
      <c r="AN281" s="1021" t="n"/>
      <c r="AO281" s="1021" t="n"/>
      <c r="AP281" s="1022" t="n"/>
      <c r="AQ281" s="963" t="n"/>
      <c r="AR281" s="963" t="n"/>
      <c r="AS281" s="963" t="n"/>
      <c r="AT281" s="963" t="n"/>
      <c r="AU281" s="963" t="n"/>
      <c r="AV281" s="963" t="n"/>
      <c r="AW281" s="991" t="n"/>
      <c r="AX281" s="18" t="n"/>
    </row>
    <row r="282" ht="16.4" customHeight="1" s="828">
      <c r="A282" s="722" t="n"/>
      <c r="B282" s="1021" t="n"/>
      <c r="C282" s="1021" t="n"/>
      <c r="D282" s="1021" t="n"/>
      <c r="E282" s="1021" t="n"/>
      <c r="F282" s="1021" t="n"/>
      <c r="G282" s="1021" t="n"/>
      <c r="H282" s="1021" t="n"/>
      <c r="I282" s="1021" t="n"/>
      <c r="J282" s="1021" t="n"/>
      <c r="K282" s="1022" t="n"/>
      <c r="L282" s="963" t="n"/>
      <c r="M282" s="963" t="n"/>
      <c r="N282" s="963" t="n"/>
      <c r="O282" s="963" t="n"/>
      <c r="P282" s="963" t="n"/>
      <c r="Q282" s="963" t="n"/>
      <c r="R282" s="963" t="n"/>
      <c r="S282" s="963" t="n"/>
      <c r="T282" s="963" t="n"/>
      <c r="U282" s="991" t="n"/>
      <c r="V282" s="1021" t="n"/>
      <c r="W282" s="1021" t="n"/>
      <c r="X282" s="1021" t="n"/>
      <c r="Y282" s="1021" t="n"/>
      <c r="Z282" s="1021" t="n"/>
      <c r="AA282" s="989" t="n"/>
      <c r="AB282" s="1022" t="n"/>
      <c r="AC282" s="963" t="n"/>
      <c r="AD282" s="963" t="n"/>
      <c r="AE282" s="963" t="n"/>
      <c r="AF282" s="963" t="n"/>
      <c r="AG282" s="963" t="n"/>
      <c r="AH282" s="963" t="n"/>
      <c r="AI282" s="991" t="n"/>
      <c r="AJ282" s="1021" t="n"/>
      <c r="AK282" s="1021" t="n"/>
      <c r="AL282" s="1021" t="n"/>
      <c r="AM282" s="1021" t="n"/>
      <c r="AN282" s="1021" t="n"/>
      <c r="AO282" s="1021" t="n"/>
      <c r="AP282" s="1022" t="n"/>
      <c r="AQ282" s="963" t="n"/>
      <c r="AR282" s="963" t="n"/>
      <c r="AS282" s="963" t="n"/>
      <c r="AT282" s="963" t="n"/>
      <c r="AU282" s="963" t="n"/>
      <c r="AV282" s="963" t="n"/>
      <c r="AW282" s="991" t="n"/>
      <c r="AX282" s="18" t="n"/>
    </row>
    <row r="283" ht="16.4" customHeight="1" s="828">
      <c r="A283" s="722" t="n"/>
      <c r="B283" s="1021" t="n"/>
      <c r="C283" s="1021" t="n"/>
      <c r="D283" s="1021" t="n"/>
      <c r="E283" s="1021" t="n"/>
      <c r="F283" s="1021" t="n"/>
      <c r="G283" s="1021" t="n"/>
      <c r="H283" s="1021" t="n"/>
      <c r="I283" s="1021" t="n"/>
      <c r="J283" s="1021" t="n"/>
      <c r="K283" s="1022" t="n"/>
      <c r="L283" s="963" t="n"/>
      <c r="M283" s="963" t="n"/>
      <c r="N283" s="963" t="n"/>
      <c r="O283" s="963" t="n"/>
      <c r="P283" s="963" t="n"/>
      <c r="Q283" s="963" t="n"/>
      <c r="R283" s="963" t="n"/>
      <c r="S283" s="963" t="n"/>
      <c r="T283" s="963" t="n"/>
      <c r="U283" s="991" t="n"/>
      <c r="V283" s="1021" t="n"/>
      <c r="W283" s="1021" t="n"/>
      <c r="X283" s="1021" t="n"/>
      <c r="Y283" s="1021" t="n"/>
      <c r="Z283" s="1021" t="n"/>
      <c r="AA283" s="989" t="n"/>
      <c r="AB283" s="1022" t="n"/>
      <c r="AC283" s="963" t="n"/>
      <c r="AD283" s="963" t="n"/>
      <c r="AE283" s="963" t="n"/>
      <c r="AF283" s="963" t="n"/>
      <c r="AG283" s="963" t="n"/>
      <c r="AH283" s="963" t="n"/>
      <c r="AI283" s="991" t="n"/>
      <c r="AJ283" s="1021" t="n"/>
      <c r="AK283" s="1021" t="n"/>
      <c r="AL283" s="1021" t="n"/>
      <c r="AM283" s="1021" t="n"/>
      <c r="AN283" s="1021" t="n"/>
      <c r="AO283" s="1021" t="n"/>
      <c r="AP283" s="1022" t="n"/>
      <c r="AQ283" s="963" t="n"/>
      <c r="AR283" s="963" t="n"/>
      <c r="AS283" s="963" t="n"/>
      <c r="AT283" s="963" t="n"/>
      <c r="AU283" s="963" t="n"/>
      <c r="AV283" s="963" t="n"/>
      <c r="AW283" s="991" t="n"/>
      <c r="AX283" s="18" t="n"/>
    </row>
    <row r="284" ht="16.4" customHeight="1" s="828">
      <c r="A284" s="722" t="n"/>
      <c r="B284" s="1021" t="n"/>
      <c r="C284" s="1021" t="n"/>
      <c r="D284" s="1021" t="n"/>
      <c r="E284" s="1021" t="n"/>
      <c r="F284" s="1021" t="n"/>
      <c r="G284" s="1021" t="n"/>
      <c r="H284" s="1021" t="n"/>
      <c r="I284" s="1021" t="n"/>
      <c r="J284" s="1021" t="n"/>
      <c r="K284" s="1022" t="n"/>
      <c r="L284" s="963" t="n"/>
      <c r="M284" s="963" t="n"/>
      <c r="N284" s="963" t="n"/>
      <c r="O284" s="963" t="n"/>
      <c r="P284" s="963" t="n"/>
      <c r="Q284" s="963" t="n"/>
      <c r="R284" s="963" t="n"/>
      <c r="S284" s="963" t="n"/>
      <c r="T284" s="963" t="n"/>
      <c r="U284" s="991" t="n"/>
      <c r="V284" s="1021" t="n"/>
      <c r="W284" s="1021" t="n"/>
      <c r="X284" s="1021" t="n"/>
      <c r="Y284" s="1021" t="n"/>
      <c r="Z284" s="1021" t="n"/>
      <c r="AA284" s="989" t="n"/>
      <c r="AB284" s="1022" t="n"/>
      <c r="AC284" s="963" t="n"/>
      <c r="AD284" s="963" t="n"/>
      <c r="AE284" s="963" t="n"/>
      <c r="AF284" s="963" t="n"/>
      <c r="AG284" s="963" t="n"/>
      <c r="AH284" s="963" t="n"/>
      <c r="AI284" s="991" t="n"/>
      <c r="AJ284" s="1021" t="n"/>
      <c r="AK284" s="1021" t="n"/>
      <c r="AL284" s="1021" t="n"/>
      <c r="AM284" s="1021" t="n"/>
      <c r="AN284" s="1021" t="n"/>
      <c r="AO284" s="1021" t="n"/>
      <c r="AP284" s="1022" t="n"/>
      <c r="AQ284" s="963" t="n"/>
      <c r="AR284" s="963" t="n"/>
      <c r="AS284" s="963" t="n"/>
      <c r="AT284" s="963" t="n"/>
      <c r="AU284" s="963" t="n"/>
      <c r="AV284" s="963" t="n"/>
      <c r="AW284" s="991" t="n"/>
      <c r="AX284" s="18" t="n"/>
    </row>
    <row r="285" ht="16.4" customHeight="1" s="828">
      <c r="A285" s="722" t="n"/>
      <c r="B285" s="1021" t="n"/>
      <c r="C285" s="1021" t="n"/>
      <c r="D285" s="1021" t="n"/>
      <c r="E285" s="1021" t="n"/>
      <c r="F285" s="1021" t="n"/>
      <c r="G285" s="1021" t="n"/>
      <c r="H285" s="1021" t="n"/>
      <c r="I285" s="1021" t="n"/>
      <c r="J285" s="1021" t="n"/>
      <c r="K285" s="1022" t="n"/>
      <c r="L285" s="963" t="n"/>
      <c r="M285" s="963" t="n"/>
      <c r="N285" s="963" t="n"/>
      <c r="O285" s="963" t="n"/>
      <c r="P285" s="963" t="n"/>
      <c r="Q285" s="963" t="n"/>
      <c r="R285" s="963" t="n"/>
      <c r="S285" s="963" t="n"/>
      <c r="T285" s="963" t="n"/>
      <c r="U285" s="991" t="n"/>
      <c r="V285" s="1021" t="n"/>
      <c r="W285" s="1021" t="n"/>
      <c r="X285" s="1021" t="n"/>
      <c r="Y285" s="1021" t="n"/>
      <c r="Z285" s="1021" t="n"/>
      <c r="AA285" s="989" t="n"/>
      <c r="AB285" s="1022" t="n"/>
      <c r="AC285" s="963" t="n"/>
      <c r="AD285" s="963" t="n"/>
      <c r="AE285" s="963" t="n"/>
      <c r="AF285" s="963" t="n"/>
      <c r="AG285" s="963" t="n"/>
      <c r="AH285" s="963" t="n"/>
      <c r="AI285" s="991" t="n"/>
      <c r="AJ285" s="1021" t="n"/>
      <c r="AK285" s="1021" t="n"/>
      <c r="AL285" s="1021" t="n"/>
      <c r="AM285" s="1021" t="n"/>
      <c r="AN285" s="1021" t="n"/>
      <c r="AO285" s="1021" t="n"/>
      <c r="AP285" s="1022" t="n"/>
      <c r="AQ285" s="963" t="n"/>
      <c r="AR285" s="963" t="n"/>
      <c r="AS285" s="963" t="n"/>
      <c r="AT285" s="963" t="n"/>
      <c r="AU285" s="963" t="n"/>
      <c r="AV285" s="963" t="n"/>
      <c r="AW285" s="991" t="n"/>
      <c r="AX285" s="18" t="n"/>
    </row>
    <row r="286" ht="16.4" customHeight="1" s="828">
      <c r="A286" s="722" t="n"/>
      <c r="B286" s="1021" t="n"/>
      <c r="C286" s="1021" t="n"/>
      <c r="D286" s="1021" t="n"/>
      <c r="E286" s="1021" t="n"/>
      <c r="F286" s="1021" t="n"/>
      <c r="G286" s="1021" t="n"/>
      <c r="H286" s="1021" t="n"/>
      <c r="I286" s="1021" t="n"/>
      <c r="J286" s="1021" t="n"/>
      <c r="K286" s="1022" t="n"/>
      <c r="L286" s="963" t="n"/>
      <c r="M286" s="963" t="n"/>
      <c r="N286" s="963" t="n"/>
      <c r="O286" s="963" t="n"/>
      <c r="P286" s="963" t="n"/>
      <c r="Q286" s="963" t="n"/>
      <c r="R286" s="963" t="n"/>
      <c r="S286" s="963" t="n"/>
      <c r="T286" s="963" t="n"/>
      <c r="U286" s="991" t="n"/>
      <c r="V286" s="1021" t="n"/>
      <c r="W286" s="1021" t="n"/>
      <c r="X286" s="1021" t="n"/>
      <c r="Y286" s="1021" t="n"/>
      <c r="Z286" s="1021" t="n"/>
      <c r="AA286" s="989" t="n"/>
      <c r="AB286" s="1022" t="n"/>
      <c r="AC286" s="963" t="n"/>
      <c r="AD286" s="963" t="n"/>
      <c r="AE286" s="963" t="n"/>
      <c r="AF286" s="963" t="n"/>
      <c r="AG286" s="963" t="n"/>
      <c r="AH286" s="963" t="n"/>
      <c r="AI286" s="991" t="n"/>
      <c r="AJ286" s="1021" t="n"/>
      <c r="AK286" s="1021" t="n"/>
      <c r="AL286" s="1021" t="n"/>
      <c r="AM286" s="1021" t="n"/>
      <c r="AN286" s="1021" t="n"/>
      <c r="AO286" s="1021" t="n"/>
      <c r="AP286" s="1022" t="n"/>
      <c r="AQ286" s="963" t="n"/>
      <c r="AR286" s="963" t="n"/>
      <c r="AS286" s="963" t="n"/>
      <c r="AT286" s="963" t="n"/>
      <c r="AU286" s="963" t="n"/>
      <c r="AV286" s="963" t="n"/>
      <c r="AW286" s="991" t="n"/>
      <c r="AX286" s="18" t="n"/>
    </row>
    <row r="287" ht="16.4" customHeight="1" s="828">
      <c r="A287" s="722" t="n"/>
      <c r="B287" s="1021" t="n"/>
      <c r="C287" s="1021" t="n"/>
      <c r="D287" s="1021" t="n"/>
      <c r="E287" s="1021" t="n"/>
      <c r="F287" s="1021" t="n"/>
      <c r="G287" s="1021" t="n"/>
      <c r="H287" s="1021" t="n"/>
      <c r="I287" s="1021" t="n"/>
      <c r="J287" s="1021" t="n"/>
      <c r="K287" s="1022" t="n"/>
      <c r="L287" s="963" t="n"/>
      <c r="M287" s="963" t="n"/>
      <c r="N287" s="963" t="n"/>
      <c r="O287" s="963" t="n"/>
      <c r="P287" s="963" t="n"/>
      <c r="Q287" s="963" t="n"/>
      <c r="R287" s="963" t="n"/>
      <c r="S287" s="963" t="n"/>
      <c r="T287" s="963" t="n"/>
      <c r="U287" s="991" t="n"/>
      <c r="V287" s="1021" t="n"/>
      <c r="W287" s="1021" t="n"/>
      <c r="X287" s="1021" t="n"/>
      <c r="Y287" s="1021" t="n"/>
      <c r="Z287" s="1021" t="n"/>
      <c r="AA287" s="989" t="n"/>
      <c r="AB287" s="1022" t="n"/>
      <c r="AC287" s="963" t="n"/>
      <c r="AD287" s="963" t="n"/>
      <c r="AE287" s="963" t="n"/>
      <c r="AF287" s="963" t="n"/>
      <c r="AG287" s="963" t="n"/>
      <c r="AH287" s="963" t="n"/>
      <c r="AI287" s="991" t="n"/>
      <c r="AJ287" s="1021" t="n"/>
      <c r="AK287" s="1021" t="n"/>
      <c r="AL287" s="1021" t="n"/>
      <c r="AM287" s="1021" t="n"/>
      <c r="AN287" s="1021" t="n"/>
      <c r="AO287" s="1021" t="n"/>
      <c r="AP287" s="1022" t="n"/>
      <c r="AQ287" s="963" t="n"/>
      <c r="AR287" s="963" t="n"/>
      <c r="AS287" s="963" t="n"/>
      <c r="AT287" s="963" t="n"/>
      <c r="AU287" s="963" t="n"/>
      <c r="AV287" s="963" t="n"/>
      <c r="AW287" s="991" t="n"/>
      <c r="AX287" s="18" t="n"/>
    </row>
    <row r="288" ht="16.4" customHeight="1" s="828">
      <c r="A288" s="722" t="n"/>
      <c r="B288" s="1021" t="n"/>
      <c r="C288" s="1021" t="n"/>
      <c r="D288" s="1021" t="n"/>
      <c r="E288" s="1021" t="n"/>
      <c r="F288" s="1021" t="n"/>
      <c r="G288" s="1021" t="n"/>
      <c r="H288" s="1021" t="n"/>
      <c r="I288" s="1021" t="n"/>
      <c r="J288" s="1021" t="n"/>
      <c r="K288" s="1022" t="n"/>
      <c r="L288" s="963" t="n"/>
      <c r="M288" s="963" t="n"/>
      <c r="N288" s="963" t="n"/>
      <c r="O288" s="963" t="n"/>
      <c r="P288" s="963" t="n"/>
      <c r="Q288" s="963" t="n"/>
      <c r="R288" s="963" t="n"/>
      <c r="S288" s="963" t="n"/>
      <c r="T288" s="963" t="n"/>
      <c r="U288" s="991" t="n"/>
      <c r="V288" s="1021" t="n"/>
      <c r="W288" s="1021" t="n"/>
      <c r="X288" s="1021" t="n"/>
      <c r="Y288" s="1021" t="n"/>
      <c r="Z288" s="1021" t="n"/>
      <c r="AA288" s="989" t="n"/>
      <c r="AB288" s="1022" t="n"/>
      <c r="AC288" s="963" t="n"/>
      <c r="AD288" s="963" t="n"/>
      <c r="AE288" s="963" t="n"/>
      <c r="AF288" s="963" t="n"/>
      <c r="AG288" s="963" t="n"/>
      <c r="AH288" s="963" t="n"/>
      <c r="AI288" s="991" t="n"/>
      <c r="AJ288" s="1021" t="n"/>
      <c r="AK288" s="1021" t="n"/>
      <c r="AL288" s="1021" t="n"/>
      <c r="AM288" s="1021" t="n"/>
      <c r="AN288" s="1021" t="n"/>
      <c r="AO288" s="1021" t="n"/>
      <c r="AP288" s="1022" t="n"/>
      <c r="AQ288" s="963" t="n"/>
      <c r="AR288" s="963" t="n"/>
      <c r="AS288" s="963" t="n"/>
      <c r="AT288" s="963" t="n"/>
      <c r="AU288" s="963" t="n"/>
      <c r="AV288" s="963" t="n"/>
      <c r="AW288" s="991" t="n"/>
      <c r="AX288" s="18" t="n"/>
    </row>
    <row r="289" ht="16.4" customHeight="1" s="828">
      <c r="A289" s="722" t="n"/>
      <c r="B289" s="1021" t="n"/>
      <c r="C289" s="1021" t="n"/>
      <c r="D289" s="1021" t="n"/>
      <c r="E289" s="1021" t="n"/>
      <c r="F289" s="1021" t="n"/>
      <c r="G289" s="1021" t="n"/>
      <c r="H289" s="1021" t="n"/>
      <c r="I289" s="1021" t="n"/>
      <c r="J289" s="1021" t="n"/>
      <c r="K289" s="1022" t="n"/>
      <c r="L289" s="963" t="n"/>
      <c r="M289" s="963" t="n"/>
      <c r="N289" s="963" t="n"/>
      <c r="O289" s="963" t="n"/>
      <c r="P289" s="963" t="n"/>
      <c r="Q289" s="963" t="n"/>
      <c r="R289" s="963" t="n"/>
      <c r="S289" s="963" t="n"/>
      <c r="T289" s="963" t="n"/>
      <c r="U289" s="991" t="n"/>
      <c r="V289" s="1021" t="n"/>
      <c r="W289" s="1021" t="n"/>
      <c r="X289" s="1021" t="n"/>
      <c r="Y289" s="1021" t="n"/>
      <c r="Z289" s="1021" t="n"/>
      <c r="AA289" s="989" t="n"/>
      <c r="AB289" s="1022" t="n"/>
      <c r="AC289" s="963" t="n"/>
      <c r="AD289" s="963" t="n"/>
      <c r="AE289" s="963" t="n"/>
      <c r="AF289" s="963" t="n"/>
      <c r="AG289" s="963" t="n"/>
      <c r="AH289" s="963" t="n"/>
      <c r="AI289" s="991" t="n"/>
      <c r="AJ289" s="1021" t="n"/>
      <c r="AK289" s="1021" t="n"/>
      <c r="AL289" s="1021" t="n"/>
      <c r="AM289" s="1021" t="n"/>
      <c r="AN289" s="1021" t="n"/>
      <c r="AO289" s="1021" t="n"/>
      <c r="AP289" s="1022" t="n"/>
      <c r="AQ289" s="963" t="n"/>
      <c r="AR289" s="963" t="n"/>
      <c r="AS289" s="963" t="n"/>
      <c r="AT289" s="963" t="n"/>
      <c r="AU289" s="963" t="n"/>
      <c r="AV289" s="963" t="n"/>
      <c r="AW289" s="991" t="n"/>
      <c r="AX289" s="18" t="n"/>
    </row>
    <row r="290" ht="16.4" customFormat="1" customHeight="1" s="26">
      <c r="A290" s="687" t="n"/>
      <c r="B290" s="687" t="n"/>
      <c r="C290" s="687" t="n"/>
      <c r="D290" s="687" t="n"/>
      <c r="E290" s="687" t="n"/>
      <c r="F290" s="687" t="n"/>
      <c r="G290" s="687" t="n"/>
      <c r="H290" s="687" t="n"/>
      <c r="I290" s="687" t="n"/>
      <c r="J290" s="687" t="n"/>
      <c r="K290" s="687" t="n"/>
      <c r="L290" s="687" t="n"/>
      <c r="M290" s="687" t="n"/>
      <c r="N290" s="687" t="n"/>
      <c r="O290" s="687" t="n"/>
      <c r="P290" s="687" t="n"/>
      <c r="Q290" s="687" t="n"/>
      <c r="R290" s="687" t="n"/>
      <c r="S290" s="687" t="n"/>
      <c r="T290" s="687" t="n"/>
      <c r="U290" s="687" t="n"/>
      <c r="V290" s="687" t="n"/>
      <c r="W290" s="687" t="n"/>
      <c r="X290" s="687" t="n"/>
      <c r="Y290" s="687" t="n"/>
      <c r="Z290" s="687" t="n"/>
      <c r="AA290" s="687" t="n"/>
      <c r="AB290" s="687" t="n"/>
      <c r="AC290" s="687" t="n"/>
      <c r="AD290" s="687" t="n"/>
      <c r="AE290" s="687" t="n"/>
      <c r="AF290" s="687" t="n"/>
      <c r="AG290" s="687" t="n"/>
      <c r="AH290" s="687" t="n"/>
      <c r="AI290" s="687" t="n"/>
      <c r="AJ290" s="687" t="n"/>
      <c r="AK290" s="687" t="n"/>
      <c r="AL290" s="687" t="n"/>
      <c r="AM290" s="687" t="n"/>
      <c r="AN290" s="687" t="n"/>
      <c r="AO290" s="687" t="n"/>
      <c r="AP290" s="687" t="n"/>
      <c r="AQ290" s="687" t="n"/>
      <c r="AR290" s="687" t="n"/>
      <c r="AS290" s="687" t="n"/>
      <c r="AT290" s="687" t="n"/>
      <c r="AU290" s="687" t="n"/>
      <c r="AV290" s="687" t="n"/>
      <c r="AW290" s="687" t="n"/>
      <c r="AX290" s="18" t="n"/>
    </row>
    <row r="291" ht="16.4" customFormat="1" customHeight="1" s="26">
      <c r="A291" s="687" t="n"/>
      <c r="B291" s="687" t="n"/>
      <c r="C291" s="687" t="n"/>
      <c r="D291" s="687" t="n"/>
      <c r="E291" s="687" t="n"/>
      <c r="F291" s="687" t="n"/>
      <c r="G291" s="687" t="n"/>
      <c r="H291" s="687" t="n"/>
      <c r="I291" s="687" t="n"/>
      <c r="J291" s="687" t="n"/>
      <c r="K291" s="687" t="n"/>
      <c r="L291" s="687" t="n"/>
      <c r="M291" s="687" t="n"/>
      <c r="N291" s="687" t="n"/>
      <c r="O291" s="687" t="n"/>
      <c r="P291" s="687" t="n"/>
      <c r="Q291" s="687" t="n"/>
      <c r="R291" s="687" t="n"/>
      <c r="S291" s="687" t="n"/>
      <c r="T291" s="687" t="n"/>
      <c r="U291" s="687" t="n"/>
      <c r="V291" s="687" t="n"/>
      <c r="W291" s="687" t="n"/>
      <c r="X291" s="687" t="n"/>
      <c r="Y291" s="687" t="n"/>
      <c r="Z291" s="687" t="n"/>
      <c r="AA291" s="687" t="n"/>
      <c r="AB291" s="687" t="n"/>
      <c r="AC291" s="687" t="n"/>
      <c r="AD291" s="687" t="n"/>
      <c r="AE291" s="687" t="n"/>
      <c r="AF291" s="687" t="n"/>
      <c r="AG291" s="687" t="n"/>
      <c r="AH291" s="687" t="n"/>
      <c r="AI291" s="687" t="n"/>
      <c r="AJ291" s="687" t="n"/>
      <c r="AK291" s="687" t="n"/>
      <c r="AL291" s="687" t="n"/>
      <c r="AM291" s="687" t="n"/>
      <c r="AN291" s="687" t="n"/>
      <c r="AO291" s="687" t="n"/>
      <c r="AP291" s="687" t="n"/>
      <c r="AQ291" s="687" t="n"/>
      <c r="AR291" s="687" t="n"/>
      <c r="AS291" s="687" t="n"/>
      <c r="AT291" s="687" t="n"/>
      <c r="AU291" s="687" t="n"/>
      <c r="AV291" s="687" t="n"/>
      <c r="AW291" s="687" t="n"/>
      <c r="AX291" s="18" t="n"/>
    </row>
    <row r="292" ht="16.4" customHeight="1" s="828">
      <c r="A292" s="680" t="n"/>
      <c r="B292" s="680" t="n"/>
      <c r="C292" s="680" t="n"/>
      <c r="D292" s="680" t="n"/>
      <c r="E292" s="680" t="n"/>
      <c r="F292" s="680" t="n"/>
      <c r="G292" s="680" t="n"/>
      <c r="H292" s="680" t="n"/>
      <c r="I292" s="680" t="n"/>
      <c r="J292" s="680" t="n"/>
      <c r="K292" s="680" t="n"/>
      <c r="L292" s="680" t="n"/>
      <c r="M292" s="680" t="n"/>
      <c r="N292" s="680" t="n"/>
      <c r="O292" s="680" t="n"/>
      <c r="P292" s="680" t="n"/>
      <c r="Q292" s="680" t="n"/>
      <c r="R292" s="680" t="n"/>
      <c r="S292" s="680" t="n"/>
      <c r="T292" s="680" t="n"/>
      <c r="U292" s="680" t="n"/>
      <c r="V292" s="680" t="n"/>
      <c r="W292" s="680" t="n"/>
      <c r="X292" s="680" t="n"/>
      <c r="Y292" s="680" t="n"/>
      <c r="Z292" s="680" t="n"/>
      <c r="AA292" s="680" t="n"/>
      <c r="AB292" s="680" t="n"/>
      <c r="AC292" s="680" t="n"/>
      <c r="AD292" s="680" t="n"/>
      <c r="AE292" s="680" t="n"/>
      <c r="AF292" s="680" t="n"/>
      <c r="AG292" s="680" t="n"/>
      <c r="AH292" s="680" t="n"/>
      <c r="AI292" s="680" t="n"/>
      <c r="AJ292" s="680" t="n"/>
      <c r="AK292" s="680" t="n"/>
      <c r="AL292" s="680" t="n"/>
      <c r="AM292" s="680" t="n"/>
      <c r="AN292" s="680" t="n"/>
      <c r="AO292" s="680" t="n"/>
      <c r="AP292" s="680" t="n"/>
      <c r="AQ292" s="680" t="n"/>
      <c r="AR292" s="680" t="n"/>
      <c r="AS292" s="680" t="n"/>
      <c r="AT292" s="680" t="n"/>
      <c r="AU292" s="680" t="n"/>
      <c r="AV292" s="680" t="n"/>
      <c r="AW292" s="680" t="n"/>
      <c r="AX292" s="18" t="n"/>
    </row>
    <row r="293" ht="16.4" customHeight="1" s="828">
      <c r="A293" s="680" t="n"/>
      <c r="B293" s="680" t="n"/>
      <c r="C293" s="680" t="n"/>
      <c r="D293" s="680" t="n"/>
      <c r="E293" s="680" t="n"/>
      <c r="F293" s="680" t="n"/>
      <c r="G293" s="680" t="n"/>
      <c r="H293" s="680" t="n"/>
      <c r="I293" s="680" t="n"/>
      <c r="J293" s="680" t="n"/>
      <c r="K293" s="680" t="n"/>
      <c r="L293" s="680" t="n"/>
      <c r="M293" s="680" t="n"/>
      <c r="N293" s="680" t="n"/>
      <c r="O293" s="680" t="n"/>
      <c r="P293" s="680" t="n"/>
      <c r="Q293" s="680" t="n"/>
      <c r="R293" s="680" t="n"/>
      <c r="S293" s="680" t="n"/>
      <c r="T293" s="680" t="n"/>
      <c r="U293" s="680" t="n"/>
      <c r="V293" s="680" t="n"/>
      <c r="W293" s="680" t="n"/>
      <c r="X293" s="680" t="n"/>
      <c r="Y293" s="680" t="n"/>
      <c r="Z293" s="680" t="n"/>
      <c r="AA293" s="680" t="n"/>
      <c r="AB293" s="680" t="n"/>
      <c r="AC293" s="680" t="n"/>
      <c r="AD293" s="680" t="n"/>
      <c r="AE293" s="680" t="n"/>
      <c r="AF293" s="680" t="n"/>
      <c r="AG293" s="680" t="n"/>
      <c r="AH293" s="680" t="n"/>
      <c r="AI293" s="680" t="n"/>
      <c r="AJ293" s="680" t="n"/>
      <c r="AK293" s="680" t="n"/>
      <c r="AL293" s="680" t="n"/>
      <c r="AM293" s="680" t="n"/>
      <c r="AN293" s="680" t="n"/>
      <c r="AO293" s="680" t="n"/>
      <c r="AP293" s="680" t="n"/>
      <c r="AQ293" s="680" t="n"/>
      <c r="AR293" s="680" t="n"/>
      <c r="AS293" s="680" t="n"/>
      <c r="AT293" s="680" t="n"/>
      <c r="AU293" s="680" t="n"/>
      <c r="AV293" s="680" t="n"/>
      <c r="AW293" s="680" t="n"/>
      <c r="AX293" s="18" t="n"/>
    </row>
    <row r="294" ht="16.4" customHeight="1" s="828">
      <c r="A294" s="680" t="n"/>
      <c r="B294" s="680" t="n"/>
      <c r="C294" s="680" t="n"/>
      <c r="D294" s="680" t="n"/>
      <c r="E294" s="680" t="n"/>
      <c r="F294" s="680" t="n"/>
      <c r="G294" s="680" t="n"/>
      <c r="H294" s="680" t="n"/>
      <c r="I294" s="680" t="n"/>
      <c r="J294" s="680" t="n"/>
      <c r="K294" s="680" t="n"/>
      <c r="L294" s="680" t="n"/>
      <c r="M294" s="680" t="n"/>
      <c r="N294" s="680" t="n"/>
      <c r="O294" s="680" t="n"/>
      <c r="P294" s="680" t="n"/>
      <c r="Q294" s="680" t="n"/>
      <c r="R294" s="680" t="n"/>
      <c r="S294" s="680" t="n"/>
      <c r="T294" s="680" t="n"/>
      <c r="U294" s="680" t="n"/>
      <c r="V294" s="680" t="n"/>
      <c r="W294" s="680" t="n"/>
      <c r="X294" s="680" t="n"/>
      <c r="Y294" s="680" t="n"/>
      <c r="Z294" s="680" t="n"/>
      <c r="AA294" s="680" t="n"/>
      <c r="AB294" s="680" t="n"/>
      <c r="AC294" s="680" t="n"/>
      <c r="AD294" s="680" t="n"/>
      <c r="AE294" s="680" t="n"/>
      <c r="AF294" s="680" t="n"/>
      <c r="AG294" s="680" t="n"/>
      <c r="AH294" s="680" t="n"/>
      <c r="AI294" s="680" t="n"/>
      <c r="AJ294" s="680" t="n"/>
      <c r="AK294" s="680" t="n"/>
      <c r="AL294" s="680" t="n"/>
      <c r="AM294" s="680" t="n"/>
      <c r="AN294" s="680" t="n"/>
      <c r="AO294" s="680" t="n"/>
      <c r="AP294" s="680" t="n"/>
      <c r="AQ294" s="680" t="n"/>
      <c r="AR294" s="680" t="n"/>
      <c r="AS294" s="680" t="n"/>
      <c r="AT294" s="680" t="n"/>
      <c r="AU294" s="680" t="n"/>
      <c r="AV294" s="680" t="n"/>
      <c r="AW294" s="680" t="n"/>
      <c r="AX294" s="18" t="n"/>
    </row>
    <row r="295" ht="16.4" customHeight="1" s="828">
      <c r="A295" s="680" t="n"/>
      <c r="B295" s="680" t="n"/>
      <c r="C295" s="680" t="n"/>
      <c r="D295" s="680" t="n"/>
      <c r="E295" s="680" t="n"/>
      <c r="F295" s="680" t="n"/>
      <c r="G295" s="680" t="n"/>
      <c r="H295" s="680" t="n"/>
      <c r="I295" s="680" t="n"/>
      <c r="J295" s="680" t="n"/>
      <c r="K295" s="680" t="n"/>
      <c r="L295" s="680" t="n"/>
      <c r="M295" s="680" t="n"/>
      <c r="N295" s="680" t="n"/>
      <c r="O295" s="680" t="n"/>
      <c r="P295" s="680" t="n"/>
      <c r="Q295" s="680" t="n"/>
      <c r="R295" s="680" t="n"/>
      <c r="S295" s="680" t="n"/>
      <c r="T295" s="680" t="n"/>
      <c r="U295" s="680" t="n"/>
      <c r="V295" s="680" t="n"/>
      <c r="W295" s="680" t="n"/>
      <c r="X295" s="680" t="n"/>
      <c r="Y295" s="680" t="n"/>
      <c r="Z295" s="680" t="n"/>
      <c r="AA295" s="680" t="n"/>
      <c r="AB295" s="680" t="n"/>
      <c r="AC295" s="680" t="n"/>
      <c r="AD295" s="680" t="n"/>
      <c r="AE295" s="680" t="n"/>
      <c r="AF295" s="680" t="n"/>
      <c r="AG295" s="680" t="n"/>
      <c r="AH295" s="680" t="n"/>
      <c r="AI295" s="680" t="n"/>
      <c r="AJ295" s="680" t="n"/>
      <c r="AK295" s="680" t="n"/>
      <c r="AL295" s="680" t="n"/>
      <c r="AM295" s="680" t="n"/>
      <c r="AN295" s="680" t="n"/>
      <c r="AO295" s="680" t="n"/>
      <c r="AP295" s="680" t="n"/>
      <c r="AQ295" s="680" t="n"/>
      <c r="AR295" s="680" t="n"/>
      <c r="AS295" s="680" t="n"/>
      <c r="AT295" s="680" t="n"/>
      <c r="AU295" s="680" t="n"/>
      <c r="AV295" s="680" t="n"/>
      <c r="AW295" s="680" t="n"/>
      <c r="AX295" s="18" t="n"/>
    </row>
    <row r="296" ht="16.4" customHeight="1" s="828">
      <c r="A296" s="680" t="n"/>
      <c r="B296" s="680" t="n"/>
      <c r="C296" s="680" t="n"/>
      <c r="D296" s="680" t="n"/>
      <c r="E296" s="680" t="n"/>
      <c r="F296" s="680" t="n"/>
      <c r="G296" s="680" t="n"/>
      <c r="H296" s="680" t="n"/>
      <c r="I296" s="680" t="n"/>
      <c r="J296" s="680" t="n"/>
      <c r="K296" s="680" t="n"/>
      <c r="L296" s="680" t="n"/>
      <c r="M296" s="680" t="n"/>
      <c r="N296" s="680" t="n"/>
      <c r="O296" s="680" t="n"/>
      <c r="P296" s="680" t="n"/>
      <c r="Q296" s="680" t="n"/>
      <c r="R296" s="680" t="n"/>
      <c r="S296" s="680" t="n"/>
      <c r="T296" s="680" t="n"/>
      <c r="U296" s="680" t="n"/>
      <c r="V296" s="680" t="n"/>
      <c r="W296" s="680" t="n"/>
      <c r="X296" s="680" t="n"/>
      <c r="Y296" s="680" t="n"/>
      <c r="Z296" s="680" t="n"/>
      <c r="AA296" s="680" t="n"/>
      <c r="AB296" s="680" t="n"/>
      <c r="AC296" s="680" t="n"/>
      <c r="AD296" s="680" t="n"/>
      <c r="AE296" s="680" t="n"/>
      <c r="AF296" s="680" t="n"/>
      <c r="AG296" s="680" t="n"/>
      <c r="AH296" s="680" t="n"/>
      <c r="AI296" s="680" t="n"/>
      <c r="AJ296" s="680" t="n"/>
      <c r="AK296" s="680" t="n"/>
      <c r="AL296" s="680" t="n"/>
      <c r="AM296" s="680" t="n"/>
      <c r="AN296" s="680" t="n"/>
      <c r="AO296" s="680" t="n"/>
      <c r="AP296" s="680" t="n"/>
      <c r="AQ296" s="680" t="n"/>
      <c r="AR296" s="680" t="n"/>
      <c r="AS296" s="680" t="n"/>
      <c r="AT296" s="680" t="n"/>
      <c r="AU296" s="680" t="n"/>
      <c r="AV296" s="680" t="n"/>
      <c r="AW296" s="680" t="n"/>
      <c r="AX296" s="18" t="n"/>
    </row>
    <row r="297" ht="16.4" customHeight="1" s="828">
      <c r="A297" s="680" t="n"/>
      <c r="B297" s="680" t="n"/>
      <c r="C297" s="680" t="n"/>
      <c r="D297" s="680" t="n"/>
      <c r="E297" s="680" t="n"/>
      <c r="F297" s="680" t="n"/>
      <c r="G297" s="680" t="n"/>
      <c r="H297" s="680" t="n"/>
      <c r="I297" s="680" t="n"/>
      <c r="J297" s="680" t="n"/>
      <c r="K297" s="680" t="n"/>
      <c r="L297" s="680" t="n"/>
      <c r="M297" s="680" t="n"/>
      <c r="N297" s="680" t="n"/>
      <c r="O297" s="680" t="n"/>
      <c r="P297" s="680" t="n"/>
      <c r="Q297" s="680" t="n"/>
      <c r="R297" s="680" t="n"/>
      <c r="S297" s="680" t="n"/>
      <c r="T297" s="680" t="n"/>
      <c r="U297" s="680" t="n"/>
      <c r="V297" s="680" t="n"/>
      <c r="W297" s="680" t="n"/>
      <c r="X297" s="680" t="n"/>
      <c r="Y297" s="680" t="n"/>
      <c r="Z297" s="680" t="n"/>
      <c r="AA297" s="680" t="n"/>
      <c r="AB297" s="680" t="n"/>
      <c r="AC297" s="680" t="n"/>
      <c r="AD297" s="680" t="n"/>
      <c r="AE297" s="680" t="n"/>
      <c r="AF297" s="680" t="n"/>
      <c r="AG297" s="680" t="n"/>
      <c r="AH297" s="680" t="n"/>
      <c r="AI297" s="680" t="n"/>
      <c r="AJ297" s="680" t="n"/>
      <c r="AK297" s="680" t="n"/>
      <c r="AL297" s="680" t="n"/>
      <c r="AM297" s="680" t="n"/>
      <c r="AN297" s="680" t="n"/>
      <c r="AO297" s="680" t="n"/>
      <c r="AP297" s="680" t="n"/>
      <c r="AQ297" s="680" t="n"/>
      <c r="AR297" s="680" t="n"/>
      <c r="AS297" s="680" t="n"/>
      <c r="AT297" s="680" t="n"/>
      <c r="AU297" s="680" t="n"/>
      <c r="AV297" s="680" t="n"/>
      <c r="AW297" s="680" t="n"/>
      <c r="AX297" s="18" t="n"/>
    </row>
    <row r="298" ht="16.4" customHeight="1" s="828">
      <c r="A298" s="680" t="n"/>
      <c r="B298" s="680" t="n"/>
      <c r="C298" s="680" t="n"/>
      <c r="D298" s="680" t="n"/>
      <c r="E298" s="680" t="n"/>
      <c r="F298" s="680" t="n"/>
      <c r="G298" s="680" t="n"/>
      <c r="H298" s="680" t="n"/>
      <c r="I298" s="680" t="n"/>
      <c r="J298" s="680" t="n"/>
      <c r="K298" s="680" t="n"/>
      <c r="L298" s="680" t="n"/>
      <c r="M298" s="680" t="n"/>
      <c r="N298" s="680" t="n"/>
      <c r="O298" s="680" t="n"/>
      <c r="P298" s="680" t="n"/>
      <c r="Q298" s="680" t="n"/>
      <c r="R298" s="680" t="n"/>
      <c r="S298" s="680" t="n"/>
      <c r="T298" s="680" t="n"/>
      <c r="U298" s="680" t="n"/>
      <c r="V298" s="680" t="n"/>
      <c r="W298" s="680" t="n"/>
      <c r="X298" s="680" t="n"/>
      <c r="Y298" s="680" t="n"/>
      <c r="Z298" s="680" t="n"/>
      <c r="AA298" s="680" t="n"/>
      <c r="AB298" s="680" t="n"/>
      <c r="AC298" s="680" t="n"/>
      <c r="AD298" s="680" t="n"/>
      <c r="AE298" s="680" t="n"/>
      <c r="AF298" s="680" t="n"/>
      <c r="AG298" s="680" t="n"/>
      <c r="AH298" s="680" t="n"/>
      <c r="AI298" s="680" t="n"/>
      <c r="AJ298" s="680" t="n"/>
      <c r="AK298" s="680" t="n"/>
      <c r="AL298" s="680" t="n"/>
      <c r="AM298" s="680" t="n"/>
      <c r="AN298" s="680" t="n"/>
      <c r="AO298" s="680" t="n"/>
      <c r="AP298" s="680" t="n"/>
      <c r="AQ298" s="680" t="n"/>
      <c r="AR298" s="680" t="n"/>
      <c r="AS298" s="680" t="n"/>
      <c r="AT298" s="680" t="n"/>
      <c r="AU298" s="680" t="n"/>
      <c r="AV298" s="680" t="n"/>
      <c r="AW298" s="680" t="n"/>
      <c r="AX298" s="18" t="n"/>
    </row>
    <row r="299" ht="16.4" customHeight="1" s="828">
      <c r="A299" s="680" t="n"/>
      <c r="B299" s="680" t="n"/>
      <c r="C299" s="680" t="n"/>
      <c r="D299" s="680" t="n"/>
      <c r="E299" s="680" t="n"/>
      <c r="F299" s="680" t="n"/>
      <c r="G299" s="680" t="n"/>
      <c r="H299" s="680" t="n"/>
      <c r="I299" s="680" t="n"/>
      <c r="J299" s="680" t="n"/>
      <c r="K299" s="680" t="n"/>
      <c r="L299" s="680" t="n"/>
      <c r="M299" s="680" t="n"/>
      <c r="N299" s="680" t="n"/>
      <c r="O299" s="680" t="n"/>
      <c r="P299" s="680" t="n"/>
      <c r="Q299" s="680" t="n"/>
      <c r="R299" s="680" t="n"/>
      <c r="S299" s="680" t="n"/>
      <c r="T299" s="680" t="n"/>
      <c r="U299" s="680" t="n"/>
      <c r="V299" s="680" t="n"/>
      <c r="W299" s="680" t="n"/>
      <c r="X299" s="680" t="n"/>
      <c r="Y299" s="680" t="n"/>
      <c r="Z299" s="680" t="n"/>
      <c r="AA299" s="680" t="n"/>
      <c r="AB299" s="680" t="n"/>
      <c r="AC299" s="680" t="n"/>
      <c r="AD299" s="680" t="n"/>
      <c r="AE299" s="680" t="n"/>
      <c r="AF299" s="680" t="n"/>
      <c r="AG299" s="680" t="n"/>
      <c r="AH299" s="680" t="n"/>
      <c r="AI299" s="680" t="n"/>
      <c r="AJ299" s="680" t="n"/>
      <c r="AK299" s="680" t="n"/>
      <c r="AL299" s="680" t="n"/>
      <c r="AM299" s="680" t="n"/>
      <c r="AN299" s="680" t="n"/>
      <c r="AO299" s="680" t="n"/>
      <c r="AP299" s="680" t="n"/>
      <c r="AQ299" s="680" t="n"/>
      <c r="AR299" s="680" t="n"/>
      <c r="AS299" s="680" t="n"/>
      <c r="AT299" s="680" t="n"/>
      <c r="AU299" s="680" t="n"/>
      <c r="AV299" s="680" t="n"/>
      <c r="AW299" s="680" t="n"/>
      <c r="AX299" s="18" t="n"/>
    </row>
    <row r="300" ht="16.4" customHeight="1" s="828">
      <c r="A300" s="680" t="n"/>
      <c r="B300" s="680" t="n"/>
      <c r="C300" s="680" t="n"/>
      <c r="D300" s="680" t="n"/>
      <c r="E300" s="680" t="n"/>
      <c r="F300" s="680" t="n"/>
      <c r="G300" s="680" t="n"/>
      <c r="H300" s="680" t="n"/>
      <c r="I300" s="680" t="n"/>
      <c r="J300" s="680" t="n"/>
      <c r="K300" s="680" t="n"/>
      <c r="L300" s="680" t="n"/>
      <c r="M300" s="680" t="n"/>
      <c r="N300" s="680" t="n"/>
      <c r="O300" s="680" t="n"/>
      <c r="P300" s="680" t="n"/>
      <c r="Q300" s="680" t="n"/>
      <c r="R300" s="680" t="n"/>
      <c r="S300" s="680" t="n"/>
      <c r="T300" s="680" t="n"/>
      <c r="U300" s="680" t="n"/>
      <c r="V300" s="680" t="n"/>
      <c r="W300" s="680" t="n"/>
      <c r="X300" s="680" t="n"/>
      <c r="Y300" s="680" t="n"/>
      <c r="Z300" s="680" t="n"/>
      <c r="AA300" s="680" t="n"/>
      <c r="AB300" s="680" t="n"/>
      <c r="AC300" s="680" t="n"/>
      <c r="AD300" s="680" t="n"/>
      <c r="AE300" s="680" t="n"/>
      <c r="AF300" s="680" t="n"/>
      <c r="AG300" s="680" t="n"/>
      <c r="AH300" s="680" t="n"/>
      <c r="AI300" s="680" t="n"/>
      <c r="AJ300" s="680" t="n"/>
      <c r="AK300" s="680" t="n"/>
      <c r="AL300" s="680" t="n"/>
      <c r="AM300" s="680" t="n"/>
      <c r="AN300" s="680" t="n"/>
      <c r="AO300" s="680" t="n"/>
      <c r="AP300" s="680" t="n"/>
      <c r="AQ300" s="680" t="n"/>
      <c r="AR300" s="680" t="n"/>
      <c r="AS300" s="680" t="n"/>
      <c r="AT300" s="680" t="n"/>
      <c r="AU300" s="680" t="n"/>
      <c r="AV300" s="680" t="n"/>
      <c r="AW300" s="680" t="n"/>
      <c r="AX300" s="18" t="n"/>
    </row>
    <row r="301" ht="16.4" customFormat="1" customHeight="1" s="18">
      <c r="A301" s="722" t="n"/>
      <c r="B301" s="722" t="n"/>
      <c r="C301" s="722" t="n"/>
      <c r="D301" s="722" t="n"/>
      <c r="E301" s="722" t="n"/>
      <c r="F301" s="722" t="n"/>
      <c r="G301" s="722" t="n"/>
      <c r="H301" s="722" t="n"/>
      <c r="I301" s="722" t="n"/>
      <c r="J301" s="722" t="n"/>
      <c r="K301" s="722" t="n"/>
      <c r="L301" s="722" t="n"/>
      <c r="M301" s="722" t="n"/>
      <c r="N301" s="722" t="n"/>
      <c r="O301" s="722" t="n"/>
      <c r="P301" s="722" t="n"/>
      <c r="Q301" s="722" t="n"/>
      <c r="R301" s="722" t="n"/>
      <c r="S301" s="722" t="n"/>
      <c r="T301" s="722" t="n"/>
      <c r="U301" s="722" t="n"/>
      <c r="V301" s="722" t="n"/>
      <c r="W301" s="722" t="n"/>
      <c r="X301" s="722" t="n"/>
      <c r="Y301" s="722" t="n"/>
      <c r="Z301" s="722" t="n"/>
      <c r="AA301" s="722" t="n"/>
      <c r="AB301" s="722" t="n"/>
      <c r="AC301" s="722" t="n"/>
      <c r="AD301" s="722" t="n"/>
      <c r="AE301" s="722" t="n"/>
      <c r="AF301" s="722" t="n"/>
      <c r="AG301" s="722" t="n"/>
      <c r="AH301" s="722" t="n"/>
      <c r="AI301" s="722" t="n"/>
      <c r="AJ301" s="722" t="n"/>
      <c r="AK301" s="722" t="n"/>
      <c r="AL301" s="722" t="n"/>
      <c r="AM301" s="722" t="n"/>
      <c r="AN301" s="722" t="n"/>
      <c r="AO301" s="722" t="n"/>
      <c r="AP301" s="722" t="n"/>
      <c r="AQ301" s="722" t="n"/>
      <c r="AR301" s="722" t="n"/>
      <c r="AS301" s="722" t="n"/>
      <c r="AT301" s="722" t="n"/>
      <c r="AU301" s="722" t="n"/>
      <c r="AV301" s="722" t="n"/>
      <c r="AW301" s="722" t="n"/>
    </row>
    <row r="302" ht="16.4" customFormat="1" customHeight="1" s="18">
      <c r="A302" s="722" t="n"/>
      <c r="B302" s="722" t="n"/>
      <c r="C302" s="722" t="n"/>
      <c r="D302" s="722" t="n"/>
      <c r="E302" s="722" t="n"/>
      <c r="F302" s="722" t="n"/>
      <c r="G302" s="722" t="n"/>
      <c r="H302" s="722" t="n"/>
      <c r="I302" s="722" t="n"/>
      <c r="J302" s="722" t="n"/>
      <c r="K302" s="722" t="n"/>
      <c r="L302" s="722" t="n"/>
      <c r="M302" s="722" t="n"/>
      <c r="N302" s="722" t="n"/>
      <c r="O302" s="722" t="n"/>
      <c r="P302" s="722" t="n"/>
      <c r="Q302" s="722" t="n"/>
      <c r="R302" s="722" t="n"/>
      <c r="S302" s="722" t="n"/>
      <c r="T302" s="722" t="n"/>
      <c r="U302" s="722" t="n"/>
      <c r="V302" s="722" t="n"/>
      <c r="W302" s="722" t="n"/>
      <c r="X302" s="722" t="n"/>
      <c r="Y302" s="722" t="n"/>
      <c r="Z302" s="722" t="n"/>
      <c r="AA302" s="722" t="n"/>
      <c r="AB302" s="722" t="n"/>
      <c r="AC302" s="722" t="n"/>
      <c r="AD302" s="722" t="n"/>
      <c r="AE302" s="722" t="n"/>
      <c r="AF302" s="722" t="n"/>
      <c r="AG302" s="722" t="n"/>
      <c r="AH302" s="722" t="n"/>
      <c r="AI302" s="722" t="n"/>
      <c r="AJ302" s="722" t="n"/>
      <c r="AK302" s="722" t="n"/>
      <c r="AL302" s="722" t="n"/>
      <c r="AM302" s="722" t="n"/>
      <c r="AN302" s="722" t="n"/>
      <c r="AO302" s="722" t="n"/>
      <c r="AP302" s="722" t="n"/>
      <c r="AQ302" s="722" t="n"/>
      <c r="AR302" s="722" t="n"/>
      <c r="AS302" s="722" t="n"/>
      <c r="AT302" s="722" t="n"/>
      <c r="AU302" s="722" t="n"/>
      <c r="AV302" s="722" t="n"/>
      <c r="AW302" s="722" t="n"/>
    </row>
    <row r="303" ht="16.4" customFormat="1" customHeight="1" s="18">
      <c r="A303" s="722" t="n"/>
      <c r="B303" s="722" t="n"/>
      <c r="C303" s="722" t="n"/>
      <c r="D303" s="722" t="n"/>
      <c r="E303" s="722" t="n"/>
      <c r="F303" s="722" t="n"/>
      <c r="G303" s="722" t="n"/>
      <c r="H303" s="722" t="n"/>
      <c r="I303" s="722" t="n"/>
      <c r="J303" s="722" t="n"/>
      <c r="K303" s="722" t="n"/>
      <c r="L303" s="722" t="n"/>
      <c r="M303" s="722" t="n"/>
      <c r="N303" s="722" t="n"/>
      <c r="O303" s="722" t="n"/>
      <c r="P303" s="722" t="n"/>
      <c r="Q303" s="722" t="n"/>
      <c r="R303" s="722" t="n"/>
      <c r="S303" s="722" t="n"/>
      <c r="T303" s="722" t="n"/>
      <c r="U303" s="722" t="n"/>
      <c r="V303" s="722" t="n"/>
      <c r="W303" s="722" t="n"/>
      <c r="X303" s="722" t="n"/>
      <c r="Y303" s="722" t="n"/>
      <c r="Z303" s="722" t="n"/>
      <c r="AA303" s="722" t="n"/>
      <c r="AB303" s="722" t="n"/>
      <c r="AC303" s="722" t="n"/>
      <c r="AD303" s="722" t="n"/>
      <c r="AE303" s="722" t="n"/>
      <c r="AF303" s="722" t="n"/>
      <c r="AG303" s="722" t="n"/>
      <c r="AH303" s="722" t="n"/>
      <c r="AI303" s="722" t="n"/>
      <c r="AJ303" s="722" t="n"/>
      <c r="AK303" s="722" t="n"/>
      <c r="AL303" s="722" t="n"/>
      <c r="AM303" s="722" t="n"/>
      <c r="AN303" s="722" t="n"/>
      <c r="AO303" s="722" t="n"/>
      <c r="AP303" s="722" t="n"/>
      <c r="AQ303" s="722" t="n"/>
      <c r="AR303" s="722" t="n"/>
      <c r="AS303" s="722" t="n"/>
      <c r="AT303" s="722" t="n"/>
      <c r="AU303" s="722" t="n"/>
      <c r="AV303" s="722" t="n"/>
      <c r="AW303" s="722" t="n"/>
    </row>
    <row r="304" ht="16.4" customFormat="1" customHeight="1" s="18">
      <c r="A304" s="722" t="n"/>
      <c r="B304" s="722" t="n"/>
      <c r="C304" s="722" t="n"/>
      <c r="D304" s="722" t="n"/>
      <c r="E304" s="722" t="n"/>
      <c r="F304" s="722" t="n"/>
      <c r="G304" s="722" t="n"/>
      <c r="H304" s="722" t="n"/>
      <c r="I304" s="722" t="n"/>
      <c r="J304" s="722" t="n"/>
      <c r="K304" s="722" t="n"/>
      <c r="L304" s="722" t="n"/>
      <c r="M304" s="722" t="n"/>
      <c r="N304" s="722" t="n"/>
      <c r="O304" s="722" t="n"/>
      <c r="P304" s="722" t="n"/>
      <c r="Q304" s="722" t="n"/>
      <c r="R304" s="722" t="n"/>
      <c r="S304" s="722" t="n"/>
      <c r="T304" s="722" t="n"/>
      <c r="U304" s="722" t="n"/>
      <c r="V304" s="722" t="n"/>
      <c r="W304" s="722" t="n"/>
      <c r="X304" s="722" t="n"/>
      <c r="Y304" s="722" t="n"/>
      <c r="Z304" s="722" t="n"/>
      <c r="AA304" s="722" t="n"/>
      <c r="AB304" s="722" t="n"/>
      <c r="AC304" s="722" t="n"/>
      <c r="AD304" s="722" t="n"/>
      <c r="AE304" s="722" t="n"/>
      <c r="AF304" s="722" t="n"/>
      <c r="AG304" s="722" t="n"/>
      <c r="AH304" s="722" t="n"/>
      <c r="AI304" s="722" t="n"/>
      <c r="AJ304" s="722" t="n"/>
      <c r="AK304" s="722" t="n"/>
      <c r="AL304" s="722" t="n"/>
      <c r="AM304" s="722" t="n"/>
      <c r="AN304" s="722" t="n"/>
      <c r="AO304" s="722" t="n"/>
      <c r="AP304" s="722" t="n"/>
      <c r="AQ304" s="722" t="n"/>
      <c r="AR304" s="722" t="n"/>
      <c r="AS304" s="722" t="n"/>
      <c r="AT304" s="722" t="n"/>
      <c r="AU304" s="722" t="n"/>
      <c r="AV304" s="722" t="n"/>
      <c r="AW304" s="722" t="n"/>
    </row>
    <row r="305" ht="16.4" customFormat="1" customHeight="1" s="18">
      <c r="A305" s="722" t="n"/>
      <c r="B305" s="722" t="n"/>
      <c r="C305" s="722" t="n"/>
      <c r="D305" s="722" t="n"/>
      <c r="E305" s="722" t="n"/>
      <c r="F305" s="722" t="n"/>
      <c r="G305" s="722" t="n"/>
      <c r="H305" s="722" t="n"/>
      <c r="I305" s="722" t="n"/>
      <c r="J305" s="722" t="n"/>
      <c r="K305" s="722" t="n"/>
      <c r="L305" s="722" t="n"/>
      <c r="M305" s="722" t="n"/>
      <c r="N305" s="722" t="n"/>
      <c r="O305" s="722" t="n"/>
      <c r="P305" s="722" t="n"/>
      <c r="Q305" s="722" t="n"/>
      <c r="R305" s="722" t="n"/>
      <c r="S305" s="722" t="n"/>
      <c r="T305" s="722" t="n"/>
      <c r="U305" s="722" t="n"/>
      <c r="V305" s="722" t="n"/>
      <c r="W305" s="722" t="n"/>
      <c r="X305" s="722" t="n"/>
      <c r="Y305" s="722" t="n"/>
      <c r="Z305" s="722" t="n"/>
      <c r="AA305" s="722" t="n"/>
      <c r="AB305" s="722" t="n"/>
      <c r="AC305" s="722" t="n"/>
      <c r="AD305" s="722" t="n"/>
      <c r="AE305" s="722" t="n"/>
      <c r="AF305" s="722" t="n"/>
      <c r="AG305" s="722" t="n"/>
      <c r="AH305" s="722" t="n"/>
      <c r="AI305" s="722" t="n"/>
      <c r="AJ305" s="722" t="n"/>
      <c r="AK305" s="722" t="n"/>
      <c r="AL305" s="722" t="n"/>
      <c r="AM305" s="722" t="n"/>
      <c r="AN305" s="722" t="n"/>
      <c r="AO305" s="722" t="n"/>
      <c r="AP305" s="722" t="n"/>
      <c r="AQ305" s="722" t="n"/>
      <c r="AR305" s="722" t="n"/>
      <c r="AS305" s="722" t="n"/>
      <c r="AT305" s="722" t="n"/>
      <c r="AU305" s="722" t="n"/>
      <c r="AV305" s="722" t="n"/>
      <c r="AW305" s="722" t="n"/>
    </row>
    <row r="306" ht="16.4" customFormat="1" customHeight="1" s="18">
      <c r="A306" s="722" t="n"/>
      <c r="B306" s="722" t="n"/>
      <c r="C306" s="722" t="n"/>
      <c r="D306" s="722" t="n"/>
      <c r="E306" s="722" t="n"/>
      <c r="F306" s="722" t="n"/>
      <c r="G306" s="722" t="n"/>
      <c r="H306" s="722" t="n"/>
      <c r="I306" s="722" t="n"/>
      <c r="J306" s="722" t="n"/>
      <c r="K306" s="722" t="n"/>
      <c r="L306" s="722" t="n"/>
      <c r="M306" s="722" t="n"/>
      <c r="N306" s="722" t="n"/>
      <c r="O306" s="722" t="n"/>
      <c r="P306" s="722" t="n"/>
      <c r="Q306" s="722" t="n"/>
      <c r="R306" s="722" t="n"/>
      <c r="S306" s="722" t="n"/>
      <c r="T306" s="722" t="n"/>
      <c r="U306" s="722" t="n"/>
      <c r="V306" s="722" t="n"/>
      <c r="W306" s="722" t="n"/>
      <c r="X306" s="722" t="n"/>
      <c r="Y306" s="722" t="n"/>
      <c r="Z306" s="722" t="n"/>
      <c r="AA306" s="722" t="n"/>
      <c r="AB306" s="722" t="n"/>
      <c r="AC306" s="722" t="n"/>
      <c r="AD306" s="722" t="n"/>
      <c r="AE306" s="722" t="n"/>
      <c r="AF306" s="722" t="n"/>
      <c r="AG306" s="722" t="n"/>
      <c r="AH306" s="722" t="n"/>
      <c r="AI306" s="722" t="n"/>
      <c r="AJ306" s="722" t="n"/>
      <c r="AK306" s="722" t="n"/>
      <c r="AL306" s="722" t="n"/>
      <c r="AM306" s="722" t="n"/>
      <c r="AN306" s="722" t="n"/>
      <c r="AO306" s="722" t="n"/>
      <c r="AP306" s="722" t="n"/>
      <c r="AQ306" s="722" t="n"/>
      <c r="AR306" s="722" t="n"/>
      <c r="AS306" s="722" t="n"/>
      <c r="AT306" s="722" t="n"/>
      <c r="AU306" s="722" t="n"/>
      <c r="AV306" s="722" t="n"/>
      <c r="AW306" s="722" t="n"/>
    </row>
    <row r="307" ht="16.4" customFormat="1" customHeight="1" s="18">
      <c r="A307" s="722" t="n"/>
      <c r="B307" s="722" t="n"/>
      <c r="C307" s="722" t="n"/>
      <c r="D307" s="722" t="n"/>
      <c r="E307" s="722" t="n"/>
      <c r="F307" s="722" t="n"/>
      <c r="G307" s="722" t="n"/>
      <c r="H307" s="722" t="n"/>
      <c r="I307" s="722" t="n"/>
      <c r="J307" s="722" t="n"/>
      <c r="K307" s="722" t="n"/>
      <c r="L307" s="722" t="n"/>
      <c r="M307" s="722" t="n"/>
      <c r="N307" s="722" t="n"/>
      <c r="O307" s="722" t="n"/>
      <c r="P307" s="722" t="n"/>
      <c r="Q307" s="722" t="n"/>
      <c r="R307" s="722" t="n"/>
      <c r="S307" s="722" t="n"/>
      <c r="T307" s="722" t="n"/>
      <c r="U307" s="722" t="n"/>
      <c r="V307" s="722" t="n"/>
      <c r="W307" s="722" t="n"/>
      <c r="X307" s="722" t="n"/>
      <c r="Y307" s="722" t="n"/>
      <c r="Z307" s="722" t="n"/>
      <c r="AA307" s="722" t="n"/>
      <c r="AB307" s="722" t="n"/>
      <c r="AC307" s="722" t="n"/>
      <c r="AD307" s="722" t="n"/>
      <c r="AE307" s="722" t="n"/>
      <c r="AF307" s="722" t="n"/>
      <c r="AG307" s="722" t="n"/>
      <c r="AH307" s="722" t="n"/>
      <c r="AI307" s="722" t="n"/>
      <c r="AJ307" s="722" t="n"/>
      <c r="AK307" s="722" t="n"/>
      <c r="AL307" s="722" t="n"/>
      <c r="AM307" s="722" t="n"/>
      <c r="AN307" s="722" t="n"/>
      <c r="AO307" s="722" t="n"/>
      <c r="AP307" s="722" t="n"/>
      <c r="AQ307" s="722" t="n"/>
      <c r="AR307" s="722" t="n"/>
      <c r="AS307" s="722" t="n"/>
      <c r="AT307" s="722" t="n"/>
      <c r="AU307" s="722" t="n"/>
      <c r="AV307" s="722" t="n"/>
      <c r="AW307" s="722" t="n"/>
    </row>
    <row r="308" ht="16.4" customFormat="1" customHeight="1" s="18">
      <c r="A308" s="722" t="n"/>
      <c r="B308" s="722" t="n"/>
      <c r="C308" s="722" t="n"/>
      <c r="D308" s="722" t="n"/>
      <c r="E308" s="722" t="n"/>
      <c r="F308" s="722" t="n"/>
      <c r="G308" s="722" t="n"/>
      <c r="H308" s="722" t="n"/>
      <c r="I308" s="722" t="n"/>
      <c r="J308" s="722" t="n"/>
      <c r="K308" s="722" t="n"/>
      <c r="L308" s="722" t="n"/>
      <c r="M308" s="722" t="n"/>
      <c r="N308" s="722" t="n"/>
      <c r="O308" s="722" t="n"/>
      <c r="P308" s="722" t="n"/>
      <c r="Q308" s="722" t="n"/>
      <c r="R308" s="722" t="n"/>
      <c r="S308" s="722" t="n"/>
      <c r="T308" s="722" t="n"/>
      <c r="U308" s="722" t="n"/>
      <c r="V308" s="722" t="n"/>
      <c r="W308" s="722" t="n"/>
      <c r="X308" s="722" t="n"/>
      <c r="Y308" s="722" t="n"/>
      <c r="Z308" s="722" t="n"/>
      <c r="AA308" s="722" t="n"/>
      <c r="AB308" s="722" t="n"/>
      <c r="AC308" s="722" t="n"/>
      <c r="AD308" s="722" t="n"/>
      <c r="AE308" s="722" t="n"/>
      <c r="AF308" s="722" t="n"/>
      <c r="AG308" s="722" t="n"/>
      <c r="AH308" s="722" t="n"/>
      <c r="AI308" s="722" t="n"/>
      <c r="AJ308" s="722" t="n"/>
      <c r="AK308" s="722" t="n"/>
      <c r="AL308" s="722" t="n"/>
      <c r="AM308" s="722" t="n"/>
      <c r="AN308" s="722" t="n"/>
      <c r="AO308" s="722" t="n"/>
      <c r="AP308" s="722" t="n"/>
      <c r="AQ308" s="722" t="n"/>
      <c r="AR308" s="722" t="n"/>
      <c r="AS308" s="722" t="n"/>
      <c r="AT308" s="722" t="n"/>
      <c r="AU308" s="722" t="n"/>
      <c r="AV308" s="722" t="n"/>
      <c r="AW308" s="722" t="n"/>
    </row>
    <row r="309" ht="16.4" customFormat="1" customHeight="1" s="18">
      <c r="A309" s="722" t="n"/>
      <c r="B309" s="722" t="n"/>
      <c r="C309" s="722" t="n"/>
      <c r="D309" s="722" t="n"/>
      <c r="E309" s="722" t="n"/>
      <c r="F309" s="722" t="n"/>
      <c r="G309" s="722" t="n"/>
      <c r="H309" s="722" t="n"/>
      <c r="I309" s="722" t="n"/>
      <c r="J309" s="722" t="n"/>
      <c r="K309" s="722" t="n"/>
      <c r="L309" s="722" t="n"/>
      <c r="M309" s="722" t="n"/>
      <c r="N309" s="722" t="n"/>
      <c r="O309" s="722" t="n"/>
      <c r="P309" s="722" t="n"/>
      <c r="Q309" s="722" t="n"/>
      <c r="R309" s="722" t="n"/>
      <c r="S309" s="722" t="n"/>
      <c r="T309" s="722" t="n"/>
      <c r="U309" s="722" t="n"/>
      <c r="V309" s="722" t="n"/>
      <c r="W309" s="722" t="n"/>
      <c r="X309" s="722" t="n"/>
      <c r="Y309" s="722" t="n"/>
      <c r="Z309" s="722" t="n"/>
      <c r="AA309" s="722" t="n"/>
      <c r="AB309" s="722" t="n"/>
      <c r="AC309" s="722" t="n"/>
      <c r="AD309" s="722" t="n"/>
      <c r="AE309" s="722" t="n"/>
      <c r="AF309" s="722" t="n"/>
      <c r="AG309" s="722" t="n"/>
      <c r="AH309" s="722" t="n"/>
      <c r="AI309" s="722" t="n"/>
      <c r="AJ309" s="722" t="n"/>
      <c r="AK309" s="722" t="n"/>
      <c r="AL309" s="722" t="n"/>
      <c r="AM309" s="722" t="n"/>
      <c r="AN309" s="722" t="n"/>
      <c r="AO309" s="722" t="n"/>
      <c r="AP309" s="722" t="n"/>
      <c r="AQ309" s="722" t="n"/>
      <c r="AR309" s="722" t="n"/>
      <c r="AS309" s="722" t="n"/>
      <c r="AT309" s="722" t="n"/>
      <c r="AU309" s="722" t="n"/>
      <c r="AV309" s="722" t="n"/>
      <c r="AW309" s="722" t="n"/>
    </row>
    <row r="310" ht="16.4" customFormat="1" customHeight="1" s="18">
      <c r="A310" s="722" t="n"/>
      <c r="B310" s="722" t="n"/>
      <c r="C310" s="722" t="n"/>
      <c r="D310" s="722" t="n"/>
      <c r="E310" s="722" t="n"/>
      <c r="F310" s="722" t="n"/>
      <c r="G310" s="722" t="n"/>
      <c r="H310" s="722" t="n"/>
      <c r="I310" s="722" t="n"/>
      <c r="J310" s="722" t="n"/>
      <c r="K310" s="722" t="n"/>
      <c r="L310" s="722" t="n"/>
      <c r="M310" s="722" t="n"/>
      <c r="N310" s="722" t="n"/>
      <c r="O310" s="722" t="n"/>
      <c r="P310" s="722" t="n"/>
      <c r="Q310" s="722" t="n"/>
      <c r="R310" s="722" t="n"/>
      <c r="S310" s="722" t="n"/>
      <c r="T310" s="722" t="n"/>
      <c r="U310" s="722" t="n"/>
      <c r="V310" s="722" t="n"/>
      <c r="W310" s="722" t="n"/>
      <c r="X310" s="722" t="n"/>
      <c r="Y310" s="722" t="n"/>
      <c r="Z310" s="722" t="n"/>
      <c r="AA310" s="997" t="n"/>
      <c r="AB310" s="722" t="n"/>
      <c r="AC310" s="722" t="n"/>
      <c r="AD310" s="722" t="n"/>
      <c r="AE310" s="722" t="n"/>
      <c r="AF310" s="722" t="n"/>
      <c r="AG310" s="722" t="n"/>
      <c r="AH310" s="967" t="n"/>
      <c r="AI310" s="722" t="n"/>
      <c r="AJ310" s="722" t="n"/>
      <c r="AK310" s="722" t="n"/>
      <c r="AL310" s="722" t="n"/>
      <c r="AM310" s="722" t="n"/>
      <c r="AN310" s="722" t="n"/>
      <c r="AO310" s="722" t="n"/>
      <c r="AP310" s="722" t="n"/>
      <c r="AQ310" s="722" t="n"/>
      <c r="AR310" s="722" t="n"/>
      <c r="AS310" s="722" t="n"/>
      <c r="AT310" s="722" t="n"/>
      <c r="AU310" s="722" t="n"/>
      <c r="AV310" s="722" t="n"/>
      <c r="AW310" s="722" t="n"/>
    </row>
    <row r="311" ht="16.4" customFormat="1" customHeight="1" s="18">
      <c r="A311" s="722" t="n"/>
      <c r="B311" s="722" t="n"/>
      <c r="C311" s="722" t="n"/>
      <c r="D311" s="722" t="n"/>
      <c r="E311" s="722" t="n"/>
      <c r="F311" s="722" t="n"/>
      <c r="G311" s="722" t="n"/>
      <c r="H311" s="722" t="n"/>
      <c r="I311" s="722" t="n"/>
      <c r="J311" s="722" t="n"/>
      <c r="K311" s="722" t="n"/>
      <c r="L311" s="722" t="n"/>
      <c r="M311" s="722" t="n"/>
      <c r="N311" s="722" t="n"/>
      <c r="O311" s="722" t="n"/>
      <c r="P311" s="722" t="n"/>
      <c r="Q311" s="722" t="n"/>
      <c r="R311" s="722" t="n"/>
      <c r="S311" s="722" t="n"/>
      <c r="T311" s="722" t="n"/>
      <c r="U311" s="722" t="n"/>
      <c r="V311" s="722" t="n"/>
      <c r="W311" s="722" t="n"/>
      <c r="X311" s="722" t="n"/>
      <c r="Y311" s="722" t="n"/>
      <c r="Z311" s="722" t="n"/>
      <c r="AA311" s="997" t="n"/>
      <c r="AB311" s="722" t="n"/>
      <c r="AC311" s="722" t="n"/>
      <c r="AD311" s="722" t="n"/>
      <c r="AE311" s="722" t="n"/>
      <c r="AF311" s="722" t="n"/>
      <c r="AG311" s="722" t="n"/>
      <c r="AH311" s="967" t="n"/>
      <c r="AI311" s="722" t="n"/>
      <c r="AJ311" s="722" t="n"/>
      <c r="AK311" s="722" t="n"/>
      <c r="AL311" s="722" t="n"/>
      <c r="AM311" s="722" t="n"/>
      <c r="AN311" s="722" t="n"/>
      <c r="AO311" s="722" t="n"/>
      <c r="AP311" s="722" t="n"/>
      <c r="AQ311" s="722" t="n"/>
      <c r="AR311" s="722" t="n"/>
      <c r="AS311" s="722" t="n"/>
      <c r="AT311" s="722" t="n"/>
      <c r="AU311" s="722" t="n"/>
      <c r="AV311" s="722" t="n"/>
      <c r="AW311" s="722" t="n"/>
    </row>
    <row r="312" ht="16.4" customFormat="1" customHeight="1" s="18">
      <c r="A312" s="722" t="n"/>
      <c r="B312" s="722" t="n"/>
      <c r="C312" s="722" t="n"/>
      <c r="D312" s="722" t="n"/>
      <c r="E312" s="722" t="n"/>
      <c r="F312" s="722" t="n"/>
      <c r="G312" s="722" t="n"/>
      <c r="H312" s="722" t="n"/>
      <c r="I312" s="722" t="n"/>
      <c r="J312" s="722" t="n"/>
      <c r="K312" s="722" t="n"/>
      <c r="L312" s="722" t="n"/>
      <c r="M312" s="722" t="n"/>
      <c r="N312" s="722" t="n"/>
      <c r="O312" s="722" t="n"/>
      <c r="P312" s="722" t="n"/>
      <c r="Q312" s="722" t="n"/>
      <c r="R312" s="722" t="n"/>
      <c r="S312" s="722" t="n"/>
      <c r="T312" s="722" t="n"/>
      <c r="U312" s="722" t="n"/>
      <c r="V312" s="722" t="n"/>
      <c r="W312" s="722" t="n"/>
      <c r="X312" s="722" t="n"/>
      <c r="Y312" s="722" t="n"/>
      <c r="Z312" s="722" t="n"/>
      <c r="AA312" s="722" t="n"/>
      <c r="AB312" s="722" t="n"/>
      <c r="AC312" s="722" t="n"/>
      <c r="AD312" s="722" t="n"/>
      <c r="AE312" s="722" t="n"/>
      <c r="AF312" s="722" t="n"/>
      <c r="AG312" s="722" t="n"/>
      <c r="AH312" s="722" t="n"/>
      <c r="AI312" s="722" t="n"/>
      <c r="AJ312" s="722" t="n"/>
      <c r="AK312" s="722" t="n"/>
      <c r="AL312" s="722" t="n"/>
      <c r="AM312" s="722" t="n"/>
      <c r="AN312" s="722" t="n"/>
      <c r="AO312" s="722" t="n"/>
      <c r="AP312" s="722" t="n"/>
      <c r="AQ312" s="722" t="n"/>
      <c r="AR312" s="722" t="n"/>
      <c r="AS312" s="722" t="n"/>
      <c r="AT312" s="722" t="n"/>
      <c r="AU312" s="722" t="n"/>
      <c r="AV312" s="722" t="n"/>
      <c r="AW312" s="722" t="n"/>
    </row>
    <row r="313" ht="16.4" customFormat="1" customHeight="1" s="18">
      <c r="A313" s="722" t="n"/>
      <c r="B313" s="722" t="n"/>
      <c r="C313" s="722" t="n"/>
      <c r="D313" s="722" t="n"/>
      <c r="E313" s="722" t="n"/>
      <c r="F313" s="722" t="n"/>
      <c r="G313" s="722" t="n"/>
      <c r="H313" s="722" t="n"/>
      <c r="I313" s="722" t="n"/>
      <c r="J313" s="722" t="n"/>
      <c r="K313" s="722" t="n"/>
      <c r="L313" s="722" t="n"/>
      <c r="M313" s="722" t="n"/>
      <c r="N313" s="722" t="n"/>
      <c r="O313" s="722" t="n"/>
      <c r="P313" s="722" t="n"/>
      <c r="Q313" s="722" t="n"/>
      <c r="R313" s="722" t="n"/>
      <c r="S313" s="722" t="n"/>
      <c r="T313" s="722" t="n"/>
      <c r="U313" s="722" t="n"/>
      <c r="V313" s="722" t="n"/>
      <c r="W313" s="722" t="n"/>
      <c r="X313" s="722" t="n"/>
      <c r="Y313" s="722" t="n"/>
      <c r="Z313" s="722" t="n"/>
      <c r="AA313" s="722" t="n"/>
      <c r="AB313" s="722" t="n"/>
      <c r="AC313" s="722" t="n"/>
      <c r="AD313" s="722" t="n"/>
      <c r="AE313" s="722" t="n"/>
      <c r="AF313" s="722" t="n"/>
      <c r="AG313" s="722" t="n"/>
      <c r="AH313" s="722" t="n"/>
      <c r="AI313" s="722" t="n"/>
      <c r="AJ313" s="722" t="n"/>
      <c r="AK313" s="722" t="n"/>
      <c r="AL313" s="722" t="n"/>
      <c r="AM313" s="722" t="n"/>
      <c r="AN313" s="722" t="n"/>
      <c r="AO313" s="722" t="n"/>
      <c r="AP313" s="722" t="n"/>
      <c r="AQ313" s="722" t="n"/>
      <c r="AR313" s="722" t="n"/>
      <c r="AS313" s="722" t="n"/>
      <c r="AT313" s="722" t="n"/>
      <c r="AU313" s="722" t="n"/>
      <c r="AV313" s="722" t="n"/>
      <c r="AW313" s="722" t="n"/>
    </row>
    <row r="314" ht="16.4" customFormat="1" customHeight="1" s="18">
      <c r="A314" s="722" t="n"/>
      <c r="B314" s="722" t="n"/>
      <c r="C314" s="722" t="n"/>
      <c r="D314" s="722" t="n"/>
      <c r="E314" s="722" t="n"/>
      <c r="F314" s="722" t="n"/>
      <c r="G314" s="722" t="n"/>
      <c r="H314" s="722" t="n"/>
      <c r="I314" s="722" t="n"/>
      <c r="J314" s="722" t="n"/>
      <c r="K314" s="722" t="n"/>
      <c r="L314" s="722" t="n"/>
      <c r="M314" s="722" t="n"/>
      <c r="N314" s="722" t="n"/>
      <c r="O314" s="722" t="n"/>
      <c r="P314" s="722" t="n"/>
      <c r="Q314" s="722" t="n"/>
      <c r="R314" s="722" t="n"/>
      <c r="S314" s="722" t="n"/>
      <c r="T314" s="722" t="n"/>
      <c r="U314" s="722" t="n"/>
      <c r="V314" s="722" t="n"/>
      <c r="W314" s="722" t="n"/>
      <c r="X314" s="722" t="n"/>
      <c r="Y314" s="722" t="n"/>
      <c r="Z314" s="722" t="n"/>
      <c r="AA314" s="722" t="n"/>
      <c r="AB314" s="722" t="n"/>
      <c r="AC314" s="722" t="n"/>
      <c r="AD314" s="722" t="n"/>
      <c r="AE314" s="722" t="n"/>
      <c r="AF314" s="722" t="n"/>
      <c r="AG314" s="722" t="n"/>
      <c r="AH314" s="722" t="n"/>
      <c r="AI314" s="722" t="n"/>
      <c r="AJ314" s="722" t="n"/>
      <c r="AK314" s="722" t="n"/>
      <c r="AL314" s="722" t="n"/>
      <c r="AM314" s="722" t="n"/>
      <c r="AN314" s="722" t="n"/>
      <c r="AO314" s="722" t="n"/>
      <c r="AP314" s="722" t="n"/>
      <c r="AQ314" s="722" t="n"/>
      <c r="AR314" s="722" t="n"/>
      <c r="AS314" s="722" t="n"/>
      <c r="AT314" s="722" t="n"/>
      <c r="AU314" s="722" t="n"/>
      <c r="AV314" s="722" t="n"/>
      <c r="AW314" s="722" t="n"/>
    </row>
    <row r="315" ht="16.4" customFormat="1" customHeight="1" s="18">
      <c r="A315" s="722" t="n"/>
      <c r="B315" s="722" t="n"/>
      <c r="C315" s="722" t="n"/>
      <c r="D315" s="722" t="n"/>
      <c r="E315" s="722" t="n"/>
      <c r="F315" s="722" t="n"/>
      <c r="G315" s="722" t="n"/>
      <c r="H315" s="722" t="n"/>
      <c r="I315" s="722" t="n"/>
      <c r="J315" s="722" t="n"/>
      <c r="K315" s="722" t="n"/>
      <c r="L315" s="722" t="n"/>
      <c r="M315" s="722" t="n"/>
      <c r="N315" s="722" t="n"/>
      <c r="O315" s="722" t="n"/>
      <c r="P315" s="722" t="n"/>
      <c r="Q315" s="722" t="n"/>
      <c r="R315" s="722" t="n"/>
      <c r="S315" s="722" t="n"/>
      <c r="T315" s="722" t="n"/>
      <c r="U315" s="722" t="n"/>
      <c r="V315" s="722" t="n"/>
      <c r="W315" s="722" t="n"/>
      <c r="X315" s="722" t="n"/>
      <c r="Y315" s="722" t="n"/>
      <c r="Z315" s="722" t="n"/>
      <c r="AA315" s="722" t="n"/>
      <c r="AB315" s="722" t="n"/>
      <c r="AC315" s="722" t="n"/>
      <c r="AD315" s="722" t="n"/>
      <c r="AE315" s="722" t="n"/>
      <c r="AF315" s="722" t="n"/>
      <c r="AG315" s="722" t="n"/>
      <c r="AH315" s="722" t="n"/>
      <c r="AI315" s="722" t="n"/>
      <c r="AJ315" s="722" t="n"/>
      <c r="AK315" s="722" t="n"/>
      <c r="AL315" s="722" t="n"/>
      <c r="AM315" s="722" t="n"/>
      <c r="AN315" s="722" t="n"/>
      <c r="AO315" s="722" t="n"/>
      <c r="AP315" s="722" t="n"/>
      <c r="AQ315" s="722" t="n"/>
      <c r="AR315" s="722" t="n"/>
      <c r="AS315" s="722" t="n"/>
      <c r="AT315" s="722" t="n"/>
      <c r="AU315" s="722" t="n"/>
      <c r="AV315" s="722" t="n"/>
      <c r="AW315" s="722" t="n"/>
    </row>
    <row r="316" ht="16.4" customFormat="1" customHeight="1" s="18">
      <c r="A316" s="722" t="n"/>
      <c r="B316" s="722" t="n"/>
      <c r="C316" s="722" t="n"/>
      <c r="D316" s="722" t="n"/>
      <c r="E316" s="722" t="n"/>
      <c r="F316" s="722" t="n"/>
      <c r="G316" s="722" t="n"/>
      <c r="H316" s="722" t="n"/>
      <c r="I316" s="722" t="n"/>
      <c r="J316" s="722" t="n"/>
      <c r="K316" s="722" t="n"/>
      <c r="L316" s="722" t="n"/>
      <c r="M316" s="722" t="n"/>
      <c r="N316" s="722" t="n"/>
      <c r="O316" s="722" t="n"/>
      <c r="P316" s="722" t="n"/>
      <c r="Q316" s="722" t="n"/>
      <c r="R316" s="722" t="n"/>
      <c r="S316" s="722" t="n"/>
      <c r="T316" s="722" t="n"/>
      <c r="U316" s="722" t="n"/>
      <c r="V316" s="722" t="n"/>
      <c r="W316" s="722" t="n"/>
      <c r="X316" s="722" t="n"/>
      <c r="Y316" s="722" t="n"/>
      <c r="Z316" s="722" t="n"/>
      <c r="AA316" s="722" t="n"/>
      <c r="AB316" s="722" t="n"/>
      <c r="AC316" s="722" t="n"/>
      <c r="AD316" s="722" t="n"/>
      <c r="AE316" s="722" t="n"/>
      <c r="AF316" s="722" t="n"/>
      <c r="AG316" s="722" t="n"/>
      <c r="AH316" s="722" t="n"/>
      <c r="AI316" s="722" t="n"/>
      <c r="AJ316" s="722" t="n"/>
      <c r="AK316" s="722" t="n"/>
      <c r="AL316" s="722" t="n"/>
      <c r="AM316" s="722" t="n"/>
      <c r="AN316" s="722" t="n"/>
      <c r="AO316" s="722" t="n"/>
      <c r="AP316" s="722" t="n"/>
      <c r="AQ316" s="722" t="n"/>
      <c r="AR316" s="722" t="n"/>
      <c r="AS316" s="722" t="n"/>
      <c r="AT316" s="722" t="n"/>
      <c r="AU316" s="722" t="n"/>
      <c r="AV316" s="722" t="n"/>
      <c r="AW316" s="722" t="n"/>
    </row>
    <row r="317" ht="16.4" customFormat="1" customHeight="1" s="18">
      <c r="A317" s="722" t="n"/>
      <c r="B317" s="722" t="n"/>
      <c r="C317" s="722" t="n"/>
      <c r="D317" s="722" t="n"/>
      <c r="E317" s="722" t="n"/>
      <c r="F317" s="722" t="n"/>
      <c r="G317" s="722" t="n"/>
      <c r="H317" s="722" t="n"/>
      <c r="I317" s="722" t="n"/>
      <c r="J317" s="722" t="n"/>
      <c r="K317" s="722" t="n"/>
      <c r="L317" s="722" t="n"/>
      <c r="M317" s="722" t="n"/>
      <c r="N317" s="722" t="n"/>
      <c r="O317" s="722" t="n"/>
      <c r="P317" s="722" t="n"/>
      <c r="Q317" s="722" t="n"/>
      <c r="R317" s="722" t="n"/>
      <c r="S317" s="722" t="n"/>
      <c r="T317" s="722" t="n"/>
      <c r="U317" s="722" t="n"/>
      <c r="V317" s="722" t="n"/>
      <c r="W317" s="722" t="n"/>
      <c r="X317" s="722" t="n"/>
      <c r="Y317" s="722" t="n"/>
      <c r="Z317" s="722" t="n"/>
      <c r="AA317" s="722" t="n"/>
      <c r="AB317" s="722" t="n"/>
      <c r="AC317" s="722" t="n"/>
      <c r="AD317" s="722" t="n"/>
      <c r="AE317" s="722" t="n"/>
      <c r="AF317" s="722" t="n"/>
      <c r="AG317" s="722" t="n"/>
      <c r="AH317" s="722" t="n"/>
      <c r="AI317" s="722" t="n"/>
      <c r="AJ317" s="722" t="n"/>
      <c r="AK317" s="722" t="n"/>
      <c r="AL317" s="722" t="n"/>
      <c r="AM317" s="722" t="n"/>
      <c r="AN317" s="722" t="n"/>
      <c r="AO317" s="722" t="n"/>
      <c r="AP317" s="722" t="n"/>
      <c r="AQ317" s="722" t="n"/>
      <c r="AR317" s="722" t="n"/>
      <c r="AS317" s="722" t="n"/>
      <c r="AT317" s="722" t="n"/>
      <c r="AU317" s="722" t="n"/>
      <c r="AV317" s="722" t="n"/>
      <c r="AW317" s="722" t="n"/>
    </row>
    <row r="318" ht="16.4" customFormat="1" customHeight="1" s="18">
      <c r="A318" s="722" t="n"/>
      <c r="B318" s="722" t="n"/>
      <c r="C318" s="722" t="n"/>
      <c r="D318" s="722" t="n"/>
      <c r="E318" s="722" t="n"/>
      <c r="F318" s="722" t="n"/>
      <c r="G318" s="722" t="n"/>
      <c r="H318" s="722" t="n"/>
      <c r="I318" s="722" t="n"/>
      <c r="J318" s="722" t="n"/>
      <c r="K318" s="722" t="n"/>
      <c r="L318" s="722" t="n"/>
      <c r="M318" s="722" t="n"/>
      <c r="N318" s="722" t="n"/>
      <c r="O318" s="722" t="n"/>
      <c r="P318" s="722" t="n"/>
      <c r="Q318" s="722" t="n"/>
      <c r="R318" s="722" t="n"/>
      <c r="S318" s="722" t="n"/>
      <c r="T318" s="722" t="n"/>
      <c r="U318" s="722" t="n"/>
      <c r="V318" s="722" t="n"/>
      <c r="W318" s="722" t="n"/>
      <c r="X318" s="722" t="n"/>
      <c r="Y318" s="722" t="n"/>
      <c r="Z318" s="722" t="n"/>
      <c r="AA318" s="722" t="n"/>
      <c r="AB318" s="722" t="n"/>
      <c r="AC318" s="722" t="n"/>
      <c r="AD318" s="722" t="n"/>
      <c r="AE318" s="722" t="n"/>
      <c r="AF318" s="722" t="n"/>
      <c r="AG318" s="722" t="n"/>
      <c r="AH318" s="722" t="n"/>
      <c r="AI318" s="722" t="n"/>
      <c r="AJ318" s="722" t="n"/>
      <c r="AK318" s="722" t="n"/>
      <c r="AL318" s="722" t="n"/>
      <c r="AM318" s="722" t="n"/>
      <c r="AN318" s="722" t="n"/>
      <c r="AO318" s="722" t="n"/>
      <c r="AP318" s="722" t="n"/>
      <c r="AQ318" s="722" t="n"/>
      <c r="AR318" s="722" t="n"/>
      <c r="AS318" s="722" t="n"/>
      <c r="AT318" s="722" t="n"/>
      <c r="AU318" s="722" t="n"/>
      <c r="AV318" s="722" t="n"/>
      <c r="AW318" s="722" t="n"/>
    </row>
    <row r="319" ht="16.4" customFormat="1" customHeight="1" s="18">
      <c r="A319" s="722" t="n"/>
      <c r="B319" s="722" t="n"/>
      <c r="C319" s="722" t="n"/>
      <c r="D319" s="722" t="n"/>
      <c r="E319" s="722" t="n"/>
      <c r="F319" s="722" t="n"/>
      <c r="G319" s="722" t="n"/>
      <c r="H319" s="722" t="n"/>
      <c r="I319" s="722" t="n"/>
      <c r="J319" s="722" t="n"/>
      <c r="K319" s="722" t="n"/>
      <c r="L319" s="722" t="n"/>
      <c r="M319" s="722" t="n"/>
      <c r="N319" s="722" t="n"/>
      <c r="O319" s="722" t="n"/>
      <c r="P319" s="722" t="n"/>
      <c r="Q319" s="722" t="n"/>
      <c r="R319" s="722" t="n"/>
      <c r="S319" s="722" t="n"/>
      <c r="T319" s="722" t="n"/>
      <c r="U319" s="722" t="n"/>
      <c r="V319" s="722" t="n"/>
      <c r="W319" s="722" t="n"/>
      <c r="X319" s="722" t="n"/>
      <c r="Y319" s="722" t="n"/>
      <c r="Z319" s="722" t="n"/>
      <c r="AA319" s="997" t="n"/>
      <c r="AB319" s="722" t="n"/>
      <c r="AC319" s="722" t="n"/>
      <c r="AD319" s="722" t="n"/>
      <c r="AE319" s="722" t="n"/>
      <c r="AF319" s="722" t="n"/>
      <c r="AG319" s="722" t="n"/>
      <c r="AH319" s="967" t="n"/>
      <c r="AI319" s="722" t="n"/>
      <c r="AJ319" s="722" t="n"/>
      <c r="AK319" s="722" t="n"/>
      <c r="AL319" s="722" t="n"/>
      <c r="AM319" s="722" t="n"/>
      <c r="AN319" s="722" t="n"/>
      <c r="AO319" s="722" t="n"/>
      <c r="AP319" s="722" t="n"/>
      <c r="AQ319" s="722" t="n"/>
      <c r="AR319" s="722" t="n"/>
      <c r="AS319" s="722" t="n"/>
      <c r="AT319" s="722" t="n"/>
      <c r="AU319" s="722" t="n"/>
      <c r="AV319" s="722" t="n"/>
      <c r="AW319" s="722" t="n"/>
    </row>
    <row r="320" ht="16.4" customFormat="1" customHeight="1" s="18">
      <c r="A320" s="722" t="n"/>
      <c r="B320" s="722" t="n"/>
      <c r="C320" s="722" t="n"/>
      <c r="D320" s="722" t="n"/>
      <c r="E320" s="722" t="n"/>
      <c r="F320" s="722" t="n"/>
      <c r="G320" s="722" t="n"/>
      <c r="H320" s="722" t="n"/>
      <c r="I320" s="722" t="n"/>
      <c r="J320" s="722" t="n"/>
      <c r="K320" s="722" t="n"/>
      <c r="L320" s="722" t="n"/>
      <c r="M320" s="722" t="n"/>
      <c r="N320" s="722" t="n"/>
      <c r="O320" s="722" t="n"/>
      <c r="P320" s="722" t="n"/>
      <c r="Q320" s="722" t="n"/>
      <c r="R320" s="722" t="n"/>
      <c r="S320" s="722" t="n"/>
      <c r="T320" s="722" t="n"/>
      <c r="U320" s="722" t="n"/>
      <c r="V320" s="722" t="n"/>
      <c r="W320" s="722" t="n"/>
      <c r="X320" s="722" t="n"/>
      <c r="Y320" s="722" t="n"/>
      <c r="Z320" s="722" t="n"/>
      <c r="AA320" s="722" t="n"/>
      <c r="AB320" s="722" t="n"/>
      <c r="AC320" s="722" t="n"/>
      <c r="AD320" s="722" t="n"/>
      <c r="AE320" s="722" t="n"/>
      <c r="AF320" s="722" t="n"/>
      <c r="AG320" s="722" t="n"/>
      <c r="AH320" s="722" t="n"/>
      <c r="AI320" s="722" t="n"/>
      <c r="AJ320" s="722" t="n"/>
      <c r="AK320" s="722" t="n"/>
      <c r="AL320" s="722" t="n"/>
      <c r="AM320" s="722" t="n"/>
      <c r="AN320" s="722" t="n"/>
      <c r="AO320" s="722" t="n"/>
      <c r="AP320" s="722" t="n"/>
      <c r="AQ320" s="722" t="n"/>
      <c r="AR320" s="722" t="n"/>
      <c r="AS320" s="722" t="n"/>
      <c r="AT320" s="722" t="n"/>
      <c r="AU320" s="722" t="n"/>
      <c r="AV320" s="722" t="n"/>
      <c r="AW320" s="722" t="n"/>
    </row>
    <row r="321" ht="16.4" customFormat="1" customHeight="1" s="18">
      <c r="A321" s="722" t="n"/>
      <c r="B321" s="722" t="n"/>
      <c r="C321" s="722" t="n"/>
      <c r="D321" s="722" t="n"/>
      <c r="E321" s="722" t="n"/>
      <c r="F321" s="722" t="n"/>
      <c r="G321" s="722" t="n"/>
      <c r="H321" s="722" t="n"/>
      <c r="I321" s="722" t="n"/>
      <c r="J321" s="722" t="n"/>
      <c r="K321" s="722" t="n"/>
      <c r="L321" s="722" t="n"/>
      <c r="M321" s="722" t="n"/>
      <c r="N321" s="722" t="n"/>
      <c r="O321" s="722" t="n"/>
      <c r="P321" s="722" t="n"/>
      <c r="Q321" s="722" t="n"/>
      <c r="R321" s="722" t="n"/>
      <c r="S321" s="722" t="n"/>
      <c r="T321" s="722" t="n"/>
      <c r="U321" s="722" t="n"/>
      <c r="V321" s="722" t="n"/>
      <c r="W321" s="722" t="n"/>
      <c r="X321" s="722" t="n"/>
      <c r="Y321" s="722" t="n"/>
      <c r="Z321" s="722" t="n"/>
      <c r="AA321" s="722" t="n"/>
      <c r="AB321" s="722" t="n"/>
      <c r="AC321" s="722" t="n"/>
      <c r="AD321" s="722" t="n"/>
      <c r="AE321" s="722" t="n"/>
      <c r="AF321" s="722" t="n"/>
      <c r="AG321" s="722" t="n"/>
      <c r="AH321" s="722" t="n"/>
      <c r="AI321" s="722" t="n"/>
      <c r="AJ321" s="722" t="n"/>
      <c r="AK321" s="722" t="n"/>
      <c r="AL321" s="722" t="n"/>
      <c r="AM321" s="722" t="n"/>
      <c r="AN321" s="722" t="n"/>
      <c r="AO321" s="722" t="n"/>
      <c r="AP321" s="722" t="n"/>
      <c r="AQ321" s="722" t="n"/>
      <c r="AR321" s="722" t="n"/>
      <c r="AS321" s="722" t="n"/>
      <c r="AT321" s="722" t="n"/>
      <c r="AU321" s="722" t="n"/>
      <c r="AV321" s="722" t="n"/>
      <c r="AW321" s="722" t="n"/>
    </row>
    <row r="322" ht="16.4" customFormat="1" customHeight="1" s="18">
      <c r="A322" s="722" t="n"/>
      <c r="B322" s="722" t="n"/>
      <c r="C322" s="722" t="n"/>
      <c r="D322" s="722" t="n"/>
      <c r="E322" s="722" t="n"/>
      <c r="F322" s="722" t="n"/>
      <c r="G322" s="722" t="n"/>
      <c r="H322" s="722" t="n"/>
      <c r="I322" s="722" t="n"/>
      <c r="J322" s="722" t="n"/>
      <c r="K322" s="722" t="n"/>
      <c r="L322" s="722" t="n"/>
      <c r="M322" s="722" t="n"/>
      <c r="N322" s="722" t="n"/>
      <c r="O322" s="722" t="n"/>
      <c r="P322" s="722" t="n"/>
      <c r="Q322" s="722" t="n"/>
      <c r="R322" s="722" t="n"/>
      <c r="S322" s="722" t="n"/>
      <c r="T322" s="722" t="n"/>
      <c r="U322" s="722" t="n"/>
      <c r="V322" s="722" t="n"/>
      <c r="W322" s="722" t="n"/>
      <c r="X322" s="722" t="n"/>
      <c r="Y322" s="722" t="n"/>
      <c r="Z322" s="722" t="n"/>
      <c r="AA322" s="722" t="n"/>
      <c r="AB322" s="722" t="n"/>
      <c r="AC322" s="722" t="n"/>
      <c r="AD322" s="722" t="n"/>
      <c r="AE322" s="722" t="n"/>
      <c r="AF322" s="722" t="n"/>
      <c r="AG322" s="722" t="n"/>
      <c r="AH322" s="722" t="n"/>
      <c r="AI322" s="722" t="n"/>
      <c r="AJ322" s="722" t="n"/>
      <c r="AK322" s="722" t="n"/>
      <c r="AL322" s="722" t="n"/>
      <c r="AM322" s="722" t="n"/>
      <c r="AN322" s="722" t="n"/>
      <c r="AO322" s="722" t="n"/>
      <c r="AP322" s="722" t="n"/>
      <c r="AQ322" s="722" t="n"/>
      <c r="AR322" s="722" t="n"/>
      <c r="AS322" s="722" t="n"/>
      <c r="AT322" s="722" t="n"/>
      <c r="AU322" s="722" t="n"/>
      <c r="AV322" s="722" t="n"/>
      <c r="AW322" s="722" t="n"/>
    </row>
    <row r="323" ht="16.4" customFormat="1" customHeight="1" s="18">
      <c r="A323" s="722" t="n"/>
      <c r="B323" s="722" t="n"/>
      <c r="C323" s="722" t="n"/>
      <c r="D323" s="722" t="n"/>
      <c r="E323" s="722" t="n"/>
      <c r="F323" s="722" t="n"/>
      <c r="G323" s="722" t="n"/>
      <c r="H323" s="722" t="n"/>
      <c r="I323" s="722" t="n"/>
      <c r="J323" s="722" t="n"/>
      <c r="K323" s="722" t="n"/>
      <c r="L323" s="722" t="n"/>
      <c r="M323" s="722" t="n"/>
      <c r="N323" s="722" t="n"/>
      <c r="O323" s="722" t="n"/>
      <c r="P323" s="722" t="n"/>
      <c r="Q323" s="722" t="n"/>
      <c r="R323" s="722" t="n"/>
      <c r="S323" s="722" t="n"/>
      <c r="T323" s="722" t="n"/>
      <c r="U323" s="722" t="n"/>
      <c r="V323" s="722" t="n"/>
      <c r="W323" s="722" t="n"/>
      <c r="X323" s="722" t="n"/>
      <c r="Y323" s="722" t="n"/>
      <c r="Z323" s="722" t="n"/>
      <c r="AA323" s="722" t="n"/>
      <c r="AB323" s="722" t="n"/>
      <c r="AC323" s="722" t="n"/>
      <c r="AD323" s="722" t="n"/>
      <c r="AE323" s="722" t="n"/>
      <c r="AF323" s="722" t="n"/>
      <c r="AG323" s="722" t="n"/>
      <c r="AH323" s="722" t="n"/>
      <c r="AI323" s="722" t="n"/>
      <c r="AJ323" s="722" t="n"/>
      <c r="AK323" s="722" t="n"/>
      <c r="AL323" s="722" t="n"/>
      <c r="AM323" s="722" t="n"/>
      <c r="AN323" s="722" t="n"/>
      <c r="AO323" s="722" t="n"/>
      <c r="AP323" s="722" t="n"/>
      <c r="AQ323" s="722" t="n"/>
      <c r="AR323" s="722" t="n"/>
      <c r="AS323" s="722" t="n"/>
      <c r="AT323" s="722" t="n"/>
      <c r="AU323" s="722" t="n"/>
      <c r="AV323" s="722" t="n"/>
      <c r="AW323" s="722" t="n"/>
    </row>
    <row r="324" ht="16.4" customFormat="1" customHeight="1" s="18">
      <c r="A324" s="722" t="n"/>
      <c r="B324" s="722" t="n"/>
      <c r="C324" s="722" t="n"/>
      <c r="D324" s="722" t="n"/>
      <c r="E324" s="722" t="n"/>
      <c r="F324" s="722" t="n"/>
      <c r="G324" s="722" t="n"/>
      <c r="H324" s="722" t="n"/>
      <c r="I324" s="722" t="n"/>
      <c r="J324" s="722" t="n"/>
      <c r="K324" s="722" t="n"/>
      <c r="L324" s="722" t="n"/>
      <c r="M324" s="722" t="n"/>
      <c r="N324" s="722" t="n"/>
      <c r="O324" s="722" t="n"/>
      <c r="P324" s="722" t="n"/>
      <c r="Q324" s="722" t="n"/>
      <c r="R324" s="722" t="n"/>
      <c r="S324" s="722" t="n"/>
      <c r="T324" s="722" t="n"/>
      <c r="U324" s="722" t="n"/>
      <c r="V324" s="722" t="n"/>
      <c r="W324" s="722" t="n"/>
      <c r="X324" s="722" t="n"/>
      <c r="Y324" s="722" t="n"/>
      <c r="Z324" s="722" t="n"/>
      <c r="AA324" s="722" t="n"/>
      <c r="AB324" s="722" t="n"/>
      <c r="AC324" s="722" t="n"/>
      <c r="AD324" s="722" t="n"/>
      <c r="AE324" s="722" t="n"/>
      <c r="AF324" s="722" t="n"/>
      <c r="AG324" s="722" t="n"/>
      <c r="AH324" s="722" t="n"/>
      <c r="AI324" s="722" t="n"/>
      <c r="AJ324" s="722" t="n"/>
      <c r="AK324" s="722" t="n"/>
      <c r="AL324" s="722" t="n"/>
      <c r="AM324" s="722" t="n"/>
      <c r="AN324" s="722" t="n"/>
      <c r="AO324" s="722" t="n"/>
      <c r="AP324" s="722" t="n"/>
      <c r="AQ324" s="722" t="n"/>
      <c r="AR324" s="722" t="n"/>
      <c r="AS324" s="722" t="n"/>
      <c r="AT324" s="722" t="n"/>
      <c r="AU324" s="722" t="n"/>
      <c r="AV324" s="722" t="n"/>
      <c r="AW324" s="722" t="n"/>
    </row>
    <row r="325" ht="16.4" customFormat="1" customHeight="1" s="18">
      <c r="A325" s="722" t="n"/>
      <c r="B325" s="722" t="n"/>
      <c r="C325" s="722" t="n"/>
      <c r="D325" s="722" t="n"/>
      <c r="E325" s="722" t="n"/>
      <c r="F325" s="722" t="n"/>
      <c r="G325" s="722" t="n"/>
      <c r="H325" s="722" t="n"/>
      <c r="I325" s="722" t="n"/>
      <c r="J325" s="722" t="n"/>
      <c r="K325" s="722" t="n"/>
      <c r="L325" s="722" t="n"/>
      <c r="M325" s="722" t="n"/>
      <c r="N325" s="722" t="n"/>
      <c r="O325" s="722" t="n"/>
      <c r="P325" s="722" t="n"/>
      <c r="Q325" s="722" t="n"/>
      <c r="R325" s="722" t="n"/>
      <c r="S325" s="722" t="n"/>
      <c r="T325" s="722" t="n"/>
      <c r="U325" s="722" t="n"/>
      <c r="V325" s="722" t="n"/>
      <c r="W325" s="722" t="n"/>
      <c r="X325" s="722" t="n"/>
      <c r="Y325" s="722" t="n"/>
      <c r="Z325" s="722" t="n"/>
      <c r="AA325" s="722" t="n"/>
      <c r="AB325" s="722" t="n"/>
      <c r="AC325" s="722" t="n"/>
      <c r="AD325" s="722" t="n"/>
      <c r="AE325" s="722" t="n"/>
      <c r="AF325" s="722" t="n"/>
      <c r="AG325" s="722" t="n"/>
      <c r="AH325" s="722" t="n"/>
      <c r="AI325" s="722" t="n"/>
      <c r="AJ325" s="722" t="n"/>
      <c r="AK325" s="722" t="n"/>
      <c r="AL325" s="722" t="n"/>
      <c r="AM325" s="722" t="n"/>
      <c r="AN325" s="722" t="n"/>
      <c r="AO325" s="722" t="n"/>
      <c r="AP325" s="722" t="n"/>
      <c r="AQ325" s="722" t="n"/>
      <c r="AR325" s="722" t="n"/>
      <c r="AS325" s="722" t="n"/>
      <c r="AT325" s="722" t="n"/>
      <c r="AU325" s="722" t="n"/>
      <c r="AV325" s="722" t="n"/>
      <c r="AW325" s="722" t="n"/>
    </row>
    <row r="326" ht="16.4" customFormat="1" customHeight="1" s="18">
      <c r="A326" s="722" t="n"/>
      <c r="B326" s="722" t="n"/>
      <c r="C326" s="722" t="n"/>
      <c r="D326" s="722" t="n"/>
      <c r="E326" s="722" t="n"/>
      <c r="F326" s="722" t="n"/>
      <c r="G326" s="722" t="n"/>
      <c r="H326" s="722" t="n"/>
      <c r="I326" s="722" t="n"/>
      <c r="J326" s="722" t="n"/>
      <c r="K326" s="722" t="n"/>
      <c r="L326" s="722" t="n"/>
      <c r="M326" s="722" t="n"/>
      <c r="N326" s="722" t="n"/>
      <c r="O326" s="722" t="n"/>
      <c r="P326" s="722" t="n"/>
      <c r="Q326" s="722" t="n"/>
      <c r="R326" s="722" t="n"/>
      <c r="S326" s="722" t="n"/>
      <c r="T326" s="722" t="n"/>
      <c r="U326" s="722" t="n"/>
      <c r="V326" s="722" t="n"/>
      <c r="W326" s="722" t="n"/>
      <c r="X326" s="722" t="n"/>
      <c r="Y326" s="722" t="n"/>
      <c r="Z326" s="722" t="n"/>
      <c r="AA326" s="722" t="n"/>
      <c r="AB326" s="722" t="n"/>
      <c r="AC326" s="722" t="n"/>
      <c r="AD326" s="722" t="n"/>
      <c r="AE326" s="722" t="n"/>
      <c r="AF326" s="722" t="n"/>
      <c r="AG326" s="722" t="n"/>
      <c r="AH326" s="722" t="n"/>
      <c r="AI326" s="722" t="n"/>
      <c r="AJ326" s="722" t="n"/>
      <c r="AK326" s="722" t="n"/>
      <c r="AL326" s="722" t="n"/>
      <c r="AM326" s="722" t="n"/>
      <c r="AN326" s="722" t="n"/>
      <c r="AO326" s="722" t="n"/>
      <c r="AP326" s="722" t="n"/>
      <c r="AQ326" s="722" t="n"/>
      <c r="AR326" s="722" t="n"/>
      <c r="AS326" s="722" t="n"/>
      <c r="AT326" s="722" t="n"/>
      <c r="AU326" s="722" t="n"/>
      <c r="AV326" s="722" t="n"/>
      <c r="AW326" s="722" t="n"/>
    </row>
    <row r="327" ht="16.4" customFormat="1" customHeight="1" s="18">
      <c r="A327" s="722" t="n"/>
      <c r="B327" s="722" t="n"/>
      <c r="C327" s="722" t="n"/>
      <c r="D327" s="722" t="n"/>
      <c r="E327" s="722" t="n"/>
      <c r="F327" s="722" t="n"/>
      <c r="G327" s="722" t="n"/>
      <c r="H327" s="722" t="n"/>
      <c r="I327" s="722" t="n"/>
      <c r="J327" s="722" t="n"/>
      <c r="K327" s="722" t="n"/>
      <c r="L327" s="722" t="n"/>
      <c r="M327" s="722" t="n"/>
      <c r="N327" s="722" t="n"/>
      <c r="O327" s="722" t="n"/>
      <c r="P327" s="722" t="n"/>
      <c r="Q327" s="722" t="n"/>
      <c r="R327" s="722" t="n"/>
      <c r="S327" s="722" t="n"/>
      <c r="T327" s="722" t="n"/>
      <c r="U327" s="722" t="n"/>
      <c r="V327" s="722" t="n"/>
      <c r="W327" s="722" t="n"/>
      <c r="X327" s="722" t="n"/>
      <c r="Y327" s="722" t="n"/>
      <c r="Z327" s="722" t="n"/>
      <c r="AA327" s="722" t="n"/>
      <c r="AB327" s="722" t="n"/>
      <c r="AC327" s="722" t="n"/>
      <c r="AD327" s="722" t="n"/>
      <c r="AE327" s="722" t="n"/>
      <c r="AF327" s="722" t="n"/>
      <c r="AG327" s="722" t="n"/>
      <c r="AH327" s="722" t="n"/>
      <c r="AI327" s="722" t="n"/>
      <c r="AJ327" s="722" t="n"/>
      <c r="AK327" s="722" t="n"/>
      <c r="AL327" s="722" t="n"/>
      <c r="AM327" s="722" t="n"/>
      <c r="AN327" s="722" t="n"/>
      <c r="AO327" s="722" t="n"/>
      <c r="AP327" s="722" t="n"/>
      <c r="AQ327" s="722" t="n"/>
      <c r="AR327" s="722" t="n"/>
      <c r="AS327" s="722" t="n"/>
      <c r="AT327" s="722" t="n"/>
      <c r="AU327" s="722" t="n"/>
      <c r="AV327" s="722" t="n"/>
      <c r="AW327" s="722" t="n"/>
    </row>
    <row r="328" ht="16.4" customFormat="1" customHeight="1" s="18">
      <c r="A328" s="722" t="n"/>
      <c r="B328" s="722" t="n"/>
      <c r="C328" s="722" t="n"/>
      <c r="D328" s="722" t="n"/>
      <c r="E328" s="722" t="n"/>
      <c r="F328" s="722" t="n"/>
      <c r="G328" s="722" t="n"/>
      <c r="H328" s="722" t="n"/>
      <c r="I328" s="722" t="n"/>
      <c r="J328" s="722" t="n"/>
      <c r="K328" s="722" t="n"/>
      <c r="L328" s="722" t="n"/>
      <c r="M328" s="722" t="n"/>
      <c r="N328" s="722" t="n"/>
      <c r="O328" s="722" t="n"/>
      <c r="P328" s="722" t="n"/>
      <c r="Q328" s="722" t="n"/>
      <c r="R328" s="722" t="n"/>
      <c r="S328" s="722" t="n"/>
      <c r="T328" s="722" t="n"/>
      <c r="U328" s="722" t="n"/>
      <c r="V328" s="722" t="n"/>
      <c r="W328" s="722" t="n"/>
      <c r="X328" s="722" t="n"/>
      <c r="Y328" s="722" t="n"/>
      <c r="Z328" s="722" t="n"/>
      <c r="AA328" s="722" t="n"/>
      <c r="AB328" s="722" t="n"/>
      <c r="AC328" s="722" t="n"/>
      <c r="AD328" s="722" t="n"/>
      <c r="AE328" s="722" t="n"/>
      <c r="AF328" s="722" t="n"/>
      <c r="AG328" s="722" t="n"/>
      <c r="AH328" s="722" t="n"/>
      <c r="AI328" s="722" t="n"/>
      <c r="AJ328" s="722" t="n"/>
      <c r="AK328" s="722" t="n"/>
      <c r="AL328" s="722" t="n"/>
      <c r="AM328" s="722" t="n"/>
      <c r="AN328" s="722" t="n"/>
      <c r="AO328" s="722" t="n"/>
      <c r="AP328" s="722" t="n"/>
      <c r="AQ328" s="722" t="n"/>
      <c r="AR328" s="722" t="n"/>
      <c r="AS328" s="722" t="n"/>
      <c r="AT328" s="722" t="n"/>
      <c r="AU328" s="722" t="n"/>
      <c r="AV328" s="722" t="n"/>
      <c r="AW328" s="722" t="n"/>
    </row>
    <row r="329" ht="16.4" customFormat="1" customHeight="1" s="18">
      <c r="A329" s="722" t="n"/>
      <c r="B329" s="722" t="n"/>
      <c r="C329" s="722" t="n"/>
      <c r="D329" s="722" t="n"/>
      <c r="E329" s="722" t="n"/>
      <c r="F329" s="722" t="n"/>
      <c r="G329" s="722" t="n"/>
      <c r="H329" s="722" t="n"/>
      <c r="I329" s="722" t="n"/>
      <c r="J329" s="722" t="n"/>
      <c r="K329" s="722" t="n"/>
      <c r="L329" s="722" t="n"/>
      <c r="M329" s="722" t="n"/>
      <c r="N329" s="722" t="n"/>
      <c r="O329" s="722" t="n"/>
      <c r="P329" s="722" t="n"/>
      <c r="Q329" s="722" t="n"/>
      <c r="R329" s="722" t="n"/>
      <c r="S329" s="722" t="n"/>
      <c r="T329" s="722" t="n"/>
      <c r="U329" s="722" t="n"/>
      <c r="V329" s="722" t="n"/>
      <c r="W329" s="722" t="n"/>
      <c r="X329" s="722" t="n"/>
      <c r="Y329" s="722" t="n"/>
      <c r="Z329" s="722" t="n"/>
      <c r="AA329" s="997" t="n"/>
      <c r="AB329" s="722" t="n"/>
      <c r="AC329" s="722" t="n"/>
      <c r="AD329" s="722" t="n"/>
      <c r="AE329" s="722" t="n"/>
      <c r="AF329" s="722" t="n"/>
      <c r="AG329" s="722" t="n"/>
      <c r="AH329" s="967" t="n"/>
      <c r="AI329" s="722" t="n"/>
      <c r="AJ329" s="722" t="n"/>
      <c r="AK329" s="722" t="n"/>
      <c r="AL329" s="722" t="n"/>
      <c r="AM329" s="722" t="n"/>
      <c r="AN329" s="722" t="n"/>
      <c r="AO329" s="722" t="n"/>
      <c r="AP329" s="722" t="n"/>
      <c r="AQ329" s="722" t="n"/>
      <c r="AR329" s="722" t="n"/>
      <c r="AS329" s="722" t="n"/>
      <c r="AT329" s="722" t="n"/>
      <c r="AU329" s="722" t="n"/>
      <c r="AV329" s="722" t="n"/>
      <c r="AW329" s="722" t="n"/>
    </row>
    <row r="330" ht="16.4" customFormat="1" customHeight="1" s="18">
      <c r="A330" s="722" t="n"/>
      <c r="B330" s="722" t="n"/>
      <c r="C330" s="722" t="n"/>
      <c r="D330" s="722" t="n"/>
      <c r="E330" s="722" t="n"/>
      <c r="F330" s="722" t="n"/>
      <c r="G330" s="722" t="n"/>
      <c r="H330" s="722" t="n"/>
      <c r="I330" s="722" t="n"/>
      <c r="J330" s="722" t="n"/>
      <c r="K330" s="722" t="n"/>
      <c r="L330" s="722" t="n"/>
      <c r="M330" s="722" t="n"/>
      <c r="N330" s="722" t="n"/>
      <c r="O330" s="722" t="n"/>
      <c r="P330" s="722" t="n"/>
      <c r="Q330" s="722" t="n"/>
      <c r="R330" s="722" t="n"/>
      <c r="S330" s="722" t="n"/>
      <c r="T330" s="722" t="n"/>
      <c r="U330" s="722" t="n"/>
      <c r="V330" s="722" t="n"/>
      <c r="W330" s="722" t="n"/>
      <c r="X330" s="722" t="n"/>
      <c r="Y330" s="722" t="n"/>
      <c r="Z330" s="722" t="n"/>
      <c r="AA330" s="997" t="n"/>
      <c r="AB330" s="722" t="n"/>
      <c r="AC330" s="722" t="n"/>
      <c r="AD330" s="722" t="n"/>
      <c r="AE330" s="722" t="n"/>
      <c r="AF330" s="722" t="n"/>
      <c r="AG330" s="722" t="n"/>
      <c r="AH330" s="967" t="n"/>
      <c r="AI330" s="722" t="n"/>
      <c r="AJ330" s="722" t="n"/>
      <c r="AK330" s="722" t="n"/>
      <c r="AL330" s="722" t="n"/>
      <c r="AM330" s="722" t="n"/>
      <c r="AN330" s="722" t="n"/>
      <c r="AO330" s="722" t="n"/>
      <c r="AP330" s="722" t="n"/>
      <c r="AQ330" s="722" t="n"/>
      <c r="AR330" s="722" t="n"/>
      <c r="AS330" s="722" t="n"/>
      <c r="AT330" s="722" t="n"/>
      <c r="AU330" s="722" t="n"/>
      <c r="AV330" s="722" t="n"/>
      <c r="AW330" s="722" t="n"/>
    </row>
    <row r="331" ht="16.4" customFormat="1" customHeight="1" s="18">
      <c r="A331" s="722" t="n"/>
      <c r="B331" s="722" t="n"/>
      <c r="C331" s="722" t="n"/>
      <c r="D331" s="722" t="n"/>
      <c r="E331" s="722" t="n"/>
      <c r="F331" s="722" t="n"/>
      <c r="G331" s="722" t="n"/>
      <c r="H331" s="722" t="n"/>
      <c r="I331" s="722" t="n"/>
      <c r="J331" s="722" t="n"/>
      <c r="K331" s="722" t="n"/>
      <c r="L331" s="722" t="n"/>
      <c r="M331" s="722" t="n"/>
      <c r="N331" s="722" t="n"/>
      <c r="O331" s="722" t="n"/>
      <c r="P331" s="722" t="n"/>
      <c r="Q331" s="722" t="n"/>
      <c r="R331" s="722" t="n"/>
      <c r="S331" s="722" t="n"/>
      <c r="T331" s="722" t="n"/>
      <c r="U331" s="722" t="n"/>
      <c r="V331" s="722" t="n"/>
      <c r="W331" s="722" t="n"/>
      <c r="X331" s="722" t="n"/>
      <c r="Y331" s="722" t="n"/>
      <c r="Z331" s="722" t="n"/>
      <c r="AA331" s="997" t="n"/>
      <c r="AB331" s="722" t="n"/>
      <c r="AC331" s="722" t="n"/>
      <c r="AD331" s="722" t="n"/>
      <c r="AE331" s="722" t="n"/>
      <c r="AF331" s="722" t="n"/>
      <c r="AG331" s="722" t="n"/>
      <c r="AH331" s="967" t="n"/>
      <c r="AI331" s="722" t="n"/>
      <c r="AJ331" s="722" t="n"/>
      <c r="AK331" s="722" t="n"/>
      <c r="AL331" s="722" t="n"/>
      <c r="AM331" s="722" t="n"/>
      <c r="AN331" s="722" t="n"/>
      <c r="AO331" s="722" t="n"/>
      <c r="AP331" s="722" t="n"/>
      <c r="AQ331" s="722" t="n"/>
      <c r="AR331" s="722" t="n"/>
      <c r="AS331" s="722" t="n"/>
      <c r="AT331" s="722" t="n"/>
      <c r="AU331" s="722" t="n"/>
      <c r="AV331" s="722" t="n"/>
      <c r="AW331" s="722" t="n"/>
    </row>
    <row r="332" ht="16.4" customFormat="1" customHeight="1" s="18">
      <c r="A332" s="722" t="n"/>
      <c r="B332" s="722" t="n"/>
      <c r="C332" s="722" t="n"/>
      <c r="D332" s="722" t="n"/>
      <c r="E332" s="722" t="n"/>
      <c r="F332" s="722" t="n"/>
      <c r="G332" s="722" t="n"/>
      <c r="H332" s="722" t="n"/>
      <c r="I332" s="722" t="n"/>
      <c r="J332" s="722" t="n"/>
      <c r="K332" s="722" t="n"/>
      <c r="L332" s="722" t="n"/>
      <c r="M332" s="722" t="n"/>
      <c r="N332" s="722" t="n"/>
      <c r="O332" s="722" t="n"/>
      <c r="P332" s="722" t="n"/>
      <c r="Q332" s="722" t="n"/>
      <c r="R332" s="722" t="n"/>
      <c r="S332" s="722" t="n"/>
      <c r="T332" s="722" t="n"/>
      <c r="U332" s="722" t="n"/>
      <c r="V332" s="722" t="n"/>
      <c r="W332" s="722" t="n"/>
      <c r="X332" s="722" t="n"/>
      <c r="Y332" s="722" t="n"/>
      <c r="Z332" s="722" t="n"/>
      <c r="AA332" s="722" t="n"/>
      <c r="AB332" s="722" t="n"/>
      <c r="AC332" s="722" t="n"/>
      <c r="AD332" s="722" t="n"/>
      <c r="AE332" s="722" t="n"/>
      <c r="AF332" s="722" t="n"/>
      <c r="AG332" s="722" t="n"/>
      <c r="AH332" s="722" t="n"/>
      <c r="AI332" s="722" t="n"/>
      <c r="AJ332" s="722" t="n"/>
      <c r="AK332" s="722" t="n"/>
      <c r="AL332" s="722" t="n"/>
      <c r="AM332" s="722" t="n"/>
      <c r="AN332" s="722" t="n"/>
      <c r="AO332" s="722" t="n"/>
      <c r="AP332" s="722" t="n"/>
      <c r="AQ332" s="722" t="n"/>
      <c r="AR332" s="722" t="n"/>
      <c r="AS332" s="722" t="n"/>
      <c r="AT332" s="722" t="n"/>
      <c r="AU332" s="722" t="n"/>
      <c r="AV332" s="722" t="n"/>
      <c r="AW332" s="722" t="n"/>
    </row>
    <row r="333" ht="16.4" customFormat="1" customHeight="1" s="18">
      <c r="A333" s="722" t="n"/>
      <c r="B333" s="722" t="n"/>
      <c r="C333" s="722" t="n"/>
      <c r="D333" s="722" t="n"/>
      <c r="E333" s="722" t="n"/>
      <c r="F333" s="722" t="n"/>
      <c r="G333" s="722" t="n"/>
      <c r="H333" s="722" t="n"/>
      <c r="I333" s="722" t="n"/>
      <c r="J333" s="722" t="n"/>
      <c r="K333" s="722" t="n"/>
      <c r="L333" s="722" t="n"/>
      <c r="M333" s="722" t="n"/>
      <c r="N333" s="722" t="n"/>
      <c r="O333" s="722" t="n"/>
      <c r="P333" s="722" t="n"/>
      <c r="Q333" s="722" t="n"/>
      <c r="R333" s="722" t="n"/>
      <c r="S333" s="722" t="n"/>
      <c r="T333" s="722" t="n"/>
      <c r="U333" s="722" t="n"/>
      <c r="V333" s="722" t="n"/>
      <c r="W333" s="722" t="n"/>
      <c r="X333" s="722" t="n"/>
      <c r="Y333" s="722" t="n"/>
      <c r="Z333" s="722" t="n"/>
      <c r="AA333" s="722" t="n"/>
      <c r="AB333" s="722" t="n"/>
      <c r="AC333" s="722" t="n"/>
      <c r="AD333" s="722" t="n"/>
      <c r="AE333" s="722" t="n"/>
      <c r="AF333" s="722" t="n"/>
      <c r="AG333" s="722" t="n"/>
      <c r="AH333" s="722" t="n"/>
      <c r="AI333" s="722" t="n"/>
      <c r="AJ333" s="722" t="n"/>
      <c r="AK333" s="722" t="n"/>
      <c r="AL333" s="722" t="n"/>
      <c r="AM333" s="722" t="n"/>
      <c r="AN333" s="722" t="n"/>
      <c r="AO333" s="722" t="n"/>
      <c r="AP333" s="722" t="n"/>
      <c r="AQ333" s="722" t="n"/>
      <c r="AR333" s="722" t="n"/>
      <c r="AS333" s="722" t="n"/>
      <c r="AT333" s="722" t="n"/>
      <c r="AU333" s="722" t="n"/>
      <c r="AV333" s="722" t="n"/>
      <c r="AW333" s="722" t="n"/>
    </row>
    <row r="334" ht="16.4" customFormat="1" customHeight="1" s="18">
      <c r="A334" s="722" t="n"/>
      <c r="B334" s="722" t="n"/>
      <c r="C334" s="722" t="n"/>
      <c r="D334" s="722" t="n"/>
      <c r="E334" s="722" t="n"/>
      <c r="F334" s="722" t="n"/>
      <c r="G334" s="722" t="n"/>
      <c r="H334" s="722" t="n"/>
      <c r="I334" s="722" t="n"/>
      <c r="J334" s="722" t="n"/>
      <c r="K334" s="722" t="n"/>
      <c r="L334" s="722" t="n"/>
      <c r="M334" s="722" t="n"/>
      <c r="N334" s="722" t="n"/>
      <c r="O334" s="722" t="n"/>
      <c r="P334" s="722" t="n"/>
      <c r="Q334" s="722" t="n"/>
      <c r="R334" s="722" t="n"/>
      <c r="S334" s="722" t="n"/>
      <c r="T334" s="722" t="n"/>
      <c r="U334" s="722" t="n"/>
      <c r="V334" s="722" t="n"/>
      <c r="W334" s="722" t="n"/>
      <c r="X334" s="722" t="n"/>
      <c r="Y334" s="722" t="n"/>
      <c r="Z334" s="722" t="n"/>
      <c r="AA334" s="722" t="n"/>
      <c r="AB334" s="722" t="n"/>
      <c r="AC334" s="722" t="n"/>
      <c r="AD334" s="722" t="n"/>
      <c r="AE334" s="722" t="n"/>
      <c r="AF334" s="722" t="n"/>
      <c r="AG334" s="722" t="n"/>
      <c r="AH334" s="722" t="n"/>
      <c r="AI334" s="722" t="n"/>
      <c r="AJ334" s="722" t="n"/>
      <c r="AK334" s="722" t="n"/>
      <c r="AL334" s="722" t="n"/>
      <c r="AM334" s="722" t="n"/>
      <c r="AN334" s="722" t="n"/>
      <c r="AO334" s="722" t="n"/>
      <c r="AP334" s="722" t="n"/>
      <c r="AQ334" s="722" t="n"/>
      <c r="AR334" s="722" t="n"/>
      <c r="AS334" s="722" t="n"/>
      <c r="AT334" s="722" t="n"/>
      <c r="AU334" s="722" t="n"/>
      <c r="AV334" s="722" t="n"/>
      <c r="AW334" s="722" t="n"/>
    </row>
    <row r="335" ht="16.4" customFormat="1" customHeight="1" s="18">
      <c r="A335" s="722" t="n"/>
      <c r="B335" s="722" t="n"/>
      <c r="C335" s="722" t="n"/>
      <c r="D335" s="722" t="n"/>
      <c r="E335" s="722" t="n"/>
      <c r="F335" s="722" t="n"/>
      <c r="G335" s="722" t="n"/>
      <c r="H335" s="722" t="n"/>
      <c r="I335" s="722" t="n"/>
      <c r="J335" s="722" t="n"/>
      <c r="K335" s="722" t="n"/>
      <c r="L335" s="722" t="n"/>
      <c r="M335" s="722" t="n"/>
      <c r="N335" s="722" t="n"/>
      <c r="O335" s="722" t="n"/>
      <c r="P335" s="722" t="n"/>
      <c r="Q335" s="722" t="n"/>
      <c r="R335" s="722" t="n"/>
      <c r="S335" s="722" t="n"/>
      <c r="T335" s="722" t="n"/>
      <c r="U335" s="722" t="n"/>
      <c r="V335" s="722" t="n"/>
      <c r="W335" s="722" t="n"/>
      <c r="X335" s="722" t="n"/>
      <c r="Y335" s="722" t="n"/>
      <c r="Z335" s="722" t="n"/>
      <c r="AA335" s="722" t="n"/>
      <c r="AB335" s="722" t="n"/>
      <c r="AC335" s="722" t="n"/>
      <c r="AD335" s="722" t="n"/>
      <c r="AE335" s="722" t="n"/>
      <c r="AF335" s="722" t="n"/>
      <c r="AG335" s="722" t="n"/>
      <c r="AH335" s="722" t="n"/>
      <c r="AI335" s="722" t="n"/>
      <c r="AJ335" s="722" t="n"/>
      <c r="AK335" s="722" t="n"/>
      <c r="AL335" s="722" t="n"/>
      <c r="AM335" s="722" t="n"/>
      <c r="AN335" s="722" t="n"/>
      <c r="AO335" s="722" t="n"/>
      <c r="AP335" s="722" t="n"/>
      <c r="AQ335" s="722" t="n"/>
      <c r="AR335" s="722" t="n"/>
      <c r="AS335" s="722" t="n"/>
      <c r="AT335" s="722" t="n"/>
      <c r="AU335" s="722" t="n"/>
      <c r="AV335" s="722" t="n"/>
      <c r="AW335" s="722" t="n"/>
    </row>
    <row r="336" ht="16.4" customFormat="1" customHeight="1" s="18">
      <c r="A336" s="722" t="n"/>
      <c r="B336" s="722" t="n"/>
      <c r="C336" s="722" t="n"/>
      <c r="D336" s="722" t="n"/>
      <c r="E336" s="722" t="n"/>
      <c r="F336" s="722" t="n"/>
      <c r="G336" s="722" t="n"/>
      <c r="H336" s="722" t="n"/>
      <c r="I336" s="722" t="n"/>
      <c r="J336" s="722" t="n"/>
      <c r="K336" s="722" t="n"/>
      <c r="L336" s="722" t="n"/>
      <c r="M336" s="722" t="n"/>
      <c r="N336" s="722" t="n"/>
      <c r="O336" s="722" t="n"/>
      <c r="P336" s="722" t="n"/>
      <c r="Q336" s="722" t="n"/>
      <c r="R336" s="722" t="n"/>
      <c r="S336" s="722" t="n"/>
      <c r="T336" s="722" t="n"/>
      <c r="U336" s="722" t="n"/>
      <c r="V336" s="722" t="n"/>
      <c r="W336" s="722" t="n"/>
      <c r="X336" s="722" t="n"/>
      <c r="Y336" s="722" t="n"/>
      <c r="Z336" s="722" t="n"/>
      <c r="AA336" s="997" t="n"/>
      <c r="AB336" s="722" t="n"/>
      <c r="AC336" s="722" t="n"/>
      <c r="AD336" s="722" t="n"/>
      <c r="AE336" s="722" t="n"/>
      <c r="AF336" s="722" t="n"/>
      <c r="AG336" s="722" t="n"/>
      <c r="AH336" s="967" t="n"/>
      <c r="AI336" s="722" t="n"/>
      <c r="AJ336" s="722" t="n"/>
      <c r="AK336" s="722" t="n"/>
      <c r="AL336" s="722" t="n"/>
      <c r="AM336" s="722" t="n"/>
      <c r="AN336" s="722" t="n"/>
      <c r="AO336" s="722" t="n"/>
      <c r="AP336" s="722" t="n"/>
      <c r="AQ336" s="722" t="n"/>
      <c r="AR336" s="722" t="n"/>
      <c r="AS336" s="722" t="n"/>
      <c r="AT336" s="722" t="n"/>
      <c r="AU336" s="722" t="n"/>
      <c r="AV336" s="722" t="n"/>
      <c r="AW336" s="722" t="n"/>
    </row>
    <row r="337" ht="16.4" customFormat="1" customHeight="1" s="18">
      <c r="A337" s="722" t="n"/>
      <c r="B337" s="722" t="n"/>
      <c r="C337" s="722" t="n"/>
      <c r="D337" s="722" t="n"/>
      <c r="E337" s="722" t="n"/>
      <c r="F337" s="722" t="n"/>
      <c r="G337" s="722" t="n"/>
      <c r="H337" s="722" t="n"/>
      <c r="I337" s="722" t="n"/>
      <c r="J337" s="722" t="n"/>
      <c r="K337" s="722" t="n"/>
      <c r="L337" s="722" t="n"/>
      <c r="M337" s="722" t="n"/>
      <c r="N337" s="722" t="n"/>
      <c r="O337" s="722" t="n"/>
      <c r="P337" s="722" t="n"/>
      <c r="Q337" s="722" t="n"/>
      <c r="R337" s="722" t="n"/>
      <c r="S337" s="722" t="n"/>
      <c r="T337" s="722" t="n"/>
      <c r="U337" s="722" t="n"/>
      <c r="V337" s="722" t="n"/>
      <c r="W337" s="722" t="n"/>
      <c r="X337" s="722" t="n"/>
      <c r="Y337" s="722" t="n"/>
      <c r="Z337" s="722" t="n"/>
      <c r="AA337" s="722" t="n"/>
      <c r="AB337" s="722" t="n"/>
      <c r="AC337" s="722" t="n"/>
      <c r="AD337" s="722" t="n"/>
      <c r="AE337" s="722" t="n"/>
      <c r="AF337" s="722" t="n"/>
      <c r="AG337" s="722" t="n"/>
      <c r="AH337" s="722" t="n"/>
      <c r="AI337" s="722" t="n"/>
      <c r="AJ337" s="722" t="n"/>
      <c r="AK337" s="722" t="n"/>
      <c r="AL337" s="722" t="n"/>
      <c r="AM337" s="722" t="n"/>
      <c r="AN337" s="722" t="n"/>
      <c r="AO337" s="722" t="n"/>
      <c r="AP337" s="722" t="n"/>
      <c r="AQ337" s="722" t="n"/>
      <c r="AR337" s="722" t="n"/>
      <c r="AS337" s="722" t="n"/>
      <c r="AT337" s="722" t="n"/>
      <c r="AU337" s="722" t="n"/>
      <c r="AV337" s="722" t="n"/>
      <c r="AW337" s="722" t="n"/>
      <c r="AX337" s="25" t="n"/>
    </row>
    <row r="338" ht="16.4" customFormat="1" customHeight="1" s="25">
      <c r="A338" s="702" t="n"/>
      <c r="B338" s="702" t="n"/>
      <c r="C338" s="702" t="n"/>
      <c r="D338" s="702" t="n"/>
      <c r="E338" s="702" t="n"/>
      <c r="F338" s="702" t="n"/>
      <c r="G338" s="702" t="n"/>
      <c r="H338" s="702" t="n"/>
      <c r="I338" s="702" t="n"/>
      <c r="J338" s="702" t="n"/>
      <c r="K338" s="702" t="n"/>
      <c r="L338" s="702" t="n"/>
      <c r="M338" s="702" t="n"/>
      <c r="N338" s="702" t="n"/>
      <c r="O338" s="702" t="n"/>
      <c r="P338" s="702" t="n"/>
      <c r="Q338" s="702" t="n"/>
      <c r="R338" s="702" t="n"/>
      <c r="S338" s="702" t="n"/>
      <c r="T338" s="702" t="n"/>
      <c r="U338" s="702" t="n"/>
      <c r="V338" s="702" t="n"/>
      <c r="W338" s="702" t="n"/>
      <c r="X338" s="702" t="n"/>
      <c r="Y338" s="702" t="n"/>
      <c r="Z338" s="702" t="n"/>
      <c r="AA338" s="702" t="n"/>
      <c r="AB338" s="702" t="n"/>
      <c r="AC338" s="702" t="n"/>
      <c r="AD338" s="702" t="n"/>
      <c r="AE338" s="702" t="n"/>
      <c r="AF338" s="702" t="n"/>
      <c r="AG338" s="702" t="n"/>
      <c r="AH338" s="702" t="n"/>
      <c r="AI338" s="702" t="n"/>
      <c r="AJ338" s="702" t="n"/>
      <c r="AK338" s="702" t="n"/>
      <c r="AL338" s="702" t="n"/>
      <c r="AM338" s="702" t="n"/>
      <c r="AN338" s="702" t="n"/>
      <c r="AO338" s="702" t="n"/>
      <c r="AP338" s="702" t="n"/>
      <c r="AQ338" s="702" t="n"/>
      <c r="AR338" s="702" t="n"/>
      <c r="AS338" s="702" t="n"/>
      <c r="AT338" s="702" t="n"/>
      <c r="AU338" s="702" t="n"/>
      <c r="AV338" s="702" t="n"/>
      <c r="AW338" s="702" t="n"/>
    </row>
    <row r="339" ht="16.4" customFormat="1" customHeight="1" s="25">
      <c r="A339" s="714" t="n"/>
      <c r="B339" s="1023" t="n"/>
      <c r="C339" s="1023" t="n"/>
      <c r="D339" s="1023" t="n"/>
      <c r="E339" s="1023" t="n"/>
      <c r="F339" s="1023" t="n"/>
      <c r="G339" s="1023" t="n"/>
      <c r="H339" s="1023" t="n"/>
      <c r="I339" s="1023" t="n"/>
      <c r="J339" s="1023" t="n"/>
      <c r="K339" s="1024" t="n"/>
      <c r="L339" s="966" t="n"/>
      <c r="M339" s="966" t="n"/>
      <c r="N339" s="966" t="n"/>
      <c r="O339" s="966" t="n"/>
      <c r="P339" s="966" t="n"/>
      <c r="Q339" s="966" t="n"/>
      <c r="R339" s="966" t="n"/>
      <c r="S339" s="966" t="n"/>
      <c r="T339" s="966" t="n"/>
      <c r="U339" s="994" t="n"/>
      <c r="V339" s="1023" t="n"/>
      <c r="W339" s="1023" t="n"/>
      <c r="X339" s="1023" t="n"/>
      <c r="Y339" s="1023" t="n"/>
      <c r="Z339" s="1023" t="n"/>
      <c r="AA339" s="993" t="n"/>
      <c r="AB339" s="1024" t="n"/>
      <c r="AC339" s="966" t="n"/>
      <c r="AD339" s="966" t="n"/>
      <c r="AE339" s="966" t="n"/>
      <c r="AF339" s="966" t="n"/>
      <c r="AG339" s="966" t="n"/>
      <c r="AH339" s="966" t="n"/>
      <c r="AI339" s="994" t="n"/>
      <c r="AJ339" s="1023" t="n"/>
      <c r="AK339" s="1023" t="n"/>
      <c r="AL339" s="1023" t="n"/>
      <c r="AM339" s="1023" t="n"/>
      <c r="AN339" s="1023" t="n"/>
      <c r="AO339" s="1023" t="n"/>
      <c r="AP339" s="1024" t="n"/>
      <c r="AQ339" s="966" t="n"/>
      <c r="AR339" s="966" t="n"/>
      <c r="AS339" s="966" t="n"/>
      <c r="AT339" s="966" t="n"/>
      <c r="AU339" s="966" t="n"/>
      <c r="AV339" s="966" t="n"/>
      <c r="AW339" s="994" t="n"/>
    </row>
    <row r="340" ht="16.4" customFormat="1" customHeight="1" s="18">
      <c r="A340" s="722" t="n"/>
      <c r="B340" s="722" t="n"/>
      <c r="C340" s="722" t="n"/>
      <c r="D340" s="722" t="n"/>
      <c r="E340" s="722" t="n"/>
      <c r="F340" s="722" t="n"/>
      <c r="G340" s="722" t="n"/>
      <c r="H340" s="722" t="n"/>
      <c r="I340" s="722" t="n"/>
      <c r="J340" s="722" t="n"/>
      <c r="K340" s="722" t="n"/>
      <c r="L340" s="722" t="n"/>
      <c r="M340" s="722" t="n"/>
      <c r="N340" s="722" t="n"/>
      <c r="O340" s="722" t="n"/>
      <c r="P340" s="722" t="n"/>
      <c r="Q340" s="722" t="n"/>
      <c r="R340" s="722" t="n"/>
      <c r="S340" s="722" t="n"/>
      <c r="T340" s="722" t="n"/>
      <c r="U340" s="722" t="n"/>
      <c r="V340" s="722" t="n"/>
      <c r="W340" s="722" t="n"/>
      <c r="X340" s="722" t="n"/>
      <c r="Y340" s="722" t="n"/>
      <c r="Z340" s="722" t="n"/>
      <c r="AA340" s="722" t="n"/>
      <c r="AB340" s="722" t="n"/>
      <c r="AC340" s="722" t="n"/>
      <c r="AD340" s="722" t="n"/>
      <c r="AE340" s="722" t="n"/>
      <c r="AF340" s="722" t="n"/>
      <c r="AG340" s="722" t="n"/>
      <c r="AH340" s="722" t="n"/>
      <c r="AI340" s="722" t="n"/>
      <c r="AJ340" s="722" t="n"/>
      <c r="AK340" s="722" t="n"/>
      <c r="AL340" s="722" t="n"/>
      <c r="AM340" s="722" t="n"/>
      <c r="AN340" s="722" t="n"/>
      <c r="AO340" s="722" t="n"/>
      <c r="AP340" s="722" t="n"/>
      <c r="AQ340" s="722" t="n"/>
      <c r="AR340" s="722" t="n"/>
      <c r="AS340" s="722" t="n"/>
      <c r="AT340" s="722" t="n"/>
      <c r="AU340" s="722" t="n"/>
      <c r="AV340" s="722" t="n"/>
      <c r="AW340" s="722" t="n"/>
      <c r="AX340" s="25" t="n"/>
    </row>
    <row r="341" ht="16.4" customFormat="1" customHeight="1" s="25">
      <c r="A341" s="702" t="n"/>
      <c r="B341" s="702" t="n"/>
      <c r="C341" s="702" t="n"/>
      <c r="D341" s="702" t="n"/>
      <c r="E341" s="702" t="n"/>
      <c r="F341" s="702" t="n"/>
      <c r="G341" s="702" t="n"/>
      <c r="H341" s="702" t="n"/>
      <c r="I341" s="702" t="n"/>
      <c r="J341" s="702" t="n"/>
      <c r="K341" s="702" t="n"/>
      <c r="L341" s="702" t="n"/>
      <c r="M341" s="702" t="n"/>
      <c r="N341" s="702" t="n"/>
      <c r="O341" s="702" t="n"/>
      <c r="P341" s="702" t="n"/>
      <c r="Q341" s="702" t="n"/>
      <c r="R341" s="702" t="n"/>
      <c r="S341" s="702" t="n"/>
      <c r="T341" s="702" t="n"/>
      <c r="U341" s="702" t="n"/>
      <c r="V341" s="702" t="n"/>
      <c r="W341" s="702" t="n"/>
      <c r="X341" s="702" t="n"/>
      <c r="Y341" s="702" t="n"/>
      <c r="Z341" s="702" t="n"/>
      <c r="AA341" s="702" t="n"/>
      <c r="AB341" s="702" t="n"/>
      <c r="AC341" s="702" t="n"/>
      <c r="AD341" s="702" t="n"/>
      <c r="AE341" s="702" t="n"/>
      <c r="AF341" s="702" t="n"/>
      <c r="AG341" s="702" t="n"/>
      <c r="AH341" s="702" t="n"/>
      <c r="AI341" s="702" t="n"/>
      <c r="AJ341" s="702" t="n"/>
      <c r="AK341" s="702" t="n"/>
      <c r="AL341" s="702" t="n"/>
      <c r="AM341" s="702" t="n"/>
      <c r="AN341" s="702" t="n"/>
      <c r="AO341" s="702" t="n"/>
      <c r="AP341" s="702" t="n"/>
      <c r="AQ341" s="702" t="n"/>
      <c r="AR341" s="702" t="n"/>
      <c r="AS341" s="702" t="n"/>
      <c r="AT341" s="702" t="n"/>
      <c r="AU341" s="702" t="n"/>
      <c r="AV341" s="702" t="n"/>
      <c r="AW341" s="702" t="n"/>
    </row>
    <row r="342" ht="16.4" customFormat="1" customHeight="1" s="25">
      <c r="A342" s="702" t="n"/>
      <c r="B342" s="702" t="n"/>
      <c r="C342" s="702" t="n"/>
      <c r="D342" s="702" t="n"/>
      <c r="E342" s="702" t="n"/>
      <c r="F342" s="702" t="n"/>
      <c r="G342" s="702" t="n"/>
      <c r="H342" s="702" t="n"/>
      <c r="I342" s="702" t="n"/>
      <c r="J342" s="702" t="n"/>
      <c r="K342" s="702" t="n"/>
      <c r="L342" s="702" t="n"/>
      <c r="M342" s="702" t="n"/>
      <c r="N342" s="702" t="n"/>
      <c r="O342" s="702" t="n"/>
      <c r="P342" s="702" t="n"/>
      <c r="Q342" s="702" t="n"/>
      <c r="R342" s="702" t="n"/>
      <c r="S342" s="702" t="n"/>
      <c r="T342" s="702" t="n"/>
      <c r="U342" s="702" t="n"/>
      <c r="V342" s="702" t="n"/>
      <c r="W342" s="702" t="n"/>
      <c r="X342" s="702" t="n"/>
      <c r="Y342" s="702" t="n"/>
      <c r="Z342" s="702" t="n"/>
      <c r="AA342" s="702" t="n"/>
      <c r="AB342" s="702" t="n"/>
      <c r="AC342" s="702" t="n"/>
      <c r="AD342" s="702" t="n"/>
      <c r="AE342" s="702" t="n"/>
      <c r="AF342" s="702" t="n"/>
      <c r="AG342" s="702" t="n"/>
      <c r="AH342" s="702" t="n"/>
      <c r="AI342" s="702" t="n"/>
      <c r="AJ342" s="702" t="n"/>
      <c r="AK342" s="702" t="n"/>
      <c r="AL342" s="702" t="n"/>
      <c r="AM342" s="702" t="n"/>
      <c r="AN342" s="702" t="n"/>
      <c r="AO342" s="702" t="n"/>
      <c r="AP342" s="702" t="n"/>
      <c r="AQ342" s="702" t="n"/>
      <c r="AR342" s="702" t="n"/>
      <c r="AS342" s="702" t="n"/>
      <c r="AT342" s="702" t="n"/>
      <c r="AU342" s="702" t="n"/>
      <c r="AV342" s="702" t="n"/>
      <c r="AW342" s="702" t="n"/>
    </row>
    <row r="343" ht="16.4" customFormat="1" customHeight="1" s="25">
      <c r="A343" s="702" t="n"/>
      <c r="B343" s="702" t="n"/>
      <c r="C343" s="702" t="n"/>
      <c r="D343" s="702" t="n"/>
      <c r="E343" s="702" t="n"/>
      <c r="F343" s="702" t="n"/>
      <c r="G343" s="702" t="n"/>
      <c r="H343" s="702" t="n"/>
      <c r="I343" s="702" t="n"/>
      <c r="J343" s="702" t="n"/>
      <c r="K343" s="702" t="n"/>
      <c r="L343" s="702" t="n"/>
      <c r="M343" s="702" t="n"/>
      <c r="N343" s="702" t="n"/>
      <c r="O343" s="702" t="n"/>
      <c r="P343" s="702" t="n"/>
      <c r="Q343" s="702" t="n"/>
      <c r="R343" s="702" t="n"/>
      <c r="S343" s="702" t="n"/>
      <c r="T343" s="702" t="n"/>
      <c r="U343" s="702" t="n"/>
      <c r="V343" s="702" t="n"/>
      <c r="W343" s="702" t="n"/>
      <c r="X343" s="702" t="n"/>
      <c r="Y343" s="702" t="n"/>
      <c r="Z343" s="702" t="n"/>
      <c r="AA343" s="702" t="n"/>
      <c r="AB343" s="702" t="n"/>
      <c r="AC343" s="702" t="n"/>
      <c r="AD343" s="702" t="n"/>
      <c r="AE343" s="702" t="n"/>
      <c r="AF343" s="702" t="n"/>
      <c r="AG343" s="702" t="n"/>
      <c r="AH343" s="702" t="n"/>
      <c r="AI343" s="702" t="n"/>
      <c r="AJ343" s="702" t="n"/>
      <c r="AK343" s="702" t="n"/>
      <c r="AL343" s="702" t="n"/>
      <c r="AM343" s="702" t="n"/>
      <c r="AN343" s="702" t="n"/>
      <c r="AO343" s="702" t="n"/>
      <c r="AP343" s="702" t="n"/>
      <c r="AQ343" s="702" t="n"/>
      <c r="AR343" s="702" t="n"/>
      <c r="AS343" s="702" t="n"/>
      <c r="AT343" s="702" t="n"/>
      <c r="AU343" s="702" t="n"/>
      <c r="AV343" s="702" t="n"/>
      <c r="AW343" s="702" t="n"/>
    </row>
    <row r="344" ht="16.4" customFormat="1" customHeight="1" s="25">
      <c r="A344" s="702" t="n"/>
      <c r="B344" s="702" t="n"/>
      <c r="C344" s="702" t="n"/>
      <c r="D344" s="702" t="n"/>
      <c r="E344" s="702" t="n"/>
      <c r="F344" s="702" t="n"/>
      <c r="G344" s="702" t="n"/>
      <c r="H344" s="702" t="n"/>
      <c r="I344" s="702" t="n"/>
      <c r="J344" s="702" t="n"/>
      <c r="K344" s="702" t="n"/>
      <c r="L344" s="702" t="n"/>
      <c r="M344" s="702" t="n"/>
      <c r="N344" s="702" t="n"/>
      <c r="O344" s="702" t="n"/>
      <c r="P344" s="702" t="n"/>
      <c r="Q344" s="702" t="n"/>
      <c r="R344" s="702" t="n"/>
      <c r="S344" s="702" t="n"/>
      <c r="T344" s="702" t="n"/>
      <c r="U344" s="702" t="n"/>
      <c r="V344" s="702" t="n"/>
      <c r="W344" s="702" t="n"/>
      <c r="X344" s="702" t="n"/>
      <c r="Y344" s="702" t="n"/>
      <c r="Z344" s="702" t="n"/>
      <c r="AA344" s="702" t="n"/>
      <c r="AB344" s="702" t="n"/>
      <c r="AC344" s="702" t="n"/>
      <c r="AD344" s="702" t="n"/>
      <c r="AE344" s="702" t="n"/>
      <c r="AF344" s="702" t="n"/>
      <c r="AG344" s="702" t="n"/>
      <c r="AH344" s="702" t="n"/>
      <c r="AI344" s="702" t="n"/>
      <c r="AJ344" s="702" t="n"/>
      <c r="AK344" s="702" t="n"/>
      <c r="AL344" s="702" t="n"/>
      <c r="AM344" s="702" t="n"/>
      <c r="AN344" s="702" t="n"/>
      <c r="AO344" s="702" t="n"/>
      <c r="AP344" s="702" t="n"/>
      <c r="AQ344" s="702" t="n"/>
      <c r="AR344" s="702" t="n"/>
      <c r="AS344" s="702" t="n"/>
      <c r="AT344" s="702" t="n"/>
      <c r="AU344" s="702" t="n"/>
      <c r="AV344" s="702" t="n"/>
      <c r="AW344" s="702" t="n"/>
    </row>
    <row r="345" ht="16.4" customFormat="1" customHeight="1" s="25">
      <c r="A345" s="702" t="n"/>
      <c r="B345" s="702" t="n"/>
      <c r="C345" s="702" t="n"/>
      <c r="D345" s="702" t="n"/>
      <c r="E345" s="702" t="n"/>
      <c r="F345" s="702" t="n"/>
      <c r="G345" s="702" t="n"/>
      <c r="H345" s="702" t="n"/>
      <c r="I345" s="702" t="n"/>
      <c r="J345" s="702" t="n"/>
      <c r="K345" s="702" t="n"/>
      <c r="L345" s="702" t="n"/>
      <c r="M345" s="702" t="n"/>
      <c r="N345" s="702" t="n"/>
      <c r="O345" s="702" t="n"/>
      <c r="P345" s="702" t="n"/>
      <c r="Q345" s="702" t="n"/>
      <c r="R345" s="702" t="n"/>
      <c r="S345" s="702" t="n"/>
      <c r="T345" s="702" t="n"/>
      <c r="U345" s="702" t="n"/>
      <c r="V345" s="702" t="n"/>
      <c r="W345" s="702" t="n"/>
      <c r="X345" s="702" t="n"/>
      <c r="Y345" s="702" t="n"/>
      <c r="Z345" s="702" t="n"/>
      <c r="AA345" s="702" t="n"/>
      <c r="AB345" s="702" t="n"/>
      <c r="AC345" s="702" t="n"/>
      <c r="AD345" s="702" t="n"/>
      <c r="AE345" s="702" t="n"/>
      <c r="AF345" s="702" t="n"/>
      <c r="AG345" s="702" t="n"/>
      <c r="AH345" s="702" t="n"/>
      <c r="AI345" s="702" t="n"/>
      <c r="AJ345" s="702" t="n"/>
      <c r="AK345" s="702" t="n"/>
      <c r="AL345" s="702" t="n"/>
      <c r="AM345" s="702" t="n"/>
      <c r="AN345" s="702" t="n"/>
      <c r="AO345" s="702" t="n"/>
      <c r="AP345" s="702" t="n"/>
      <c r="AQ345" s="702" t="n"/>
      <c r="AR345" s="702" t="n"/>
      <c r="AS345" s="702" t="n"/>
      <c r="AT345" s="702" t="n"/>
      <c r="AU345" s="702" t="n"/>
      <c r="AV345" s="702" t="n"/>
      <c r="AW345" s="702" t="n"/>
    </row>
    <row r="346" ht="16.4" customFormat="1" customHeight="1" s="25">
      <c r="A346" s="702" t="n"/>
      <c r="B346" s="702" t="n"/>
      <c r="C346" s="702" t="n"/>
      <c r="D346" s="702" t="n"/>
      <c r="E346" s="702" t="n"/>
      <c r="F346" s="702" t="n"/>
      <c r="G346" s="702" t="n"/>
      <c r="H346" s="702" t="n"/>
      <c r="I346" s="702" t="n"/>
      <c r="J346" s="702" t="n"/>
      <c r="K346" s="702" t="n"/>
      <c r="L346" s="702" t="n"/>
      <c r="M346" s="702" t="n"/>
      <c r="N346" s="702" t="n"/>
      <c r="O346" s="702" t="n"/>
      <c r="P346" s="702" t="n"/>
      <c r="Q346" s="702" t="n"/>
      <c r="R346" s="702" t="n"/>
      <c r="S346" s="702" t="n"/>
      <c r="T346" s="702" t="n"/>
      <c r="U346" s="702" t="n"/>
      <c r="V346" s="702" t="n"/>
      <c r="W346" s="702" t="n"/>
      <c r="X346" s="702" t="n"/>
      <c r="Y346" s="702" t="n"/>
      <c r="Z346" s="702" t="n"/>
      <c r="AA346" s="702" t="n"/>
      <c r="AB346" s="702" t="n"/>
      <c r="AC346" s="702" t="n"/>
      <c r="AD346" s="702" t="n"/>
      <c r="AE346" s="702" t="n"/>
      <c r="AF346" s="702" t="n"/>
      <c r="AG346" s="702" t="n"/>
      <c r="AH346" s="702" t="n"/>
      <c r="AI346" s="702" t="n"/>
      <c r="AJ346" s="702" t="n"/>
      <c r="AK346" s="702" t="n"/>
      <c r="AL346" s="702" t="n"/>
      <c r="AM346" s="702" t="n"/>
      <c r="AN346" s="702" t="n"/>
      <c r="AO346" s="702" t="n"/>
      <c r="AP346" s="702" t="n"/>
      <c r="AQ346" s="702" t="n"/>
      <c r="AR346" s="702" t="n"/>
      <c r="AS346" s="702" t="n"/>
      <c r="AT346" s="702" t="n"/>
      <c r="AU346" s="702" t="n"/>
      <c r="AV346" s="702" t="n"/>
      <c r="AW346" s="702" t="n"/>
    </row>
    <row r="347" ht="16.4" customFormat="1" customHeight="1" s="25">
      <c r="A347" s="702" t="n"/>
      <c r="B347" s="702" t="n"/>
      <c r="C347" s="702" t="n"/>
      <c r="D347" s="702" t="n"/>
      <c r="E347" s="702" t="n"/>
      <c r="F347" s="702" t="n"/>
      <c r="G347" s="702" t="n"/>
      <c r="H347" s="702" t="n"/>
      <c r="I347" s="702" t="n"/>
      <c r="J347" s="702" t="n"/>
      <c r="K347" s="702" t="n"/>
      <c r="L347" s="702" t="n"/>
      <c r="M347" s="702" t="n"/>
      <c r="N347" s="702" t="n"/>
      <c r="O347" s="702" t="n"/>
      <c r="P347" s="702" t="n"/>
      <c r="Q347" s="702" t="n"/>
      <c r="R347" s="702" t="n"/>
      <c r="S347" s="702" t="n"/>
      <c r="T347" s="702" t="n"/>
      <c r="U347" s="702" t="n"/>
      <c r="V347" s="702" t="n"/>
      <c r="W347" s="702" t="n"/>
      <c r="X347" s="702" t="n"/>
      <c r="Y347" s="702" t="n"/>
      <c r="Z347" s="702" t="n"/>
      <c r="AA347" s="702" t="n"/>
      <c r="AB347" s="702" t="n"/>
      <c r="AC347" s="702" t="n"/>
      <c r="AD347" s="702" t="n"/>
      <c r="AE347" s="702" t="n"/>
      <c r="AF347" s="702" t="n"/>
      <c r="AG347" s="702" t="n"/>
      <c r="AH347" s="702" t="n"/>
      <c r="AI347" s="702" t="n"/>
      <c r="AJ347" s="702" t="n"/>
      <c r="AK347" s="702" t="n"/>
      <c r="AL347" s="702" t="n"/>
      <c r="AM347" s="702" t="n"/>
      <c r="AN347" s="702" t="n"/>
      <c r="AO347" s="702" t="n"/>
      <c r="AP347" s="702" t="n"/>
      <c r="AQ347" s="702" t="n"/>
      <c r="AR347" s="702" t="n"/>
      <c r="AS347" s="702" t="n"/>
      <c r="AT347" s="702" t="n"/>
      <c r="AU347" s="702" t="n"/>
      <c r="AV347" s="702" t="n"/>
      <c r="AW347" s="702" t="n"/>
    </row>
    <row r="348" ht="16.4" customFormat="1" customHeight="1" s="25">
      <c r="A348" s="702" t="n"/>
      <c r="B348" s="702" t="n"/>
      <c r="C348" s="702" t="n"/>
      <c r="D348" s="702" t="n"/>
      <c r="E348" s="702" t="n"/>
      <c r="F348" s="702" t="n"/>
      <c r="G348" s="702" t="n"/>
      <c r="H348" s="702" t="n"/>
      <c r="I348" s="702" t="n"/>
      <c r="J348" s="702" t="n"/>
      <c r="K348" s="702" t="n"/>
      <c r="L348" s="702" t="n"/>
      <c r="M348" s="702" t="n"/>
      <c r="N348" s="702" t="n"/>
      <c r="O348" s="702" t="n"/>
      <c r="P348" s="702" t="n"/>
      <c r="Q348" s="702" t="n"/>
      <c r="R348" s="702" t="n"/>
      <c r="S348" s="702" t="n"/>
      <c r="T348" s="702" t="n"/>
      <c r="U348" s="702" t="n"/>
      <c r="V348" s="702" t="n"/>
      <c r="W348" s="702" t="n"/>
      <c r="X348" s="702" t="n"/>
      <c r="Y348" s="702" t="n"/>
      <c r="Z348" s="702" t="n"/>
      <c r="AA348" s="702" t="n"/>
      <c r="AB348" s="702" t="n"/>
      <c r="AC348" s="702" t="n"/>
      <c r="AD348" s="702" t="n"/>
      <c r="AE348" s="702" t="n"/>
      <c r="AF348" s="702" t="n"/>
      <c r="AG348" s="702" t="n"/>
      <c r="AH348" s="702" t="n"/>
      <c r="AI348" s="702" t="n"/>
      <c r="AJ348" s="702" t="n"/>
      <c r="AK348" s="702" t="n"/>
      <c r="AL348" s="702" t="n"/>
      <c r="AM348" s="702" t="n"/>
      <c r="AN348" s="702" t="n"/>
      <c r="AO348" s="702" t="n"/>
      <c r="AP348" s="702" t="n"/>
      <c r="AQ348" s="702" t="n"/>
      <c r="AR348" s="702" t="n"/>
      <c r="AS348" s="702" t="n"/>
      <c r="AT348" s="702" t="n"/>
      <c r="AU348" s="702" t="n"/>
      <c r="AV348" s="702" t="n"/>
      <c r="AW348" s="702" t="n"/>
    </row>
    <row r="349" ht="16.4" customFormat="1" customHeight="1" s="25">
      <c r="A349" s="702" t="n"/>
      <c r="B349" s="702" t="n"/>
      <c r="C349" s="702" t="n"/>
      <c r="D349" s="702" t="n"/>
      <c r="E349" s="702" t="n"/>
      <c r="F349" s="702" t="n"/>
      <c r="G349" s="702" t="n"/>
      <c r="H349" s="702" t="n"/>
      <c r="I349" s="702" t="n"/>
      <c r="J349" s="702" t="n"/>
      <c r="K349" s="702" t="n"/>
      <c r="L349" s="702" t="n"/>
      <c r="M349" s="702" t="n"/>
      <c r="N349" s="702" t="n"/>
      <c r="O349" s="702" t="n"/>
      <c r="P349" s="702" t="n"/>
      <c r="Q349" s="702" t="n"/>
      <c r="R349" s="702" t="n"/>
      <c r="S349" s="702" t="n"/>
      <c r="T349" s="702" t="n"/>
      <c r="U349" s="702" t="n"/>
      <c r="V349" s="702" t="n"/>
      <c r="W349" s="702" t="n"/>
      <c r="X349" s="702" t="n"/>
      <c r="Y349" s="702" t="n"/>
      <c r="Z349" s="702" t="n"/>
      <c r="AA349" s="702" t="n"/>
      <c r="AB349" s="702" t="n"/>
      <c r="AC349" s="702" t="n"/>
      <c r="AD349" s="702" t="n"/>
      <c r="AE349" s="702" t="n"/>
      <c r="AF349" s="702" t="n"/>
      <c r="AG349" s="702" t="n"/>
      <c r="AH349" s="702" t="n"/>
      <c r="AI349" s="702" t="n"/>
      <c r="AJ349" s="702" t="n"/>
      <c r="AK349" s="702" t="n"/>
      <c r="AL349" s="702" t="n"/>
      <c r="AM349" s="702" t="n"/>
      <c r="AN349" s="702" t="n"/>
      <c r="AO349" s="702" t="n"/>
      <c r="AP349" s="702" t="n"/>
      <c r="AQ349" s="702" t="n"/>
      <c r="AR349" s="702" t="n"/>
      <c r="AS349" s="702" t="n"/>
      <c r="AT349" s="702" t="n"/>
      <c r="AU349" s="702" t="n"/>
      <c r="AV349" s="702" t="n"/>
      <c r="AW349" s="702" t="n"/>
    </row>
    <row r="350" ht="16.4" customHeight="1" s="828">
      <c r="A350" s="680" t="n"/>
      <c r="B350" s="680" t="n"/>
      <c r="C350" s="680" t="n"/>
      <c r="D350" s="680" t="n"/>
      <c r="E350" s="680" t="n"/>
      <c r="F350" s="680" t="n"/>
      <c r="G350" s="680" t="n"/>
      <c r="H350" s="680" t="n"/>
      <c r="I350" s="680" t="n"/>
      <c r="J350" s="680" t="n"/>
      <c r="K350" s="680" t="n"/>
      <c r="L350" s="680" t="n"/>
      <c r="M350" s="680" t="n"/>
      <c r="N350" s="680" t="n"/>
      <c r="O350" s="680" t="n"/>
      <c r="P350" s="680" t="n"/>
      <c r="Q350" s="680" t="n"/>
      <c r="R350" s="680" t="n"/>
      <c r="S350" s="680" t="n"/>
      <c r="T350" s="680" t="n"/>
      <c r="U350" s="680" t="n"/>
      <c r="V350" s="680" t="n"/>
      <c r="W350" s="680" t="n"/>
      <c r="X350" s="680" t="n"/>
      <c r="Y350" s="680" t="n"/>
      <c r="Z350" s="680" t="n"/>
      <c r="AA350" s="680" t="n"/>
      <c r="AB350" s="680" t="n"/>
      <c r="AC350" s="680" t="n"/>
      <c r="AD350" s="680" t="n"/>
      <c r="AE350" s="680" t="n"/>
      <c r="AF350" s="680" t="n"/>
      <c r="AG350" s="680" t="n"/>
      <c r="AH350" s="680" t="n"/>
      <c r="AI350" s="680" t="n"/>
      <c r="AJ350" s="680" t="n"/>
      <c r="AK350" s="680" t="n"/>
      <c r="AL350" s="680" t="n"/>
      <c r="AM350" s="680" t="n"/>
      <c r="AN350" s="680" t="n"/>
      <c r="AO350" s="680" t="n"/>
      <c r="AP350" s="680" t="n"/>
      <c r="AQ350" s="680" t="n"/>
      <c r="AR350" s="680" t="n"/>
      <c r="AS350" s="680" t="n"/>
      <c r="AT350" s="680" t="n"/>
      <c r="AU350" s="680" t="n"/>
      <c r="AV350" s="680" t="n"/>
      <c r="AW350" s="680" t="n"/>
      <c r="AX350" s="25" t="n"/>
    </row>
    <row r="351" ht="16.4" customHeight="1" s="828">
      <c r="A351" s="680" t="n"/>
      <c r="B351" s="680" t="n"/>
      <c r="C351" s="680" t="n"/>
      <c r="D351" s="680" t="n"/>
      <c r="E351" s="680" t="n"/>
      <c r="F351" s="680" t="n"/>
      <c r="G351" s="680" t="n"/>
      <c r="H351" s="680" t="n"/>
      <c r="I351" s="680" t="n"/>
      <c r="J351" s="680" t="n"/>
      <c r="K351" s="680" t="n"/>
      <c r="L351" s="680" t="n"/>
      <c r="M351" s="680" t="n"/>
      <c r="N351" s="680" t="n"/>
      <c r="O351" s="680" t="n"/>
      <c r="P351" s="680" t="n"/>
      <c r="Q351" s="680" t="n"/>
      <c r="R351" s="680" t="n"/>
      <c r="S351" s="680" t="n"/>
      <c r="T351" s="680" t="n"/>
      <c r="U351" s="680" t="n"/>
      <c r="V351" s="680" t="n"/>
      <c r="W351" s="680" t="n"/>
      <c r="X351" s="680" t="n"/>
      <c r="Y351" s="680" t="n"/>
      <c r="Z351" s="680" t="n"/>
      <c r="AA351" s="680" t="n"/>
      <c r="AB351" s="680" t="n"/>
      <c r="AC351" s="680" t="n"/>
      <c r="AD351" s="680" t="n"/>
      <c r="AE351" s="680" t="n"/>
      <c r="AF351" s="680" t="n"/>
      <c r="AG351" s="680" t="n"/>
      <c r="AH351" s="680" t="n"/>
      <c r="AI351" s="680" t="n"/>
      <c r="AJ351" s="680" t="n"/>
      <c r="AK351" s="680" t="n"/>
      <c r="AL351" s="680" t="n"/>
      <c r="AM351" s="680" t="n"/>
      <c r="AN351" s="680" t="n"/>
      <c r="AO351" s="680" t="n"/>
      <c r="AP351" s="680" t="n"/>
      <c r="AQ351" s="680" t="n"/>
      <c r="AR351" s="680" t="n"/>
      <c r="AS351" s="680" t="n"/>
      <c r="AT351" s="680" t="n"/>
      <c r="AU351" s="680" t="n"/>
      <c r="AV351" s="680" t="n"/>
      <c r="AW351" s="680" t="n"/>
      <c r="AX351" s="25" t="n"/>
    </row>
    <row r="352" ht="16.4" customHeight="1" s="828">
      <c r="A352" s="680" t="n"/>
      <c r="B352" s="680" t="n"/>
      <c r="C352" s="680" t="n"/>
      <c r="D352" s="680" t="n"/>
      <c r="E352" s="680" t="n"/>
      <c r="F352" s="680" t="n"/>
      <c r="G352" s="680" t="n"/>
      <c r="H352" s="680" t="n"/>
      <c r="I352" s="680" t="n"/>
      <c r="J352" s="680" t="n"/>
      <c r="K352" s="680" t="n"/>
      <c r="L352" s="680" t="n"/>
      <c r="M352" s="680" t="n"/>
      <c r="N352" s="680" t="n"/>
      <c r="O352" s="680" t="n"/>
      <c r="P352" s="680" t="n"/>
      <c r="Q352" s="680" t="n"/>
      <c r="R352" s="680" t="n"/>
      <c r="S352" s="680" t="n"/>
      <c r="T352" s="680" t="n"/>
      <c r="U352" s="680" t="n"/>
      <c r="V352" s="680" t="n"/>
      <c r="W352" s="680" t="n"/>
      <c r="X352" s="680" t="n"/>
      <c r="Y352" s="680" t="n"/>
      <c r="Z352" s="680" t="n"/>
      <c r="AA352" s="680" t="n"/>
      <c r="AB352" s="680" t="n"/>
      <c r="AC352" s="680" t="n"/>
      <c r="AD352" s="680" t="n"/>
      <c r="AE352" s="680" t="n"/>
      <c r="AF352" s="680" t="n"/>
      <c r="AG352" s="680" t="n"/>
      <c r="AH352" s="680" t="n"/>
      <c r="AI352" s="680" t="n"/>
      <c r="AJ352" s="680" t="n"/>
      <c r="AK352" s="680" t="n"/>
      <c r="AL352" s="680" t="n"/>
      <c r="AM352" s="680" t="n"/>
      <c r="AN352" s="680" t="n"/>
      <c r="AO352" s="680" t="n"/>
      <c r="AP352" s="680" t="n"/>
      <c r="AQ352" s="680" t="n"/>
      <c r="AR352" s="680" t="n"/>
      <c r="AS352" s="680" t="n"/>
      <c r="AT352" s="680" t="n"/>
      <c r="AU352" s="680" t="n"/>
      <c r="AV352" s="680" t="n"/>
      <c r="AW352" s="680" t="n"/>
      <c r="AX352" s="25" t="n"/>
    </row>
    <row r="353" ht="16.4" customHeight="1" s="828">
      <c r="A353" s="680" t="n"/>
      <c r="B353" s="680" t="n"/>
      <c r="C353" s="680" t="n"/>
      <c r="D353" s="680" t="n"/>
      <c r="E353" s="680" t="n"/>
      <c r="F353" s="680" t="n"/>
      <c r="G353" s="680" t="n"/>
      <c r="H353" s="680" t="n"/>
      <c r="I353" s="680" t="n"/>
      <c r="J353" s="680" t="n"/>
      <c r="K353" s="680" t="n"/>
      <c r="L353" s="680" t="n"/>
      <c r="M353" s="680" t="n"/>
      <c r="N353" s="680" t="n"/>
      <c r="O353" s="680" t="n"/>
      <c r="P353" s="680" t="n"/>
      <c r="Q353" s="680" t="n"/>
      <c r="R353" s="680" t="n"/>
      <c r="S353" s="680" t="n"/>
      <c r="T353" s="680" t="n"/>
      <c r="U353" s="680" t="n"/>
      <c r="V353" s="680" t="n"/>
      <c r="W353" s="680" t="n"/>
      <c r="X353" s="680" t="n"/>
      <c r="Y353" s="680" t="n"/>
      <c r="Z353" s="680" t="n"/>
      <c r="AA353" s="680" t="n"/>
      <c r="AB353" s="680" t="n"/>
      <c r="AC353" s="680" t="n"/>
      <c r="AD353" s="680" t="n"/>
      <c r="AE353" s="680" t="n"/>
      <c r="AF353" s="680" t="n"/>
      <c r="AG353" s="680" t="n"/>
      <c r="AH353" s="680" t="n"/>
      <c r="AI353" s="680" t="n"/>
      <c r="AJ353" s="680" t="n"/>
      <c r="AK353" s="680" t="n"/>
      <c r="AL353" s="680" t="n"/>
      <c r="AM353" s="680" t="n"/>
      <c r="AN353" s="680" t="n"/>
      <c r="AO353" s="680" t="n"/>
      <c r="AP353" s="680" t="n"/>
      <c r="AQ353" s="680" t="n"/>
      <c r="AR353" s="680" t="n"/>
      <c r="AS353" s="680" t="n"/>
      <c r="AT353" s="680" t="n"/>
      <c r="AU353" s="680" t="n"/>
      <c r="AV353" s="680" t="n"/>
      <c r="AW353" s="680" t="n"/>
      <c r="AX353" s="25" t="n"/>
    </row>
    <row r="354" ht="16.4" customHeight="1" s="828">
      <c r="A354" s="680" t="n"/>
      <c r="B354" s="680" t="n"/>
      <c r="C354" s="680" t="n"/>
      <c r="D354" s="680" t="n"/>
      <c r="E354" s="680" t="n"/>
      <c r="F354" s="680" t="n"/>
      <c r="G354" s="680" t="n"/>
      <c r="H354" s="680" t="n"/>
      <c r="I354" s="680" t="n"/>
      <c r="J354" s="680" t="n"/>
      <c r="K354" s="680" t="n"/>
      <c r="L354" s="680" t="n"/>
      <c r="M354" s="680" t="n"/>
      <c r="N354" s="680" t="n"/>
      <c r="O354" s="680" t="n"/>
      <c r="P354" s="680" t="n"/>
      <c r="Q354" s="680" t="n"/>
      <c r="R354" s="680" t="n"/>
      <c r="S354" s="680" t="n"/>
      <c r="T354" s="680" t="n"/>
      <c r="U354" s="680" t="n"/>
      <c r="V354" s="680" t="n"/>
      <c r="W354" s="680" t="n"/>
      <c r="X354" s="680" t="n"/>
      <c r="Y354" s="680" t="n"/>
      <c r="Z354" s="680" t="n"/>
      <c r="AA354" s="680" t="n"/>
      <c r="AB354" s="680" t="n"/>
      <c r="AC354" s="680" t="n"/>
      <c r="AD354" s="680" t="n"/>
      <c r="AE354" s="680" t="n"/>
      <c r="AF354" s="680" t="n"/>
      <c r="AG354" s="680" t="n"/>
      <c r="AH354" s="680" t="n"/>
      <c r="AI354" s="680" t="n"/>
      <c r="AJ354" s="680" t="n"/>
      <c r="AK354" s="680" t="n"/>
      <c r="AL354" s="680" t="n"/>
      <c r="AM354" s="680" t="n"/>
      <c r="AN354" s="680" t="n"/>
      <c r="AO354" s="680" t="n"/>
      <c r="AP354" s="680" t="n"/>
      <c r="AQ354" s="680" t="n"/>
      <c r="AR354" s="680" t="n"/>
      <c r="AS354" s="680" t="n"/>
      <c r="AT354" s="680" t="n"/>
      <c r="AU354" s="680" t="n"/>
      <c r="AV354" s="680" t="n"/>
      <c r="AW354" s="680" t="n"/>
      <c r="AX354" s="25" t="n"/>
    </row>
    <row r="355" ht="16.4" customHeight="1" s="828">
      <c r="A355" s="680" t="n"/>
      <c r="B355" s="680" t="n"/>
      <c r="C355" s="680" t="n"/>
      <c r="D355" s="680" t="n"/>
      <c r="E355" s="680" t="n"/>
      <c r="F355" s="680" t="n"/>
      <c r="G355" s="680" t="n"/>
      <c r="H355" s="680" t="n"/>
      <c r="I355" s="680" t="n"/>
      <c r="J355" s="680" t="n"/>
      <c r="K355" s="680" t="n"/>
      <c r="L355" s="680" t="n"/>
      <c r="M355" s="680" t="n"/>
      <c r="N355" s="680" t="n"/>
      <c r="O355" s="680" t="n"/>
      <c r="P355" s="680" t="n"/>
      <c r="Q355" s="680" t="n"/>
      <c r="R355" s="680" t="n"/>
      <c r="S355" s="680" t="n"/>
      <c r="T355" s="680" t="n"/>
      <c r="U355" s="680" t="n"/>
      <c r="V355" s="680" t="n"/>
      <c r="W355" s="680" t="n"/>
      <c r="X355" s="680" t="n"/>
      <c r="Y355" s="680" t="n"/>
      <c r="Z355" s="680" t="n"/>
      <c r="AA355" s="680" t="n"/>
      <c r="AB355" s="680" t="n"/>
      <c r="AC355" s="680" t="n"/>
      <c r="AD355" s="680" t="n"/>
      <c r="AE355" s="680" t="n"/>
      <c r="AF355" s="680" t="n"/>
      <c r="AG355" s="680" t="n"/>
      <c r="AH355" s="680" t="n"/>
      <c r="AI355" s="680" t="n"/>
      <c r="AJ355" s="680" t="n"/>
      <c r="AK355" s="680" t="n"/>
      <c r="AL355" s="680" t="n"/>
      <c r="AM355" s="680" t="n"/>
      <c r="AN355" s="680" t="n"/>
      <c r="AO355" s="680" t="n"/>
      <c r="AP355" s="680" t="n"/>
      <c r="AQ355" s="680" t="n"/>
      <c r="AR355" s="680" t="n"/>
      <c r="AS355" s="680" t="n"/>
      <c r="AT355" s="680" t="n"/>
      <c r="AU355" s="680" t="n"/>
      <c r="AV355" s="680" t="n"/>
      <c r="AW355" s="680" t="n"/>
      <c r="AX355" s="25" t="n"/>
    </row>
    <row r="356" ht="16.4" customFormat="1" customHeight="1" s="26">
      <c r="A356" s="687" t="n"/>
      <c r="B356" s="687" t="n"/>
      <c r="C356" s="687" t="n"/>
      <c r="D356" s="687" t="n"/>
      <c r="E356" s="687" t="n"/>
      <c r="F356" s="687" t="n"/>
      <c r="G356" s="687" t="n"/>
      <c r="H356" s="687" t="n"/>
      <c r="I356" s="687" t="n"/>
      <c r="J356" s="687" t="n"/>
      <c r="K356" s="687" t="n"/>
      <c r="L356" s="687" t="n"/>
      <c r="M356" s="687" t="n"/>
      <c r="N356" s="687" t="n"/>
      <c r="O356" s="687" t="n"/>
      <c r="P356" s="687" t="n"/>
      <c r="Q356" s="687" t="n"/>
      <c r="R356" s="687" t="n"/>
      <c r="S356" s="687" t="n"/>
      <c r="T356" s="687" t="n"/>
      <c r="U356" s="687" t="n"/>
      <c r="V356" s="687" t="n"/>
      <c r="W356" s="687" t="n"/>
      <c r="X356" s="687" t="n"/>
      <c r="Y356" s="687" t="n"/>
      <c r="Z356" s="687" t="n"/>
      <c r="AA356" s="687" t="n"/>
      <c r="AB356" s="687" t="n"/>
      <c r="AC356" s="687" t="n"/>
      <c r="AD356" s="687" t="n"/>
      <c r="AE356" s="687" t="n"/>
      <c r="AF356" s="687" t="n"/>
      <c r="AG356" s="687" t="n"/>
      <c r="AH356" s="687" t="n"/>
      <c r="AI356" s="687" t="n"/>
      <c r="AJ356" s="687" t="n"/>
      <c r="AK356" s="687" t="n"/>
      <c r="AL356" s="687" t="n"/>
      <c r="AM356" s="687" t="n"/>
      <c r="AN356" s="687" t="n"/>
      <c r="AO356" s="687" t="n"/>
      <c r="AP356" s="687" t="n"/>
      <c r="AQ356" s="687" t="n"/>
      <c r="AR356" s="687" t="n"/>
      <c r="AS356" s="687" t="n"/>
      <c r="AT356" s="687" t="n"/>
      <c r="AU356" s="687" t="n"/>
      <c r="AV356" s="687" t="n"/>
      <c r="AW356" s="687" t="n"/>
      <c r="AX356" s="25" t="n"/>
    </row>
    <row r="357" ht="16.4" customHeight="1" s="828">
      <c r="A357" s="680" t="n"/>
      <c r="B357" s="680" t="n"/>
      <c r="C357" s="680" t="n"/>
      <c r="D357" s="680" t="n"/>
      <c r="E357" s="680" t="n"/>
      <c r="F357" s="680" t="n"/>
      <c r="G357" s="680" t="n"/>
      <c r="H357" s="680" t="n"/>
      <c r="I357" s="680" t="n"/>
      <c r="J357" s="680" t="n"/>
      <c r="K357" s="680" t="n"/>
      <c r="L357" s="680" t="n"/>
      <c r="M357" s="680" t="n"/>
      <c r="N357" s="680" t="n"/>
      <c r="O357" s="680" t="n"/>
      <c r="P357" s="680" t="n"/>
      <c r="Q357" s="680" t="n"/>
      <c r="R357" s="680" t="n"/>
      <c r="S357" s="680" t="n"/>
      <c r="T357" s="680" t="n"/>
      <c r="U357" s="680" t="n"/>
      <c r="V357" s="680" t="n"/>
      <c r="W357" s="680" t="n"/>
      <c r="X357" s="680" t="n"/>
      <c r="Y357" s="680" t="n"/>
      <c r="Z357" s="680" t="n"/>
      <c r="AA357" s="680" t="n"/>
      <c r="AB357" s="680" t="n"/>
      <c r="AC357" s="680" t="n"/>
      <c r="AD357" s="680" t="n"/>
      <c r="AE357" s="680" t="n"/>
      <c r="AF357" s="680" t="n"/>
      <c r="AG357" s="680" t="n"/>
      <c r="AH357" s="680" t="n"/>
      <c r="AI357" s="680" t="n"/>
      <c r="AJ357" s="680" t="n"/>
      <c r="AK357" s="680" t="n"/>
      <c r="AL357" s="680" t="n"/>
      <c r="AM357" s="680" t="n"/>
      <c r="AN357" s="680" t="n"/>
      <c r="AO357" s="680" t="n"/>
      <c r="AP357" s="680" t="n"/>
      <c r="AQ357" s="680" t="n"/>
      <c r="AR357" s="680" t="n"/>
      <c r="AS357" s="680" t="n"/>
      <c r="AT357" s="680" t="n"/>
      <c r="AU357" s="680" t="n"/>
      <c r="AV357" s="680" t="n"/>
      <c r="AW357" s="680" t="n"/>
      <c r="AX357" s="25" t="n"/>
    </row>
    <row r="358" ht="16.4" customHeight="1" s="828">
      <c r="A358" s="680" t="n"/>
      <c r="B358" s="680" t="n"/>
      <c r="C358" s="680" t="n"/>
      <c r="D358" s="680" t="n"/>
      <c r="E358" s="680" t="n"/>
      <c r="F358" s="680" t="n"/>
      <c r="G358" s="680" t="n"/>
      <c r="H358" s="680" t="n"/>
      <c r="I358" s="680" t="n"/>
      <c r="J358" s="680" t="n"/>
      <c r="K358" s="680" t="n"/>
      <c r="L358" s="680" t="n"/>
      <c r="M358" s="680" t="n"/>
      <c r="N358" s="680" t="n"/>
      <c r="O358" s="680" t="n"/>
      <c r="P358" s="680" t="n"/>
      <c r="Q358" s="680" t="n"/>
      <c r="R358" s="680" t="n"/>
      <c r="S358" s="680" t="n"/>
      <c r="T358" s="680" t="n"/>
      <c r="U358" s="680" t="n"/>
      <c r="V358" s="680" t="n"/>
      <c r="W358" s="680" t="n"/>
      <c r="X358" s="680" t="n"/>
      <c r="Y358" s="680" t="n"/>
      <c r="Z358" s="680" t="n"/>
      <c r="AA358" s="680" t="n"/>
      <c r="AB358" s="680" t="n"/>
      <c r="AC358" s="680" t="n"/>
      <c r="AD358" s="680" t="n"/>
      <c r="AE358" s="680" t="n"/>
      <c r="AF358" s="680" t="n"/>
      <c r="AG358" s="680" t="n"/>
      <c r="AH358" s="680" t="n"/>
      <c r="AI358" s="680" t="n"/>
      <c r="AJ358" s="680" t="n"/>
      <c r="AK358" s="680" t="n"/>
      <c r="AL358" s="680" t="n"/>
      <c r="AM358" s="680" t="n"/>
      <c r="AN358" s="680" t="n"/>
      <c r="AO358" s="680" t="n"/>
      <c r="AP358" s="680" t="n"/>
      <c r="AQ358" s="680" t="n"/>
      <c r="AR358" s="680" t="n"/>
      <c r="AS358" s="680" t="n"/>
      <c r="AT358" s="680" t="n"/>
      <c r="AU358" s="680" t="n"/>
      <c r="AV358" s="680" t="n"/>
      <c r="AW358" s="680" t="n"/>
      <c r="AX358" s="25" t="n"/>
    </row>
    <row r="359" ht="16.4" customHeight="1" s="828">
      <c r="A359" s="680" t="n"/>
      <c r="B359" s="680" t="n"/>
      <c r="C359" s="680" t="n"/>
      <c r="D359" s="680" t="n"/>
      <c r="E359" s="680" t="n"/>
      <c r="F359" s="680" t="n"/>
      <c r="G359" s="680" t="n"/>
      <c r="H359" s="680" t="n"/>
      <c r="I359" s="680" t="n"/>
      <c r="J359" s="680" t="n"/>
      <c r="K359" s="680" t="n"/>
      <c r="L359" s="680" t="n"/>
      <c r="M359" s="680" t="n"/>
      <c r="N359" s="680" t="n"/>
      <c r="O359" s="680" t="n"/>
      <c r="P359" s="680" t="n"/>
      <c r="Q359" s="680" t="n"/>
      <c r="R359" s="680" t="n"/>
      <c r="S359" s="680" t="n"/>
      <c r="T359" s="680" t="n"/>
      <c r="U359" s="680" t="n"/>
      <c r="V359" s="680" t="n"/>
      <c r="W359" s="680" t="n"/>
      <c r="X359" s="680" t="n"/>
      <c r="Y359" s="680" t="n"/>
      <c r="Z359" s="680" t="n"/>
      <c r="AA359" s="680" t="n"/>
      <c r="AB359" s="680" t="n"/>
      <c r="AC359" s="680" t="n"/>
      <c r="AD359" s="680" t="n"/>
      <c r="AE359" s="680" t="n"/>
      <c r="AF359" s="680" t="n"/>
      <c r="AG359" s="680" t="n"/>
      <c r="AH359" s="680" t="n"/>
      <c r="AI359" s="680" t="n"/>
      <c r="AJ359" s="680" t="n"/>
      <c r="AK359" s="680" t="n"/>
      <c r="AL359" s="680" t="n"/>
      <c r="AM359" s="680" t="n"/>
      <c r="AN359" s="680" t="n"/>
      <c r="AO359" s="680" t="n"/>
      <c r="AP359" s="680" t="n"/>
      <c r="AQ359" s="680" t="n"/>
      <c r="AR359" s="680" t="n"/>
      <c r="AS359" s="680" t="n"/>
      <c r="AT359" s="680" t="n"/>
      <c r="AU359" s="680" t="n"/>
      <c r="AV359" s="680" t="n"/>
      <c r="AW359" s="680" t="n"/>
      <c r="AX359" s="25" t="n"/>
    </row>
    <row r="360" ht="16.4" customHeight="1" s="828">
      <c r="A360" s="680" t="n"/>
      <c r="B360" s="680" t="n"/>
      <c r="C360" s="680" t="n"/>
      <c r="D360" s="680" t="n"/>
      <c r="E360" s="680" t="n"/>
      <c r="F360" s="680" t="n"/>
      <c r="G360" s="680" t="n"/>
      <c r="H360" s="680" t="n"/>
      <c r="I360" s="680" t="n"/>
      <c r="J360" s="680" t="n"/>
      <c r="K360" s="680" t="n"/>
      <c r="L360" s="680" t="n"/>
      <c r="M360" s="680" t="n"/>
      <c r="N360" s="680" t="n"/>
      <c r="O360" s="680" t="n"/>
      <c r="P360" s="680" t="n"/>
      <c r="Q360" s="680" t="n"/>
      <c r="R360" s="680" t="n"/>
      <c r="S360" s="680" t="n"/>
      <c r="T360" s="680" t="n"/>
      <c r="U360" s="680" t="n"/>
      <c r="V360" s="680" t="n"/>
      <c r="W360" s="680" t="n"/>
      <c r="X360" s="680" t="n"/>
      <c r="Y360" s="680" t="n"/>
      <c r="Z360" s="680" t="n"/>
      <c r="AA360" s="680" t="n"/>
      <c r="AB360" s="680" t="n"/>
      <c r="AC360" s="680" t="n"/>
      <c r="AD360" s="680" t="n"/>
      <c r="AE360" s="680" t="n"/>
      <c r="AF360" s="680" t="n"/>
      <c r="AG360" s="680" t="n"/>
      <c r="AH360" s="680" t="n"/>
      <c r="AI360" s="680" t="n"/>
      <c r="AJ360" s="680" t="n"/>
      <c r="AK360" s="680" t="n"/>
      <c r="AL360" s="680" t="n"/>
      <c r="AM360" s="680" t="n"/>
      <c r="AN360" s="680" t="n"/>
      <c r="AO360" s="680" t="n"/>
      <c r="AP360" s="680" t="n"/>
      <c r="AQ360" s="680" t="n"/>
      <c r="AR360" s="680" t="n"/>
      <c r="AS360" s="680" t="n"/>
      <c r="AT360" s="680" t="n"/>
      <c r="AU360" s="680" t="n"/>
      <c r="AV360" s="680" t="n"/>
      <c r="AW360" s="680" t="n"/>
      <c r="AX360" s="25" t="n"/>
    </row>
    <row r="361" ht="16.4" customHeight="1" s="828">
      <c r="A361" s="680" t="n"/>
      <c r="B361" s="680" t="n"/>
      <c r="C361" s="680" t="n"/>
      <c r="D361" s="680" t="n"/>
      <c r="E361" s="680" t="n"/>
      <c r="F361" s="680" t="n"/>
      <c r="G361" s="680" t="n"/>
      <c r="H361" s="680" t="n"/>
      <c r="I361" s="680" t="n"/>
      <c r="J361" s="680" t="n"/>
      <c r="K361" s="680" t="n"/>
      <c r="L361" s="680" t="n"/>
      <c r="M361" s="680" t="n"/>
      <c r="N361" s="680" t="n"/>
      <c r="O361" s="680" t="n"/>
      <c r="P361" s="680" t="n"/>
      <c r="Q361" s="680" t="n"/>
      <c r="R361" s="680" t="n"/>
      <c r="S361" s="680" t="n"/>
      <c r="T361" s="680" t="n"/>
      <c r="U361" s="680" t="n"/>
      <c r="V361" s="680" t="n"/>
      <c r="W361" s="680" t="n"/>
      <c r="X361" s="680" t="n"/>
      <c r="Y361" s="680" t="n"/>
      <c r="Z361" s="680" t="n"/>
      <c r="AA361" s="680" t="n"/>
      <c r="AB361" s="680" t="n"/>
      <c r="AC361" s="680" t="n"/>
      <c r="AD361" s="680" t="n"/>
      <c r="AE361" s="680" t="n"/>
      <c r="AF361" s="680" t="n"/>
      <c r="AG361" s="680" t="n"/>
      <c r="AH361" s="680" t="n"/>
      <c r="AI361" s="680" t="n"/>
      <c r="AJ361" s="680" t="n"/>
      <c r="AK361" s="680" t="n"/>
      <c r="AL361" s="680" t="n"/>
      <c r="AM361" s="680" t="n"/>
      <c r="AN361" s="680" t="n"/>
      <c r="AO361" s="680" t="n"/>
      <c r="AP361" s="680" t="n"/>
      <c r="AQ361" s="680" t="n"/>
      <c r="AR361" s="680" t="n"/>
      <c r="AS361" s="680" t="n"/>
      <c r="AT361" s="680" t="n"/>
      <c r="AU361" s="680" t="n"/>
      <c r="AV361" s="680" t="n"/>
      <c r="AW361" s="680" t="n"/>
      <c r="AX361" s="25" t="n"/>
    </row>
    <row r="362" ht="16.4" customHeight="1" s="828">
      <c r="A362" s="680" t="n"/>
      <c r="B362" s="680" t="n"/>
      <c r="C362" s="680" t="n"/>
      <c r="D362" s="680" t="n"/>
      <c r="E362" s="680" t="n"/>
      <c r="F362" s="680" t="n"/>
      <c r="G362" s="680" t="n"/>
      <c r="H362" s="680" t="n"/>
      <c r="I362" s="680" t="n"/>
      <c r="J362" s="680" t="n"/>
      <c r="K362" s="680" t="n"/>
      <c r="L362" s="680" t="n"/>
      <c r="M362" s="680" t="n"/>
      <c r="N362" s="680" t="n"/>
      <c r="O362" s="680" t="n"/>
      <c r="P362" s="680" t="n"/>
      <c r="Q362" s="680" t="n"/>
      <c r="R362" s="680" t="n"/>
      <c r="S362" s="680" t="n"/>
      <c r="T362" s="680" t="n"/>
      <c r="U362" s="680" t="n"/>
      <c r="V362" s="680" t="n"/>
      <c r="W362" s="680" t="n"/>
      <c r="X362" s="680" t="n"/>
      <c r="Y362" s="680" t="n"/>
      <c r="Z362" s="680" t="n"/>
      <c r="AA362" s="680" t="n"/>
      <c r="AB362" s="680" t="n"/>
      <c r="AC362" s="680" t="n"/>
      <c r="AD362" s="680" t="n"/>
      <c r="AE362" s="680" t="n"/>
      <c r="AF362" s="680" t="n"/>
      <c r="AG362" s="680" t="n"/>
      <c r="AH362" s="680" t="n"/>
      <c r="AI362" s="680" t="n"/>
      <c r="AJ362" s="680" t="n"/>
      <c r="AK362" s="680" t="n"/>
      <c r="AL362" s="680" t="n"/>
      <c r="AM362" s="680" t="n"/>
      <c r="AN362" s="680" t="n"/>
      <c r="AO362" s="680" t="n"/>
      <c r="AP362" s="680" t="n"/>
      <c r="AQ362" s="680" t="n"/>
      <c r="AR362" s="680" t="n"/>
      <c r="AS362" s="680" t="n"/>
      <c r="AT362" s="680" t="n"/>
      <c r="AU362" s="680" t="n"/>
      <c r="AV362" s="680" t="n"/>
      <c r="AW362" s="680" t="n"/>
      <c r="AX362" s="25" t="n"/>
    </row>
    <row r="363" ht="16.4" customHeight="1" s="828">
      <c r="A363" s="680" t="n"/>
      <c r="B363" s="680" t="n"/>
      <c r="C363" s="680" t="n"/>
      <c r="D363" s="680" t="n"/>
      <c r="E363" s="680" t="n"/>
      <c r="F363" s="680" t="n"/>
      <c r="G363" s="680" t="n"/>
      <c r="H363" s="680" t="n"/>
      <c r="I363" s="680" t="n"/>
      <c r="J363" s="680" t="n"/>
      <c r="K363" s="680" t="n"/>
      <c r="L363" s="680" t="n"/>
      <c r="M363" s="680" t="n"/>
      <c r="N363" s="680" t="n"/>
      <c r="O363" s="680" t="n"/>
      <c r="P363" s="680" t="n"/>
      <c r="Q363" s="680" t="n"/>
      <c r="R363" s="680" t="n"/>
      <c r="S363" s="680" t="n"/>
      <c r="T363" s="680" t="n"/>
      <c r="U363" s="680" t="n"/>
      <c r="V363" s="680" t="n"/>
      <c r="W363" s="680" t="n"/>
      <c r="X363" s="680" t="n"/>
      <c r="Y363" s="680" t="n"/>
      <c r="Z363" s="680" t="n"/>
      <c r="AA363" s="680" t="n"/>
      <c r="AB363" s="680" t="n"/>
      <c r="AC363" s="680" t="n"/>
      <c r="AD363" s="680" t="n"/>
      <c r="AE363" s="680" t="n"/>
      <c r="AF363" s="680" t="n"/>
      <c r="AG363" s="680" t="n"/>
      <c r="AH363" s="680" t="n"/>
      <c r="AI363" s="680" t="n"/>
      <c r="AJ363" s="680" t="n"/>
      <c r="AK363" s="680" t="n"/>
      <c r="AL363" s="680" t="n"/>
      <c r="AM363" s="680" t="n"/>
      <c r="AN363" s="680" t="n"/>
      <c r="AO363" s="680" t="n"/>
      <c r="AP363" s="680" t="n"/>
      <c r="AQ363" s="680" t="n"/>
      <c r="AR363" s="680" t="n"/>
      <c r="AS363" s="680" t="n"/>
      <c r="AT363" s="680" t="n"/>
      <c r="AU363" s="680" t="n"/>
      <c r="AV363" s="680" t="n"/>
      <c r="AW363" s="680" t="n"/>
      <c r="AX363" s="25" t="n"/>
    </row>
    <row r="364" ht="16.4" customHeight="1" s="828">
      <c r="A364" s="680" t="n"/>
      <c r="B364" s="680" t="n"/>
      <c r="C364" s="680" t="n"/>
      <c r="D364" s="680" t="n"/>
      <c r="E364" s="680" t="n"/>
      <c r="F364" s="680" t="n"/>
      <c r="G364" s="680" t="n"/>
      <c r="H364" s="680" t="n"/>
      <c r="I364" s="680" t="n"/>
      <c r="J364" s="680" t="n"/>
      <c r="K364" s="680" t="n"/>
      <c r="L364" s="680" t="n"/>
      <c r="M364" s="680" t="n"/>
      <c r="N364" s="680" t="n"/>
      <c r="O364" s="680" t="n"/>
      <c r="P364" s="680" t="n"/>
      <c r="Q364" s="680" t="n"/>
      <c r="R364" s="680" t="n"/>
      <c r="S364" s="680" t="n"/>
      <c r="T364" s="680" t="n"/>
      <c r="U364" s="680" t="n"/>
      <c r="V364" s="680" t="n"/>
      <c r="W364" s="680" t="n"/>
      <c r="X364" s="680" t="n"/>
      <c r="Y364" s="680" t="n"/>
      <c r="Z364" s="680" t="n"/>
      <c r="AA364" s="680" t="n"/>
      <c r="AB364" s="680" t="n"/>
      <c r="AC364" s="680" t="n"/>
      <c r="AD364" s="680" t="n"/>
      <c r="AE364" s="680" t="n"/>
      <c r="AF364" s="680" t="n"/>
      <c r="AG364" s="680" t="n"/>
      <c r="AH364" s="680" t="n"/>
      <c r="AI364" s="680" t="n"/>
      <c r="AJ364" s="680" t="n"/>
      <c r="AK364" s="680" t="n"/>
      <c r="AL364" s="680" t="n"/>
      <c r="AM364" s="680" t="n"/>
      <c r="AN364" s="680" t="n"/>
      <c r="AO364" s="680" t="n"/>
      <c r="AP364" s="680" t="n"/>
      <c r="AQ364" s="680" t="n"/>
      <c r="AR364" s="680" t="n"/>
      <c r="AS364" s="680" t="n"/>
      <c r="AT364" s="680" t="n"/>
      <c r="AU364" s="680" t="n"/>
      <c r="AV364" s="680" t="n"/>
      <c r="AW364" s="680" t="n"/>
      <c r="AX364" s="25" t="n"/>
    </row>
    <row r="365" ht="16.4" customHeight="1" s="828">
      <c r="A365" s="680" t="n"/>
      <c r="B365" s="680" t="n"/>
      <c r="C365" s="680" t="n"/>
      <c r="D365" s="680" t="n"/>
      <c r="E365" s="680" t="n"/>
      <c r="F365" s="680" t="n"/>
      <c r="G365" s="680" t="n"/>
      <c r="H365" s="680" t="n"/>
      <c r="I365" s="680" t="n"/>
      <c r="J365" s="680" t="n"/>
      <c r="K365" s="680" t="n"/>
      <c r="L365" s="680" t="n"/>
      <c r="M365" s="680" t="n"/>
      <c r="N365" s="680" t="n"/>
      <c r="O365" s="680" t="n"/>
      <c r="P365" s="680" t="n"/>
      <c r="Q365" s="680" t="n"/>
      <c r="R365" s="680" t="n"/>
      <c r="S365" s="680" t="n"/>
      <c r="T365" s="680" t="n"/>
      <c r="U365" s="680" t="n"/>
      <c r="V365" s="680" t="n"/>
      <c r="W365" s="680" t="n"/>
      <c r="X365" s="680" t="n"/>
      <c r="Y365" s="680" t="n"/>
      <c r="Z365" s="680" t="n"/>
      <c r="AA365" s="680" t="n"/>
      <c r="AB365" s="680" t="n"/>
      <c r="AC365" s="680" t="n"/>
      <c r="AD365" s="680" t="n"/>
      <c r="AE365" s="680" t="n"/>
      <c r="AF365" s="680" t="n"/>
      <c r="AG365" s="680" t="n"/>
      <c r="AH365" s="680" t="n"/>
      <c r="AI365" s="680" t="n"/>
      <c r="AJ365" s="680" t="n"/>
      <c r="AK365" s="680" t="n"/>
      <c r="AL365" s="680" t="n"/>
      <c r="AM365" s="680" t="n"/>
      <c r="AN365" s="680" t="n"/>
      <c r="AO365" s="680" t="n"/>
      <c r="AP365" s="680" t="n"/>
      <c r="AQ365" s="680" t="n"/>
      <c r="AR365" s="680" t="n"/>
      <c r="AS365" s="680" t="n"/>
      <c r="AT365" s="680" t="n"/>
      <c r="AU365" s="680" t="n"/>
      <c r="AV365" s="680" t="n"/>
      <c r="AW365" s="680" t="n"/>
      <c r="AX365" s="25" t="n"/>
    </row>
    <row r="366" ht="16.4" customHeight="1" s="828">
      <c r="A366" s="680" t="n"/>
      <c r="B366" s="680" t="n"/>
      <c r="C366" s="680" t="n"/>
      <c r="D366" s="680" t="n"/>
      <c r="E366" s="680" t="n"/>
      <c r="F366" s="680" t="n"/>
      <c r="G366" s="680" t="n"/>
      <c r="H366" s="680" t="n"/>
      <c r="I366" s="680" t="n"/>
      <c r="J366" s="680" t="n"/>
      <c r="K366" s="680" t="n"/>
      <c r="L366" s="680" t="n"/>
      <c r="M366" s="680" t="n"/>
      <c r="N366" s="680" t="n"/>
      <c r="O366" s="680" t="n"/>
      <c r="P366" s="680" t="n"/>
      <c r="Q366" s="680" t="n"/>
      <c r="R366" s="680" t="n"/>
      <c r="S366" s="680" t="n"/>
      <c r="T366" s="680" t="n"/>
      <c r="U366" s="680" t="n"/>
      <c r="V366" s="680" t="n"/>
      <c r="W366" s="680" t="n"/>
      <c r="X366" s="680" t="n"/>
      <c r="Y366" s="680" t="n"/>
      <c r="Z366" s="680" t="n"/>
      <c r="AA366" s="680" t="n"/>
      <c r="AB366" s="680" t="n"/>
      <c r="AC366" s="680" t="n"/>
      <c r="AD366" s="680" t="n"/>
      <c r="AE366" s="680" t="n"/>
      <c r="AF366" s="680" t="n"/>
      <c r="AG366" s="680" t="n"/>
      <c r="AH366" s="680" t="n"/>
      <c r="AI366" s="680" t="n"/>
      <c r="AJ366" s="680" t="n"/>
      <c r="AK366" s="680" t="n"/>
      <c r="AL366" s="680" t="n"/>
      <c r="AM366" s="680" t="n"/>
      <c r="AN366" s="680" t="n"/>
      <c r="AO366" s="680" t="n"/>
      <c r="AP366" s="680" t="n"/>
      <c r="AQ366" s="680" t="n"/>
      <c r="AR366" s="680" t="n"/>
      <c r="AS366" s="680" t="n"/>
      <c r="AT366" s="680" t="n"/>
      <c r="AU366" s="680" t="n"/>
      <c r="AV366" s="680" t="n"/>
      <c r="AW366" s="680" t="n"/>
      <c r="AX366" s="25" t="n"/>
    </row>
    <row r="367" ht="16.4" customHeight="1" s="828">
      <c r="A367" s="722" t="n"/>
      <c r="B367" s="1021" t="n"/>
      <c r="C367" s="1021" t="n"/>
      <c r="D367" s="1021" t="n"/>
      <c r="E367" s="1021" t="n"/>
      <c r="F367" s="1021" t="n"/>
      <c r="G367" s="1021" t="n"/>
      <c r="H367" s="1021" t="n"/>
      <c r="I367" s="1021" t="n"/>
      <c r="J367" s="1021" t="n"/>
      <c r="K367" s="1022" t="n"/>
      <c r="L367" s="963" t="n"/>
      <c r="M367" s="963" t="n"/>
      <c r="N367" s="963" t="n"/>
      <c r="O367" s="963" t="n"/>
      <c r="P367" s="963" t="n"/>
      <c r="Q367" s="963" t="n"/>
      <c r="R367" s="963" t="n"/>
      <c r="S367" s="963" t="n"/>
      <c r="T367" s="963" t="n"/>
      <c r="U367" s="991" t="n"/>
      <c r="V367" s="1021" t="n"/>
      <c r="W367" s="1021" t="n"/>
      <c r="X367" s="1021" t="n"/>
      <c r="Y367" s="1021" t="n"/>
      <c r="Z367" s="1021" t="n"/>
      <c r="AA367" s="989" t="n"/>
      <c r="AB367" s="1022" t="n"/>
      <c r="AC367" s="963" t="n"/>
      <c r="AD367" s="963" t="n"/>
      <c r="AE367" s="963" t="n"/>
      <c r="AF367" s="963" t="n"/>
      <c r="AG367" s="963" t="n"/>
      <c r="AH367" s="963" t="n"/>
      <c r="AI367" s="991" t="n"/>
      <c r="AJ367" s="1021" t="n"/>
      <c r="AK367" s="1021" t="n"/>
      <c r="AL367" s="1021" t="n"/>
      <c r="AM367" s="1021" t="n"/>
      <c r="AN367" s="1021" t="n"/>
      <c r="AO367" s="1021" t="n"/>
      <c r="AP367" s="1022" t="n"/>
      <c r="AQ367" s="963" t="n"/>
      <c r="AR367" s="963" t="n"/>
      <c r="AS367" s="963" t="n"/>
      <c r="AT367" s="963" t="n"/>
      <c r="AU367" s="963" t="n"/>
      <c r="AV367" s="963" t="n"/>
      <c r="AW367" s="991" t="n"/>
      <c r="AX367" s="18" t="n"/>
    </row>
    <row r="368" ht="16.4" customHeight="1" s="828">
      <c r="A368" s="722" t="n"/>
      <c r="B368" s="1021" t="n"/>
      <c r="C368" s="1021" t="n"/>
      <c r="D368" s="1021" t="n"/>
      <c r="E368" s="1021" t="n"/>
      <c r="F368" s="1021" t="n"/>
      <c r="G368" s="1021" t="n"/>
      <c r="H368" s="1021" t="n"/>
      <c r="I368" s="1021" t="n"/>
      <c r="J368" s="1021" t="n"/>
      <c r="K368" s="1022" t="n"/>
      <c r="L368" s="963" t="n"/>
      <c r="M368" s="963" t="n"/>
      <c r="N368" s="963" t="n"/>
      <c r="O368" s="963" t="n"/>
      <c r="P368" s="963" t="n"/>
      <c r="Q368" s="963" t="n"/>
      <c r="R368" s="963" t="n"/>
      <c r="S368" s="963" t="n"/>
      <c r="T368" s="963" t="n"/>
      <c r="U368" s="991" t="n"/>
      <c r="V368" s="1021" t="n"/>
      <c r="W368" s="1021" t="n"/>
      <c r="X368" s="1021" t="n"/>
      <c r="Y368" s="1021" t="n"/>
      <c r="Z368" s="1021" t="n"/>
      <c r="AA368" s="989" t="n"/>
      <c r="AB368" s="1022" t="n"/>
      <c r="AC368" s="963" t="n"/>
      <c r="AD368" s="963" t="n"/>
      <c r="AE368" s="963" t="n"/>
      <c r="AF368" s="963" t="n"/>
      <c r="AG368" s="963" t="n"/>
      <c r="AH368" s="963" t="n"/>
      <c r="AI368" s="991" t="n"/>
      <c r="AJ368" s="1021" t="n"/>
      <c r="AK368" s="1021" t="n"/>
      <c r="AL368" s="1021" t="n"/>
      <c r="AM368" s="1021" t="n"/>
      <c r="AN368" s="1021" t="n"/>
      <c r="AO368" s="1021" t="n"/>
      <c r="AP368" s="1022" t="n"/>
      <c r="AQ368" s="963" t="n"/>
      <c r="AR368" s="963" t="n"/>
      <c r="AS368" s="963" t="n"/>
      <c r="AT368" s="963" t="n"/>
      <c r="AU368" s="963" t="n"/>
      <c r="AV368" s="963" t="n"/>
      <c r="AW368" s="991" t="n"/>
      <c r="AX368" s="18" t="n"/>
    </row>
    <row r="369" ht="16.4" customHeight="1" s="828">
      <c r="A369" s="722" t="n"/>
      <c r="B369" s="1021" t="n"/>
      <c r="C369" s="1021" t="n"/>
      <c r="D369" s="1021" t="n"/>
      <c r="E369" s="1021" t="n"/>
      <c r="F369" s="1021" t="n"/>
      <c r="G369" s="1021" t="n"/>
      <c r="H369" s="1021" t="n"/>
      <c r="I369" s="1021" t="n"/>
      <c r="J369" s="1021" t="n"/>
      <c r="K369" s="1022" t="n"/>
      <c r="L369" s="963" t="n"/>
      <c r="M369" s="963" t="n"/>
      <c r="N369" s="963" t="n"/>
      <c r="O369" s="963" t="n"/>
      <c r="P369" s="963" t="n"/>
      <c r="Q369" s="963" t="n"/>
      <c r="R369" s="963" t="n"/>
      <c r="S369" s="963" t="n"/>
      <c r="T369" s="963" t="n"/>
      <c r="U369" s="991" t="n"/>
      <c r="V369" s="1021" t="n"/>
      <c r="W369" s="1021" t="n"/>
      <c r="X369" s="1021" t="n"/>
      <c r="Y369" s="1021" t="n"/>
      <c r="Z369" s="1021" t="n"/>
      <c r="AA369" s="989" t="n"/>
      <c r="AB369" s="1022" t="n"/>
      <c r="AC369" s="963" t="n"/>
      <c r="AD369" s="963" t="n"/>
      <c r="AE369" s="963" t="n"/>
      <c r="AF369" s="963" t="n"/>
      <c r="AG369" s="963" t="n"/>
      <c r="AH369" s="963" t="n"/>
      <c r="AI369" s="991" t="n"/>
      <c r="AJ369" s="1021" t="n"/>
      <c r="AK369" s="1021" t="n"/>
      <c r="AL369" s="1021" t="n"/>
      <c r="AM369" s="1021" t="n"/>
      <c r="AN369" s="1021" t="n"/>
      <c r="AO369" s="1021" t="n"/>
      <c r="AP369" s="1022" t="n"/>
      <c r="AQ369" s="963" t="n"/>
      <c r="AR369" s="963" t="n"/>
      <c r="AS369" s="963" t="n"/>
      <c r="AT369" s="963" t="n"/>
      <c r="AU369" s="963" t="n"/>
      <c r="AV369" s="963" t="n"/>
      <c r="AW369" s="991" t="n"/>
      <c r="AX369" s="18" t="n"/>
    </row>
    <row r="370" ht="16.4" customHeight="1" s="828">
      <c r="A370" s="722" t="n"/>
      <c r="B370" s="1021" t="n"/>
      <c r="C370" s="1021" t="n"/>
      <c r="D370" s="1021" t="n"/>
      <c r="E370" s="1021" t="n"/>
      <c r="F370" s="1021" t="n"/>
      <c r="G370" s="1021" t="n"/>
      <c r="H370" s="1021" t="n"/>
      <c r="I370" s="1021" t="n"/>
      <c r="J370" s="1021" t="n"/>
      <c r="K370" s="1022" t="n"/>
      <c r="L370" s="963" t="n"/>
      <c r="M370" s="963" t="n"/>
      <c r="N370" s="963" t="n"/>
      <c r="O370" s="963" t="n"/>
      <c r="P370" s="963" t="n"/>
      <c r="Q370" s="963" t="n"/>
      <c r="R370" s="963" t="n"/>
      <c r="S370" s="963" t="n"/>
      <c r="T370" s="963" t="n"/>
      <c r="U370" s="991" t="n"/>
      <c r="V370" s="1021" t="n"/>
      <c r="W370" s="1021" t="n"/>
      <c r="X370" s="1021" t="n"/>
      <c r="Y370" s="1021" t="n"/>
      <c r="Z370" s="1021" t="n"/>
      <c r="AA370" s="997" t="n"/>
      <c r="AB370" s="1022" t="n"/>
      <c r="AC370" s="963" t="n"/>
      <c r="AD370" s="963" t="n"/>
      <c r="AE370" s="963" t="n"/>
      <c r="AF370" s="963" t="n"/>
      <c r="AG370" s="963" t="n"/>
      <c r="AH370" s="967" t="n"/>
      <c r="AI370" s="991" t="n"/>
      <c r="AJ370" s="1021" t="n"/>
      <c r="AK370" s="1021" t="n"/>
      <c r="AL370" s="1021" t="n"/>
      <c r="AM370" s="1021" t="n"/>
      <c r="AN370" s="1021" t="n"/>
      <c r="AO370" s="1021" t="n"/>
      <c r="AP370" s="1022" t="n"/>
      <c r="AQ370" s="963" t="n"/>
      <c r="AR370" s="963" t="n"/>
      <c r="AS370" s="963" t="n"/>
      <c r="AT370" s="963" t="n"/>
      <c r="AU370" s="963" t="n"/>
      <c r="AV370" s="963" t="n"/>
      <c r="AW370" s="991" t="n"/>
      <c r="AX370" s="18" t="n"/>
    </row>
    <row r="371" ht="16.4" customHeight="1" s="828">
      <c r="A371" s="722" t="n"/>
      <c r="B371" s="1021" t="n"/>
      <c r="C371" s="1021" t="n"/>
      <c r="D371" s="1021" t="n"/>
      <c r="E371" s="1021" t="n"/>
      <c r="F371" s="1021" t="n"/>
      <c r="G371" s="1021" t="n"/>
      <c r="H371" s="1021" t="n"/>
      <c r="I371" s="1021" t="n"/>
      <c r="J371" s="1021" t="n"/>
      <c r="K371" s="1022" t="n"/>
      <c r="L371" s="963" t="n"/>
      <c r="M371" s="963" t="n"/>
      <c r="N371" s="963" t="n"/>
      <c r="O371" s="963" t="n"/>
      <c r="P371" s="963" t="n"/>
      <c r="Q371" s="963" t="n"/>
      <c r="R371" s="963" t="n"/>
      <c r="S371" s="963" t="n"/>
      <c r="T371" s="963" t="n"/>
      <c r="U371" s="991" t="n"/>
      <c r="V371" s="1021" t="n"/>
      <c r="W371" s="1021" t="n"/>
      <c r="X371" s="1021" t="n"/>
      <c r="Y371" s="1021" t="n"/>
      <c r="Z371" s="1021" t="n"/>
      <c r="AA371" s="997" t="n"/>
      <c r="AB371" s="1022" t="n"/>
      <c r="AC371" s="963" t="n"/>
      <c r="AD371" s="963" t="n"/>
      <c r="AE371" s="963" t="n"/>
      <c r="AF371" s="963" t="n"/>
      <c r="AG371" s="963" t="n"/>
      <c r="AH371" s="967" t="n"/>
      <c r="AI371" s="991" t="n"/>
      <c r="AJ371" s="1021" t="n"/>
      <c r="AK371" s="1021" t="n"/>
      <c r="AL371" s="1021" t="n"/>
      <c r="AM371" s="1021" t="n"/>
      <c r="AN371" s="1021" t="n"/>
      <c r="AO371" s="1021" t="n"/>
      <c r="AP371" s="1022" t="n"/>
      <c r="AQ371" s="963" t="n"/>
      <c r="AR371" s="963" t="n"/>
      <c r="AS371" s="963" t="n"/>
      <c r="AT371" s="963" t="n"/>
      <c r="AU371" s="963" t="n"/>
      <c r="AV371" s="963" t="n"/>
      <c r="AW371" s="991" t="n"/>
      <c r="AX371" s="18" t="n"/>
    </row>
    <row r="372" ht="16.4" customHeight="1" s="828">
      <c r="A372" s="722" t="n"/>
      <c r="B372" s="1021" t="n"/>
      <c r="C372" s="1021" t="n"/>
      <c r="D372" s="1021" t="n"/>
      <c r="E372" s="1021" t="n"/>
      <c r="F372" s="1021" t="n"/>
      <c r="G372" s="1021" t="n"/>
      <c r="H372" s="1021" t="n"/>
      <c r="I372" s="1021" t="n"/>
      <c r="J372" s="1021" t="n"/>
      <c r="K372" s="1022" t="n"/>
      <c r="L372" s="963" t="n"/>
      <c r="M372" s="963" t="n"/>
      <c r="N372" s="963" t="n"/>
      <c r="O372" s="963" t="n"/>
      <c r="P372" s="963" t="n"/>
      <c r="Q372" s="963" t="n"/>
      <c r="R372" s="963" t="n"/>
      <c r="S372" s="963" t="n"/>
      <c r="T372" s="963" t="n"/>
      <c r="U372" s="991" t="n"/>
      <c r="V372" s="1021" t="n"/>
      <c r="W372" s="1021" t="n"/>
      <c r="X372" s="1021" t="n"/>
      <c r="Y372" s="1021" t="n"/>
      <c r="Z372" s="1021" t="n"/>
      <c r="AA372" s="997" t="n"/>
      <c r="AB372" s="1022" t="n"/>
      <c r="AC372" s="963" t="n"/>
      <c r="AD372" s="963" t="n"/>
      <c r="AE372" s="963" t="n"/>
      <c r="AF372" s="963" t="n"/>
      <c r="AG372" s="963" t="n"/>
      <c r="AH372" s="967" t="n"/>
      <c r="AI372" s="991" t="n"/>
      <c r="AJ372" s="1021" t="n"/>
      <c r="AK372" s="1021" t="n"/>
      <c r="AL372" s="1021" t="n"/>
      <c r="AM372" s="1021" t="n"/>
      <c r="AN372" s="1021" t="n"/>
      <c r="AO372" s="1021" t="n"/>
      <c r="AP372" s="1022" t="n"/>
      <c r="AQ372" s="963" t="n"/>
      <c r="AR372" s="963" t="n"/>
      <c r="AS372" s="963" t="n"/>
      <c r="AT372" s="963" t="n"/>
      <c r="AU372" s="963" t="n"/>
      <c r="AV372" s="963" t="n"/>
      <c r="AW372" s="991" t="n"/>
      <c r="AX372" s="18" t="n"/>
    </row>
    <row r="373" ht="16.4" customHeight="1" s="828">
      <c r="A373" s="722" t="n"/>
      <c r="B373" s="1021" t="n"/>
      <c r="C373" s="1021" t="n"/>
      <c r="D373" s="1021" t="n"/>
      <c r="E373" s="1021" t="n"/>
      <c r="F373" s="1021" t="n"/>
      <c r="G373" s="1021" t="n"/>
      <c r="H373" s="1021" t="n"/>
      <c r="I373" s="1021" t="n"/>
      <c r="J373" s="1021" t="n"/>
      <c r="K373" s="1022" t="n"/>
      <c r="L373" s="963" t="n"/>
      <c r="M373" s="963" t="n"/>
      <c r="N373" s="963" t="n"/>
      <c r="O373" s="963" t="n"/>
      <c r="P373" s="963" t="n"/>
      <c r="Q373" s="963" t="n"/>
      <c r="R373" s="963" t="n"/>
      <c r="S373" s="963" t="n"/>
      <c r="T373" s="963" t="n"/>
      <c r="U373" s="991" t="n"/>
      <c r="V373" s="1021" t="n"/>
      <c r="W373" s="1021" t="n"/>
      <c r="X373" s="1021" t="n"/>
      <c r="Y373" s="1021" t="n"/>
      <c r="Z373" s="1021" t="n"/>
      <c r="AA373" s="997" t="n"/>
      <c r="AB373" s="1022" t="n"/>
      <c r="AC373" s="963" t="n"/>
      <c r="AD373" s="963" t="n"/>
      <c r="AE373" s="963" t="n"/>
      <c r="AF373" s="963" t="n"/>
      <c r="AG373" s="963" t="n"/>
      <c r="AH373" s="967" t="n"/>
      <c r="AI373" s="991" t="n"/>
      <c r="AJ373" s="1021" t="n"/>
      <c r="AK373" s="1021" t="n"/>
      <c r="AL373" s="1021" t="n"/>
      <c r="AM373" s="1021" t="n"/>
      <c r="AN373" s="1021" t="n"/>
      <c r="AO373" s="1021" t="n"/>
      <c r="AP373" s="1022" t="n"/>
      <c r="AQ373" s="963" t="n"/>
      <c r="AR373" s="963" t="n"/>
      <c r="AS373" s="963" t="n"/>
      <c r="AT373" s="963" t="n"/>
      <c r="AU373" s="963" t="n"/>
      <c r="AV373" s="963" t="n"/>
      <c r="AW373" s="991" t="n"/>
    </row>
    <row r="374" ht="16.4" customHeight="1" s="828">
      <c r="A374" s="722" t="n"/>
      <c r="B374" s="1021" t="n"/>
      <c r="C374" s="1021" t="n"/>
      <c r="D374" s="1021" t="n"/>
      <c r="E374" s="1021" t="n"/>
      <c r="F374" s="1021" t="n"/>
      <c r="G374" s="1025" t="n"/>
      <c r="H374" s="1021" t="n"/>
      <c r="I374" s="1021" t="n"/>
      <c r="J374" s="1021" t="n"/>
      <c r="K374" s="1022" t="n"/>
      <c r="L374" s="963" t="n"/>
      <c r="M374" s="963" t="n"/>
      <c r="N374" s="963" t="n"/>
      <c r="O374" s="963" t="n"/>
      <c r="P374" s="963" t="n"/>
      <c r="Q374" s="967" t="n"/>
      <c r="R374" s="963" t="n"/>
      <c r="S374" s="963" t="n"/>
      <c r="T374" s="963" t="n"/>
      <c r="U374" s="991" t="n"/>
      <c r="V374" s="1021" t="n"/>
      <c r="W374" s="1021" t="n"/>
      <c r="X374" s="1021" t="n"/>
      <c r="Y374" s="1021" t="n"/>
      <c r="Z374" s="1021" t="n"/>
      <c r="AA374" s="997" t="n"/>
      <c r="AB374" s="1022" t="n"/>
      <c r="AC374" s="963" t="n"/>
      <c r="AD374" s="963" t="n"/>
      <c r="AE374" s="963" t="n"/>
      <c r="AF374" s="963" t="n"/>
      <c r="AG374" s="963" t="n"/>
      <c r="AH374" s="967" t="n"/>
      <c r="AI374" s="991" t="n"/>
      <c r="AJ374" s="1021" t="n"/>
      <c r="AK374" s="1021" t="n"/>
      <c r="AL374" s="1021" t="n"/>
      <c r="AM374" s="1021" t="n"/>
      <c r="AN374" s="1021" t="n"/>
      <c r="AO374" s="1021" t="n"/>
      <c r="AP374" s="1022" t="n"/>
      <c r="AQ374" s="963" t="n"/>
      <c r="AR374" s="963" t="n"/>
      <c r="AS374" s="963" t="n"/>
      <c r="AT374" s="963" t="n"/>
      <c r="AU374" s="963" t="n"/>
      <c r="AV374" s="963" t="n"/>
      <c r="AW374" s="991" t="n"/>
    </row>
    <row r="375" ht="16.4" customHeight="1" s="828">
      <c r="A375" s="722" t="n"/>
      <c r="B375" s="1021" t="n"/>
      <c r="C375" s="1021" t="n"/>
      <c r="D375" s="1021" t="n"/>
      <c r="E375" s="1021" t="n"/>
      <c r="F375" s="1021" t="n"/>
      <c r="G375" s="1025" t="n"/>
      <c r="H375" s="1021" t="n"/>
      <c r="I375" s="1021" t="n"/>
      <c r="J375" s="1021" t="n"/>
      <c r="K375" s="1022" t="n"/>
      <c r="L375" s="963" t="n"/>
      <c r="M375" s="963" t="n"/>
      <c r="N375" s="963" t="n"/>
      <c r="O375" s="963" t="n"/>
      <c r="P375" s="963" t="n"/>
      <c r="Q375" s="967" t="n"/>
      <c r="R375" s="963" t="n"/>
      <c r="S375" s="963" t="n"/>
      <c r="T375" s="963" t="n"/>
      <c r="U375" s="991" t="n"/>
      <c r="V375" s="1021" t="n"/>
      <c r="W375" s="1021" t="n"/>
      <c r="X375" s="1021" t="n"/>
      <c r="Y375" s="1021" t="n"/>
      <c r="Z375" s="1021" t="n"/>
      <c r="AA375" s="997" t="n"/>
      <c r="AB375" s="1022" t="n"/>
      <c r="AC375" s="963" t="n"/>
      <c r="AD375" s="963" t="n"/>
      <c r="AE375" s="963" t="n"/>
      <c r="AF375" s="963" t="n"/>
      <c r="AG375" s="963" t="n"/>
      <c r="AH375" s="967" t="n"/>
      <c r="AI375" s="991" t="n"/>
      <c r="AJ375" s="1021" t="n"/>
      <c r="AK375" s="1021" t="n"/>
      <c r="AL375" s="1021" t="n"/>
      <c r="AM375" s="1021" t="n"/>
      <c r="AN375" s="1021" t="n"/>
      <c r="AO375" s="1021" t="n"/>
      <c r="AP375" s="1022" t="n"/>
      <c r="AQ375" s="963" t="n"/>
      <c r="AR375" s="963" t="n"/>
      <c r="AS375" s="963" t="n"/>
      <c r="AT375" s="963" t="n"/>
      <c r="AU375" s="963" t="n"/>
      <c r="AV375" s="963" t="n"/>
      <c r="AW375" s="991" t="n"/>
    </row>
    <row r="376" ht="16.4" customHeight="1" s="828">
      <c r="A376" s="722" t="n"/>
      <c r="B376" s="1021" t="n"/>
      <c r="C376" s="1021" t="n"/>
      <c r="D376" s="1021" t="n"/>
      <c r="E376" s="1021" t="n"/>
      <c r="F376" s="1021" t="n"/>
      <c r="G376" s="1025" t="n"/>
      <c r="H376" s="1021" t="n"/>
      <c r="I376" s="1021" t="n"/>
      <c r="J376" s="1021" t="n"/>
      <c r="K376" s="1022" t="n"/>
      <c r="L376" s="963" t="n"/>
      <c r="M376" s="963" t="n"/>
      <c r="N376" s="963" t="n"/>
      <c r="O376" s="963" t="n"/>
      <c r="P376" s="963" t="n"/>
      <c r="Q376" s="967" t="n"/>
      <c r="R376" s="963" t="n"/>
      <c r="S376" s="963" t="n"/>
      <c r="T376" s="963" t="n"/>
      <c r="U376" s="991" t="n"/>
      <c r="V376" s="1021" t="n"/>
      <c r="W376" s="1021" t="n"/>
      <c r="X376" s="1021" t="n"/>
      <c r="Y376" s="1021" t="n"/>
      <c r="Z376" s="1021" t="n"/>
      <c r="AA376" s="997" t="n"/>
      <c r="AB376" s="1022" t="n"/>
      <c r="AC376" s="963" t="n"/>
      <c r="AD376" s="963" t="n"/>
      <c r="AE376" s="963" t="n"/>
      <c r="AF376" s="963" t="n"/>
      <c r="AG376" s="963" t="n"/>
      <c r="AH376" s="967" t="n"/>
      <c r="AI376" s="991" t="n"/>
      <c r="AJ376" s="1021" t="n"/>
      <c r="AK376" s="1021" t="n"/>
      <c r="AL376" s="1021" t="n"/>
      <c r="AM376" s="1021" t="n"/>
      <c r="AN376" s="1021" t="n"/>
      <c r="AO376" s="1021" t="n"/>
      <c r="AP376" s="1022" t="n"/>
      <c r="AQ376" s="963" t="n"/>
      <c r="AR376" s="963" t="n"/>
      <c r="AS376" s="963" t="n"/>
      <c r="AT376" s="963" t="n"/>
      <c r="AU376" s="963" t="n"/>
      <c r="AV376" s="963" t="n"/>
      <c r="AW376" s="991" t="n"/>
    </row>
    <row r="377" ht="16.4" customHeight="1" s="828">
      <c r="A377" s="722" t="n"/>
      <c r="B377" s="1021" t="n"/>
      <c r="C377" s="1021" t="n"/>
      <c r="D377" s="1021" t="n"/>
      <c r="E377" s="1021" t="n"/>
      <c r="F377" s="1021" t="n"/>
      <c r="G377" s="1025" t="n"/>
      <c r="H377" s="1021" t="n"/>
      <c r="I377" s="1021" t="n"/>
      <c r="J377" s="1021" t="n"/>
      <c r="K377" s="1022" t="n"/>
      <c r="L377" s="963" t="n"/>
      <c r="M377" s="963" t="n"/>
      <c r="N377" s="963" t="n"/>
      <c r="O377" s="963" t="n"/>
      <c r="P377" s="963" t="n"/>
      <c r="Q377" s="967" t="n"/>
      <c r="R377" s="963" t="n"/>
      <c r="S377" s="963" t="n"/>
      <c r="T377" s="963" t="n"/>
      <c r="U377" s="991" t="n"/>
      <c r="V377" s="1021" t="n"/>
      <c r="W377" s="1021" t="n"/>
      <c r="X377" s="1021" t="n"/>
      <c r="Y377" s="1021" t="n"/>
      <c r="Z377" s="1021" t="n"/>
      <c r="AA377" s="997" t="n"/>
      <c r="AB377" s="1022" t="n"/>
      <c r="AC377" s="963" t="n"/>
      <c r="AD377" s="963" t="n"/>
      <c r="AE377" s="963" t="n"/>
      <c r="AF377" s="963" t="n"/>
      <c r="AG377" s="963" t="n"/>
      <c r="AH377" s="967" t="n"/>
      <c r="AI377" s="991" t="n"/>
      <c r="AJ377" s="1021" t="n"/>
      <c r="AK377" s="1021" t="n"/>
      <c r="AL377" s="1021" t="n"/>
      <c r="AM377" s="1021" t="n"/>
      <c r="AN377" s="1021" t="n"/>
      <c r="AO377" s="1021" t="n"/>
      <c r="AP377" s="1022" t="n"/>
      <c r="AQ377" s="963" t="n"/>
      <c r="AR377" s="963" t="n"/>
      <c r="AS377" s="963" t="n"/>
      <c r="AT377" s="963" t="n"/>
      <c r="AU377" s="963" t="n"/>
      <c r="AV377" s="963" t="n"/>
      <c r="AW377" s="991" t="n"/>
    </row>
    <row r="378" ht="16.4" customHeight="1" s="828">
      <c r="A378" s="722" t="n"/>
      <c r="B378" s="1021" t="n"/>
      <c r="C378" s="1021" t="n"/>
      <c r="D378" s="1021" t="n"/>
      <c r="E378" s="1021" t="n"/>
      <c r="F378" s="1021" t="n"/>
      <c r="G378" s="1025" t="n"/>
      <c r="H378" s="1021" t="n"/>
      <c r="I378" s="1021" t="n"/>
      <c r="J378" s="1021" t="n"/>
      <c r="K378" s="1022" t="n"/>
      <c r="L378" s="963" t="n"/>
      <c r="M378" s="963" t="n"/>
      <c r="N378" s="963" t="n"/>
      <c r="O378" s="963" t="n"/>
      <c r="P378" s="963" t="n"/>
      <c r="Q378" s="967" t="n"/>
      <c r="R378" s="963" t="n"/>
      <c r="S378" s="963" t="n"/>
      <c r="T378" s="963" t="n"/>
      <c r="U378" s="991" t="n"/>
      <c r="V378" s="1021" t="n"/>
      <c r="W378" s="1021" t="n"/>
      <c r="X378" s="1021" t="n"/>
      <c r="Y378" s="1021" t="n"/>
      <c r="Z378" s="1021" t="n"/>
      <c r="AA378" s="997" t="n"/>
      <c r="AB378" s="1022" t="n"/>
      <c r="AC378" s="963" t="n"/>
      <c r="AD378" s="963" t="n"/>
      <c r="AE378" s="963" t="n"/>
      <c r="AF378" s="963" t="n"/>
      <c r="AG378" s="963" t="n"/>
      <c r="AH378" s="967" t="n"/>
      <c r="AI378" s="991" t="n"/>
      <c r="AJ378" s="1021" t="n"/>
      <c r="AK378" s="1021" t="n"/>
      <c r="AL378" s="1021" t="n"/>
      <c r="AM378" s="1021" t="n"/>
      <c r="AN378" s="1021" t="n"/>
      <c r="AO378" s="1021" t="n"/>
      <c r="AP378" s="1022" t="n"/>
      <c r="AQ378" s="963" t="n"/>
      <c r="AR378" s="963" t="n"/>
      <c r="AS378" s="963" t="n"/>
      <c r="AT378" s="963" t="n"/>
      <c r="AU378" s="963" t="n"/>
      <c r="AV378" s="963" t="n"/>
      <c r="AW378" s="991" t="n"/>
    </row>
    <row r="379" ht="16.4" customHeight="1" s="828">
      <c r="A379" s="722" t="n"/>
      <c r="B379" s="1021" t="n"/>
      <c r="C379" s="1021" t="n"/>
      <c r="D379" s="1021" t="n"/>
      <c r="E379" s="1021" t="n"/>
      <c r="F379" s="1021" t="n"/>
      <c r="G379" s="1025" t="n"/>
      <c r="H379" s="1021" t="n"/>
      <c r="I379" s="1021" t="n"/>
      <c r="J379" s="1021" t="n"/>
      <c r="K379" s="1022" t="n"/>
      <c r="L379" s="963" t="n"/>
      <c r="M379" s="963" t="n"/>
      <c r="N379" s="963" t="n"/>
      <c r="O379" s="963" t="n"/>
      <c r="P379" s="963" t="n"/>
      <c r="Q379" s="967" t="n"/>
      <c r="R379" s="963" t="n"/>
      <c r="S379" s="963" t="n"/>
      <c r="T379" s="963" t="n"/>
      <c r="U379" s="991" t="n"/>
      <c r="V379" s="1021" t="n"/>
      <c r="W379" s="1021" t="n"/>
      <c r="X379" s="1021" t="n"/>
      <c r="Y379" s="1021" t="n"/>
      <c r="Z379" s="1021" t="n"/>
      <c r="AA379" s="997" t="n"/>
      <c r="AB379" s="1022" t="n"/>
      <c r="AC379" s="963" t="n"/>
      <c r="AD379" s="963" t="n"/>
      <c r="AE379" s="963" t="n"/>
      <c r="AF379" s="963" t="n"/>
      <c r="AG379" s="963" t="n"/>
      <c r="AH379" s="967" t="n"/>
      <c r="AI379" s="991" t="n"/>
      <c r="AJ379" s="1021" t="n"/>
      <c r="AK379" s="1021" t="n"/>
      <c r="AL379" s="1021" t="n"/>
      <c r="AM379" s="1021" t="n"/>
      <c r="AN379" s="1021" t="n"/>
      <c r="AO379" s="1021" t="n"/>
      <c r="AP379" s="1022" t="n"/>
      <c r="AQ379" s="963" t="n"/>
      <c r="AR379" s="963" t="n"/>
      <c r="AS379" s="963" t="n"/>
      <c r="AT379" s="963" t="n"/>
      <c r="AU379" s="963" t="n"/>
      <c r="AV379" s="963" t="n"/>
      <c r="AW379" s="991" t="n"/>
    </row>
    <row r="380" ht="16.4" customHeight="1" s="828">
      <c r="A380" s="722" t="n"/>
      <c r="B380" s="1021" t="n"/>
      <c r="C380" s="1021" t="n"/>
      <c r="D380" s="1021" t="n"/>
      <c r="E380" s="1021" t="n"/>
      <c r="F380" s="1021" t="n"/>
      <c r="G380" s="1025" t="n"/>
      <c r="H380" s="1021" t="n"/>
      <c r="I380" s="1021" t="n"/>
      <c r="J380" s="1021" t="n"/>
      <c r="K380" s="1022" t="n"/>
      <c r="L380" s="963" t="n"/>
      <c r="M380" s="963" t="n"/>
      <c r="N380" s="963" t="n"/>
      <c r="O380" s="963" t="n"/>
      <c r="P380" s="963" t="n"/>
      <c r="Q380" s="967" t="n"/>
      <c r="R380" s="963" t="n"/>
      <c r="S380" s="963" t="n"/>
      <c r="T380" s="963" t="n"/>
      <c r="U380" s="991" t="n"/>
      <c r="V380" s="1021" t="n"/>
      <c r="W380" s="1021" t="n"/>
      <c r="X380" s="1021" t="n"/>
      <c r="Y380" s="1021" t="n"/>
      <c r="Z380" s="1021" t="n"/>
      <c r="AA380" s="997" t="n"/>
      <c r="AB380" s="1022" t="n"/>
      <c r="AC380" s="963" t="n"/>
      <c r="AD380" s="963" t="n"/>
      <c r="AE380" s="963" t="n"/>
      <c r="AF380" s="963" t="n"/>
      <c r="AG380" s="963" t="n"/>
      <c r="AH380" s="967" t="n"/>
      <c r="AI380" s="991" t="n"/>
      <c r="AJ380" s="1021" t="n"/>
      <c r="AK380" s="1021" t="n"/>
      <c r="AL380" s="1021" t="n"/>
      <c r="AM380" s="1021" t="n"/>
      <c r="AN380" s="1021" t="n"/>
      <c r="AO380" s="1021" t="n"/>
      <c r="AP380" s="1022" t="n"/>
      <c r="AQ380" s="963" t="n"/>
      <c r="AR380" s="963" t="n"/>
      <c r="AS380" s="963" t="n"/>
      <c r="AT380" s="963" t="n"/>
      <c r="AU380" s="963" t="n"/>
      <c r="AV380" s="963" t="n"/>
      <c r="AW380" s="991" t="n"/>
    </row>
    <row r="381" ht="16.4" customHeight="1" s="828">
      <c r="A381" s="722" t="n"/>
      <c r="B381" s="1021" t="n"/>
      <c r="C381" s="1021" t="n"/>
      <c r="D381" s="1021" t="n"/>
      <c r="E381" s="1021" t="n"/>
      <c r="F381" s="1021" t="n"/>
      <c r="G381" s="1025" t="n"/>
      <c r="H381" s="1021" t="n"/>
      <c r="I381" s="1021" t="n"/>
      <c r="J381" s="1021" t="n"/>
      <c r="K381" s="1022" t="n"/>
      <c r="L381" s="963" t="n"/>
      <c r="M381" s="963" t="n"/>
      <c r="N381" s="963" t="n"/>
      <c r="O381" s="963" t="n"/>
      <c r="P381" s="963" t="n"/>
      <c r="Q381" s="967" t="n"/>
      <c r="R381" s="963" t="n"/>
      <c r="S381" s="963" t="n"/>
      <c r="T381" s="963" t="n"/>
      <c r="U381" s="991" t="n"/>
      <c r="V381" s="1021" t="n"/>
      <c r="W381" s="1021" t="n"/>
      <c r="X381" s="1021" t="n"/>
      <c r="Y381" s="1021" t="n"/>
      <c r="Z381" s="1021" t="n"/>
      <c r="AA381" s="997" t="n"/>
      <c r="AB381" s="1022" t="n"/>
      <c r="AC381" s="963" t="n"/>
      <c r="AD381" s="963" t="n"/>
      <c r="AE381" s="963" t="n"/>
      <c r="AF381" s="963" t="n"/>
      <c r="AG381" s="963" t="n"/>
      <c r="AH381" s="967" t="n"/>
      <c r="AI381" s="991" t="n"/>
      <c r="AJ381" s="1021" t="n"/>
      <c r="AK381" s="1021" t="n"/>
      <c r="AL381" s="1021" t="n"/>
      <c r="AM381" s="1021" t="n"/>
      <c r="AN381" s="1021" t="n"/>
      <c r="AO381" s="1021" t="n"/>
      <c r="AP381" s="1022" t="n"/>
      <c r="AQ381" s="963" t="n"/>
      <c r="AR381" s="963" t="n"/>
      <c r="AS381" s="963" t="n"/>
      <c r="AT381" s="963" t="n"/>
      <c r="AU381" s="963" t="n"/>
      <c r="AV381" s="963" t="n"/>
      <c r="AW381" s="991" t="n"/>
    </row>
    <row r="382" ht="16.4" customHeight="1" s="828">
      <c r="A382" s="722" t="n"/>
      <c r="B382" s="1021" t="n"/>
      <c r="C382" s="1021" t="n"/>
      <c r="D382" s="1021" t="n"/>
      <c r="E382" s="1021" t="n"/>
      <c r="F382" s="1021" t="n"/>
      <c r="G382" s="1025" t="n"/>
      <c r="H382" s="1021" t="n"/>
      <c r="I382" s="1021" t="n"/>
      <c r="J382" s="1021" t="n"/>
      <c r="K382" s="1022" t="n"/>
      <c r="L382" s="963" t="n"/>
      <c r="M382" s="963" t="n"/>
      <c r="N382" s="963" t="n"/>
      <c r="O382" s="963" t="n"/>
      <c r="P382" s="963" t="n"/>
      <c r="Q382" s="967" t="n"/>
      <c r="R382" s="963" t="n"/>
      <c r="S382" s="963" t="n"/>
      <c r="T382" s="963" t="n"/>
      <c r="U382" s="991" t="n"/>
      <c r="V382" s="1021" t="n"/>
      <c r="W382" s="1021" t="n"/>
      <c r="X382" s="1021" t="n"/>
      <c r="Y382" s="1021" t="n"/>
      <c r="Z382" s="1021" t="n"/>
      <c r="AA382" s="997" t="n"/>
      <c r="AB382" s="1022" t="n"/>
      <c r="AC382" s="963" t="n"/>
      <c r="AD382" s="963" t="n"/>
      <c r="AE382" s="963" t="n"/>
      <c r="AF382" s="963" t="n"/>
      <c r="AG382" s="963" t="n"/>
      <c r="AH382" s="967" t="n"/>
      <c r="AI382" s="991" t="n"/>
      <c r="AJ382" s="1021" t="n"/>
      <c r="AK382" s="1021" t="n"/>
      <c r="AL382" s="1021" t="n"/>
      <c r="AM382" s="1021" t="n"/>
      <c r="AN382" s="1021" t="n"/>
      <c r="AO382" s="1021" t="n"/>
      <c r="AP382" s="1022" t="n"/>
      <c r="AQ382" s="963" t="n"/>
      <c r="AR382" s="963" t="n"/>
      <c r="AS382" s="963" t="n"/>
      <c r="AT382" s="963" t="n"/>
      <c r="AU382" s="963" t="n"/>
      <c r="AV382" s="963" t="n"/>
      <c r="AW382" s="991" t="n"/>
    </row>
    <row r="383" ht="16.4" customHeight="1" s="828">
      <c r="A383" s="722" t="n"/>
      <c r="B383" s="1021" t="n"/>
      <c r="C383" s="1021" t="n"/>
      <c r="D383" s="1021" t="n"/>
      <c r="E383" s="1021" t="n"/>
      <c r="F383" s="1021" t="n"/>
      <c r="G383" s="1021" t="n"/>
      <c r="H383" s="1021" t="n"/>
      <c r="I383" s="1021" t="n"/>
      <c r="J383" s="1021" t="n"/>
      <c r="K383" s="1022" t="n"/>
      <c r="L383" s="963" t="n"/>
      <c r="M383" s="963" t="n"/>
      <c r="N383" s="963" t="n"/>
      <c r="O383" s="963" t="n"/>
      <c r="P383" s="963" t="n"/>
      <c r="Q383" s="963" t="n"/>
      <c r="R383" s="963" t="n"/>
      <c r="S383" s="963" t="n"/>
      <c r="T383" s="963" t="n"/>
      <c r="U383" s="991" t="n"/>
      <c r="V383" s="1021" t="n"/>
      <c r="W383" s="1021" t="n"/>
      <c r="X383" s="1021" t="n"/>
      <c r="Y383" s="1021" t="n"/>
      <c r="Z383" s="1021" t="n"/>
      <c r="AA383" s="997" t="n"/>
      <c r="AB383" s="1022" t="n"/>
      <c r="AC383" s="963" t="n"/>
      <c r="AD383" s="963" t="n"/>
      <c r="AE383" s="963" t="n"/>
      <c r="AF383" s="963" t="n"/>
      <c r="AG383" s="963" t="n"/>
      <c r="AH383" s="967" t="n"/>
      <c r="AI383" s="991" t="n"/>
      <c r="AJ383" s="1021" t="n"/>
      <c r="AK383" s="1021" t="n"/>
      <c r="AL383" s="1021" t="n"/>
      <c r="AM383" s="1021" t="n"/>
      <c r="AN383" s="1021" t="n"/>
      <c r="AO383" s="1021" t="n"/>
      <c r="AP383" s="1022" t="n"/>
      <c r="AQ383" s="963" t="n"/>
      <c r="AR383" s="963" t="n"/>
      <c r="AS383" s="963" t="n"/>
      <c r="AT383" s="963" t="n"/>
      <c r="AU383" s="963" t="n"/>
      <c r="AV383" s="963" t="n"/>
      <c r="AW383" s="991" t="n"/>
    </row>
    <row r="384" ht="16.4" customHeight="1" s="828">
      <c r="A384" s="722" t="n"/>
      <c r="B384" s="1021" t="n"/>
      <c r="C384" s="1021" t="n"/>
      <c r="D384" s="1021" t="n"/>
      <c r="E384" s="1021" t="n"/>
      <c r="F384" s="1021" t="n"/>
      <c r="G384" s="1021" t="n"/>
      <c r="H384" s="1021" t="n"/>
      <c r="I384" s="1021" t="n"/>
      <c r="J384" s="1021" t="n"/>
      <c r="K384" s="1022" t="n"/>
      <c r="L384" s="963" t="n"/>
      <c r="M384" s="963" t="n"/>
      <c r="N384" s="963" t="n"/>
      <c r="O384" s="963" t="n"/>
      <c r="P384" s="963" t="n"/>
      <c r="Q384" s="963" t="n"/>
      <c r="R384" s="963" t="n"/>
      <c r="S384" s="963" t="n"/>
      <c r="T384" s="963" t="n"/>
      <c r="U384" s="991" t="n"/>
      <c r="V384" s="1021" t="n"/>
      <c r="W384" s="1021" t="n"/>
      <c r="X384" s="1021" t="n"/>
      <c r="Y384" s="1021" t="n"/>
      <c r="Z384" s="1021" t="n"/>
      <c r="AA384" s="997" t="n"/>
      <c r="AB384" s="1022" t="n"/>
      <c r="AC384" s="963" t="n"/>
      <c r="AD384" s="963" t="n"/>
      <c r="AE384" s="963" t="n"/>
      <c r="AF384" s="963" t="n"/>
      <c r="AG384" s="963" t="n"/>
      <c r="AH384" s="967" t="n"/>
      <c r="AI384" s="991" t="n"/>
      <c r="AJ384" s="1021" t="n"/>
      <c r="AK384" s="1021" t="n"/>
      <c r="AL384" s="1021" t="n"/>
      <c r="AM384" s="1021" t="n"/>
      <c r="AN384" s="1021" t="n"/>
      <c r="AO384" s="1021" t="n"/>
      <c r="AP384" s="1022" t="n"/>
      <c r="AQ384" s="963" t="n"/>
      <c r="AR384" s="963" t="n"/>
      <c r="AS384" s="963" t="n"/>
      <c r="AT384" s="963" t="n"/>
      <c r="AU384" s="963" t="n"/>
      <c r="AV384" s="963" t="n"/>
      <c r="AW384" s="991" t="n"/>
    </row>
    <row r="385" ht="16.4" customHeight="1" s="828">
      <c r="A385" s="722" t="n"/>
      <c r="B385" s="1021" t="n"/>
      <c r="C385" s="1021" t="n"/>
      <c r="D385" s="1021" t="n"/>
      <c r="E385" s="1021" t="n"/>
      <c r="F385" s="1021" t="n"/>
      <c r="G385" s="1021" t="n"/>
      <c r="H385" s="1021" t="n"/>
      <c r="I385" s="1021" t="n"/>
      <c r="J385" s="1021" t="n"/>
      <c r="K385" s="1022" t="n"/>
      <c r="L385" s="963" t="n"/>
      <c r="M385" s="963" t="n"/>
      <c r="N385" s="963" t="n"/>
      <c r="O385" s="963" t="n"/>
      <c r="P385" s="963" t="n"/>
      <c r="Q385" s="963" t="n"/>
      <c r="R385" s="963" t="n"/>
      <c r="S385" s="963" t="n"/>
      <c r="T385" s="963" t="n"/>
      <c r="U385" s="991" t="n"/>
      <c r="V385" s="1021" t="n"/>
      <c r="W385" s="1021" t="n"/>
      <c r="X385" s="1021" t="n"/>
      <c r="Y385" s="1021" t="n"/>
      <c r="Z385" s="1021" t="n"/>
      <c r="AA385" s="997" t="n"/>
      <c r="AB385" s="1022" t="n"/>
      <c r="AC385" s="963" t="n"/>
      <c r="AD385" s="963" t="n"/>
      <c r="AE385" s="963" t="n"/>
      <c r="AF385" s="963" t="n"/>
      <c r="AG385" s="963" t="n"/>
      <c r="AH385" s="967" t="n"/>
      <c r="AI385" s="991" t="n"/>
      <c r="AJ385" s="1021" t="n"/>
      <c r="AK385" s="1021" t="n"/>
      <c r="AL385" s="1021" t="n"/>
      <c r="AM385" s="1021" t="n"/>
      <c r="AN385" s="1021" t="n"/>
      <c r="AO385" s="1021" t="n"/>
      <c r="AP385" s="1022" t="n"/>
      <c r="AQ385" s="963" t="n"/>
      <c r="AR385" s="963" t="n"/>
      <c r="AS385" s="963" t="n"/>
      <c r="AT385" s="963" t="n"/>
      <c r="AU385" s="963" t="n"/>
      <c r="AV385" s="963" t="n"/>
      <c r="AW385" s="991" t="n"/>
    </row>
    <row r="386" ht="16.4" customHeight="1" s="828">
      <c r="A386" s="722" t="n"/>
      <c r="B386" s="1021" t="n"/>
      <c r="C386" s="1021" t="n"/>
      <c r="D386" s="1021" t="n"/>
      <c r="E386" s="1021" t="n"/>
      <c r="F386" s="1021" t="n"/>
      <c r="G386" s="1025" t="n"/>
      <c r="H386" s="1021" t="n"/>
      <c r="I386" s="1021" t="n"/>
      <c r="J386" s="1021" t="n"/>
      <c r="K386" s="1022" t="n"/>
      <c r="L386" s="963" t="n"/>
      <c r="M386" s="963" t="n"/>
      <c r="N386" s="963" t="n"/>
      <c r="O386" s="963" t="n"/>
      <c r="P386" s="963" t="n"/>
      <c r="Q386" s="967" t="n"/>
      <c r="R386" s="963" t="n"/>
      <c r="S386" s="963" t="n"/>
      <c r="T386" s="963" t="n"/>
      <c r="U386" s="991" t="n"/>
      <c r="V386" s="1021" t="n"/>
      <c r="W386" s="1021" t="n"/>
      <c r="X386" s="1021" t="n"/>
      <c r="Y386" s="1021" t="n"/>
      <c r="Z386" s="1021" t="n"/>
      <c r="AA386" s="997" t="n"/>
      <c r="AB386" s="1022" t="n"/>
      <c r="AC386" s="963" t="n"/>
      <c r="AD386" s="963" t="n"/>
      <c r="AE386" s="963" t="n"/>
      <c r="AF386" s="963" t="n"/>
      <c r="AG386" s="963" t="n"/>
      <c r="AH386" s="967" t="n"/>
      <c r="AI386" s="991" t="n"/>
      <c r="AJ386" s="1021" t="n"/>
      <c r="AK386" s="1021" t="n"/>
      <c r="AL386" s="1021" t="n"/>
      <c r="AM386" s="1021" t="n"/>
      <c r="AN386" s="1021" t="n"/>
      <c r="AO386" s="1021" t="n"/>
      <c r="AP386" s="1022" t="n"/>
      <c r="AQ386" s="963" t="n"/>
      <c r="AR386" s="963" t="n"/>
      <c r="AS386" s="963" t="n"/>
      <c r="AT386" s="963" t="n"/>
      <c r="AU386" s="963" t="n"/>
      <c r="AV386" s="963" t="n"/>
      <c r="AW386" s="991" t="n"/>
    </row>
    <row r="387" ht="16.4" customHeight="1" s="828">
      <c r="A387" s="722" t="n"/>
      <c r="B387" s="1021" t="n"/>
      <c r="C387" s="1021" t="n"/>
      <c r="D387" s="1021" t="n"/>
      <c r="E387" s="1021" t="n"/>
      <c r="F387" s="1021" t="n"/>
      <c r="G387" s="1025" t="n"/>
      <c r="H387" s="1021" t="n"/>
      <c r="I387" s="1021" t="n"/>
      <c r="J387" s="1021" t="n"/>
      <c r="K387" s="1022" t="n"/>
      <c r="L387" s="963" t="n"/>
      <c r="M387" s="963" t="n"/>
      <c r="N387" s="963" t="n"/>
      <c r="O387" s="963" t="n"/>
      <c r="P387" s="963" t="n"/>
      <c r="Q387" s="967" t="n"/>
      <c r="R387" s="963" t="n"/>
      <c r="S387" s="963" t="n"/>
      <c r="T387" s="963" t="n"/>
      <c r="U387" s="991" t="n"/>
      <c r="V387" s="1021" t="n"/>
      <c r="W387" s="1021" t="n"/>
      <c r="X387" s="1021" t="n"/>
      <c r="Y387" s="1021" t="n"/>
      <c r="Z387" s="1021" t="n"/>
      <c r="AA387" s="997" t="n"/>
      <c r="AB387" s="1022" t="n"/>
      <c r="AC387" s="963" t="n"/>
      <c r="AD387" s="963" t="n"/>
      <c r="AE387" s="963" t="n"/>
      <c r="AF387" s="963" t="n"/>
      <c r="AG387" s="963" t="n"/>
      <c r="AH387" s="967" t="n"/>
      <c r="AI387" s="991" t="n"/>
      <c r="AJ387" s="1021" t="n"/>
      <c r="AK387" s="1021" t="n"/>
      <c r="AL387" s="1021" t="n"/>
      <c r="AM387" s="1021" t="n"/>
      <c r="AN387" s="1021" t="n"/>
      <c r="AO387" s="1021" t="n"/>
      <c r="AP387" s="1022" t="n"/>
      <c r="AQ387" s="963" t="n"/>
      <c r="AR387" s="963" t="n"/>
      <c r="AS387" s="963" t="n"/>
      <c r="AT387" s="963" t="n"/>
      <c r="AU387" s="963" t="n"/>
      <c r="AV387" s="963" t="n"/>
      <c r="AW387" s="991" t="n"/>
    </row>
    <row r="388" ht="16.4" customHeight="1" s="828">
      <c r="A388" s="722" t="n"/>
      <c r="B388" s="1021" t="n"/>
      <c r="C388" s="1021" t="n"/>
      <c r="D388" s="1021" t="n"/>
      <c r="E388" s="1021" t="n"/>
      <c r="F388" s="1021" t="n"/>
      <c r="G388" s="1025" t="n"/>
      <c r="H388" s="1021" t="n"/>
      <c r="I388" s="1021" t="n"/>
      <c r="J388" s="1021" t="n"/>
      <c r="K388" s="1022" t="n"/>
      <c r="L388" s="963" t="n"/>
      <c r="M388" s="963" t="n"/>
      <c r="N388" s="963" t="n"/>
      <c r="O388" s="963" t="n"/>
      <c r="P388" s="963" t="n"/>
      <c r="Q388" s="967" t="n"/>
      <c r="R388" s="963" t="n"/>
      <c r="S388" s="963" t="n"/>
      <c r="T388" s="963" t="n"/>
      <c r="U388" s="991" t="n"/>
      <c r="V388" s="1021" t="n"/>
      <c r="W388" s="1021" t="n"/>
      <c r="X388" s="1021" t="n"/>
      <c r="Y388" s="1021" t="n"/>
      <c r="Z388" s="1021" t="n"/>
      <c r="AA388" s="997" t="n"/>
      <c r="AB388" s="1022" t="n"/>
      <c r="AC388" s="963" t="n"/>
      <c r="AD388" s="963" t="n"/>
      <c r="AE388" s="963" t="n"/>
      <c r="AF388" s="963" t="n"/>
      <c r="AG388" s="963" t="n"/>
      <c r="AH388" s="967" t="n"/>
      <c r="AI388" s="991" t="n"/>
      <c r="AJ388" s="1021" t="n"/>
      <c r="AK388" s="1021" t="n"/>
      <c r="AL388" s="1021" t="n"/>
      <c r="AM388" s="1021" t="n"/>
      <c r="AN388" s="1021" t="n"/>
      <c r="AO388" s="1021" t="n"/>
      <c r="AP388" s="1022" t="n"/>
      <c r="AQ388" s="963" t="n"/>
      <c r="AR388" s="963" t="n"/>
      <c r="AS388" s="963" t="n"/>
      <c r="AT388" s="963" t="n"/>
      <c r="AU388" s="963" t="n"/>
      <c r="AV388" s="963" t="n"/>
      <c r="AW388" s="991" t="n"/>
    </row>
    <row r="389" ht="16.4" customHeight="1" s="828">
      <c r="A389" s="722" t="n"/>
      <c r="B389" s="1021" t="n"/>
      <c r="C389" s="1021" t="n"/>
      <c r="D389" s="1021" t="n"/>
      <c r="E389" s="1021" t="n"/>
      <c r="F389" s="1021" t="n"/>
      <c r="G389" s="1025" t="n"/>
      <c r="H389" s="1021" t="n"/>
      <c r="I389" s="1021" t="n"/>
      <c r="J389" s="1021" t="n"/>
      <c r="K389" s="1022" t="n"/>
      <c r="L389" s="963" t="n"/>
      <c r="M389" s="963" t="n"/>
      <c r="N389" s="963" t="n"/>
      <c r="O389" s="963" t="n"/>
      <c r="P389" s="963" t="n"/>
      <c r="Q389" s="967" t="n"/>
      <c r="R389" s="963" t="n"/>
      <c r="S389" s="963" t="n"/>
      <c r="T389" s="963" t="n"/>
      <c r="U389" s="991" t="n"/>
      <c r="V389" s="1021" t="n"/>
      <c r="W389" s="1021" t="n"/>
      <c r="X389" s="1021" t="n"/>
      <c r="Y389" s="1021" t="n"/>
      <c r="Z389" s="1021" t="n"/>
      <c r="AA389" s="997" t="n"/>
      <c r="AB389" s="1022" t="n"/>
      <c r="AC389" s="963" t="n"/>
      <c r="AD389" s="963" t="n"/>
      <c r="AE389" s="963" t="n"/>
      <c r="AF389" s="963" t="n"/>
      <c r="AG389" s="963" t="n"/>
      <c r="AH389" s="967" t="n"/>
      <c r="AI389" s="991" t="n"/>
      <c r="AJ389" s="1021" t="n"/>
      <c r="AK389" s="1021" t="n"/>
      <c r="AL389" s="1021" t="n"/>
      <c r="AM389" s="1021" t="n"/>
      <c r="AN389" s="1021" t="n"/>
      <c r="AO389" s="1021" t="n"/>
      <c r="AP389" s="1022" t="n"/>
      <c r="AQ389" s="963" t="n"/>
      <c r="AR389" s="963" t="n"/>
      <c r="AS389" s="963" t="n"/>
      <c r="AT389" s="963" t="n"/>
      <c r="AU389" s="963" t="n"/>
      <c r="AV389" s="963" t="n"/>
      <c r="AW389" s="991" t="n"/>
    </row>
    <row r="390" ht="16.4" customHeight="1" s="828">
      <c r="A390" s="722" t="n"/>
      <c r="B390" s="1021" t="n"/>
      <c r="C390" s="1021" t="n"/>
      <c r="D390" s="1021" t="n"/>
      <c r="E390" s="1021" t="n"/>
      <c r="F390" s="1021" t="n"/>
      <c r="G390" s="1025" t="n"/>
      <c r="H390" s="1021" t="n"/>
      <c r="I390" s="1021" t="n"/>
      <c r="J390" s="1021" t="n"/>
      <c r="K390" s="1022" t="n"/>
      <c r="L390" s="963" t="n"/>
      <c r="M390" s="963" t="n"/>
      <c r="N390" s="963" t="n"/>
      <c r="O390" s="963" t="n"/>
      <c r="P390" s="963" t="n"/>
      <c r="Q390" s="967" t="n"/>
      <c r="R390" s="963" t="n"/>
      <c r="S390" s="963" t="n"/>
      <c r="T390" s="963" t="n"/>
      <c r="U390" s="991" t="n"/>
      <c r="V390" s="1021" t="n"/>
      <c r="W390" s="1021" t="n"/>
      <c r="X390" s="1021" t="n"/>
      <c r="Y390" s="1021" t="n"/>
      <c r="Z390" s="1021" t="n"/>
      <c r="AA390" s="997" t="n"/>
      <c r="AB390" s="1022" t="n"/>
      <c r="AC390" s="963" t="n"/>
      <c r="AD390" s="963" t="n"/>
      <c r="AE390" s="963" t="n"/>
      <c r="AF390" s="963" t="n"/>
      <c r="AG390" s="963" t="n"/>
      <c r="AH390" s="967" t="n"/>
      <c r="AI390" s="991" t="n"/>
      <c r="AJ390" s="1021" t="n"/>
      <c r="AK390" s="1021" t="n"/>
      <c r="AL390" s="1021" t="n"/>
      <c r="AM390" s="1021" t="n"/>
      <c r="AN390" s="1021" t="n"/>
      <c r="AO390" s="1021" t="n"/>
      <c r="AP390" s="1022" t="n"/>
      <c r="AQ390" s="963" t="n"/>
      <c r="AR390" s="963" t="n"/>
      <c r="AS390" s="963" t="n"/>
      <c r="AT390" s="963" t="n"/>
      <c r="AU390" s="963" t="n"/>
      <c r="AV390" s="963" t="n"/>
      <c r="AW390" s="991" t="n"/>
    </row>
    <row r="391" ht="16.4" customHeight="1" s="828">
      <c r="A391" s="722" t="n"/>
      <c r="B391" s="1021" t="n"/>
      <c r="C391" s="1021" t="n"/>
      <c r="D391" s="1021" t="n"/>
      <c r="E391" s="1021" t="n"/>
      <c r="F391" s="1021" t="n"/>
      <c r="G391" s="1025" t="n"/>
      <c r="H391" s="1021" t="n"/>
      <c r="I391" s="1021" t="n"/>
      <c r="J391" s="1021" t="n"/>
      <c r="K391" s="1022" t="n"/>
      <c r="L391" s="963" t="n"/>
      <c r="M391" s="963" t="n"/>
      <c r="N391" s="963" t="n"/>
      <c r="O391" s="963" t="n"/>
      <c r="P391" s="963" t="n"/>
      <c r="Q391" s="967" t="n"/>
      <c r="R391" s="963" t="n"/>
      <c r="S391" s="963" t="n"/>
      <c r="T391" s="963" t="n"/>
      <c r="U391" s="991" t="n"/>
      <c r="V391" s="1021" t="n"/>
      <c r="W391" s="1021" t="n"/>
      <c r="X391" s="1021" t="n"/>
      <c r="Y391" s="1021" t="n"/>
      <c r="Z391" s="1021" t="n"/>
      <c r="AA391" s="997" t="n"/>
      <c r="AB391" s="1022" t="n"/>
      <c r="AC391" s="963" t="n"/>
      <c r="AD391" s="963" t="n"/>
      <c r="AE391" s="963" t="n"/>
      <c r="AF391" s="963" t="n"/>
      <c r="AG391" s="963" t="n"/>
      <c r="AH391" s="967" t="n"/>
      <c r="AI391" s="991" t="n"/>
      <c r="AJ391" s="1021" t="n"/>
      <c r="AK391" s="1021" t="n"/>
      <c r="AL391" s="1021" t="n"/>
      <c r="AM391" s="1021" t="n"/>
      <c r="AN391" s="1021" t="n"/>
      <c r="AO391" s="1021" t="n"/>
      <c r="AP391" s="1022" t="n"/>
      <c r="AQ391" s="963" t="n"/>
      <c r="AR391" s="963" t="n"/>
      <c r="AS391" s="963" t="n"/>
      <c r="AT391" s="963" t="n"/>
      <c r="AU391" s="963" t="n"/>
      <c r="AV391" s="963" t="n"/>
      <c r="AW391" s="991" t="n"/>
    </row>
    <row r="392" ht="16.4" customHeight="1" s="828">
      <c r="A392" s="722" t="n"/>
      <c r="B392" s="1021" t="n"/>
      <c r="C392" s="1021" t="n"/>
      <c r="D392" s="1021" t="n"/>
      <c r="E392" s="1021" t="n"/>
      <c r="F392" s="1021" t="n"/>
      <c r="G392" s="1025" t="n"/>
      <c r="H392" s="1021" t="n"/>
      <c r="I392" s="1021" t="n"/>
      <c r="J392" s="1021" t="n"/>
      <c r="K392" s="1022" t="n"/>
      <c r="L392" s="963" t="n"/>
      <c r="M392" s="963" t="n"/>
      <c r="N392" s="963" t="n"/>
      <c r="O392" s="963" t="n"/>
      <c r="P392" s="963" t="n"/>
      <c r="Q392" s="967" t="n"/>
      <c r="R392" s="963" t="n"/>
      <c r="S392" s="963" t="n"/>
      <c r="T392" s="963" t="n"/>
      <c r="U392" s="991" t="n"/>
      <c r="V392" s="1021" t="n"/>
      <c r="W392" s="1021" t="n"/>
      <c r="X392" s="1021" t="n"/>
      <c r="Y392" s="1021" t="n"/>
      <c r="Z392" s="1021" t="n"/>
      <c r="AA392" s="997" t="n"/>
      <c r="AB392" s="1022" t="n"/>
      <c r="AC392" s="963" t="n"/>
      <c r="AD392" s="963" t="n"/>
      <c r="AE392" s="963" t="n"/>
      <c r="AF392" s="963" t="n"/>
      <c r="AG392" s="963" t="n"/>
      <c r="AH392" s="967" t="n"/>
      <c r="AI392" s="991" t="n"/>
      <c r="AJ392" s="1021" t="n"/>
      <c r="AK392" s="1021" t="n"/>
      <c r="AL392" s="1021" t="n"/>
      <c r="AM392" s="1021" t="n"/>
      <c r="AN392" s="1021" t="n"/>
      <c r="AO392" s="1021" t="n"/>
      <c r="AP392" s="1022" t="n"/>
      <c r="AQ392" s="963" t="n"/>
      <c r="AR392" s="963" t="n"/>
      <c r="AS392" s="963" t="n"/>
      <c r="AT392" s="963" t="n"/>
      <c r="AU392" s="963" t="n"/>
      <c r="AV392" s="963" t="n"/>
      <c r="AW392" s="991" t="n"/>
      <c r="AX392" s="304" t="n"/>
    </row>
    <row r="393" ht="16.4" customHeight="1" s="828">
      <c r="A393" s="722" t="n"/>
      <c r="B393" s="1021" t="n"/>
      <c r="C393" s="1021" t="n"/>
      <c r="D393" s="1021" t="n"/>
      <c r="E393" s="1021" t="n"/>
      <c r="F393" s="1021" t="n"/>
      <c r="G393" s="1025" t="n"/>
      <c r="H393" s="1021" t="n"/>
      <c r="I393" s="1021" t="n"/>
      <c r="J393" s="1021" t="n"/>
      <c r="K393" s="1022" t="n"/>
      <c r="L393" s="963" t="n"/>
      <c r="M393" s="963" t="n"/>
      <c r="N393" s="963" t="n"/>
      <c r="O393" s="963" t="n"/>
      <c r="P393" s="963" t="n"/>
      <c r="Q393" s="967" t="n"/>
      <c r="R393" s="963" t="n"/>
      <c r="S393" s="963" t="n"/>
      <c r="T393" s="963" t="n"/>
      <c r="U393" s="991" t="n"/>
      <c r="V393" s="1021" t="n"/>
      <c r="W393" s="1021" t="n"/>
      <c r="X393" s="1021" t="n"/>
      <c r="Y393" s="1021" t="n"/>
      <c r="Z393" s="1021" t="n"/>
      <c r="AA393" s="997" t="n"/>
      <c r="AB393" s="1022" t="n"/>
      <c r="AC393" s="963" t="n"/>
      <c r="AD393" s="963" t="n"/>
      <c r="AE393" s="963" t="n"/>
      <c r="AF393" s="963" t="n"/>
      <c r="AG393" s="963" t="n"/>
      <c r="AH393" s="967" t="n"/>
      <c r="AI393" s="991" t="n"/>
      <c r="AJ393" s="1021" t="n"/>
      <c r="AK393" s="1021" t="n"/>
      <c r="AL393" s="1021" t="n"/>
      <c r="AM393" s="1021" t="n"/>
      <c r="AN393" s="1021" t="n"/>
      <c r="AO393" s="1021" t="n"/>
      <c r="AP393" s="1022" t="n"/>
      <c r="AQ393" s="963" t="n"/>
      <c r="AR393" s="963" t="n"/>
      <c r="AS393" s="963" t="n"/>
      <c r="AT393" s="963" t="n"/>
      <c r="AU393" s="963" t="n"/>
      <c r="AV393" s="963" t="n"/>
      <c r="AW393" s="991" t="n"/>
    </row>
    <row r="394" ht="16.4" customHeight="1" s="828">
      <c r="A394" s="722" t="n"/>
      <c r="B394" s="1021" t="n"/>
      <c r="C394" s="1021" t="n"/>
      <c r="D394" s="1021" t="n"/>
      <c r="E394" s="1021" t="n"/>
      <c r="F394" s="1021" t="n"/>
      <c r="G394" s="1025" t="n"/>
      <c r="H394" s="1021" t="n"/>
      <c r="I394" s="1021" t="n"/>
      <c r="J394" s="1021" t="n"/>
      <c r="K394" s="1022" t="n"/>
      <c r="L394" s="963" t="n"/>
      <c r="M394" s="963" t="n"/>
      <c r="N394" s="963" t="n"/>
      <c r="O394" s="963" t="n"/>
      <c r="P394" s="963" t="n"/>
      <c r="Q394" s="967" t="n"/>
      <c r="R394" s="963" t="n"/>
      <c r="S394" s="963" t="n"/>
      <c r="T394" s="963" t="n"/>
      <c r="U394" s="991" t="n"/>
      <c r="V394" s="1021" t="n"/>
      <c r="W394" s="1021" t="n"/>
      <c r="X394" s="1021" t="n"/>
      <c r="Y394" s="1021" t="n"/>
      <c r="Z394" s="1021" t="n"/>
      <c r="AA394" s="997" t="n"/>
      <c r="AB394" s="1022" t="n"/>
      <c r="AC394" s="963" t="n"/>
      <c r="AD394" s="963" t="n"/>
      <c r="AE394" s="963" t="n"/>
      <c r="AF394" s="963" t="n"/>
      <c r="AG394" s="963" t="n"/>
      <c r="AH394" s="967" t="n"/>
      <c r="AI394" s="991" t="n"/>
      <c r="AJ394" s="1021" t="n"/>
      <c r="AK394" s="1021" t="n"/>
      <c r="AL394" s="1021" t="n"/>
      <c r="AM394" s="1021" t="n"/>
      <c r="AN394" s="1021" t="n"/>
      <c r="AO394" s="1021" t="n"/>
      <c r="AP394" s="1022" t="n"/>
      <c r="AQ394" s="963" t="n"/>
      <c r="AR394" s="963" t="n"/>
      <c r="AS394" s="963" t="n"/>
      <c r="AT394" s="963" t="n"/>
      <c r="AU394" s="963" t="n"/>
      <c r="AV394" s="963" t="n"/>
      <c r="AW394" s="991" t="n"/>
    </row>
    <row r="395" ht="16.4" customHeight="1" s="828">
      <c r="A395" s="722" t="n"/>
      <c r="B395" s="1021" t="n"/>
      <c r="C395" s="1021" t="n"/>
      <c r="D395" s="1021" t="n"/>
      <c r="E395" s="1021" t="n"/>
      <c r="F395" s="1021" t="n"/>
      <c r="G395" s="1025" t="n"/>
      <c r="H395" s="1021" t="n"/>
      <c r="I395" s="1021" t="n"/>
      <c r="J395" s="1021" t="n"/>
      <c r="K395" s="1022" t="n"/>
      <c r="L395" s="963" t="n"/>
      <c r="M395" s="963" t="n"/>
      <c r="N395" s="963" t="n"/>
      <c r="O395" s="963" t="n"/>
      <c r="P395" s="963" t="n"/>
      <c r="Q395" s="967" t="n"/>
      <c r="R395" s="963" t="n"/>
      <c r="S395" s="963" t="n"/>
      <c r="T395" s="963" t="n"/>
      <c r="U395" s="991" t="n"/>
      <c r="V395" s="1021" t="n"/>
      <c r="W395" s="1021" t="n"/>
      <c r="X395" s="1021" t="n"/>
      <c r="Y395" s="1021" t="n"/>
      <c r="Z395" s="1021" t="n"/>
      <c r="AA395" s="997" t="n"/>
      <c r="AB395" s="1022" t="n"/>
      <c r="AC395" s="963" t="n"/>
      <c r="AD395" s="963" t="n"/>
      <c r="AE395" s="963" t="n"/>
      <c r="AF395" s="963" t="n"/>
      <c r="AG395" s="963" t="n"/>
      <c r="AH395" s="967" t="n"/>
      <c r="AI395" s="991" t="n"/>
      <c r="AJ395" s="1021" t="n"/>
      <c r="AK395" s="1021" t="n"/>
      <c r="AL395" s="1021" t="n"/>
      <c r="AM395" s="1021" t="n"/>
      <c r="AN395" s="1021" t="n"/>
      <c r="AO395" s="1021" t="n"/>
      <c r="AP395" s="1022" t="n"/>
      <c r="AQ395" s="963" t="n"/>
      <c r="AR395" s="963" t="n"/>
      <c r="AS395" s="963" t="n"/>
      <c r="AT395" s="963" t="n"/>
      <c r="AU395" s="963" t="n"/>
      <c r="AV395" s="963" t="n"/>
      <c r="AW395" s="991" t="n"/>
    </row>
    <row r="396" ht="16.4" customHeight="1" s="828">
      <c r="A396" s="722" t="n"/>
      <c r="B396" s="1021" t="n"/>
      <c r="C396" s="1021" t="n"/>
      <c r="D396" s="1021" t="n"/>
      <c r="E396" s="1021" t="n"/>
      <c r="F396" s="1021" t="n"/>
      <c r="G396" s="1025" t="n"/>
      <c r="H396" s="1021" t="n"/>
      <c r="I396" s="1021" t="n"/>
      <c r="J396" s="1021" t="n"/>
      <c r="K396" s="1022" t="n"/>
      <c r="L396" s="963" t="n"/>
      <c r="M396" s="963" t="n"/>
      <c r="N396" s="963" t="n"/>
      <c r="O396" s="963" t="n"/>
      <c r="P396" s="963" t="n"/>
      <c r="Q396" s="967" t="n"/>
      <c r="R396" s="963" t="n"/>
      <c r="S396" s="963" t="n"/>
      <c r="T396" s="963" t="n"/>
      <c r="U396" s="991" t="n"/>
      <c r="V396" s="1021" t="n"/>
      <c r="W396" s="1021" t="n"/>
      <c r="X396" s="1021" t="n"/>
      <c r="Y396" s="1021" t="n"/>
      <c r="Z396" s="1021" t="n"/>
      <c r="AA396" s="997" t="n"/>
      <c r="AB396" s="1022" t="n"/>
      <c r="AC396" s="963" t="n"/>
      <c r="AD396" s="963" t="n"/>
      <c r="AE396" s="963" t="n"/>
      <c r="AF396" s="963" t="n"/>
      <c r="AG396" s="963" t="n"/>
      <c r="AH396" s="967" t="n"/>
      <c r="AI396" s="991" t="n"/>
      <c r="AJ396" s="1021" t="n"/>
      <c r="AK396" s="1021" t="n"/>
      <c r="AL396" s="1021" t="n"/>
      <c r="AM396" s="1021" t="n"/>
      <c r="AN396" s="1021" t="n"/>
      <c r="AO396" s="1021" t="n"/>
      <c r="AP396" s="1022" t="n"/>
      <c r="AQ396" s="963" t="n"/>
      <c r="AR396" s="963" t="n"/>
      <c r="AS396" s="963" t="n"/>
      <c r="AT396" s="963" t="n"/>
      <c r="AU396" s="963" t="n"/>
      <c r="AV396" s="963" t="n"/>
      <c r="AW396" s="991" t="n"/>
    </row>
    <row r="397" ht="16.4" customHeight="1" s="828">
      <c r="A397" s="722" t="n"/>
      <c r="B397" s="1021" t="n"/>
      <c r="C397" s="1021" t="n"/>
      <c r="D397" s="1021" t="n"/>
      <c r="E397" s="1021" t="n"/>
      <c r="F397" s="1021" t="n"/>
      <c r="G397" s="1025" t="n"/>
      <c r="H397" s="1021" t="n"/>
      <c r="I397" s="1021" t="n"/>
      <c r="J397" s="1021" t="n"/>
      <c r="K397" s="1022" t="n"/>
      <c r="L397" s="963" t="n"/>
      <c r="M397" s="963" t="n"/>
      <c r="N397" s="963" t="n"/>
      <c r="O397" s="963" t="n"/>
      <c r="P397" s="963" t="n"/>
      <c r="Q397" s="967" t="n"/>
      <c r="R397" s="963" t="n"/>
      <c r="S397" s="963" t="n"/>
      <c r="T397" s="963" t="n"/>
      <c r="U397" s="991" t="n"/>
      <c r="V397" s="1021" t="n"/>
      <c r="W397" s="1021" t="n"/>
      <c r="X397" s="1021" t="n"/>
      <c r="Y397" s="1021" t="n"/>
      <c r="Z397" s="1021" t="n"/>
      <c r="AA397" s="997" t="n"/>
      <c r="AB397" s="1022" t="n"/>
      <c r="AC397" s="963" t="n"/>
      <c r="AD397" s="963" t="n"/>
      <c r="AE397" s="963" t="n"/>
      <c r="AF397" s="963" t="n"/>
      <c r="AG397" s="963" t="n"/>
      <c r="AH397" s="967" t="n"/>
      <c r="AI397" s="991" t="n"/>
      <c r="AJ397" s="1021" t="n"/>
      <c r="AK397" s="1021" t="n"/>
      <c r="AL397" s="1021" t="n"/>
      <c r="AM397" s="1021" t="n"/>
      <c r="AN397" s="1021" t="n"/>
      <c r="AO397" s="1021" t="n"/>
      <c r="AP397" s="1022" t="n"/>
      <c r="AQ397" s="963" t="n"/>
      <c r="AR397" s="963" t="n"/>
      <c r="AS397" s="963" t="n"/>
      <c r="AT397" s="963" t="n"/>
      <c r="AU397" s="963" t="n"/>
      <c r="AV397" s="963" t="n"/>
      <c r="AW397" s="991" t="n"/>
    </row>
    <row r="398" ht="16.4" customHeight="1" s="828">
      <c r="A398" s="722" t="n"/>
      <c r="B398" s="1021" t="n"/>
      <c r="C398" s="1021" t="n"/>
      <c r="D398" s="1021" t="n"/>
      <c r="E398" s="1021" t="n"/>
      <c r="F398" s="1021" t="n"/>
      <c r="G398" s="1025" t="n"/>
      <c r="H398" s="1021" t="n"/>
      <c r="I398" s="1021" t="n"/>
      <c r="J398" s="1021" t="n"/>
      <c r="K398" s="1022" t="n"/>
      <c r="L398" s="963" t="n"/>
      <c r="M398" s="963" t="n"/>
      <c r="N398" s="963" t="n"/>
      <c r="O398" s="963" t="n"/>
      <c r="P398" s="963" t="n"/>
      <c r="Q398" s="967" t="n"/>
      <c r="R398" s="963" t="n"/>
      <c r="S398" s="963" t="n"/>
      <c r="T398" s="963" t="n"/>
      <c r="U398" s="991" t="n"/>
      <c r="V398" s="1021" t="n"/>
      <c r="W398" s="1021" t="n"/>
      <c r="X398" s="1021" t="n"/>
      <c r="Y398" s="1021" t="n"/>
      <c r="Z398" s="1021" t="n"/>
      <c r="AA398" s="997" t="n"/>
      <c r="AB398" s="1022" t="n"/>
      <c r="AC398" s="963" t="n"/>
      <c r="AD398" s="963" t="n"/>
      <c r="AE398" s="963" t="n"/>
      <c r="AF398" s="963" t="n"/>
      <c r="AG398" s="963" t="n"/>
      <c r="AH398" s="967" t="n"/>
      <c r="AI398" s="991" t="n"/>
      <c r="AJ398" s="1021" t="n"/>
      <c r="AK398" s="1021" t="n"/>
      <c r="AL398" s="1021" t="n"/>
      <c r="AM398" s="1021" t="n"/>
      <c r="AN398" s="1021" t="n"/>
      <c r="AO398" s="1021" t="n"/>
      <c r="AP398" s="1022" t="n"/>
      <c r="AQ398" s="963" t="n"/>
      <c r="AR398" s="963" t="n"/>
      <c r="AS398" s="963" t="n"/>
      <c r="AT398" s="963" t="n"/>
      <c r="AU398" s="963" t="n"/>
      <c r="AV398" s="963" t="n"/>
      <c r="AW398" s="991" t="n"/>
    </row>
    <row r="399" ht="16.4" customHeight="1" s="828">
      <c r="A399" s="722" t="n"/>
      <c r="B399" s="1021" t="n"/>
      <c r="C399" s="1021" t="n"/>
      <c r="D399" s="1021" t="n"/>
      <c r="E399" s="1021" t="n"/>
      <c r="F399" s="1021" t="n"/>
      <c r="G399" s="1025" t="n"/>
      <c r="H399" s="1021" t="n"/>
      <c r="I399" s="1021" t="n"/>
      <c r="J399" s="1021" t="n"/>
      <c r="K399" s="1022" t="n"/>
      <c r="L399" s="963" t="n"/>
      <c r="M399" s="963" t="n"/>
      <c r="N399" s="963" t="n"/>
      <c r="O399" s="963" t="n"/>
      <c r="P399" s="963" t="n"/>
      <c r="Q399" s="967" t="n"/>
      <c r="R399" s="963" t="n"/>
      <c r="S399" s="963" t="n"/>
      <c r="T399" s="963" t="n"/>
      <c r="U399" s="991" t="n"/>
      <c r="V399" s="1021" t="n"/>
      <c r="W399" s="1021" t="n"/>
      <c r="X399" s="1021" t="n"/>
      <c r="Y399" s="1021" t="n"/>
      <c r="Z399" s="1021" t="n"/>
      <c r="AA399" s="997" t="n"/>
      <c r="AB399" s="1022" t="n"/>
      <c r="AC399" s="963" t="n"/>
      <c r="AD399" s="963" t="n"/>
      <c r="AE399" s="963" t="n"/>
      <c r="AF399" s="963" t="n"/>
      <c r="AG399" s="963" t="n"/>
      <c r="AH399" s="967" t="n"/>
      <c r="AI399" s="991" t="n"/>
      <c r="AJ399" s="1021" t="n"/>
      <c r="AK399" s="1021" t="n"/>
      <c r="AL399" s="1021" t="n"/>
      <c r="AM399" s="1021" t="n"/>
      <c r="AN399" s="1021" t="n"/>
      <c r="AO399" s="1021" t="n"/>
      <c r="AP399" s="1022" t="n"/>
      <c r="AQ399" s="963" t="n"/>
      <c r="AR399" s="963" t="n"/>
      <c r="AS399" s="963" t="n"/>
      <c r="AT399" s="963" t="n"/>
      <c r="AU399" s="963" t="n"/>
      <c r="AV399" s="963" t="n"/>
      <c r="AW399" s="991" t="n"/>
    </row>
    <row r="400" ht="16.4" customHeight="1" s="828">
      <c r="A400" s="722" t="n"/>
      <c r="B400" s="1021" t="n"/>
      <c r="C400" s="1021" t="n"/>
      <c r="D400" s="1021" t="n"/>
      <c r="E400" s="1021" t="n"/>
      <c r="F400" s="1021" t="n"/>
      <c r="G400" s="1025" t="n"/>
      <c r="H400" s="1021" t="n"/>
      <c r="I400" s="1021" t="n"/>
      <c r="J400" s="1021" t="n"/>
      <c r="K400" s="1022" t="n"/>
      <c r="L400" s="963" t="n"/>
      <c r="M400" s="963" t="n"/>
      <c r="N400" s="963" t="n"/>
      <c r="O400" s="963" t="n"/>
      <c r="P400" s="963" t="n"/>
      <c r="Q400" s="967" t="n"/>
      <c r="R400" s="963" t="n"/>
      <c r="S400" s="963" t="n"/>
      <c r="T400" s="963" t="n"/>
      <c r="U400" s="991" t="n"/>
      <c r="V400" s="1021" t="n"/>
      <c r="W400" s="1021" t="n"/>
      <c r="X400" s="1021" t="n"/>
      <c r="Y400" s="1021" t="n"/>
      <c r="Z400" s="1021" t="n"/>
      <c r="AA400" s="997" t="n"/>
      <c r="AB400" s="1022" t="n"/>
      <c r="AC400" s="963" t="n"/>
      <c r="AD400" s="963" t="n"/>
      <c r="AE400" s="963" t="n"/>
      <c r="AF400" s="963" t="n"/>
      <c r="AG400" s="963" t="n"/>
      <c r="AH400" s="967" t="n"/>
      <c r="AI400" s="991" t="n"/>
      <c r="AJ400" s="1021" t="n"/>
      <c r="AK400" s="1021" t="n"/>
      <c r="AL400" s="1021" t="n"/>
      <c r="AM400" s="1021" t="n"/>
      <c r="AN400" s="1021" t="n"/>
      <c r="AO400" s="1021" t="n"/>
      <c r="AP400" s="1022" t="n"/>
      <c r="AQ400" s="963" t="n"/>
      <c r="AR400" s="963" t="n"/>
      <c r="AS400" s="963" t="n"/>
      <c r="AT400" s="963" t="n"/>
      <c r="AU400" s="963" t="n"/>
      <c r="AV400" s="963" t="n"/>
      <c r="AW400" s="991" t="n"/>
    </row>
    <row r="401" ht="16.4" customHeight="1" s="828">
      <c r="A401" s="722" t="n"/>
      <c r="B401" s="1021" t="n"/>
      <c r="C401" s="1021" t="n"/>
      <c r="D401" s="1021" t="n"/>
      <c r="E401" s="1021" t="n"/>
      <c r="F401" s="1021" t="n"/>
      <c r="G401" s="1025" t="n"/>
      <c r="H401" s="1021" t="n"/>
      <c r="I401" s="1021" t="n"/>
      <c r="J401" s="1021" t="n"/>
      <c r="K401" s="1022" t="n"/>
      <c r="L401" s="963" t="n"/>
      <c r="M401" s="963" t="n"/>
      <c r="N401" s="963" t="n"/>
      <c r="O401" s="963" t="n"/>
      <c r="P401" s="963" t="n"/>
      <c r="Q401" s="967" t="n"/>
      <c r="R401" s="963" t="n"/>
      <c r="S401" s="963" t="n"/>
      <c r="T401" s="963" t="n"/>
      <c r="U401" s="991" t="n"/>
      <c r="V401" s="1021" t="n"/>
      <c r="W401" s="1021" t="n"/>
      <c r="X401" s="1021" t="n"/>
      <c r="Y401" s="1021" t="n"/>
      <c r="Z401" s="1021" t="n"/>
      <c r="AA401" s="997" t="n"/>
      <c r="AB401" s="1022" t="n"/>
      <c r="AC401" s="963" t="n"/>
      <c r="AD401" s="963" t="n"/>
      <c r="AE401" s="963" t="n"/>
      <c r="AF401" s="963" t="n"/>
      <c r="AG401" s="963" t="n"/>
      <c r="AH401" s="967" t="n"/>
      <c r="AI401" s="991" t="n"/>
      <c r="AJ401" s="1021" t="n"/>
      <c r="AK401" s="1021" t="n"/>
      <c r="AL401" s="1021" t="n"/>
      <c r="AM401" s="1021" t="n"/>
      <c r="AN401" s="1021" t="n"/>
      <c r="AO401" s="1021" t="n"/>
      <c r="AP401" s="1022" t="n"/>
      <c r="AQ401" s="963" t="n"/>
      <c r="AR401" s="963" t="n"/>
      <c r="AS401" s="963" t="n"/>
      <c r="AT401" s="963" t="n"/>
      <c r="AU401" s="963" t="n"/>
      <c r="AV401" s="963" t="n"/>
      <c r="AW401" s="991" t="n"/>
    </row>
    <row r="402" ht="16.4" customHeight="1" s="828">
      <c r="A402" s="722" t="n"/>
      <c r="B402" s="1021" t="n"/>
      <c r="C402" s="1021" t="n"/>
      <c r="D402" s="1021" t="n"/>
      <c r="E402" s="1021" t="n"/>
      <c r="F402" s="1021" t="n"/>
      <c r="G402" s="1025" t="n"/>
      <c r="H402" s="1021" t="n"/>
      <c r="I402" s="1021" t="n"/>
      <c r="J402" s="1021" t="n"/>
      <c r="K402" s="1022" t="n"/>
      <c r="L402" s="963" t="n"/>
      <c r="M402" s="963" t="n"/>
      <c r="N402" s="963" t="n"/>
      <c r="O402" s="963" t="n"/>
      <c r="P402" s="963" t="n"/>
      <c r="Q402" s="967" t="n"/>
      <c r="R402" s="963" t="n"/>
      <c r="S402" s="963" t="n"/>
      <c r="T402" s="963" t="n"/>
      <c r="U402" s="991" t="n"/>
      <c r="V402" s="1021" t="n"/>
      <c r="W402" s="1021" t="n"/>
      <c r="X402" s="1021" t="n"/>
      <c r="Y402" s="1021" t="n"/>
      <c r="Z402" s="1021" t="n"/>
      <c r="AA402" s="997" t="n"/>
      <c r="AB402" s="1022" t="n"/>
      <c r="AC402" s="963" t="n"/>
      <c r="AD402" s="963" t="n"/>
      <c r="AE402" s="963" t="n"/>
      <c r="AF402" s="963" t="n"/>
      <c r="AG402" s="963" t="n"/>
      <c r="AH402" s="967" t="n"/>
      <c r="AI402" s="991" t="n"/>
      <c r="AJ402" s="1021" t="n"/>
      <c r="AK402" s="1021" t="n"/>
      <c r="AL402" s="1021" t="n"/>
      <c r="AM402" s="1021" t="n"/>
      <c r="AN402" s="1021" t="n"/>
      <c r="AO402" s="1021" t="n"/>
      <c r="AP402" s="1022" t="n"/>
      <c r="AQ402" s="963" t="n"/>
      <c r="AR402" s="963" t="n"/>
      <c r="AS402" s="963" t="n"/>
      <c r="AT402" s="963" t="n"/>
      <c r="AU402" s="963" t="n"/>
      <c r="AV402" s="963" t="n"/>
      <c r="AW402" s="991" t="n"/>
    </row>
    <row r="403" ht="16.4" customHeight="1" s="828">
      <c r="A403" s="722" t="n"/>
      <c r="B403" s="1021" t="n"/>
      <c r="C403" s="1021" t="n"/>
      <c r="D403" s="1021" t="n"/>
      <c r="E403" s="1021" t="n"/>
      <c r="F403" s="1021" t="n"/>
      <c r="G403" s="1025" t="n"/>
      <c r="H403" s="1021" t="n"/>
      <c r="I403" s="1021" t="n"/>
      <c r="J403" s="1021" t="n"/>
      <c r="K403" s="1022" t="n"/>
      <c r="L403" s="963" t="n"/>
      <c r="M403" s="963" t="n"/>
      <c r="N403" s="963" t="n"/>
      <c r="O403" s="963" t="n"/>
      <c r="P403" s="963" t="n"/>
      <c r="Q403" s="967" t="n"/>
      <c r="R403" s="963" t="n"/>
      <c r="S403" s="963" t="n"/>
      <c r="T403" s="963" t="n"/>
      <c r="U403" s="991" t="n"/>
      <c r="V403" s="1021" t="n"/>
      <c r="W403" s="1021" t="n"/>
      <c r="X403" s="1021" t="n"/>
      <c r="Y403" s="1021" t="n"/>
      <c r="Z403" s="1021" t="n"/>
      <c r="AA403" s="997" t="n"/>
      <c r="AB403" s="1022" t="n"/>
      <c r="AC403" s="963" t="n"/>
      <c r="AD403" s="963" t="n"/>
      <c r="AE403" s="963" t="n"/>
      <c r="AF403" s="963" t="n"/>
      <c r="AG403" s="963" t="n"/>
      <c r="AH403" s="967" t="n"/>
      <c r="AI403" s="991" t="n"/>
      <c r="AJ403" s="1021" t="n"/>
      <c r="AK403" s="1021" t="n"/>
      <c r="AL403" s="1021" t="n"/>
      <c r="AM403" s="1021" t="n"/>
      <c r="AN403" s="1021" t="n"/>
      <c r="AO403" s="1021" t="n"/>
      <c r="AP403" s="1022" t="n"/>
      <c r="AQ403" s="963" t="n"/>
      <c r="AR403" s="963" t="n"/>
      <c r="AS403" s="963" t="n"/>
      <c r="AT403" s="963" t="n"/>
      <c r="AU403" s="963" t="n"/>
      <c r="AV403" s="963" t="n"/>
      <c r="AW403" s="991" t="n"/>
    </row>
    <row r="404" ht="16.4" customHeight="1" s="828">
      <c r="A404" s="722" t="n"/>
      <c r="B404" s="1021" t="n"/>
      <c r="C404" s="1021" t="n"/>
      <c r="D404" s="1021" t="n"/>
      <c r="E404" s="1021" t="n"/>
      <c r="F404" s="1021" t="n"/>
      <c r="G404" s="1025" t="n"/>
      <c r="H404" s="1021" t="n"/>
      <c r="I404" s="1021" t="n"/>
      <c r="J404" s="1021" t="n"/>
      <c r="K404" s="1022" t="n"/>
      <c r="L404" s="963" t="n"/>
      <c r="M404" s="963" t="n"/>
      <c r="N404" s="963" t="n"/>
      <c r="O404" s="963" t="n"/>
      <c r="P404" s="963" t="n"/>
      <c r="Q404" s="967" t="n"/>
      <c r="R404" s="963" t="n"/>
      <c r="S404" s="963" t="n"/>
      <c r="T404" s="963" t="n"/>
      <c r="U404" s="991" t="n"/>
      <c r="V404" s="1021" t="n"/>
      <c r="W404" s="1021" t="n"/>
      <c r="X404" s="1021" t="n"/>
      <c r="Y404" s="1021" t="n"/>
      <c r="Z404" s="1021" t="n"/>
      <c r="AA404" s="997" t="n"/>
      <c r="AB404" s="1022" t="n"/>
      <c r="AC404" s="963" t="n"/>
      <c r="AD404" s="963" t="n"/>
      <c r="AE404" s="963" t="n"/>
      <c r="AF404" s="963" t="n"/>
      <c r="AG404" s="963" t="n"/>
      <c r="AH404" s="967" t="n"/>
      <c r="AI404" s="991" t="n"/>
      <c r="AJ404" s="1021" t="n"/>
      <c r="AK404" s="1021" t="n"/>
      <c r="AL404" s="1021" t="n"/>
      <c r="AM404" s="1021" t="n"/>
      <c r="AN404" s="1021" t="n"/>
      <c r="AO404" s="1021" t="n"/>
      <c r="AP404" s="1022" t="n"/>
      <c r="AQ404" s="963" t="n"/>
      <c r="AR404" s="963" t="n"/>
      <c r="AS404" s="963" t="n"/>
      <c r="AT404" s="963" t="n"/>
      <c r="AU404" s="963" t="n"/>
      <c r="AV404" s="963" t="n"/>
      <c r="AW404" s="991" t="n"/>
    </row>
    <row r="405" ht="16.4" customHeight="1" s="828">
      <c r="A405" s="722" t="n"/>
      <c r="B405" s="1021" t="n"/>
      <c r="C405" s="1021" t="n"/>
      <c r="D405" s="1021" t="n"/>
      <c r="E405" s="1021" t="n"/>
      <c r="F405" s="1021" t="n"/>
      <c r="G405" s="1021" t="n"/>
      <c r="H405" s="1021" t="n"/>
      <c r="I405" s="1021" t="n"/>
      <c r="J405" s="1021" t="n"/>
      <c r="K405" s="1022" t="n"/>
      <c r="L405" s="963" t="n"/>
      <c r="M405" s="963" t="n"/>
      <c r="N405" s="963" t="n"/>
      <c r="O405" s="963" t="n"/>
      <c r="P405" s="963" t="n"/>
      <c r="Q405" s="963" t="n"/>
      <c r="R405" s="963" t="n"/>
      <c r="S405" s="963" t="n"/>
      <c r="T405" s="963" t="n"/>
      <c r="U405" s="991" t="n"/>
      <c r="V405" s="1021" t="n"/>
      <c r="W405" s="1021" t="n"/>
      <c r="X405" s="1021" t="n"/>
      <c r="Y405" s="1021" t="n"/>
      <c r="Z405" s="1021" t="n"/>
      <c r="AA405" s="997" t="n"/>
      <c r="AB405" s="1022" t="n"/>
      <c r="AC405" s="963" t="n"/>
      <c r="AD405" s="963" t="n"/>
      <c r="AE405" s="963" t="n"/>
      <c r="AF405" s="963" t="n"/>
      <c r="AG405" s="963" t="n"/>
      <c r="AH405" s="967" t="n"/>
      <c r="AI405" s="991" t="n"/>
      <c r="AJ405" s="1021" t="n"/>
      <c r="AK405" s="1021" t="n"/>
      <c r="AL405" s="1021" t="n"/>
      <c r="AM405" s="1021" t="n"/>
      <c r="AN405" s="1021" t="n"/>
      <c r="AO405" s="1021" t="n"/>
      <c r="AP405" s="1022" t="n"/>
      <c r="AQ405" s="963" t="n"/>
      <c r="AR405" s="963" t="n"/>
      <c r="AS405" s="963" t="n"/>
      <c r="AT405" s="963" t="n"/>
      <c r="AU405" s="963" t="n"/>
      <c r="AV405" s="963" t="n"/>
      <c r="AW405" s="991" t="n"/>
    </row>
    <row r="406" ht="16.4" customHeight="1" s="828">
      <c r="A406" s="722" t="n"/>
      <c r="B406" s="1021" t="n"/>
      <c r="C406" s="1021" t="n"/>
      <c r="D406" s="1021" t="n"/>
      <c r="E406" s="1021" t="n"/>
      <c r="F406" s="1021" t="n"/>
      <c r="G406" s="1025" t="n"/>
      <c r="H406" s="1021" t="n"/>
      <c r="I406" s="1021" t="n"/>
      <c r="J406" s="1021" t="n"/>
      <c r="K406" s="1022" t="n"/>
      <c r="L406" s="963" t="n"/>
      <c r="M406" s="963" t="n"/>
      <c r="N406" s="963" t="n"/>
      <c r="O406" s="963" t="n"/>
      <c r="P406" s="963" t="n"/>
      <c r="Q406" s="967" t="n"/>
      <c r="R406" s="963" t="n"/>
      <c r="S406" s="963" t="n"/>
      <c r="T406" s="963" t="n"/>
      <c r="U406" s="991" t="n"/>
      <c r="V406" s="1021" t="n"/>
      <c r="W406" s="1021" t="n"/>
      <c r="X406" s="1021" t="n"/>
      <c r="Y406" s="1021" t="n"/>
      <c r="Z406" s="1021" t="n"/>
      <c r="AA406" s="997" t="n"/>
      <c r="AB406" s="1022" t="n"/>
      <c r="AC406" s="963" t="n"/>
      <c r="AD406" s="963" t="n"/>
      <c r="AE406" s="963" t="n"/>
      <c r="AF406" s="963" t="n"/>
      <c r="AG406" s="963" t="n"/>
      <c r="AH406" s="967" t="n"/>
      <c r="AI406" s="991" t="n"/>
      <c r="AJ406" s="1021" t="n"/>
      <c r="AK406" s="1021" t="n"/>
      <c r="AL406" s="1021" t="n"/>
      <c r="AM406" s="1021" t="n"/>
      <c r="AN406" s="1021" t="n"/>
      <c r="AO406" s="1021" t="n"/>
      <c r="AP406" s="1022" t="n"/>
      <c r="AQ406" s="963" t="n"/>
      <c r="AR406" s="963" t="n"/>
      <c r="AS406" s="963" t="n"/>
      <c r="AT406" s="963" t="n"/>
      <c r="AU406" s="963" t="n"/>
      <c r="AV406" s="963" t="n"/>
      <c r="AW406" s="991" t="n"/>
    </row>
    <row r="407" ht="16.4" customHeight="1" s="828">
      <c r="A407" s="722" t="n"/>
      <c r="B407" s="1021" t="n"/>
      <c r="C407" s="1021" t="n"/>
      <c r="D407" s="1021" t="n"/>
      <c r="E407" s="1021" t="n"/>
      <c r="F407" s="1021" t="n"/>
      <c r="G407" s="1025" t="n"/>
      <c r="H407" s="1021" t="n"/>
      <c r="I407" s="1021" t="n"/>
      <c r="J407" s="1021" t="n"/>
      <c r="K407" s="1022" t="n"/>
      <c r="L407" s="963" t="n"/>
      <c r="M407" s="963" t="n"/>
      <c r="N407" s="963" t="n"/>
      <c r="O407" s="963" t="n"/>
      <c r="P407" s="963" t="n"/>
      <c r="Q407" s="967" t="n"/>
      <c r="R407" s="963" t="n"/>
      <c r="S407" s="963" t="n"/>
      <c r="T407" s="963" t="n"/>
      <c r="U407" s="991" t="n"/>
      <c r="V407" s="1021" t="n"/>
      <c r="W407" s="1021" t="n"/>
      <c r="X407" s="1021" t="n"/>
      <c r="Y407" s="1021" t="n"/>
      <c r="Z407" s="1021" t="n"/>
      <c r="AA407" s="997" t="n"/>
      <c r="AB407" s="1022" t="n"/>
      <c r="AC407" s="963" t="n"/>
      <c r="AD407" s="963" t="n"/>
      <c r="AE407" s="963" t="n"/>
      <c r="AF407" s="963" t="n"/>
      <c r="AG407" s="963" t="n"/>
      <c r="AH407" s="967" t="n"/>
      <c r="AI407" s="991" t="n"/>
      <c r="AJ407" s="1021" t="n"/>
      <c r="AK407" s="1021" t="n"/>
      <c r="AL407" s="1021" t="n"/>
      <c r="AM407" s="1021" t="n"/>
      <c r="AN407" s="1021" t="n"/>
      <c r="AO407" s="1021" t="n"/>
      <c r="AP407" s="1022" t="n"/>
      <c r="AQ407" s="963" t="n"/>
      <c r="AR407" s="963" t="n"/>
      <c r="AS407" s="963" t="n"/>
      <c r="AT407" s="963" t="n"/>
      <c r="AU407" s="963" t="n"/>
      <c r="AV407" s="963" t="n"/>
      <c r="AW407" s="991" t="n"/>
    </row>
    <row r="408" ht="16.4" customHeight="1" s="828">
      <c r="A408" s="722" t="n"/>
      <c r="B408" s="1021" t="n"/>
      <c r="C408" s="1021" t="n"/>
      <c r="D408" s="1021" t="n"/>
      <c r="E408" s="1021" t="n"/>
      <c r="F408" s="1021" t="n"/>
      <c r="G408" s="1025" t="n"/>
      <c r="H408" s="1021" t="n"/>
      <c r="I408" s="1021" t="n"/>
      <c r="J408" s="1021" t="n"/>
      <c r="K408" s="1022" t="n"/>
      <c r="L408" s="963" t="n"/>
      <c r="M408" s="963" t="n"/>
      <c r="N408" s="963" t="n"/>
      <c r="O408" s="963" t="n"/>
      <c r="P408" s="963" t="n"/>
      <c r="Q408" s="967" t="n"/>
      <c r="R408" s="963" t="n"/>
      <c r="S408" s="963" t="n"/>
      <c r="T408" s="963" t="n"/>
      <c r="U408" s="991" t="n"/>
      <c r="V408" s="1021" t="n"/>
      <c r="W408" s="1021" t="n"/>
      <c r="X408" s="1021" t="n"/>
      <c r="Y408" s="1021" t="n"/>
      <c r="Z408" s="1021" t="n"/>
      <c r="AA408" s="997" t="n"/>
      <c r="AB408" s="1022" t="n"/>
      <c r="AC408" s="963" t="n"/>
      <c r="AD408" s="963" t="n"/>
      <c r="AE408" s="963" t="n"/>
      <c r="AF408" s="963" t="n"/>
      <c r="AG408" s="963" t="n"/>
      <c r="AH408" s="967" t="n"/>
      <c r="AI408" s="991" t="n"/>
      <c r="AJ408" s="1021" t="n"/>
      <c r="AK408" s="1021" t="n"/>
      <c r="AL408" s="1021" t="n"/>
      <c r="AM408" s="1021" t="n"/>
      <c r="AN408" s="1021" t="n"/>
      <c r="AO408" s="1021" t="n"/>
      <c r="AP408" s="1022" t="n"/>
      <c r="AQ408" s="963" t="n"/>
      <c r="AR408" s="963" t="n"/>
      <c r="AS408" s="963" t="n"/>
      <c r="AT408" s="963" t="n"/>
      <c r="AU408" s="963" t="n"/>
      <c r="AV408" s="963" t="n"/>
      <c r="AW408" s="991" t="n"/>
    </row>
    <row r="409" ht="16.4" customHeight="1" s="828">
      <c r="A409" s="722" t="n"/>
      <c r="B409" s="1021" t="n"/>
      <c r="C409" s="1021" t="n"/>
      <c r="D409" s="1021" t="n"/>
      <c r="E409" s="1021" t="n"/>
      <c r="F409" s="1021" t="n"/>
      <c r="G409" s="1021" t="n"/>
      <c r="H409" s="1021" t="n"/>
      <c r="I409" s="1021" t="n"/>
      <c r="J409" s="1021" t="n"/>
      <c r="K409" s="1022" t="n"/>
      <c r="L409" s="963" t="n"/>
      <c r="M409" s="963" t="n"/>
      <c r="N409" s="963" t="n"/>
      <c r="O409" s="963" t="n"/>
      <c r="P409" s="963" t="n"/>
      <c r="Q409" s="963" t="n"/>
      <c r="R409" s="963" t="n"/>
      <c r="S409" s="963" t="n"/>
      <c r="T409" s="963" t="n"/>
      <c r="U409" s="991" t="n"/>
      <c r="V409" s="1021" t="n"/>
      <c r="W409" s="1021" t="n"/>
      <c r="X409" s="1021" t="n"/>
      <c r="Y409" s="1021" t="n"/>
      <c r="Z409" s="1021" t="n"/>
      <c r="AA409" s="997" t="n"/>
      <c r="AB409" s="1022" t="n"/>
      <c r="AC409" s="963" t="n"/>
      <c r="AD409" s="963" t="n"/>
      <c r="AE409" s="963" t="n"/>
      <c r="AF409" s="963" t="n"/>
      <c r="AG409" s="963" t="n"/>
      <c r="AH409" s="967" t="n"/>
      <c r="AI409" s="991" t="n"/>
      <c r="AJ409" s="1021" t="n"/>
      <c r="AK409" s="1021" t="n"/>
      <c r="AL409" s="1021" t="n"/>
      <c r="AM409" s="1021" t="n"/>
      <c r="AN409" s="1021" t="n"/>
      <c r="AO409" s="1021" t="n"/>
      <c r="AP409" s="1022" t="n"/>
      <c r="AQ409" s="963" t="n"/>
      <c r="AR409" s="963" t="n"/>
      <c r="AS409" s="963" t="n"/>
      <c r="AT409" s="963" t="n"/>
      <c r="AU409" s="963" t="n"/>
      <c r="AV409" s="963" t="n"/>
      <c r="AW409" s="991" t="n"/>
    </row>
    <row r="410" ht="16.4" customHeight="1" s="828">
      <c r="A410" s="722" t="n"/>
      <c r="B410" s="1021" t="n"/>
      <c r="C410" s="1021" t="n"/>
      <c r="D410" s="1021" t="n"/>
      <c r="E410" s="1021" t="n"/>
      <c r="F410" s="1021" t="n"/>
      <c r="G410" s="1025" t="n"/>
      <c r="H410" s="1021" t="n"/>
      <c r="I410" s="1021" t="n"/>
      <c r="J410" s="1021" t="n"/>
      <c r="K410" s="1022" t="n"/>
      <c r="L410" s="963" t="n"/>
      <c r="M410" s="963" t="n"/>
      <c r="N410" s="963" t="n"/>
      <c r="O410" s="963" t="n"/>
      <c r="P410" s="963" t="n"/>
      <c r="Q410" s="967" t="n"/>
      <c r="R410" s="963" t="n"/>
      <c r="S410" s="963" t="n"/>
      <c r="T410" s="963" t="n"/>
      <c r="U410" s="991" t="n"/>
      <c r="V410" s="1021" t="n"/>
      <c r="W410" s="1021" t="n"/>
      <c r="X410" s="1021" t="n"/>
      <c r="Y410" s="1021" t="n"/>
      <c r="Z410" s="1021" t="n"/>
      <c r="AA410" s="997" t="n"/>
      <c r="AB410" s="1022" t="n"/>
      <c r="AC410" s="963" t="n"/>
      <c r="AD410" s="963" t="n"/>
      <c r="AE410" s="963" t="n"/>
      <c r="AF410" s="963" t="n"/>
      <c r="AG410" s="963" t="n"/>
      <c r="AH410" s="967" t="n"/>
      <c r="AI410" s="991" t="n"/>
      <c r="AJ410" s="1021" t="n"/>
      <c r="AK410" s="1021" t="n"/>
      <c r="AL410" s="1021" t="n"/>
      <c r="AM410" s="1021" t="n"/>
      <c r="AN410" s="1021" t="n"/>
      <c r="AO410" s="1021" t="n"/>
      <c r="AP410" s="1022" t="n"/>
      <c r="AQ410" s="963" t="n"/>
      <c r="AR410" s="963" t="n"/>
      <c r="AS410" s="963" t="n"/>
      <c r="AT410" s="963" t="n"/>
      <c r="AU410" s="963" t="n"/>
      <c r="AV410" s="963" t="n"/>
      <c r="AW410" s="991" t="n"/>
    </row>
    <row r="411" ht="16.4" customHeight="1" s="828">
      <c r="A411" s="722" t="n"/>
      <c r="B411" s="1021" t="n"/>
      <c r="C411" s="1021" t="n"/>
      <c r="D411" s="1021" t="n"/>
      <c r="E411" s="1021" t="n"/>
      <c r="F411" s="1021" t="n"/>
      <c r="G411" s="1025" t="n"/>
      <c r="H411" s="1021" t="n"/>
      <c r="I411" s="1021" t="n"/>
      <c r="J411" s="1021" t="n"/>
      <c r="K411" s="1022" t="n"/>
      <c r="L411" s="963" t="n"/>
      <c r="M411" s="963" t="n"/>
      <c r="N411" s="963" t="n"/>
      <c r="O411" s="963" t="n"/>
      <c r="P411" s="963" t="n"/>
      <c r="Q411" s="967" t="n"/>
      <c r="R411" s="963" t="n"/>
      <c r="S411" s="963" t="n"/>
      <c r="T411" s="963" t="n"/>
      <c r="U411" s="991" t="n"/>
      <c r="V411" s="1021" t="n"/>
      <c r="W411" s="1021" t="n"/>
      <c r="X411" s="1021" t="n"/>
      <c r="Y411" s="1021" t="n"/>
      <c r="Z411" s="1021" t="n"/>
      <c r="AA411" s="997" t="n"/>
      <c r="AB411" s="1022" t="n"/>
      <c r="AC411" s="963" t="n"/>
      <c r="AD411" s="963" t="n"/>
      <c r="AE411" s="963" t="n"/>
      <c r="AF411" s="963" t="n"/>
      <c r="AG411" s="963" t="n"/>
      <c r="AH411" s="967" t="n"/>
      <c r="AI411" s="991" t="n"/>
      <c r="AJ411" s="1021" t="n"/>
      <c r="AK411" s="1021" t="n"/>
      <c r="AL411" s="1021" t="n"/>
      <c r="AM411" s="1021" t="n"/>
      <c r="AN411" s="1021" t="n"/>
      <c r="AO411" s="1021" t="n"/>
      <c r="AP411" s="1022" t="n"/>
      <c r="AQ411" s="963" t="n"/>
      <c r="AR411" s="963" t="n"/>
      <c r="AS411" s="963" t="n"/>
      <c r="AT411" s="963" t="n"/>
      <c r="AU411" s="963" t="n"/>
      <c r="AV411" s="963" t="n"/>
      <c r="AW411" s="991" t="n"/>
    </row>
    <row r="412" ht="16.4" customHeight="1" s="828">
      <c r="A412" s="722" t="n"/>
      <c r="B412" s="1021" t="n"/>
      <c r="C412" s="1021" t="n"/>
      <c r="D412" s="1021" t="n"/>
      <c r="E412" s="1021" t="n"/>
      <c r="F412" s="1021" t="n"/>
      <c r="G412" s="1025" t="n"/>
      <c r="H412" s="1021" t="n"/>
      <c r="I412" s="1021" t="n"/>
      <c r="J412" s="1021" t="n"/>
      <c r="K412" s="1022" t="n"/>
      <c r="L412" s="963" t="n"/>
      <c r="M412" s="963" t="n"/>
      <c r="N412" s="963" t="n"/>
      <c r="O412" s="963" t="n"/>
      <c r="P412" s="963" t="n"/>
      <c r="Q412" s="967" t="n"/>
      <c r="R412" s="963" t="n"/>
      <c r="S412" s="963" t="n"/>
      <c r="T412" s="963" t="n"/>
      <c r="U412" s="991" t="n"/>
      <c r="V412" s="1021" t="n"/>
      <c r="W412" s="1021" t="n"/>
      <c r="X412" s="1021" t="n"/>
      <c r="Y412" s="1021" t="n"/>
      <c r="Z412" s="1021" t="n"/>
      <c r="AA412" s="997" t="n"/>
      <c r="AB412" s="1022" t="n"/>
      <c r="AC412" s="963" t="n"/>
      <c r="AD412" s="963" t="n"/>
      <c r="AE412" s="963" t="n"/>
      <c r="AF412" s="963" t="n"/>
      <c r="AG412" s="963" t="n"/>
      <c r="AH412" s="967" t="n"/>
      <c r="AI412" s="991" t="n"/>
      <c r="AJ412" s="1021" t="n"/>
      <c r="AK412" s="1021" t="n"/>
      <c r="AL412" s="1021" t="n"/>
      <c r="AM412" s="1021" t="n"/>
      <c r="AN412" s="1021" t="n"/>
      <c r="AO412" s="1021" t="n"/>
      <c r="AP412" s="1022" t="n"/>
      <c r="AQ412" s="963" t="n"/>
      <c r="AR412" s="963" t="n"/>
      <c r="AS412" s="963" t="n"/>
      <c r="AT412" s="963" t="n"/>
      <c r="AU412" s="963" t="n"/>
      <c r="AV412" s="963" t="n"/>
      <c r="AW412" s="991" t="n"/>
    </row>
    <row r="413" ht="16.4" customHeight="1" s="828">
      <c r="A413" s="722" t="n"/>
      <c r="B413" s="1021" t="n"/>
      <c r="C413" s="1021" t="n"/>
      <c r="D413" s="1021" t="n"/>
      <c r="E413" s="1021" t="n"/>
      <c r="F413" s="1021" t="n"/>
      <c r="G413" s="1021" t="n"/>
      <c r="H413" s="1021" t="n"/>
      <c r="I413" s="1021" t="n"/>
      <c r="J413" s="1021" t="n"/>
      <c r="K413" s="1022" t="n"/>
      <c r="L413" s="963" t="n"/>
      <c r="M413" s="963" t="n"/>
      <c r="N413" s="963" t="n"/>
      <c r="O413" s="963" t="n"/>
      <c r="P413" s="963" t="n"/>
      <c r="Q413" s="963" t="n"/>
      <c r="R413" s="963" t="n"/>
      <c r="S413" s="963" t="n"/>
      <c r="T413" s="963" t="n"/>
      <c r="U413" s="991" t="n"/>
      <c r="V413" s="1021" t="n"/>
      <c r="W413" s="1021" t="n"/>
      <c r="X413" s="1021" t="n"/>
      <c r="Y413" s="1021" t="n"/>
      <c r="Z413" s="1021" t="n"/>
      <c r="AA413" s="997" t="n"/>
      <c r="AB413" s="1022" t="n"/>
      <c r="AC413" s="963" t="n"/>
      <c r="AD413" s="963" t="n"/>
      <c r="AE413" s="963" t="n"/>
      <c r="AF413" s="963" t="n"/>
      <c r="AG413" s="963" t="n"/>
      <c r="AH413" s="967" t="n"/>
      <c r="AI413" s="991" t="n"/>
      <c r="AJ413" s="1021" t="n"/>
      <c r="AK413" s="1021" t="n"/>
      <c r="AL413" s="1021" t="n"/>
      <c r="AM413" s="1021" t="n"/>
      <c r="AN413" s="1021" t="n"/>
      <c r="AO413" s="1021" t="n"/>
      <c r="AP413" s="1022" t="n"/>
      <c r="AQ413" s="963" t="n"/>
      <c r="AR413" s="963" t="n"/>
      <c r="AS413" s="963" t="n"/>
      <c r="AT413" s="963" t="n"/>
      <c r="AU413" s="963" t="n"/>
      <c r="AV413" s="963" t="n"/>
      <c r="AW413" s="991" t="n"/>
    </row>
    <row r="414" ht="16.4" customHeight="1" s="828">
      <c r="A414" s="722" t="n"/>
      <c r="B414" s="1021" t="n"/>
      <c r="C414" s="1021" t="n"/>
      <c r="D414" s="1021" t="n"/>
      <c r="E414" s="1021" t="n"/>
      <c r="F414" s="1021" t="n"/>
      <c r="G414" s="1021" t="n"/>
      <c r="H414" s="1021" t="n"/>
      <c r="I414" s="1021" t="n"/>
      <c r="J414" s="1021" t="n"/>
      <c r="K414" s="1022" t="n"/>
      <c r="L414" s="963" t="n"/>
      <c r="M414" s="963" t="n"/>
      <c r="N414" s="963" t="n"/>
      <c r="O414" s="963" t="n"/>
      <c r="P414" s="963" t="n"/>
      <c r="Q414" s="963" t="n"/>
      <c r="R414" s="963" t="n"/>
      <c r="S414" s="963" t="n"/>
      <c r="T414" s="963" t="n"/>
      <c r="U414" s="991" t="n"/>
      <c r="V414" s="1021" t="n"/>
      <c r="W414" s="1021" t="n"/>
      <c r="X414" s="1021" t="n"/>
      <c r="Y414" s="1021" t="n"/>
      <c r="Z414" s="1021" t="n"/>
      <c r="AA414" s="997" t="n"/>
      <c r="AB414" s="1022" t="n"/>
      <c r="AC414" s="963" t="n"/>
      <c r="AD414" s="963" t="n"/>
      <c r="AE414" s="963" t="n"/>
      <c r="AF414" s="963" t="n"/>
      <c r="AG414" s="963" t="n"/>
      <c r="AH414" s="967" t="n"/>
      <c r="AI414" s="991" t="n"/>
      <c r="AJ414" s="1021" t="n"/>
      <c r="AK414" s="1021" t="n"/>
      <c r="AL414" s="1021" t="n"/>
      <c r="AM414" s="1021" t="n"/>
      <c r="AN414" s="1021" t="n"/>
      <c r="AO414" s="1021" t="n"/>
      <c r="AP414" s="1022" t="n"/>
      <c r="AQ414" s="963" t="n"/>
      <c r="AR414" s="963" t="n"/>
      <c r="AS414" s="963" t="n"/>
      <c r="AT414" s="963" t="n"/>
      <c r="AU414" s="963" t="n"/>
      <c r="AV414" s="963" t="n"/>
      <c r="AW414" s="991" t="n"/>
    </row>
    <row r="415" ht="16.4" customHeight="1" s="828">
      <c r="A415" s="722" t="n"/>
      <c r="B415" s="1021" t="n"/>
      <c r="C415" s="1021" t="n"/>
      <c r="D415" s="1021" t="n"/>
      <c r="E415" s="1021" t="n"/>
      <c r="F415" s="1021" t="n"/>
      <c r="G415" s="1021" t="n"/>
      <c r="H415" s="1021" t="n"/>
      <c r="I415" s="1021" t="n"/>
      <c r="J415" s="1021" t="n"/>
      <c r="K415" s="1022" t="n"/>
      <c r="L415" s="963" t="n"/>
      <c r="M415" s="963" t="n"/>
      <c r="N415" s="963" t="n"/>
      <c r="O415" s="963" t="n"/>
      <c r="P415" s="963" t="n"/>
      <c r="Q415" s="963" t="n"/>
      <c r="R415" s="963" t="n"/>
      <c r="S415" s="963" t="n"/>
      <c r="T415" s="963" t="n"/>
      <c r="U415" s="991" t="n"/>
      <c r="V415" s="1021" t="n"/>
      <c r="W415" s="1021" t="n"/>
      <c r="X415" s="1021" t="n"/>
      <c r="Y415" s="1021" t="n"/>
      <c r="Z415" s="1021" t="n"/>
      <c r="AA415" s="997" t="n"/>
      <c r="AB415" s="1022" t="n"/>
      <c r="AC415" s="963" t="n"/>
      <c r="AD415" s="963" t="n"/>
      <c r="AE415" s="963" t="n"/>
      <c r="AF415" s="963" t="n"/>
      <c r="AG415" s="963" t="n"/>
      <c r="AH415" s="967" t="n"/>
      <c r="AI415" s="991" t="n"/>
      <c r="AJ415" s="1021" t="n"/>
      <c r="AK415" s="1021" t="n"/>
      <c r="AL415" s="1021" t="n"/>
      <c r="AM415" s="1021" t="n"/>
      <c r="AN415" s="1021" t="n"/>
      <c r="AO415" s="1021" t="n"/>
      <c r="AP415" s="1022" t="n"/>
      <c r="AQ415" s="963" t="n"/>
      <c r="AR415" s="963" t="n"/>
      <c r="AS415" s="963" t="n"/>
      <c r="AT415" s="963" t="n"/>
      <c r="AU415" s="963" t="n"/>
      <c r="AV415" s="963" t="n"/>
      <c r="AW415" s="991" t="n"/>
    </row>
    <row r="416" ht="16.4" customHeight="1" s="828">
      <c r="A416" s="722" t="n"/>
      <c r="B416" s="1021" t="n"/>
      <c r="C416" s="1021" t="n"/>
      <c r="D416" s="1021" t="n"/>
      <c r="E416" s="1021" t="n"/>
      <c r="F416" s="1021" t="n"/>
      <c r="G416" s="1021" t="n"/>
      <c r="H416" s="1021" t="n"/>
      <c r="I416" s="1021" t="n"/>
      <c r="J416" s="1021" t="n"/>
      <c r="K416" s="1022" t="n"/>
      <c r="L416" s="963" t="n"/>
      <c r="M416" s="963" t="n"/>
      <c r="N416" s="963" t="n"/>
      <c r="O416" s="963" t="n"/>
      <c r="P416" s="963" t="n"/>
      <c r="Q416" s="963" t="n"/>
      <c r="R416" s="963" t="n"/>
      <c r="S416" s="963" t="n"/>
      <c r="T416" s="963" t="n"/>
      <c r="U416" s="991" t="n"/>
      <c r="V416" s="1021" t="n"/>
      <c r="W416" s="1021" t="n"/>
      <c r="X416" s="1021" t="n"/>
      <c r="Y416" s="1021" t="n"/>
      <c r="Z416" s="1021" t="n"/>
      <c r="AA416" s="997" t="n"/>
      <c r="AB416" s="1022" t="n"/>
      <c r="AC416" s="963" t="n"/>
      <c r="AD416" s="963" t="n"/>
      <c r="AE416" s="963" t="n"/>
      <c r="AF416" s="963" t="n"/>
      <c r="AG416" s="963" t="n"/>
      <c r="AH416" s="967" t="n"/>
      <c r="AI416" s="991" t="n"/>
      <c r="AJ416" s="1021" t="n"/>
      <c r="AK416" s="1021" t="n"/>
      <c r="AL416" s="1021" t="n"/>
      <c r="AM416" s="1021" t="n"/>
      <c r="AN416" s="1021" t="n"/>
      <c r="AO416" s="1021" t="n"/>
      <c r="AP416" s="1022" t="n"/>
      <c r="AQ416" s="963" t="n"/>
      <c r="AR416" s="963" t="n"/>
      <c r="AS416" s="963" t="n"/>
      <c r="AT416" s="963" t="n"/>
      <c r="AU416" s="963" t="n"/>
      <c r="AV416" s="963" t="n"/>
      <c r="AW416" s="991" t="n"/>
    </row>
    <row r="417" ht="16.4" customHeight="1" s="828">
      <c r="A417" s="722" t="n"/>
      <c r="B417" s="1021" t="n"/>
      <c r="C417" s="1021" t="n"/>
      <c r="D417" s="1021" t="n"/>
      <c r="E417" s="1021" t="n"/>
      <c r="F417" s="1021" t="n"/>
      <c r="G417" s="1021" t="n"/>
      <c r="H417" s="1021" t="n"/>
      <c r="I417" s="1021" t="n"/>
      <c r="J417" s="1021" t="n"/>
      <c r="K417" s="1022" t="n"/>
      <c r="L417" s="963" t="n"/>
      <c r="M417" s="963" t="n"/>
      <c r="N417" s="963" t="n"/>
      <c r="O417" s="963" t="n"/>
      <c r="P417" s="963" t="n"/>
      <c r="Q417" s="963" t="n"/>
      <c r="R417" s="963" t="n"/>
      <c r="S417" s="963" t="n"/>
      <c r="T417" s="963" t="n"/>
      <c r="U417" s="991" t="n"/>
      <c r="V417" s="1021" t="n"/>
      <c r="W417" s="1021" t="n"/>
      <c r="X417" s="1021" t="n"/>
      <c r="Y417" s="1021" t="n"/>
      <c r="Z417" s="1021" t="n"/>
      <c r="AA417" s="997" t="n"/>
      <c r="AB417" s="1022" t="n"/>
      <c r="AC417" s="963" t="n"/>
      <c r="AD417" s="963" t="n"/>
      <c r="AE417" s="963" t="n"/>
      <c r="AF417" s="963" t="n"/>
      <c r="AG417" s="963" t="n"/>
      <c r="AH417" s="967" t="n"/>
      <c r="AI417" s="991" t="n"/>
      <c r="AJ417" s="1021" t="n"/>
      <c r="AK417" s="1021" t="n"/>
      <c r="AL417" s="1021" t="n"/>
      <c r="AM417" s="1021" t="n"/>
      <c r="AN417" s="1021" t="n"/>
      <c r="AO417" s="1021" t="n"/>
      <c r="AP417" s="1022" t="n"/>
      <c r="AQ417" s="963" t="n"/>
      <c r="AR417" s="963" t="n"/>
      <c r="AS417" s="963" t="n"/>
      <c r="AT417" s="963" t="n"/>
      <c r="AU417" s="963" t="n"/>
      <c r="AV417" s="963" t="n"/>
      <c r="AW417" s="991" t="n"/>
    </row>
    <row r="418" ht="16.4" customHeight="1" s="828">
      <c r="A418" s="722" t="n"/>
      <c r="B418" s="1021" t="n"/>
      <c r="C418" s="1021" t="n"/>
      <c r="D418" s="1021" t="n"/>
      <c r="E418" s="1021" t="n"/>
      <c r="F418" s="1021" t="n"/>
      <c r="G418" s="1021" t="n"/>
      <c r="H418" s="1021" t="n"/>
      <c r="I418" s="1021" t="n"/>
      <c r="J418" s="1021" t="n"/>
      <c r="K418" s="1022" t="n"/>
      <c r="L418" s="963" t="n"/>
      <c r="M418" s="963" t="n"/>
      <c r="N418" s="963" t="n"/>
      <c r="O418" s="963" t="n"/>
      <c r="P418" s="963" t="n"/>
      <c r="Q418" s="963" t="n"/>
      <c r="R418" s="963" t="n"/>
      <c r="S418" s="963" t="n"/>
      <c r="T418" s="963" t="n"/>
      <c r="U418" s="991" t="n"/>
      <c r="V418" s="1021" t="n"/>
      <c r="W418" s="1021" t="n"/>
      <c r="X418" s="1021" t="n"/>
      <c r="Y418" s="1021" t="n"/>
      <c r="Z418" s="1021" t="n"/>
      <c r="AA418" s="989" t="n"/>
      <c r="AB418" s="1022" t="n"/>
      <c r="AC418" s="963" t="n"/>
      <c r="AD418" s="963" t="n"/>
      <c r="AE418" s="963" t="n"/>
      <c r="AF418" s="963" t="n"/>
      <c r="AG418" s="963" t="n"/>
      <c r="AH418" s="963" t="n"/>
      <c r="AI418" s="991" t="n"/>
      <c r="AJ418" s="1021" t="n"/>
      <c r="AK418" s="1021" t="n"/>
      <c r="AL418" s="1021" t="n"/>
      <c r="AM418" s="1021" t="n"/>
      <c r="AN418" s="1021" t="n"/>
      <c r="AO418" s="1021" t="n"/>
      <c r="AP418" s="1022" t="n"/>
      <c r="AQ418" s="963" t="n"/>
      <c r="AR418" s="963" t="n"/>
      <c r="AS418" s="963" t="n"/>
      <c r="AT418" s="963" t="n"/>
      <c r="AU418" s="963" t="n"/>
      <c r="AV418" s="963" t="n"/>
      <c r="AW418" s="991" t="n"/>
    </row>
    <row r="419" ht="16.4" customHeight="1" s="828">
      <c r="A419" s="714" t="n"/>
      <c r="B419" s="1023" t="n"/>
      <c r="C419" s="1023" t="n"/>
      <c r="D419" s="1023" t="n"/>
      <c r="E419" s="1023" t="n"/>
      <c r="F419" s="1023" t="n"/>
      <c r="G419" s="1023" t="n"/>
      <c r="H419" s="1023" t="n"/>
      <c r="I419" s="1023" t="n"/>
      <c r="J419" s="1023" t="n"/>
      <c r="K419" s="1024" t="n"/>
      <c r="L419" s="966" t="n"/>
      <c r="M419" s="966" t="n"/>
      <c r="N419" s="966" t="n"/>
      <c r="O419" s="966" t="n"/>
      <c r="P419" s="966" t="n"/>
      <c r="Q419" s="966" t="n"/>
      <c r="R419" s="966" t="n"/>
      <c r="S419" s="966" t="n"/>
      <c r="T419" s="966" t="n"/>
      <c r="U419" s="994" t="n"/>
      <c r="V419" s="1023" t="n"/>
      <c r="W419" s="1023" t="n"/>
      <c r="X419" s="1023" t="n"/>
      <c r="Y419" s="1023" t="n"/>
      <c r="Z419" s="1023" t="n"/>
      <c r="AA419" s="993" t="n"/>
      <c r="AB419" s="1024" t="n"/>
      <c r="AC419" s="966" t="n"/>
      <c r="AD419" s="966" t="n"/>
      <c r="AE419" s="966" t="n"/>
      <c r="AF419" s="966" t="n"/>
      <c r="AG419" s="966" t="n"/>
      <c r="AH419" s="966" t="n"/>
      <c r="AI419" s="994" t="n"/>
      <c r="AJ419" s="1023" t="n"/>
      <c r="AK419" s="1023" t="n"/>
      <c r="AL419" s="1023" t="n"/>
      <c r="AM419" s="1023" t="n"/>
      <c r="AN419" s="1023" t="n"/>
      <c r="AO419" s="1023" t="n"/>
      <c r="AP419" s="1024" t="n"/>
      <c r="AQ419" s="966" t="n"/>
      <c r="AR419" s="966" t="n"/>
      <c r="AS419" s="966" t="n"/>
      <c r="AT419" s="966" t="n"/>
      <c r="AU419" s="966" t="n"/>
      <c r="AV419" s="966" t="n"/>
      <c r="AW419" s="994" t="n"/>
    </row>
    <row r="420" ht="16.4" customHeight="1" s="828">
      <c r="A420" s="157" t="n"/>
      <c r="B420" s="18" t="n"/>
      <c r="C420" s="18" t="n"/>
      <c r="D420" s="18" t="n"/>
      <c r="E420" s="1002" t="n"/>
      <c r="F420" s="18" t="n"/>
      <c r="G420" s="1002" t="n"/>
      <c r="H420" s="18" t="n"/>
      <c r="I420" s="1002" t="n"/>
      <c r="J420" s="18" t="n"/>
      <c r="K420" s="1002" t="n"/>
      <c r="L420" s="1002" t="n"/>
      <c r="M420" s="18" t="n"/>
      <c r="N420" s="153" t="n"/>
      <c r="O420" s="153" t="n"/>
      <c r="P420" s="153" t="n"/>
      <c r="Q420" s="18" t="n"/>
      <c r="R420" s="18" t="n"/>
      <c r="S420" s="18" t="n"/>
      <c r="T420" s="18" t="n"/>
      <c r="U420" s="18" t="n"/>
      <c r="V420" s="18" t="n"/>
      <c r="W420" s="18" t="n"/>
      <c r="X420" s="18" t="n"/>
      <c r="Y420" s="1002" t="n"/>
      <c r="Z420" s="18" t="n"/>
      <c r="AA420" s="1002" t="n"/>
      <c r="AB420" s="18" t="n"/>
      <c r="AC420" s="1002" t="n"/>
      <c r="AD420" s="18" t="n"/>
      <c r="AE420" s="1002" t="n"/>
      <c r="AF420" s="1016" t="n"/>
      <c r="AG420" s="153" t="n"/>
      <c r="AH420" s="153" t="n"/>
      <c r="AI420" s="18" t="n"/>
      <c r="AJ420" s="18" t="n"/>
      <c r="AK420" s="18" t="n"/>
      <c r="AL420" s="18" t="n"/>
      <c r="AM420" s="18" t="n"/>
      <c r="AN420" s="18" t="n"/>
      <c r="AO420" s="18" t="n"/>
      <c r="AP420" s="18" t="n"/>
      <c r="AQ420" s="18" t="n"/>
      <c r="AR420" s="18" t="n"/>
      <c r="AS420" s="18" t="n"/>
      <c r="AT420" s="18" t="n"/>
      <c r="AU420" s="18" t="n"/>
      <c r="AV420" s="18" t="n"/>
      <c r="AW420" s="18" t="n"/>
    </row>
    <row r="421" ht="16.4" customHeight="1" s="828">
      <c r="A421" s="156" t="n"/>
      <c r="B421" s="18" t="n"/>
      <c r="C421" s="18" t="n"/>
      <c r="D421" s="18" t="n"/>
      <c r="E421" s="1002" t="n"/>
      <c r="F421" s="18" t="n"/>
      <c r="G421" s="1002" t="n"/>
      <c r="H421" s="18" t="n"/>
      <c r="I421" s="1002" t="n"/>
      <c r="J421" s="18" t="n"/>
      <c r="K421" s="1002" t="n"/>
      <c r="L421" s="1002" t="n"/>
      <c r="M421" s="18" t="n"/>
      <c r="N421" s="153" t="n"/>
      <c r="O421" s="153" t="n"/>
      <c r="P421" s="153" t="n"/>
      <c r="Q421" s="18" t="n"/>
      <c r="R421" s="18" t="n"/>
      <c r="S421" s="18" t="n"/>
      <c r="T421" s="18" t="n"/>
      <c r="U421" s="18" t="n"/>
      <c r="V421" s="18" t="n"/>
      <c r="W421" s="18" t="n"/>
      <c r="X421" s="18" t="n"/>
      <c r="Y421" s="1002" t="n"/>
      <c r="Z421" s="18" t="n"/>
      <c r="AA421" s="1002" t="n"/>
      <c r="AB421" s="18" t="n"/>
      <c r="AC421" s="1002" t="n"/>
      <c r="AD421" s="18" t="n"/>
      <c r="AE421" s="1002" t="n"/>
      <c r="AF421" s="1016" t="n"/>
      <c r="AG421" s="153" t="n"/>
      <c r="AH421" s="153" t="n"/>
      <c r="AI421" s="18" t="n"/>
      <c r="AJ421" s="18" t="n"/>
      <c r="AK421" s="18" t="n"/>
      <c r="AL421" s="18" t="n"/>
      <c r="AM421" s="18" t="n"/>
      <c r="AN421" s="18" t="n"/>
      <c r="AO421" s="18" t="n"/>
      <c r="AP421" s="18" t="n"/>
      <c r="AQ421" s="18" t="n"/>
      <c r="AR421" s="18" t="n"/>
      <c r="AS421" s="18" t="n"/>
      <c r="AT421" s="18" t="n"/>
      <c r="AU421" s="18" t="n"/>
      <c r="AV421" s="18" t="n"/>
      <c r="AW421" s="18" t="n"/>
    </row>
    <row r="422" ht="16.4" customHeight="1" s="828">
      <c r="A422" s="156" t="n"/>
      <c r="B422" s="18" t="n"/>
      <c r="C422" s="18" t="n"/>
      <c r="D422" s="18" t="n"/>
      <c r="E422" s="1002" t="n"/>
      <c r="F422" s="18" t="n"/>
      <c r="G422" s="1002" t="n"/>
      <c r="H422" s="18" t="n"/>
      <c r="I422" s="1002" t="n"/>
      <c r="J422" s="18" t="n"/>
      <c r="K422" s="1002" t="n"/>
      <c r="L422" s="1002" t="n"/>
      <c r="M422" s="18" t="n"/>
      <c r="N422" s="153" t="n"/>
      <c r="O422" s="153" t="n"/>
      <c r="P422" s="153" t="n"/>
      <c r="Q422" s="18" t="n"/>
      <c r="R422" s="18" t="n"/>
      <c r="S422" s="18" t="n"/>
      <c r="T422" s="18" t="n"/>
      <c r="U422" s="18" t="n"/>
      <c r="V422" s="18" t="n"/>
      <c r="W422" s="18" t="n"/>
      <c r="X422" s="18" t="n"/>
      <c r="Y422" s="1002" t="n"/>
      <c r="Z422" s="18" t="n"/>
      <c r="AA422" s="1002" t="n"/>
      <c r="AB422" s="18" t="n"/>
      <c r="AC422" s="1002" t="n"/>
      <c r="AD422" s="18" t="n"/>
      <c r="AE422" s="1002" t="n"/>
      <c r="AF422" s="1016" t="n"/>
      <c r="AG422" s="153" t="n"/>
      <c r="AH422" s="153" t="n"/>
      <c r="AI422" s="18" t="n"/>
      <c r="AJ422" s="18" t="n"/>
      <c r="AK422" s="18" t="n"/>
      <c r="AL422" s="18" t="n"/>
      <c r="AM422" s="18" t="n"/>
      <c r="AN422" s="18" t="n"/>
      <c r="AO422" s="18" t="n"/>
      <c r="AP422" s="18" t="n"/>
      <c r="AQ422" s="18" t="n"/>
      <c r="AR422" s="18" t="n"/>
      <c r="AS422" s="18" t="n"/>
      <c r="AT422" s="18" t="n"/>
      <c r="AU422" s="18" t="n"/>
      <c r="AV422" s="18" t="n"/>
      <c r="AW422" s="18" t="n"/>
    </row>
    <row r="423" ht="16.4" customHeight="1" s="828">
      <c r="A423" s="141" t="n"/>
      <c r="B423" s="18" t="n"/>
      <c r="C423" s="18" t="n"/>
      <c r="D423" s="18" t="n"/>
      <c r="E423" s="1002" t="n"/>
      <c r="F423" s="18" t="n"/>
      <c r="G423" s="1002" t="n"/>
      <c r="H423" s="18" t="n"/>
      <c r="I423" s="1002" t="n"/>
      <c r="J423" s="18" t="n"/>
      <c r="K423" s="1002" t="n"/>
      <c r="L423" s="1002" t="n"/>
      <c r="M423" s="18" t="n"/>
      <c r="N423" s="153" t="n"/>
      <c r="O423" s="153" t="n"/>
      <c r="P423" s="153" t="n"/>
      <c r="Q423" s="18" t="n"/>
      <c r="R423" s="18" t="n"/>
      <c r="S423" s="18" t="n"/>
      <c r="T423" s="18" t="n"/>
      <c r="U423" s="18" t="n"/>
      <c r="V423" s="18" t="n"/>
      <c r="W423" s="18" t="n"/>
      <c r="X423" s="18" t="n"/>
      <c r="Y423" s="1002" t="n"/>
      <c r="Z423" s="18" t="n"/>
      <c r="AA423" s="1002" t="n"/>
      <c r="AB423" s="18" t="n"/>
      <c r="AC423" s="1002" t="n"/>
      <c r="AD423" s="18" t="n"/>
      <c r="AE423" s="1002" t="n"/>
      <c r="AF423" s="1016" t="n"/>
      <c r="AG423" s="153" t="n"/>
      <c r="AH423" s="153" t="n"/>
      <c r="AI423" s="18" t="n"/>
      <c r="AJ423" s="18" t="n"/>
      <c r="AK423" s="18" t="n"/>
      <c r="AL423" s="18" t="n"/>
      <c r="AM423" s="18" t="n"/>
      <c r="AN423" s="18" t="n"/>
      <c r="AO423" s="18" t="n"/>
      <c r="AP423" s="18" t="n"/>
      <c r="AQ423" s="18" t="n"/>
      <c r="AR423" s="18" t="n"/>
      <c r="AS423" s="18" t="n"/>
      <c r="AT423" s="18" t="n"/>
      <c r="AU423" s="18" t="n"/>
      <c r="AV423" s="18" t="n"/>
      <c r="AW423" s="18" t="n"/>
    </row>
    <row r="424" ht="16.4" customHeight="1" s="828">
      <c r="A424" s="142" t="n"/>
      <c r="B424" s="18" t="n"/>
      <c r="C424" s="18" t="n"/>
      <c r="D424" s="18" t="n"/>
      <c r="E424" s="1002" t="n"/>
      <c r="F424" s="18" t="n"/>
      <c r="G424" s="1002" t="n"/>
      <c r="H424" s="18" t="n"/>
      <c r="I424" s="1002" t="n"/>
      <c r="J424" s="18" t="n"/>
      <c r="K424" s="1002" t="n"/>
      <c r="L424" s="1002" t="n"/>
      <c r="M424" s="18" t="n"/>
      <c r="N424" s="153" t="n"/>
      <c r="O424" s="153" t="n"/>
      <c r="P424" s="153" t="n"/>
      <c r="Q424" s="18" t="n"/>
      <c r="R424" s="18" t="n"/>
      <c r="S424" s="18" t="n"/>
      <c r="T424" s="18" t="n"/>
      <c r="U424" s="18" t="n"/>
      <c r="V424" s="18" t="n"/>
      <c r="W424" s="18" t="n"/>
      <c r="X424" s="18" t="n"/>
      <c r="Y424" s="1002" t="n"/>
      <c r="Z424" s="18" t="n"/>
      <c r="AA424" s="1002" t="n"/>
      <c r="AB424" s="18" t="n"/>
      <c r="AC424" s="1002" t="n"/>
      <c r="AD424" s="18" t="n"/>
      <c r="AE424" s="1002" t="n"/>
      <c r="AF424" s="1016" t="n"/>
      <c r="AG424" s="153" t="n"/>
      <c r="AH424" s="153" t="n"/>
      <c r="AI424" s="18" t="n"/>
      <c r="AJ424" s="18" t="n"/>
      <c r="AK424" s="18" t="n"/>
      <c r="AL424" s="18" t="n"/>
      <c r="AM424" s="18" t="n"/>
      <c r="AN424" s="18" t="n"/>
      <c r="AO424" s="18" t="n"/>
      <c r="AP424" s="18" t="n"/>
      <c r="AQ424" s="18" t="n"/>
      <c r="AR424" s="18" t="n"/>
      <c r="AS424" s="18" t="n"/>
      <c r="AT424" s="18" t="n"/>
      <c r="AU424" s="18" t="n"/>
      <c r="AV424" s="18" t="n"/>
      <c r="AW424" s="18" t="n"/>
    </row>
    <row r="425" ht="16.4" customHeight="1" s="828">
      <c r="A425" s="143" t="n"/>
      <c r="B425" s="18" t="n"/>
      <c r="C425" s="18" t="n"/>
      <c r="D425" s="18" t="n"/>
      <c r="E425" s="1002" t="n"/>
      <c r="F425" s="18" t="n"/>
      <c r="G425" s="1002" t="n"/>
      <c r="H425" s="18" t="n"/>
      <c r="I425" s="1002" t="n"/>
      <c r="J425" s="18" t="n"/>
      <c r="K425" s="1002" t="n"/>
      <c r="L425" s="1002" t="n"/>
      <c r="M425" s="18" t="n"/>
      <c r="N425" s="153" t="n"/>
      <c r="O425" s="153" t="n"/>
      <c r="P425" s="153" t="n"/>
      <c r="Q425" s="18" t="n"/>
      <c r="R425" s="18" t="n"/>
      <c r="S425" s="18" t="n"/>
      <c r="T425" s="18" t="n"/>
      <c r="U425" s="18" t="n"/>
      <c r="V425" s="18" t="n"/>
      <c r="W425" s="18" t="n"/>
      <c r="X425" s="18" t="n"/>
      <c r="Y425" s="1002" t="n"/>
      <c r="Z425" s="18" t="n"/>
      <c r="AA425" s="1002" t="n"/>
      <c r="AB425" s="18" t="n"/>
      <c r="AC425" s="1002" t="n"/>
      <c r="AD425" s="18" t="n"/>
      <c r="AE425" s="1002" t="n"/>
      <c r="AF425" s="1016" t="n"/>
      <c r="AG425" s="153" t="n"/>
      <c r="AH425" s="153" t="n"/>
      <c r="AI425" s="18" t="n"/>
      <c r="AJ425" s="18" t="n"/>
      <c r="AK425" s="18" t="n"/>
      <c r="AL425" s="18" t="n"/>
      <c r="AM425" s="18" t="n"/>
      <c r="AN425" s="18" t="n"/>
      <c r="AO425" s="18" t="n"/>
      <c r="AP425" s="18" t="n"/>
      <c r="AQ425" s="18" t="n"/>
      <c r="AR425" s="18" t="n"/>
      <c r="AS425" s="18" t="n"/>
      <c r="AT425" s="18" t="n"/>
      <c r="AU425" s="18" t="n"/>
      <c r="AV425" s="18" t="n"/>
      <c r="AW425" s="18" t="n"/>
    </row>
    <row r="426" ht="16.4" customHeight="1" s="828">
      <c r="A426" s="144" t="n"/>
      <c r="B426" s="18" t="n"/>
      <c r="C426" s="18" t="n"/>
      <c r="D426" s="18" t="n"/>
      <c r="E426" s="1002" t="n"/>
      <c r="F426" s="18" t="n"/>
      <c r="G426" s="1002" t="n"/>
      <c r="H426" s="18" t="n"/>
      <c r="I426" s="1002" t="n"/>
      <c r="J426" s="18" t="n"/>
      <c r="K426" s="1002" t="n"/>
      <c r="L426" s="1002" t="n"/>
      <c r="M426" s="18" t="n"/>
      <c r="N426" s="153" t="n"/>
      <c r="O426" s="153" t="n"/>
      <c r="P426" s="153" t="n"/>
      <c r="Q426" s="18" t="n"/>
      <c r="R426" s="18" t="n"/>
      <c r="S426" s="18" t="n"/>
      <c r="T426" s="18" t="n"/>
      <c r="U426" s="18" t="n"/>
      <c r="V426" s="18" t="n"/>
      <c r="W426" s="18" t="n"/>
      <c r="X426" s="18" t="n"/>
      <c r="Y426" s="1002" t="n"/>
      <c r="Z426" s="18" t="n"/>
      <c r="AA426" s="1002" t="n"/>
      <c r="AB426" s="18" t="n"/>
      <c r="AC426" s="1002" t="n"/>
      <c r="AD426" s="18" t="n"/>
      <c r="AE426" s="1002" t="n"/>
      <c r="AF426" s="1016" t="n"/>
      <c r="AG426" s="153" t="n"/>
      <c r="AH426" s="153" t="n"/>
      <c r="AI426" s="18" t="n"/>
      <c r="AJ426" s="18" t="n"/>
      <c r="AK426" s="18" t="n"/>
      <c r="AL426" s="18" t="n"/>
      <c r="AM426" s="18" t="n"/>
      <c r="AN426" s="18" t="n"/>
      <c r="AO426" s="18" t="n"/>
      <c r="AP426" s="18" t="n"/>
      <c r="AQ426" s="18" t="n"/>
      <c r="AR426" s="18" t="n"/>
      <c r="AS426" s="18" t="n"/>
      <c r="AT426" s="18" t="n"/>
      <c r="AU426" s="18" t="n"/>
      <c r="AV426" s="18" t="n"/>
      <c r="AW426" s="18" t="n"/>
    </row>
    <row r="427" ht="16.4" customHeight="1" s="828">
      <c r="A427" s="18" t="n"/>
      <c r="B427" s="18" t="n"/>
      <c r="C427" s="18" t="n"/>
      <c r="D427" s="18" t="n"/>
      <c r="E427" s="1002" t="n"/>
      <c r="F427" s="18" t="n"/>
      <c r="G427" s="1002" t="n"/>
      <c r="H427" s="18" t="n"/>
      <c r="I427" s="1002" t="n"/>
      <c r="J427" s="18" t="n"/>
      <c r="K427" s="1002" t="n"/>
      <c r="L427" s="1002" t="n"/>
      <c r="M427" s="18" t="n"/>
      <c r="N427" s="153" t="n"/>
      <c r="O427" s="153" t="n"/>
      <c r="P427" s="153" t="n"/>
      <c r="Q427" s="18" t="n"/>
      <c r="R427" s="18" t="n"/>
      <c r="S427" s="18" t="n"/>
      <c r="T427" s="18" t="n"/>
      <c r="U427" s="18" t="n"/>
      <c r="V427" s="18" t="n"/>
      <c r="W427" s="18" t="n"/>
      <c r="X427" s="18" t="n"/>
      <c r="Y427" s="1002" t="n"/>
      <c r="Z427" s="18" t="n"/>
      <c r="AA427" s="1002" t="n"/>
      <c r="AB427" s="18" t="n"/>
      <c r="AC427" s="1002" t="n"/>
      <c r="AD427" s="18" t="n"/>
      <c r="AE427" s="1002" t="n"/>
      <c r="AF427" s="1016" t="n"/>
      <c r="AG427" s="153" t="n"/>
      <c r="AH427" s="153" t="n"/>
      <c r="AI427" s="18" t="n"/>
      <c r="AJ427" s="18" t="n"/>
      <c r="AK427" s="18" t="n"/>
      <c r="AL427" s="18" t="n"/>
      <c r="AM427" s="18" t="n"/>
      <c r="AN427" s="18" t="n"/>
      <c r="AO427" s="18" t="n"/>
      <c r="AP427" s="18" t="n"/>
      <c r="AQ427" s="18" t="n"/>
      <c r="AR427" s="18" t="n"/>
      <c r="AS427" s="18" t="n"/>
      <c r="AT427" s="18" t="n"/>
      <c r="AU427" s="18" t="n"/>
      <c r="AV427" s="18" t="n"/>
      <c r="AW427" s="18" t="n"/>
    </row>
    <row r="428" ht="16.4" customHeight="1" s="828">
      <c r="A428" s="18" t="n"/>
      <c r="B428" s="18" t="n"/>
      <c r="C428" s="18" t="n"/>
      <c r="D428" s="18" t="n"/>
      <c r="E428" s="1002" t="n"/>
      <c r="F428" s="18" t="n"/>
      <c r="G428" s="1002" t="n"/>
      <c r="H428" s="18" t="n"/>
      <c r="I428" s="1002" t="n"/>
      <c r="J428" s="18" t="n"/>
      <c r="K428" s="1002" t="n"/>
      <c r="L428" s="1002" t="n"/>
      <c r="M428" s="18" t="n"/>
      <c r="N428" s="153" t="n"/>
      <c r="O428" s="153" t="n"/>
      <c r="P428" s="153" t="n"/>
      <c r="Q428" s="18" t="n"/>
      <c r="R428" s="18" t="n"/>
      <c r="S428" s="18" t="n"/>
      <c r="T428" s="18" t="n"/>
      <c r="U428" s="18" t="n"/>
      <c r="V428" s="18" t="n"/>
      <c r="W428" s="18" t="n"/>
      <c r="X428" s="18" t="n"/>
      <c r="Y428" s="1002" t="n"/>
      <c r="Z428" s="18" t="n"/>
      <c r="AA428" s="1002" t="n"/>
      <c r="AB428" s="18" t="n"/>
      <c r="AC428" s="1002" t="n"/>
      <c r="AD428" s="18" t="n"/>
      <c r="AE428" s="1002" t="n"/>
      <c r="AF428" s="1016" t="n"/>
      <c r="AG428" s="153" t="n"/>
      <c r="AH428" s="153" t="n"/>
      <c r="AI428" s="18" t="n"/>
      <c r="AJ428" s="18" t="n"/>
      <c r="AK428" s="18" t="n"/>
      <c r="AL428" s="18" t="n"/>
      <c r="AM428" s="18" t="n"/>
      <c r="AN428" s="18" t="n"/>
      <c r="AO428" s="18" t="n"/>
      <c r="AP428" s="18" t="n"/>
      <c r="AQ428" s="18" t="n"/>
      <c r="AR428" s="18" t="n"/>
      <c r="AS428" s="18" t="n"/>
      <c r="AT428" s="18" t="n"/>
      <c r="AU428" s="18" t="n"/>
      <c r="AV428" s="18" t="n"/>
      <c r="AW428" s="18" t="n"/>
    </row>
    <row r="429" ht="16.4" customHeight="1" s="828">
      <c r="A429" s="18" t="n"/>
      <c r="B429" s="18" t="n"/>
      <c r="C429" s="18" t="n"/>
      <c r="D429" s="18" t="n"/>
      <c r="E429" s="1002" t="n"/>
      <c r="F429" s="18" t="n"/>
      <c r="G429" s="1002" t="n"/>
      <c r="H429" s="18" t="n"/>
      <c r="I429" s="1002" t="n"/>
      <c r="J429" s="18" t="n"/>
      <c r="K429" s="1002" t="n"/>
      <c r="L429" s="1002" t="n"/>
      <c r="M429" s="18" t="n"/>
      <c r="N429" s="153" t="n"/>
      <c r="O429" s="153" t="n"/>
      <c r="P429" s="153" t="n"/>
      <c r="Q429" s="18" t="n"/>
      <c r="R429" s="18" t="n"/>
      <c r="S429" s="18" t="n"/>
      <c r="T429" s="18" t="n"/>
      <c r="U429" s="18" t="n"/>
      <c r="V429" s="18" t="n"/>
      <c r="W429" s="18" t="n"/>
      <c r="X429" s="18" t="n"/>
      <c r="Y429" s="1002" t="n"/>
      <c r="Z429" s="18" t="n"/>
      <c r="AA429" s="1002" t="n"/>
      <c r="AB429" s="18" t="n"/>
      <c r="AC429" s="1002" t="n"/>
      <c r="AD429" s="18" t="n"/>
      <c r="AE429" s="1002" t="n"/>
      <c r="AF429" s="1016" t="n"/>
      <c r="AG429" s="153" t="n"/>
      <c r="AH429" s="153" t="n"/>
      <c r="AI429" s="18" t="n"/>
      <c r="AJ429" s="18" t="n"/>
      <c r="AK429" s="18" t="n"/>
      <c r="AL429" s="18" t="n"/>
      <c r="AM429" s="18" t="n"/>
      <c r="AN429" s="18" t="n"/>
      <c r="AO429" s="18" t="n"/>
      <c r="AP429" s="18" t="n"/>
      <c r="AQ429" s="18" t="n"/>
      <c r="AR429" s="18" t="n"/>
      <c r="AS429" s="18" t="n"/>
      <c r="AT429" s="18" t="n"/>
      <c r="AU429" s="18" t="n"/>
      <c r="AV429" s="18" t="n"/>
      <c r="AW429" s="18" t="n"/>
    </row>
    <row r="430" ht="16.4" customHeight="1" s="828">
      <c r="A430" s="18" t="n"/>
      <c r="B430" s="18" t="n"/>
      <c r="C430" s="18" t="n"/>
      <c r="D430" s="18" t="n"/>
      <c r="E430" s="1002" t="n"/>
      <c r="F430" s="18" t="n"/>
      <c r="G430" s="1002" t="n"/>
      <c r="H430" s="18" t="n"/>
      <c r="I430" s="1002" t="n"/>
      <c r="J430" s="18" t="n"/>
      <c r="K430" s="1002" t="n"/>
      <c r="L430" s="1002" t="n"/>
      <c r="M430" s="18" t="n"/>
      <c r="N430" s="153" t="n"/>
      <c r="O430" s="153" t="n"/>
      <c r="P430" s="153" t="n"/>
      <c r="Q430" s="18" t="n"/>
      <c r="R430" s="18" t="n"/>
      <c r="S430" s="18" t="n"/>
      <c r="T430" s="18" t="n"/>
      <c r="U430" s="18" t="n"/>
      <c r="V430" s="18" t="n"/>
      <c r="W430" s="18" t="n"/>
      <c r="X430" s="18" t="n"/>
      <c r="Y430" s="1002" t="n"/>
      <c r="Z430" s="18" t="n"/>
      <c r="AA430" s="1002" t="n"/>
      <c r="AB430" s="18" t="n"/>
      <c r="AC430" s="1002" t="n"/>
      <c r="AD430" s="18" t="n"/>
      <c r="AE430" s="1002" t="n"/>
      <c r="AF430" s="1016" t="n"/>
      <c r="AG430" s="153" t="n"/>
      <c r="AH430" s="153" t="n"/>
      <c r="AI430" s="18" t="n"/>
      <c r="AJ430" s="18" t="n"/>
      <c r="AK430" s="18" t="n"/>
      <c r="AL430" s="18" t="n"/>
      <c r="AM430" s="18" t="n"/>
      <c r="AN430" s="18" t="n"/>
      <c r="AO430" s="18" t="n"/>
      <c r="AP430" s="18" t="n"/>
      <c r="AQ430" s="18" t="n"/>
      <c r="AR430" s="18" t="n"/>
      <c r="AS430" s="18" t="n"/>
      <c r="AT430" s="18" t="n"/>
      <c r="AU430" s="18" t="n"/>
      <c r="AV430" s="18" t="n"/>
      <c r="AW430" s="18" t="n"/>
    </row>
    <row r="431" ht="16.4" customHeight="1" s="828">
      <c r="A431" s="18" t="n"/>
      <c r="B431" s="18" t="n"/>
      <c r="C431" s="18" t="n"/>
      <c r="D431" s="18" t="n"/>
      <c r="E431" s="1002" t="n"/>
      <c r="F431" s="18" t="n"/>
      <c r="G431" s="1002" t="n"/>
      <c r="H431" s="18" t="n"/>
      <c r="I431" s="1002" t="n"/>
      <c r="J431" s="18" t="n"/>
      <c r="K431" s="1002" t="n"/>
      <c r="L431" s="1002" t="n"/>
      <c r="M431" s="18" t="n"/>
      <c r="N431" s="153" t="n"/>
      <c r="O431" s="153" t="n"/>
      <c r="P431" s="153" t="n"/>
      <c r="Q431" s="18" t="n"/>
      <c r="R431" s="18" t="n"/>
      <c r="S431" s="18" t="n"/>
      <c r="T431" s="18" t="n"/>
      <c r="U431" s="18" t="n"/>
      <c r="V431" s="18" t="n"/>
      <c r="W431" s="18" t="n"/>
      <c r="X431" s="18" t="n"/>
      <c r="Y431" s="1002" t="n"/>
      <c r="Z431" s="18" t="n"/>
      <c r="AA431" s="1002" t="n"/>
      <c r="AB431" s="18" t="n"/>
      <c r="AC431" s="1002" t="n"/>
      <c r="AD431" s="18" t="n"/>
      <c r="AE431" s="1002" t="n"/>
      <c r="AF431" s="1016" t="n"/>
      <c r="AG431" s="153" t="n"/>
      <c r="AH431" s="153" t="n"/>
      <c r="AI431" s="18" t="n"/>
      <c r="AJ431" s="18" t="n"/>
      <c r="AK431" s="18" t="n"/>
      <c r="AL431" s="18" t="n"/>
      <c r="AM431" s="18" t="n"/>
      <c r="AN431" s="18" t="n"/>
      <c r="AO431" s="18" t="n"/>
      <c r="AP431" s="18" t="n"/>
      <c r="AQ431" s="18" t="n"/>
      <c r="AR431" s="18" t="n"/>
      <c r="AS431" s="18" t="n"/>
      <c r="AT431" s="18" t="n"/>
      <c r="AU431" s="18" t="n"/>
      <c r="AV431" s="18" t="n"/>
      <c r="AW431" s="18" t="n"/>
    </row>
    <row r="432" ht="16.4" customHeight="1" s="828">
      <c r="A432" s="18" t="n"/>
      <c r="B432" s="18" t="n"/>
      <c r="C432" s="18" t="n"/>
      <c r="D432" s="18" t="n"/>
      <c r="E432" s="1002" t="n"/>
      <c r="F432" s="18" t="n"/>
      <c r="G432" s="1002" t="n"/>
      <c r="H432" s="18" t="n"/>
      <c r="I432" s="1002" t="n"/>
      <c r="J432" s="18" t="n"/>
      <c r="K432" s="1002" t="n"/>
      <c r="L432" s="1002" t="n"/>
      <c r="M432" s="18" t="n"/>
      <c r="N432" s="153" t="n"/>
      <c r="O432" s="153" t="n"/>
      <c r="P432" s="153" t="n"/>
      <c r="Q432" s="18" t="n"/>
      <c r="R432" s="18" t="n"/>
      <c r="S432" s="18" t="n"/>
      <c r="T432" s="18" t="n"/>
      <c r="U432" s="18" t="n"/>
      <c r="V432" s="18" t="n"/>
      <c r="W432" s="18" t="n"/>
      <c r="X432" s="18" t="n"/>
      <c r="Y432" s="1002" t="n"/>
      <c r="Z432" s="18" t="n"/>
      <c r="AA432" s="1002" t="n"/>
      <c r="AB432" s="18" t="n"/>
      <c r="AC432" s="1002" t="n"/>
      <c r="AD432" s="18" t="n"/>
      <c r="AE432" s="1002" t="n"/>
      <c r="AF432" s="1016" t="n"/>
      <c r="AG432" s="153" t="n"/>
      <c r="AH432" s="153" t="n"/>
      <c r="AI432" s="18" t="n"/>
      <c r="AJ432" s="18" t="n"/>
      <c r="AK432" s="18" t="n"/>
      <c r="AL432" s="18" t="n"/>
      <c r="AM432" s="18" t="n"/>
      <c r="AN432" s="18" t="n"/>
      <c r="AO432" s="18" t="n"/>
      <c r="AP432" s="18" t="n"/>
      <c r="AQ432" s="18" t="n"/>
      <c r="AR432" s="18" t="n"/>
      <c r="AS432" s="18" t="n"/>
      <c r="AT432" s="18" t="n"/>
      <c r="AU432" s="18" t="n"/>
      <c r="AV432" s="18" t="n"/>
      <c r="AW432" s="18" t="n"/>
    </row>
    <row r="433" ht="16.4" customHeight="1" s="828">
      <c r="A433" s="18" t="n"/>
      <c r="B433" s="18" t="n"/>
      <c r="C433" s="18" t="n"/>
      <c r="D433" s="18" t="n"/>
      <c r="E433" s="1002" t="n"/>
      <c r="F433" s="18" t="n"/>
      <c r="G433" s="1002" t="n"/>
      <c r="H433" s="18" t="n"/>
      <c r="I433" s="1002" t="n"/>
      <c r="J433" s="18" t="n"/>
      <c r="K433" s="1002" t="n"/>
      <c r="L433" s="1002" t="n"/>
      <c r="M433" s="18" t="n"/>
      <c r="N433" s="153" t="n"/>
      <c r="O433" s="153" t="n"/>
      <c r="P433" s="153" t="n"/>
      <c r="Q433" s="18" t="n"/>
      <c r="R433" s="18" t="n"/>
      <c r="S433" s="18" t="n"/>
      <c r="T433" s="18" t="n"/>
      <c r="U433" s="18" t="n"/>
      <c r="V433" s="18" t="n"/>
      <c r="W433" s="18" t="n"/>
      <c r="X433" s="18" t="n"/>
      <c r="Y433" s="1002" t="n"/>
      <c r="Z433" s="18" t="n"/>
      <c r="AA433" s="1002" t="n"/>
      <c r="AB433" s="18" t="n"/>
      <c r="AC433" s="1002" t="n"/>
      <c r="AD433" s="18" t="n"/>
      <c r="AE433" s="1002" t="n"/>
      <c r="AF433" s="1016" t="n"/>
      <c r="AG433" s="153" t="n"/>
      <c r="AH433" s="153" t="n"/>
      <c r="AI433" s="18" t="n"/>
      <c r="AJ433" s="18" t="n"/>
      <c r="AK433" s="18" t="n"/>
      <c r="AL433" s="18" t="n"/>
      <c r="AM433" s="18" t="n"/>
      <c r="AN433" s="18" t="n"/>
      <c r="AO433" s="18" t="n"/>
      <c r="AP433" s="18" t="n"/>
      <c r="AQ433" s="18" t="n"/>
      <c r="AR433" s="18" t="n"/>
      <c r="AS433" s="18" t="n"/>
      <c r="AT433" s="18" t="n"/>
      <c r="AU433" s="18" t="n"/>
      <c r="AV433" s="18" t="n"/>
      <c r="AW433" s="18" t="n"/>
    </row>
    <row r="434" ht="16.4" customHeight="1" s="828">
      <c r="A434" s="18" t="n"/>
      <c r="B434" s="18" t="n"/>
      <c r="C434" s="18" t="n"/>
      <c r="D434" s="18" t="n"/>
      <c r="E434" s="1002" t="n"/>
      <c r="F434" s="18" t="n"/>
      <c r="G434" s="1002" t="n"/>
      <c r="H434" s="18" t="n"/>
      <c r="I434" s="1002" t="n"/>
      <c r="J434" s="18" t="n"/>
      <c r="K434" s="1002" t="n"/>
      <c r="L434" s="1002" t="n"/>
      <c r="M434" s="18" t="n"/>
      <c r="N434" s="153" t="n"/>
      <c r="O434" s="153" t="n"/>
      <c r="P434" s="153" t="n"/>
      <c r="Q434" s="18" t="n"/>
      <c r="R434" s="18" t="n"/>
      <c r="S434" s="18" t="n"/>
      <c r="T434" s="18" t="n"/>
      <c r="U434" s="18" t="n"/>
      <c r="V434" s="18" t="n"/>
      <c r="W434" s="18" t="n"/>
      <c r="X434" s="18" t="n"/>
      <c r="Y434" s="1002" t="n"/>
      <c r="Z434" s="18" t="n"/>
      <c r="AA434" s="1002" t="n"/>
      <c r="AB434" s="18" t="n"/>
      <c r="AC434" s="1002" t="n"/>
      <c r="AD434" s="18" t="n"/>
      <c r="AE434" s="1002" t="n"/>
      <c r="AF434" s="1016" t="n"/>
      <c r="AG434" s="153" t="n"/>
      <c r="AH434" s="153" t="n"/>
      <c r="AI434" s="18" t="n"/>
      <c r="AJ434" s="18" t="n"/>
      <c r="AK434" s="18" t="n"/>
      <c r="AL434" s="18" t="n"/>
      <c r="AM434" s="18" t="n"/>
      <c r="AN434" s="18" t="n"/>
      <c r="AO434" s="18" t="n"/>
      <c r="AP434" s="18" t="n"/>
      <c r="AQ434" s="18" t="n"/>
      <c r="AR434" s="18" t="n"/>
      <c r="AS434" s="18" t="n"/>
      <c r="AT434" s="18" t="n"/>
      <c r="AU434" s="18" t="n"/>
      <c r="AV434" s="18" t="n"/>
      <c r="AW434" s="18" t="n"/>
    </row>
    <row r="435" ht="16.4" customHeight="1" s="828">
      <c r="A435" s="18" t="n"/>
      <c r="B435" s="18" t="n"/>
      <c r="C435" s="18" t="n"/>
      <c r="D435" s="18" t="n"/>
      <c r="E435" s="1002" t="n"/>
      <c r="F435" s="18" t="n"/>
      <c r="G435" s="1002" t="n"/>
      <c r="H435" s="18" t="n"/>
      <c r="I435" s="1002" t="n"/>
      <c r="J435" s="18" t="n"/>
      <c r="K435" s="1002" t="n"/>
      <c r="L435" s="1002" t="n"/>
      <c r="M435" s="18" t="n"/>
      <c r="N435" s="153" t="n"/>
      <c r="O435" s="153" t="n"/>
      <c r="P435" s="153" t="n"/>
      <c r="Q435" s="18" t="n"/>
      <c r="R435" s="18" t="n"/>
      <c r="S435" s="18" t="n"/>
      <c r="T435" s="18" t="n"/>
      <c r="U435" s="18" t="n"/>
      <c r="V435" s="18" t="n"/>
      <c r="W435" s="18" t="n"/>
      <c r="X435" s="18" t="n"/>
      <c r="Y435" s="1002" t="n"/>
      <c r="Z435" s="18" t="n"/>
      <c r="AA435" s="1002" t="n"/>
      <c r="AB435" s="18" t="n"/>
      <c r="AC435" s="1002" t="n"/>
      <c r="AD435" s="18" t="n"/>
      <c r="AE435" s="1002" t="n"/>
      <c r="AF435" s="1016" t="n"/>
      <c r="AG435" s="153" t="n"/>
      <c r="AH435" s="153" t="n"/>
      <c r="AI435" s="18" t="n"/>
      <c r="AJ435" s="18" t="n"/>
      <c r="AK435" s="18" t="n"/>
      <c r="AL435" s="18" t="n"/>
      <c r="AM435" s="18" t="n"/>
      <c r="AN435" s="18" t="n"/>
      <c r="AO435" s="18" t="n"/>
      <c r="AP435" s="18" t="n"/>
      <c r="AQ435" s="18" t="n"/>
      <c r="AR435" s="18" t="n"/>
      <c r="AS435" s="18" t="n"/>
      <c r="AT435" s="18" t="n"/>
      <c r="AU435" s="18" t="n"/>
      <c r="AV435" s="18" t="n"/>
      <c r="AW435" s="18" t="n"/>
    </row>
    <row r="436" ht="16.4" customHeight="1" s="828">
      <c r="A436" s="18" t="n"/>
      <c r="B436" s="18" t="n"/>
      <c r="C436" s="18" t="n"/>
      <c r="D436" s="18" t="n"/>
      <c r="E436" s="1002" t="n"/>
      <c r="F436" s="18" t="n"/>
      <c r="G436" s="1002" t="n"/>
      <c r="H436" s="18" t="n"/>
      <c r="I436" s="1002" t="n"/>
      <c r="J436" s="18" t="n"/>
      <c r="K436" s="1002" t="n"/>
      <c r="L436" s="1002" t="n"/>
      <c r="M436" s="18" t="n"/>
      <c r="N436" s="153" t="n"/>
      <c r="O436" s="153" t="n"/>
      <c r="P436" s="153" t="n"/>
      <c r="Q436" s="18" t="n"/>
      <c r="R436" s="18" t="n"/>
      <c r="S436" s="18" t="n"/>
      <c r="T436" s="18" t="n"/>
      <c r="U436" s="18" t="n"/>
      <c r="V436" s="18" t="n"/>
      <c r="W436" s="18" t="n"/>
      <c r="X436" s="18" t="n"/>
      <c r="Y436" s="1002" t="n"/>
      <c r="Z436" s="18" t="n"/>
      <c r="AA436" s="1002" t="n"/>
      <c r="AB436" s="18" t="n"/>
      <c r="AC436" s="1002" t="n"/>
      <c r="AD436" s="18" t="n"/>
      <c r="AE436" s="1002" t="n"/>
      <c r="AF436" s="1016" t="n"/>
      <c r="AG436" s="153" t="n"/>
      <c r="AH436" s="153" t="n"/>
      <c r="AI436" s="18" t="n"/>
      <c r="AJ436" s="18" t="n"/>
      <c r="AK436" s="18" t="n"/>
      <c r="AL436" s="18" t="n"/>
      <c r="AM436" s="18" t="n"/>
      <c r="AN436" s="18" t="n"/>
      <c r="AO436" s="18" t="n"/>
      <c r="AP436" s="18" t="n"/>
      <c r="AQ436" s="18" t="n"/>
      <c r="AR436" s="18" t="n"/>
      <c r="AS436" s="18" t="n"/>
      <c r="AT436" s="18" t="n"/>
      <c r="AU436" s="18" t="n"/>
      <c r="AV436" s="18" t="n"/>
      <c r="AW436" s="18" t="n"/>
    </row>
    <row r="437" ht="16.4" customHeight="1" s="828">
      <c r="A437" s="18" t="n"/>
      <c r="B437" s="18" t="n"/>
      <c r="C437" s="18" t="n"/>
      <c r="D437" s="18" t="n"/>
      <c r="E437" s="1002" t="n"/>
      <c r="F437" s="18" t="n"/>
      <c r="G437" s="1002" t="n"/>
      <c r="H437" s="18" t="n"/>
      <c r="I437" s="1002" t="n"/>
      <c r="J437" s="18" t="n"/>
      <c r="K437" s="1002" t="n"/>
      <c r="L437" s="1002" t="n"/>
      <c r="M437" s="18" t="n"/>
      <c r="N437" s="153" t="n"/>
      <c r="O437" s="153" t="n"/>
      <c r="P437" s="153" t="n"/>
      <c r="Q437" s="18" t="n"/>
      <c r="R437" s="18" t="n"/>
      <c r="S437" s="18" t="n"/>
      <c r="T437" s="18" t="n"/>
      <c r="U437" s="18" t="n"/>
      <c r="V437" s="18" t="n"/>
      <c r="W437" s="18" t="n"/>
      <c r="X437" s="18" t="n"/>
      <c r="Y437" s="1002" t="n"/>
      <c r="Z437" s="18" t="n"/>
      <c r="AA437" s="1002" t="n"/>
      <c r="AB437" s="18" t="n"/>
      <c r="AC437" s="1002" t="n"/>
      <c r="AD437" s="18" t="n"/>
      <c r="AE437" s="1002" t="n"/>
      <c r="AF437" s="1016" t="n"/>
      <c r="AG437" s="153" t="n"/>
      <c r="AH437" s="153" t="n"/>
      <c r="AI437" s="18" t="n"/>
      <c r="AJ437" s="18" t="n"/>
      <c r="AK437" s="18" t="n"/>
      <c r="AL437" s="18" t="n"/>
      <c r="AM437" s="18" t="n"/>
      <c r="AN437" s="18" t="n"/>
      <c r="AO437" s="18" t="n"/>
      <c r="AP437" s="18" t="n"/>
      <c r="AQ437" s="18" t="n"/>
      <c r="AR437" s="18" t="n"/>
      <c r="AS437" s="18" t="n"/>
      <c r="AT437" s="18" t="n"/>
      <c r="AU437" s="18" t="n"/>
      <c r="AV437" s="18" t="n"/>
      <c r="AW437" s="18" t="n"/>
    </row>
    <row r="438" ht="16.4" customHeight="1" s="828">
      <c r="A438" s="18" t="n"/>
      <c r="B438" s="18" t="n"/>
      <c r="C438" s="18" t="n"/>
      <c r="D438" s="18" t="n"/>
      <c r="E438" s="1002" t="n"/>
      <c r="F438" s="18" t="n"/>
      <c r="G438" s="1002" t="n"/>
      <c r="H438" s="18" t="n"/>
      <c r="I438" s="1002" t="n"/>
      <c r="J438" s="18" t="n"/>
      <c r="K438" s="1002" t="n"/>
      <c r="L438" s="1002" t="n"/>
      <c r="M438" s="18" t="n"/>
      <c r="N438" s="153" t="n"/>
      <c r="O438" s="153" t="n"/>
      <c r="P438" s="153" t="n"/>
      <c r="Q438" s="18" t="n"/>
      <c r="R438" s="18" t="n"/>
      <c r="S438" s="18" t="n"/>
      <c r="T438" s="18" t="n"/>
      <c r="U438" s="18" t="n"/>
      <c r="V438" s="18" t="n"/>
      <c r="W438" s="18" t="n"/>
      <c r="X438" s="18" t="n"/>
      <c r="Y438" s="1002" t="n"/>
      <c r="Z438" s="18" t="n"/>
      <c r="AA438" s="1002" t="n"/>
      <c r="AB438" s="18" t="n"/>
      <c r="AC438" s="1002" t="n"/>
      <c r="AD438" s="18" t="n"/>
      <c r="AE438" s="1002" t="n"/>
      <c r="AF438" s="1016" t="n"/>
      <c r="AG438" s="153" t="n"/>
      <c r="AH438" s="153" t="n"/>
      <c r="AI438" s="18" t="n"/>
      <c r="AJ438" s="18" t="n"/>
      <c r="AK438" s="18" t="n"/>
      <c r="AL438" s="18" t="n"/>
      <c r="AM438" s="18" t="n"/>
      <c r="AN438" s="18" t="n"/>
      <c r="AO438" s="18" t="n"/>
      <c r="AP438" s="18" t="n"/>
      <c r="AQ438" s="18" t="n"/>
      <c r="AR438" s="18" t="n"/>
      <c r="AS438" s="18" t="n"/>
      <c r="AT438" s="18" t="n"/>
      <c r="AU438" s="18" t="n"/>
      <c r="AV438" s="18" t="n"/>
      <c r="AW438" s="18" t="n"/>
    </row>
    <row r="439" ht="16.4" customHeight="1" s="828">
      <c r="A439" s="18" t="n"/>
      <c r="B439" s="18" t="n"/>
      <c r="C439" s="18" t="n"/>
      <c r="D439" s="18" t="n"/>
      <c r="E439" s="1002" t="n"/>
      <c r="F439" s="18" t="n"/>
      <c r="G439" s="1002" t="n"/>
      <c r="H439" s="18" t="n"/>
      <c r="I439" s="1002" t="n"/>
      <c r="J439" s="18" t="n"/>
      <c r="K439" s="1002" t="n"/>
      <c r="L439" s="1002" t="n"/>
      <c r="M439" s="18" t="n"/>
      <c r="N439" s="153" t="n"/>
      <c r="O439" s="153" t="n"/>
      <c r="P439" s="153" t="n"/>
      <c r="Q439" s="18" t="n"/>
      <c r="R439" s="18" t="n"/>
      <c r="S439" s="18" t="n"/>
      <c r="T439" s="18" t="n"/>
      <c r="U439" s="18" t="n"/>
      <c r="V439" s="18" t="n"/>
      <c r="W439" s="18" t="n"/>
      <c r="X439" s="18" t="n"/>
      <c r="Y439" s="1002" t="n"/>
      <c r="Z439" s="18" t="n"/>
      <c r="AA439" s="1002" t="n"/>
      <c r="AB439" s="18" t="n"/>
      <c r="AC439" s="1002" t="n"/>
      <c r="AD439" s="18" t="n"/>
      <c r="AE439" s="1002" t="n"/>
      <c r="AF439" s="1016" t="n"/>
      <c r="AG439" s="153" t="n"/>
      <c r="AH439" s="153" t="n"/>
      <c r="AI439" s="18" t="n"/>
      <c r="AJ439" s="18" t="n"/>
      <c r="AK439" s="18" t="n"/>
      <c r="AL439" s="18" t="n"/>
      <c r="AM439" s="18" t="n"/>
      <c r="AN439" s="18" t="n"/>
      <c r="AO439" s="18" t="n"/>
      <c r="AP439" s="18" t="n"/>
      <c r="AQ439" s="18" t="n"/>
      <c r="AR439" s="18" t="n"/>
      <c r="AS439" s="18" t="n"/>
      <c r="AT439" s="18" t="n"/>
      <c r="AU439" s="18" t="n"/>
      <c r="AV439" s="18" t="n"/>
      <c r="AW439" s="18" t="n"/>
    </row>
    <row r="440" ht="16.4" customHeight="1" s="828">
      <c r="A440" s="18" t="n"/>
      <c r="B440" s="18" t="n"/>
      <c r="C440" s="18" t="n"/>
      <c r="D440" s="18" t="n"/>
      <c r="E440" s="1002" t="n"/>
      <c r="F440" s="18" t="n"/>
      <c r="G440" s="1002" t="n"/>
      <c r="H440" s="18" t="n"/>
      <c r="I440" s="1002" t="n"/>
      <c r="J440" s="18" t="n"/>
      <c r="K440" s="1002" t="n"/>
      <c r="L440" s="1002" t="n"/>
      <c r="M440" s="18" t="n"/>
      <c r="N440" s="153" t="n"/>
      <c r="O440" s="153" t="n"/>
      <c r="P440" s="153" t="n"/>
      <c r="Q440" s="18" t="n"/>
      <c r="R440" s="18" t="n"/>
      <c r="S440" s="18" t="n"/>
      <c r="T440" s="18" t="n"/>
      <c r="U440" s="18" t="n"/>
      <c r="V440" s="18" t="n"/>
      <c r="W440" s="18" t="n"/>
      <c r="X440" s="18" t="n"/>
      <c r="Y440" s="1002" t="n"/>
      <c r="Z440" s="18" t="n"/>
      <c r="AA440" s="1002" t="n"/>
      <c r="AB440" s="18" t="n"/>
      <c r="AC440" s="1002" t="n"/>
      <c r="AD440" s="18" t="n"/>
      <c r="AE440" s="1002" t="n"/>
      <c r="AF440" s="1016" t="n"/>
      <c r="AG440" s="153" t="n"/>
      <c r="AH440" s="153" t="n"/>
      <c r="AI440" s="18" t="n"/>
      <c r="AJ440" s="18" t="n"/>
      <c r="AK440" s="18" t="n"/>
      <c r="AL440" s="18" t="n"/>
      <c r="AM440" s="18" t="n"/>
      <c r="AN440" s="18" t="n"/>
      <c r="AO440" s="18" t="n"/>
      <c r="AP440" s="18" t="n"/>
      <c r="AQ440" s="18" t="n"/>
      <c r="AR440" s="18" t="n"/>
      <c r="AS440" s="18" t="n"/>
      <c r="AT440" s="18" t="n"/>
      <c r="AU440" s="18" t="n"/>
      <c r="AV440" s="18" t="n"/>
      <c r="AW440" s="18" t="n"/>
    </row>
    <row r="441" ht="16.4" customHeight="1" s="828">
      <c r="A441" s="18" t="n"/>
      <c r="B441" s="18" t="n"/>
      <c r="C441" s="18" t="n"/>
      <c r="D441" s="18" t="n"/>
      <c r="E441" s="1002" t="n"/>
      <c r="F441" s="18" t="n"/>
      <c r="G441" s="1002" t="n"/>
      <c r="H441" s="18" t="n"/>
      <c r="I441" s="1002" t="n"/>
      <c r="J441" s="18" t="n"/>
      <c r="K441" s="1002" t="n"/>
      <c r="L441" s="1002" t="n"/>
      <c r="M441" s="18" t="n"/>
      <c r="N441" s="153" t="n"/>
      <c r="O441" s="153" t="n"/>
      <c r="P441" s="153" t="n"/>
      <c r="Q441" s="18" t="n"/>
      <c r="R441" s="18" t="n"/>
      <c r="S441" s="18" t="n"/>
      <c r="T441" s="18" t="n"/>
      <c r="U441" s="18" t="n"/>
      <c r="V441" s="18" t="n"/>
      <c r="W441" s="18" t="n"/>
      <c r="X441" s="18" t="n"/>
      <c r="Y441" s="1002" t="n"/>
      <c r="Z441" s="18" t="n"/>
      <c r="AA441" s="1002" t="n"/>
      <c r="AB441" s="18" t="n"/>
      <c r="AC441" s="1002" t="n"/>
      <c r="AD441" s="18" t="n"/>
      <c r="AE441" s="1002" t="n"/>
      <c r="AF441" s="1016" t="n"/>
      <c r="AG441" s="153" t="n"/>
      <c r="AH441" s="153" t="n"/>
      <c r="AI441" s="18" t="n"/>
      <c r="AJ441" s="18" t="n"/>
      <c r="AK441" s="18" t="n"/>
      <c r="AL441" s="18" t="n"/>
      <c r="AM441" s="18" t="n"/>
      <c r="AN441" s="18" t="n"/>
      <c r="AO441" s="18" t="n"/>
      <c r="AP441" s="18" t="n"/>
      <c r="AQ441" s="18" t="n"/>
      <c r="AR441" s="18" t="n"/>
      <c r="AS441" s="18" t="n"/>
      <c r="AT441" s="18" t="n"/>
      <c r="AU441" s="18" t="n"/>
      <c r="AV441" s="18" t="n"/>
      <c r="AW441" s="18" t="n"/>
    </row>
    <row r="442" ht="16.4" customHeight="1" s="828">
      <c r="A442" s="18" t="n"/>
      <c r="B442" s="18" t="n"/>
      <c r="C442" s="18" t="n"/>
      <c r="D442" s="18" t="n"/>
      <c r="E442" s="1002" t="n"/>
      <c r="F442" s="18" t="n"/>
      <c r="G442" s="1002" t="n"/>
      <c r="H442" s="18" t="n"/>
      <c r="I442" s="1002" t="n"/>
      <c r="J442" s="18" t="n"/>
      <c r="K442" s="1002" t="n"/>
      <c r="L442" s="1002" t="n"/>
      <c r="M442" s="18" t="n"/>
      <c r="N442" s="153" t="n"/>
      <c r="O442" s="153" t="n"/>
      <c r="P442" s="153" t="n"/>
      <c r="Q442" s="18" t="n"/>
      <c r="R442" s="18" t="n"/>
      <c r="S442" s="18" t="n"/>
      <c r="T442" s="18" t="n"/>
      <c r="U442" s="18" t="n"/>
      <c r="V442" s="18" t="n"/>
      <c r="W442" s="18" t="n"/>
      <c r="X442" s="18" t="n"/>
      <c r="Y442" s="1002" t="n"/>
      <c r="Z442" s="18" t="n"/>
      <c r="AA442" s="1002" t="n"/>
      <c r="AB442" s="18" t="n"/>
      <c r="AC442" s="1002" t="n"/>
      <c r="AD442" s="18" t="n"/>
      <c r="AE442" s="1002" t="n"/>
      <c r="AF442" s="1016" t="n"/>
      <c r="AG442" s="153" t="n"/>
      <c r="AH442" s="153" t="n"/>
      <c r="AI442" s="18" t="n"/>
      <c r="AJ442" s="18" t="n"/>
      <c r="AK442" s="18" t="n"/>
      <c r="AL442" s="18" t="n"/>
      <c r="AM442" s="18" t="n"/>
      <c r="AN442" s="18" t="n"/>
      <c r="AO442" s="18" t="n"/>
      <c r="AP442" s="18" t="n"/>
      <c r="AQ442" s="18" t="n"/>
      <c r="AR442" s="18" t="n"/>
      <c r="AS442" s="18" t="n"/>
      <c r="AT442" s="18" t="n"/>
      <c r="AU442" s="18" t="n"/>
      <c r="AV442" s="18" t="n"/>
      <c r="AW442" s="18" t="n"/>
    </row>
    <row r="443" ht="16.4" customHeight="1" s="828">
      <c r="A443" s="18" t="n"/>
      <c r="B443" s="18" t="n"/>
      <c r="C443" s="18" t="n"/>
      <c r="D443" s="18" t="n"/>
      <c r="E443" s="1002" t="n"/>
      <c r="F443" s="18" t="n"/>
      <c r="G443" s="1002" t="n"/>
      <c r="H443" s="18" t="n"/>
      <c r="I443" s="1002" t="n"/>
      <c r="J443" s="18" t="n"/>
      <c r="K443" s="1002" t="n"/>
      <c r="L443" s="1002" t="n"/>
      <c r="M443" s="18" t="n"/>
      <c r="N443" s="153" t="n"/>
      <c r="O443" s="153" t="n"/>
      <c r="P443" s="153" t="n"/>
      <c r="Q443" s="18" t="n"/>
      <c r="R443" s="18" t="n"/>
      <c r="S443" s="18" t="n"/>
      <c r="T443" s="18" t="n"/>
      <c r="U443" s="18" t="n"/>
      <c r="V443" s="18" t="n"/>
      <c r="W443" s="18" t="n"/>
      <c r="X443" s="18" t="n"/>
      <c r="Y443" s="1002" t="n"/>
      <c r="Z443" s="18" t="n"/>
      <c r="AA443" s="1002" t="n"/>
      <c r="AB443" s="18" t="n"/>
      <c r="AC443" s="1002" t="n"/>
      <c r="AD443" s="18" t="n"/>
      <c r="AE443" s="1002" t="n"/>
      <c r="AF443" s="1016" t="n"/>
      <c r="AG443" s="153" t="n"/>
      <c r="AH443" s="153" t="n"/>
      <c r="AI443" s="18" t="n"/>
      <c r="AJ443" s="18" t="n"/>
      <c r="AK443" s="18" t="n"/>
      <c r="AL443" s="18" t="n"/>
      <c r="AM443" s="18" t="n"/>
      <c r="AN443" s="18" t="n"/>
      <c r="AO443" s="18" t="n"/>
      <c r="AP443" s="18" t="n"/>
      <c r="AQ443" s="18" t="n"/>
      <c r="AR443" s="18" t="n"/>
      <c r="AS443" s="18" t="n"/>
      <c r="AT443" s="18" t="n"/>
      <c r="AU443" s="18" t="n"/>
      <c r="AV443" s="18" t="n"/>
      <c r="AW443" s="18" t="n"/>
    </row>
    <row r="444" ht="16.4" customHeight="1" s="828">
      <c r="A444" s="18" t="n"/>
      <c r="B444" s="18" t="n"/>
      <c r="C444" s="18" t="n"/>
      <c r="D444" s="18" t="n"/>
      <c r="E444" s="1002" t="n"/>
      <c r="F444" s="18" t="n"/>
      <c r="G444" s="1002" t="n"/>
      <c r="H444" s="18" t="n"/>
      <c r="I444" s="1002" t="n"/>
      <c r="J444" s="18" t="n"/>
      <c r="K444" s="1002" t="n"/>
      <c r="L444" s="1002" t="n"/>
      <c r="M444" s="18" t="n"/>
      <c r="N444" s="153" t="n"/>
      <c r="O444" s="153" t="n"/>
      <c r="P444" s="153" t="n"/>
      <c r="Q444" s="18" t="n"/>
      <c r="R444" s="18" t="n"/>
      <c r="S444" s="18" t="n"/>
      <c r="T444" s="18" t="n"/>
      <c r="U444" s="18" t="n"/>
      <c r="V444" s="18" t="n"/>
      <c r="W444" s="18" t="n"/>
      <c r="X444" s="18" t="n"/>
      <c r="Y444" s="1002" t="n"/>
      <c r="Z444" s="18" t="n"/>
      <c r="AA444" s="1002" t="n"/>
      <c r="AB444" s="18" t="n"/>
      <c r="AC444" s="1002" t="n"/>
      <c r="AD444" s="18" t="n"/>
      <c r="AE444" s="1002" t="n"/>
      <c r="AF444" s="1016" t="n"/>
      <c r="AG444" s="153" t="n"/>
      <c r="AH444" s="153" t="n"/>
      <c r="AI444" s="18" t="n"/>
      <c r="AJ444" s="18" t="n"/>
      <c r="AK444" s="18" t="n"/>
      <c r="AL444" s="18" t="n"/>
      <c r="AM444" s="18" t="n"/>
      <c r="AN444" s="18" t="n"/>
      <c r="AO444" s="18" t="n"/>
      <c r="AP444" s="18" t="n"/>
      <c r="AQ444" s="18" t="n"/>
      <c r="AR444" s="18" t="n"/>
      <c r="AS444" s="18" t="n"/>
      <c r="AT444" s="18" t="n"/>
      <c r="AU444" s="18" t="n"/>
      <c r="AV444" s="18" t="n"/>
      <c r="AW444" s="18" t="n"/>
    </row>
    <row r="445" ht="16.4" customHeight="1" s="828">
      <c r="A445" s="18" t="n"/>
      <c r="B445" s="18" t="n"/>
      <c r="C445" s="18" t="n"/>
      <c r="D445" s="18" t="n"/>
      <c r="E445" s="1002" t="n"/>
      <c r="F445" s="18" t="n"/>
      <c r="G445" s="1002" t="n"/>
      <c r="H445" s="18" t="n"/>
      <c r="I445" s="1002" t="n"/>
      <c r="J445" s="18" t="n"/>
      <c r="K445" s="1002" t="n"/>
      <c r="L445" s="1002" t="n"/>
      <c r="M445" s="18" t="n"/>
      <c r="N445" s="153" t="n"/>
      <c r="O445" s="153" t="n"/>
      <c r="P445" s="153" t="n"/>
      <c r="Q445" s="18" t="n"/>
      <c r="R445" s="18" t="n"/>
      <c r="S445" s="18" t="n"/>
      <c r="T445" s="18" t="n"/>
      <c r="U445" s="18" t="n"/>
      <c r="V445" s="18" t="n"/>
      <c r="W445" s="18" t="n"/>
      <c r="X445" s="18" t="n"/>
      <c r="Y445" s="1002" t="n"/>
      <c r="Z445" s="18" t="n"/>
      <c r="AA445" s="1002" t="n"/>
      <c r="AB445" s="18" t="n"/>
      <c r="AC445" s="1002" t="n"/>
      <c r="AD445" s="18" t="n"/>
      <c r="AE445" s="1002" t="n"/>
      <c r="AF445" s="1016" t="n"/>
      <c r="AG445" s="153" t="n"/>
      <c r="AH445" s="153" t="n"/>
      <c r="AI445" s="18" t="n"/>
      <c r="AJ445" s="18" t="n"/>
      <c r="AK445" s="18" t="n"/>
      <c r="AL445" s="18" t="n"/>
      <c r="AM445" s="18" t="n"/>
      <c r="AN445" s="18" t="n"/>
      <c r="AO445" s="18" t="n"/>
      <c r="AP445" s="18" t="n"/>
      <c r="AQ445" s="18" t="n"/>
      <c r="AR445" s="18" t="n"/>
      <c r="AS445" s="18" t="n"/>
      <c r="AT445" s="18" t="n"/>
      <c r="AU445" s="18" t="n"/>
      <c r="AV445" s="18" t="n"/>
      <c r="AW445" s="18" t="n"/>
    </row>
    <row r="446" ht="16.4" customHeight="1" s="828">
      <c r="A446" s="18" t="n"/>
      <c r="B446" s="18" t="n"/>
      <c r="C446" s="18" t="n"/>
      <c r="D446" s="18" t="n"/>
      <c r="E446" s="1002" t="n"/>
      <c r="F446" s="18" t="n"/>
      <c r="G446" s="1002" t="n"/>
      <c r="H446" s="18" t="n"/>
      <c r="I446" s="1002" t="n"/>
      <c r="J446" s="18" t="n"/>
      <c r="K446" s="1002" t="n"/>
      <c r="L446" s="1002" t="n"/>
      <c r="M446" s="18" t="n"/>
      <c r="N446" s="153" t="n"/>
      <c r="O446" s="153" t="n"/>
      <c r="P446" s="153" t="n"/>
      <c r="Q446" s="18" t="n"/>
      <c r="R446" s="18" t="n"/>
      <c r="S446" s="18" t="n"/>
      <c r="T446" s="18" t="n"/>
      <c r="U446" s="18" t="n"/>
      <c r="V446" s="18" t="n"/>
      <c r="W446" s="18" t="n"/>
      <c r="X446" s="18" t="n"/>
      <c r="Y446" s="1002" t="n"/>
      <c r="Z446" s="18" t="n"/>
      <c r="AA446" s="1002" t="n"/>
      <c r="AB446" s="18" t="n"/>
      <c r="AC446" s="1002" t="n"/>
      <c r="AD446" s="18" t="n"/>
      <c r="AE446" s="1002" t="n"/>
      <c r="AF446" s="1016" t="n"/>
      <c r="AG446" s="153" t="n"/>
      <c r="AH446" s="153" t="n"/>
      <c r="AI446" s="18" t="n"/>
      <c r="AJ446" s="18" t="n"/>
      <c r="AK446" s="18" t="n"/>
      <c r="AL446" s="18" t="n"/>
      <c r="AM446" s="18" t="n"/>
      <c r="AN446" s="18" t="n"/>
      <c r="AO446" s="18" t="n"/>
      <c r="AP446" s="18" t="n"/>
      <c r="AQ446" s="18" t="n"/>
      <c r="AR446" s="18" t="n"/>
      <c r="AS446" s="18" t="n"/>
      <c r="AT446" s="18" t="n"/>
      <c r="AU446" s="18" t="n"/>
      <c r="AV446" s="18" t="n"/>
      <c r="AW446" s="18" t="n"/>
    </row>
    <row r="447" ht="16.4" customHeight="1" s="828">
      <c r="A447" s="18" t="n"/>
      <c r="B447" s="18" t="n"/>
      <c r="C447" s="18" t="n"/>
      <c r="D447" s="18" t="n"/>
      <c r="E447" s="1002" t="n"/>
      <c r="F447" s="18" t="n"/>
      <c r="G447" s="1002" t="n"/>
      <c r="H447" s="18" t="n"/>
      <c r="I447" s="1002" t="n"/>
      <c r="J447" s="18" t="n"/>
      <c r="K447" s="1002" t="n"/>
      <c r="L447" s="1002" t="n"/>
      <c r="M447" s="18" t="n"/>
      <c r="N447" s="153" t="n"/>
      <c r="O447" s="153" t="n"/>
      <c r="P447" s="153" t="n"/>
      <c r="Q447" s="18" t="n"/>
      <c r="R447" s="18" t="n"/>
      <c r="S447" s="18" t="n"/>
      <c r="T447" s="18" t="n"/>
      <c r="U447" s="18" t="n"/>
      <c r="V447" s="18" t="n"/>
      <c r="W447" s="18" t="n"/>
      <c r="X447" s="18" t="n"/>
      <c r="Y447" s="1002" t="n"/>
      <c r="Z447" s="18" t="n"/>
      <c r="AA447" s="1002" t="n"/>
      <c r="AB447" s="18" t="n"/>
      <c r="AC447" s="1002" t="n"/>
      <c r="AD447" s="18" t="n"/>
      <c r="AE447" s="1002" t="n"/>
      <c r="AF447" s="1016" t="n"/>
      <c r="AG447" s="153" t="n"/>
      <c r="AH447" s="153" t="n"/>
      <c r="AI447" s="18" t="n"/>
      <c r="AJ447" s="18" t="n"/>
      <c r="AK447" s="18" t="n"/>
      <c r="AL447" s="18" t="n"/>
      <c r="AM447" s="18" t="n"/>
      <c r="AN447" s="18" t="n"/>
      <c r="AO447" s="18" t="n"/>
      <c r="AP447" s="18" t="n"/>
      <c r="AQ447" s="18" t="n"/>
      <c r="AR447" s="18" t="n"/>
      <c r="AS447" s="18" t="n"/>
      <c r="AT447" s="18" t="n"/>
      <c r="AU447" s="18" t="n"/>
      <c r="AV447" s="18" t="n"/>
      <c r="AW447" s="18" t="n"/>
    </row>
    <row r="448" ht="16.4" customHeight="1" s="828">
      <c r="A448" s="18" t="n"/>
      <c r="B448" s="18" t="n"/>
      <c r="C448" s="18" t="n"/>
      <c r="D448" s="18" t="n"/>
      <c r="E448" s="1002" t="n"/>
      <c r="F448" s="18" t="n"/>
      <c r="G448" s="1002" t="n"/>
      <c r="H448" s="18" t="n"/>
      <c r="I448" s="1002" t="n"/>
      <c r="J448" s="18" t="n"/>
      <c r="K448" s="1002" t="n"/>
      <c r="L448" s="1002" t="n"/>
      <c r="M448" s="18" t="n"/>
      <c r="N448" s="153" t="n"/>
      <c r="O448" s="153" t="n"/>
      <c r="P448" s="153" t="n"/>
      <c r="Q448" s="18" t="n"/>
      <c r="R448" s="18" t="n"/>
      <c r="S448" s="18" t="n"/>
      <c r="T448" s="18" t="n"/>
      <c r="U448" s="18" t="n"/>
      <c r="V448" s="18" t="n"/>
      <c r="W448" s="18" t="n"/>
      <c r="X448" s="18" t="n"/>
      <c r="Y448" s="1002" t="n"/>
      <c r="Z448" s="18" t="n"/>
      <c r="AA448" s="1002" t="n"/>
      <c r="AB448" s="18" t="n"/>
      <c r="AC448" s="1002" t="n"/>
      <c r="AD448" s="18" t="n"/>
      <c r="AE448" s="1002" t="n"/>
      <c r="AF448" s="1016" t="n"/>
      <c r="AG448" s="153" t="n"/>
      <c r="AH448" s="153" t="n"/>
      <c r="AI448" s="18" t="n"/>
      <c r="AJ448" s="18" t="n"/>
      <c r="AK448" s="18" t="n"/>
      <c r="AL448" s="18" t="n"/>
      <c r="AM448" s="18" t="n"/>
      <c r="AN448" s="18" t="n"/>
      <c r="AO448" s="18" t="n"/>
      <c r="AP448" s="18" t="n"/>
      <c r="AQ448" s="18" t="n"/>
      <c r="AR448" s="18" t="n"/>
      <c r="AS448" s="18" t="n"/>
      <c r="AT448" s="18" t="n"/>
      <c r="AU448" s="18" t="n"/>
      <c r="AV448" s="18" t="n"/>
      <c r="AW448" s="18" t="n"/>
    </row>
    <row r="449" ht="16.4" customHeight="1" s="828">
      <c r="A449" s="18" t="n"/>
      <c r="B449" s="18" t="n"/>
      <c r="C449" s="18" t="n"/>
      <c r="D449" s="18" t="n"/>
      <c r="E449" s="1002" t="n"/>
      <c r="F449" s="18" t="n"/>
      <c r="G449" s="1002" t="n"/>
      <c r="H449" s="18" t="n"/>
      <c r="I449" s="1002" t="n"/>
      <c r="J449" s="18" t="n"/>
      <c r="K449" s="1002" t="n"/>
      <c r="L449" s="1002" t="n"/>
      <c r="M449" s="18" t="n"/>
      <c r="N449" s="153" t="n"/>
      <c r="O449" s="153" t="n"/>
      <c r="P449" s="153" t="n"/>
      <c r="Q449" s="18" t="n"/>
      <c r="R449" s="18" t="n"/>
      <c r="S449" s="18" t="n"/>
      <c r="T449" s="18" t="n"/>
      <c r="U449" s="18" t="n"/>
      <c r="V449" s="18" t="n"/>
      <c r="W449" s="18" t="n"/>
      <c r="X449" s="18" t="n"/>
      <c r="Y449" s="1002" t="n"/>
      <c r="Z449" s="18" t="n"/>
      <c r="AA449" s="1002" t="n"/>
      <c r="AB449" s="18" t="n"/>
      <c r="AC449" s="1002" t="n"/>
      <c r="AD449" s="18" t="n"/>
      <c r="AE449" s="1002" t="n"/>
      <c r="AF449" s="1016" t="n"/>
      <c r="AG449" s="153" t="n"/>
      <c r="AH449" s="153" t="n"/>
      <c r="AI449" s="18" t="n"/>
      <c r="AJ449" s="18" t="n"/>
      <c r="AK449" s="18" t="n"/>
      <c r="AL449" s="18" t="n"/>
      <c r="AM449" s="18" t="n"/>
      <c r="AN449" s="18" t="n"/>
      <c r="AO449" s="18" t="n"/>
      <c r="AP449" s="18" t="n"/>
      <c r="AQ449" s="18" t="n"/>
      <c r="AR449" s="18" t="n"/>
      <c r="AS449" s="18" t="n"/>
      <c r="AT449" s="18" t="n"/>
      <c r="AU449" s="18" t="n"/>
      <c r="AV449" s="18" t="n"/>
      <c r="AW449" s="18" t="n"/>
    </row>
    <row r="450" ht="16.4" customHeight="1" s="828">
      <c r="A450" s="18" t="n"/>
      <c r="B450" s="18" t="n"/>
      <c r="C450" s="18" t="n"/>
      <c r="D450" s="18" t="n"/>
      <c r="E450" s="1002" t="n"/>
      <c r="F450" s="18" t="n"/>
      <c r="G450" s="1002" t="n"/>
      <c r="H450" s="18" t="n"/>
      <c r="I450" s="1002" t="n"/>
      <c r="J450" s="18" t="n"/>
      <c r="K450" s="1002" t="n"/>
      <c r="L450" s="1002" t="n"/>
      <c r="M450" s="18" t="n"/>
      <c r="N450" s="153" t="n"/>
      <c r="O450" s="153" t="n"/>
      <c r="P450" s="153" t="n"/>
      <c r="Q450" s="18" t="n"/>
      <c r="R450" s="18" t="n"/>
      <c r="S450" s="18" t="n"/>
      <c r="T450" s="18" t="n"/>
      <c r="U450" s="18" t="n"/>
      <c r="V450" s="18" t="n"/>
      <c r="W450" s="18" t="n"/>
      <c r="X450" s="18" t="n"/>
      <c r="Y450" s="1002" t="n"/>
      <c r="Z450" s="18" t="n"/>
      <c r="AA450" s="1002" t="n"/>
      <c r="AB450" s="18" t="n"/>
      <c r="AC450" s="1002" t="n"/>
      <c r="AD450" s="18" t="n"/>
      <c r="AE450" s="1002" t="n"/>
      <c r="AF450" s="1016" t="n"/>
      <c r="AG450" s="153" t="n"/>
      <c r="AH450" s="153" t="n"/>
      <c r="AI450" s="18" t="n"/>
      <c r="AJ450" s="18" t="n"/>
      <c r="AK450" s="18" t="n"/>
      <c r="AL450" s="18" t="n"/>
      <c r="AM450" s="18" t="n"/>
      <c r="AN450" s="18" t="n"/>
      <c r="AO450" s="18" t="n"/>
      <c r="AP450" s="18" t="n"/>
      <c r="AQ450" s="18" t="n"/>
      <c r="AR450" s="18" t="n"/>
      <c r="AS450" s="18" t="n"/>
      <c r="AT450" s="18" t="n"/>
      <c r="AU450" s="18" t="n"/>
      <c r="AV450" s="18" t="n"/>
      <c r="AW450" s="18" t="n"/>
    </row>
    <row r="451" ht="16.4" customHeight="1" s="828">
      <c r="A451" s="18" t="n"/>
      <c r="B451" s="18" t="n"/>
      <c r="C451" s="18" t="n"/>
      <c r="D451" s="18" t="n"/>
      <c r="E451" s="1002" t="n"/>
      <c r="F451" s="18" t="n"/>
      <c r="G451" s="1002" t="n"/>
      <c r="H451" s="18" t="n"/>
      <c r="I451" s="1002" t="n"/>
      <c r="J451" s="18" t="n"/>
      <c r="K451" s="1002" t="n"/>
      <c r="L451" s="1002" t="n"/>
      <c r="M451" s="18" t="n"/>
      <c r="N451" s="153" t="n"/>
      <c r="O451" s="153" t="n"/>
      <c r="P451" s="153" t="n"/>
      <c r="Q451" s="18" t="n"/>
      <c r="R451" s="18" t="n"/>
      <c r="S451" s="18" t="n"/>
      <c r="T451" s="18" t="n"/>
      <c r="U451" s="18" t="n"/>
      <c r="V451" s="18" t="n"/>
      <c r="W451" s="18" t="n"/>
      <c r="X451" s="18" t="n"/>
      <c r="Y451" s="1002" t="n"/>
      <c r="Z451" s="18" t="n"/>
      <c r="AA451" s="1002" t="n"/>
      <c r="AB451" s="18" t="n"/>
      <c r="AC451" s="1002" t="n"/>
      <c r="AD451" s="18" t="n"/>
      <c r="AE451" s="1002" t="n"/>
      <c r="AF451" s="1016" t="n"/>
      <c r="AG451" s="153" t="n"/>
      <c r="AH451" s="153" t="n"/>
      <c r="AI451" s="18" t="n"/>
      <c r="AJ451" s="18" t="n"/>
      <c r="AK451" s="18" t="n"/>
      <c r="AL451" s="18" t="n"/>
      <c r="AM451" s="18" t="n"/>
      <c r="AN451" s="18" t="n"/>
      <c r="AO451" s="18" t="n"/>
      <c r="AP451" s="18" t="n"/>
      <c r="AQ451" s="18" t="n"/>
      <c r="AR451" s="18" t="n"/>
      <c r="AS451" s="18" t="n"/>
      <c r="AT451" s="18" t="n"/>
      <c r="AU451" s="18" t="n"/>
      <c r="AV451" s="18" t="n"/>
      <c r="AW451" s="18" t="n"/>
    </row>
    <row r="452" ht="16.4" customHeight="1" s="828">
      <c r="A452" s="18" t="n"/>
      <c r="B452" s="18" t="n"/>
      <c r="C452" s="18" t="n"/>
      <c r="D452" s="18" t="n"/>
      <c r="E452" s="1002" t="n"/>
      <c r="F452" s="18" t="n"/>
      <c r="G452" s="1002" t="n"/>
      <c r="H452" s="18" t="n"/>
      <c r="I452" s="1002" t="n"/>
      <c r="J452" s="18" t="n"/>
      <c r="K452" s="1002" t="n"/>
      <c r="L452" s="1002" t="n"/>
      <c r="M452" s="18" t="n"/>
      <c r="N452" s="153" t="n"/>
      <c r="O452" s="153" t="n"/>
      <c r="P452" s="153" t="n"/>
      <c r="Q452" s="18" t="n"/>
      <c r="R452" s="18" t="n"/>
      <c r="S452" s="18" t="n"/>
      <c r="T452" s="18" t="n"/>
      <c r="U452" s="18" t="n"/>
      <c r="V452" s="18" t="n"/>
      <c r="W452" s="18" t="n"/>
      <c r="X452" s="18" t="n"/>
      <c r="Y452" s="1002" t="n"/>
      <c r="Z452" s="18" t="n"/>
      <c r="AA452" s="1002" t="n"/>
      <c r="AB452" s="18" t="n"/>
      <c r="AC452" s="1002" t="n"/>
      <c r="AD452" s="18" t="n"/>
      <c r="AE452" s="1002" t="n"/>
      <c r="AF452" s="1016" t="n"/>
      <c r="AG452" s="153" t="n"/>
      <c r="AH452" s="153" t="n"/>
      <c r="AI452" s="18" t="n"/>
      <c r="AJ452" s="18" t="n"/>
      <c r="AK452" s="18" t="n"/>
      <c r="AL452" s="18" t="n"/>
      <c r="AM452" s="18" t="n"/>
      <c r="AN452" s="18" t="n"/>
      <c r="AO452" s="18" t="n"/>
      <c r="AP452" s="18" t="n"/>
      <c r="AQ452" s="18" t="n"/>
      <c r="AR452" s="18" t="n"/>
      <c r="AS452" s="18" t="n"/>
      <c r="AT452" s="18" t="n"/>
      <c r="AU452" s="18" t="n"/>
      <c r="AV452" s="18" t="n"/>
      <c r="AW452" s="18" t="n"/>
    </row>
    <row r="453" ht="16.4" customHeight="1" s="828">
      <c r="A453" s="18" t="n"/>
      <c r="B453" s="18" t="n"/>
      <c r="C453" s="18" t="n"/>
      <c r="D453" s="18" t="n"/>
      <c r="E453" s="1002" t="n"/>
      <c r="F453" s="18" t="n"/>
      <c r="G453" s="1002" t="n"/>
      <c r="H453" s="18" t="n"/>
      <c r="I453" s="1002" t="n"/>
      <c r="J453" s="18" t="n"/>
      <c r="K453" s="1002" t="n"/>
      <c r="L453" s="1002" t="n"/>
      <c r="M453" s="18" t="n"/>
      <c r="N453" s="153" t="n"/>
      <c r="O453" s="153" t="n"/>
      <c r="P453" s="153" t="n"/>
      <c r="Q453" s="18" t="n"/>
      <c r="R453" s="18" t="n"/>
      <c r="S453" s="18" t="n"/>
      <c r="T453" s="18" t="n"/>
      <c r="U453" s="18" t="n"/>
      <c r="V453" s="18" t="n"/>
      <c r="W453" s="18" t="n"/>
      <c r="X453" s="18" t="n"/>
      <c r="Y453" s="1002" t="n"/>
      <c r="Z453" s="18" t="n"/>
      <c r="AA453" s="1002" t="n"/>
      <c r="AB453" s="18" t="n"/>
      <c r="AC453" s="1002" t="n"/>
      <c r="AD453" s="18" t="n"/>
      <c r="AE453" s="1002" t="n"/>
      <c r="AF453" s="1016" t="n"/>
      <c r="AG453" s="153" t="n"/>
      <c r="AH453" s="153" t="n"/>
      <c r="AI453" s="18" t="n"/>
      <c r="AJ453" s="18" t="n"/>
      <c r="AK453" s="18" t="n"/>
      <c r="AL453" s="18" t="n"/>
      <c r="AM453" s="18" t="n"/>
      <c r="AN453" s="18" t="n"/>
      <c r="AO453" s="18" t="n"/>
      <c r="AP453" s="18" t="n"/>
      <c r="AQ453" s="18" t="n"/>
      <c r="AR453" s="18" t="n"/>
      <c r="AS453" s="18" t="n"/>
      <c r="AT453" s="18" t="n"/>
      <c r="AU453" s="18" t="n"/>
      <c r="AV453" s="18" t="n"/>
      <c r="AW453" s="18" t="n"/>
    </row>
    <row r="454" ht="16.4" customHeight="1" s="828">
      <c r="A454" s="18" t="n"/>
      <c r="B454" s="18" t="n"/>
      <c r="C454" s="18" t="n"/>
      <c r="D454" s="18" t="n"/>
      <c r="E454" s="1002" t="n"/>
      <c r="F454" s="18" t="n"/>
      <c r="G454" s="1002" t="n"/>
      <c r="H454" s="18" t="n"/>
      <c r="I454" s="1002" t="n"/>
      <c r="J454" s="18" t="n"/>
      <c r="K454" s="1002" t="n"/>
      <c r="L454" s="1002" t="n"/>
      <c r="M454" s="18" t="n"/>
      <c r="N454" s="153" t="n"/>
      <c r="O454" s="153" t="n"/>
      <c r="P454" s="153" t="n"/>
      <c r="Q454" s="18" t="n"/>
      <c r="R454" s="18" t="n"/>
      <c r="S454" s="18" t="n"/>
      <c r="T454" s="18" t="n"/>
      <c r="U454" s="18" t="n"/>
      <c r="V454" s="18" t="n"/>
      <c r="W454" s="18" t="n"/>
      <c r="X454" s="18" t="n"/>
      <c r="Y454" s="1002" t="n"/>
      <c r="Z454" s="18" t="n"/>
      <c r="AA454" s="1002" t="n"/>
      <c r="AB454" s="18" t="n"/>
      <c r="AC454" s="1002" t="n"/>
      <c r="AD454" s="18" t="n"/>
      <c r="AE454" s="1002" t="n"/>
      <c r="AF454" s="1016" t="n"/>
      <c r="AG454" s="153" t="n"/>
      <c r="AH454" s="153" t="n"/>
      <c r="AI454" s="18" t="n"/>
      <c r="AJ454" s="18" t="n"/>
      <c r="AK454" s="18" t="n"/>
      <c r="AL454" s="18" t="n"/>
      <c r="AM454" s="18" t="n"/>
      <c r="AN454" s="18" t="n"/>
      <c r="AO454" s="18" t="n"/>
      <c r="AP454" s="18" t="n"/>
      <c r="AQ454" s="18" t="n"/>
      <c r="AR454" s="18" t="n"/>
      <c r="AS454" s="18" t="n"/>
      <c r="AT454" s="18" t="n"/>
      <c r="AU454" s="18" t="n"/>
      <c r="AV454" s="18" t="n"/>
      <c r="AW454" s="18" t="n"/>
    </row>
    <row r="455" ht="16.4" customHeight="1" s="828">
      <c r="A455" s="18" t="n"/>
      <c r="B455" s="18" t="n"/>
      <c r="C455" s="18" t="n"/>
      <c r="D455" s="18" t="n"/>
      <c r="E455" s="1002" t="n"/>
      <c r="F455" s="18" t="n"/>
      <c r="G455" s="1002" t="n"/>
      <c r="H455" s="18" t="n"/>
      <c r="I455" s="1002" t="n"/>
      <c r="J455" s="18" t="n"/>
      <c r="K455" s="1002" t="n"/>
      <c r="L455" s="1002" t="n"/>
      <c r="M455" s="18" t="n"/>
      <c r="N455" s="153" t="n"/>
      <c r="O455" s="153" t="n"/>
      <c r="P455" s="153" t="n"/>
      <c r="Q455" s="18" t="n"/>
      <c r="R455" s="18" t="n"/>
      <c r="S455" s="18" t="n"/>
      <c r="T455" s="18" t="n"/>
      <c r="U455" s="18" t="n"/>
      <c r="V455" s="18" t="n"/>
      <c r="W455" s="18" t="n"/>
      <c r="X455" s="18" t="n"/>
      <c r="Y455" s="1002" t="n"/>
      <c r="Z455" s="18" t="n"/>
      <c r="AA455" s="1002" t="n"/>
      <c r="AB455" s="18" t="n"/>
      <c r="AC455" s="1002" t="n"/>
      <c r="AD455" s="18" t="n"/>
      <c r="AE455" s="1002" t="n"/>
      <c r="AF455" s="1016" t="n"/>
      <c r="AG455" s="153" t="n"/>
      <c r="AH455" s="153" t="n"/>
      <c r="AI455" s="18" t="n"/>
      <c r="AJ455" s="18" t="n"/>
      <c r="AK455" s="18" t="n"/>
      <c r="AL455" s="18" t="n"/>
      <c r="AM455" s="18" t="n"/>
      <c r="AN455" s="18" t="n"/>
      <c r="AO455" s="18" t="n"/>
      <c r="AP455" s="18" t="n"/>
      <c r="AQ455" s="18" t="n"/>
      <c r="AR455" s="18" t="n"/>
      <c r="AS455" s="18" t="n"/>
      <c r="AT455" s="18" t="n"/>
      <c r="AU455" s="18" t="n"/>
      <c r="AV455" s="18" t="n"/>
      <c r="AW455" s="18" t="n"/>
    </row>
    <row r="456" ht="16.4" customHeight="1" s="828">
      <c r="A456" s="18" t="n"/>
      <c r="B456" s="18" t="n"/>
      <c r="C456" s="18" t="n"/>
      <c r="D456" s="18" t="n"/>
      <c r="E456" s="1002" t="n"/>
      <c r="F456" s="18" t="n"/>
      <c r="G456" s="1002" t="n"/>
      <c r="H456" s="18" t="n"/>
      <c r="I456" s="1002" t="n"/>
      <c r="J456" s="18" t="n"/>
      <c r="K456" s="1002" t="n"/>
      <c r="L456" s="1002" t="n"/>
      <c r="M456" s="18" t="n"/>
      <c r="N456" s="153" t="n"/>
      <c r="O456" s="153" t="n"/>
      <c r="P456" s="153" t="n"/>
      <c r="Q456" s="18" t="n"/>
      <c r="R456" s="18" t="n"/>
      <c r="S456" s="18" t="n"/>
      <c r="T456" s="18" t="n"/>
      <c r="U456" s="18" t="n"/>
      <c r="V456" s="18" t="n"/>
      <c r="W456" s="18" t="n"/>
      <c r="X456" s="18" t="n"/>
      <c r="Y456" s="1002" t="n"/>
      <c r="Z456" s="18" t="n"/>
      <c r="AA456" s="1002" t="n"/>
      <c r="AB456" s="18" t="n"/>
      <c r="AC456" s="1002" t="n"/>
      <c r="AD456" s="18" t="n"/>
      <c r="AE456" s="1002" t="n"/>
      <c r="AF456" s="1016" t="n"/>
      <c r="AG456" s="153" t="n"/>
      <c r="AH456" s="153" t="n"/>
      <c r="AI456" s="18" t="n"/>
      <c r="AJ456" s="18" t="n"/>
      <c r="AK456" s="18" t="n"/>
      <c r="AL456" s="18" t="n"/>
      <c r="AM456" s="18" t="n"/>
      <c r="AN456" s="18" t="n"/>
      <c r="AO456" s="18" t="n"/>
      <c r="AP456" s="18" t="n"/>
      <c r="AQ456" s="18" t="n"/>
      <c r="AR456" s="18" t="n"/>
      <c r="AS456" s="18" t="n"/>
      <c r="AT456" s="18" t="n"/>
      <c r="AU456" s="18" t="n"/>
      <c r="AV456" s="18" t="n"/>
      <c r="AW456" s="18" t="n"/>
    </row>
    <row r="457" ht="16.4" customHeight="1" s="828">
      <c r="A457" s="18" t="n"/>
      <c r="B457" s="18" t="n"/>
      <c r="C457" s="18" t="n"/>
      <c r="D457" s="18" t="n"/>
      <c r="E457" s="1002" t="n"/>
      <c r="F457" s="18" t="n"/>
      <c r="G457" s="1002" t="n"/>
      <c r="H457" s="18" t="n"/>
      <c r="I457" s="1002" t="n"/>
      <c r="J457" s="18" t="n"/>
      <c r="K457" s="1002" t="n"/>
      <c r="L457" s="1002" t="n"/>
      <c r="M457" s="18" t="n"/>
      <c r="N457" s="153" t="n"/>
      <c r="O457" s="153" t="n"/>
      <c r="P457" s="153" t="n"/>
      <c r="Q457" s="18" t="n"/>
      <c r="R457" s="18" t="n"/>
      <c r="S457" s="18" t="n"/>
      <c r="T457" s="18" t="n"/>
      <c r="U457" s="18" t="n"/>
      <c r="V457" s="18" t="n"/>
      <c r="W457" s="18" t="n"/>
      <c r="X457" s="18" t="n"/>
      <c r="Y457" s="1002" t="n"/>
      <c r="Z457" s="18" t="n"/>
      <c r="AA457" s="1002" t="n"/>
      <c r="AB457" s="18" t="n"/>
      <c r="AC457" s="1002" t="n"/>
      <c r="AD457" s="18" t="n"/>
      <c r="AE457" s="1002" t="n"/>
      <c r="AF457" s="1016" t="n"/>
      <c r="AG457" s="153" t="n"/>
      <c r="AH457" s="153" t="n"/>
      <c r="AI457" s="18" t="n"/>
      <c r="AJ457" s="18" t="n"/>
      <c r="AK457" s="18" t="n"/>
      <c r="AL457" s="18" t="n"/>
      <c r="AM457" s="18" t="n"/>
      <c r="AN457" s="18" t="n"/>
      <c r="AO457" s="18" t="n"/>
      <c r="AP457" s="18" t="n"/>
      <c r="AQ457" s="18" t="n"/>
      <c r="AR457" s="18" t="n"/>
      <c r="AS457" s="18" t="n"/>
      <c r="AT457" s="18" t="n"/>
      <c r="AU457" s="18" t="n"/>
      <c r="AV457" s="18" t="n"/>
      <c r="AW457" s="18" t="n"/>
    </row>
    <row r="458" ht="16.4" customHeight="1" s="828">
      <c r="A458" s="18" t="n"/>
      <c r="B458" s="18" t="n"/>
      <c r="C458" s="18" t="n"/>
      <c r="D458" s="18" t="n"/>
      <c r="E458" s="1002" t="n"/>
      <c r="F458" s="18" t="n"/>
      <c r="G458" s="1002" t="n"/>
      <c r="H458" s="18" t="n"/>
      <c r="I458" s="1002" t="n"/>
      <c r="J458" s="18" t="n"/>
      <c r="K458" s="1002" t="n"/>
      <c r="L458" s="1002" t="n"/>
      <c r="M458" s="18" t="n"/>
      <c r="N458" s="153" t="n"/>
      <c r="O458" s="153" t="n"/>
      <c r="P458" s="153" t="n"/>
      <c r="Q458" s="18" t="n"/>
      <c r="R458" s="18" t="n"/>
      <c r="S458" s="18" t="n"/>
      <c r="T458" s="18" t="n"/>
      <c r="U458" s="18" t="n"/>
      <c r="V458" s="18" t="n"/>
      <c r="W458" s="18" t="n"/>
      <c r="X458" s="18" t="n"/>
      <c r="Y458" s="1002" t="n"/>
      <c r="Z458" s="18" t="n"/>
      <c r="AA458" s="1002" t="n"/>
      <c r="AB458" s="18" t="n"/>
      <c r="AC458" s="1002" t="n"/>
      <c r="AD458" s="18" t="n"/>
      <c r="AE458" s="1002" t="n"/>
      <c r="AF458" s="1016" t="n"/>
      <c r="AG458" s="153" t="n"/>
      <c r="AH458" s="153" t="n"/>
      <c r="AI458" s="18" t="n"/>
      <c r="AJ458" s="18" t="n"/>
      <c r="AK458" s="18" t="n"/>
      <c r="AL458" s="18" t="n"/>
      <c r="AM458" s="18" t="n"/>
      <c r="AN458" s="18" t="n"/>
      <c r="AO458" s="18" t="n"/>
      <c r="AP458" s="18" t="n"/>
      <c r="AQ458" s="18" t="n"/>
      <c r="AR458" s="18" t="n"/>
      <c r="AS458" s="18" t="n"/>
      <c r="AT458" s="18" t="n"/>
      <c r="AU458" s="18" t="n"/>
      <c r="AV458" s="18" t="n"/>
      <c r="AW458" s="18" t="n"/>
    </row>
    <row r="459" ht="16.4" customHeight="1" s="828">
      <c r="A459" s="18" t="n"/>
      <c r="B459" s="18" t="n"/>
      <c r="C459" s="18" t="n"/>
      <c r="D459" s="18" t="n"/>
      <c r="E459" s="1002" t="n"/>
      <c r="F459" s="18" t="n"/>
      <c r="G459" s="1002" t="n"/>
      <c r="H459" s="18" t="n"/>
      <c r="I459" s="1002" t="n"/>
      <c r="J459" s="18" t="n"/>
      <c r="K459" s="1002" t="n"/>
      <c r="L459" s="1002" t="n"/>
      <c r="M459" s="18" t="n"/>
      <c r="N459" s="153" t="n"/>
      <c r="O459" s="153" t="n"/>
      <c r="P459" s="153" t="n"/>
      <c r="Q459" s="18" t="n"/>
      <c r="R459" s="18" t="n"/>
      <c r="S459" s="18" t="n"/>
      <c r="T459" s="18" t="n"/>
      <c r="U459" s="18" t="n"/>
      <c r="V459" s="18" t="n"/>
      <c r="W459" s="18" t="n"/>
      <c r="X459" s="18" t="n"/>
      <c r="Y459" s="1002" t="n"/>
      <c r="Z459" s="18" t="n"/>
      <c r="AA459" s="1002" t="n"/>
      <c r="AB459" s="18" t="n"/>
      <c r="AC459" s="1002" t="n"/>
      <c r="AD459" s="18" t="n"/>
      <c r="AE459" s="1002" t="n"/>
      <c r="AF459" s="1016" t="n"/>
      <c r="AG459" s="153" t="n"/>
      <c r="AH459" s="153" t="n"/>
      <c r="AI459" s="18" t="n"/>
      <c r="AJ459" s="18" t="n"/>
      <c r="AK459" s="18" t="n"/>
      <c r="AL459" s="18" t="n"/>
      <c r="AM459" s="18" t="n"/>
      <c r="AN459" s="18" t="n"/>
      <c r="AO459" s="18" t="n"/>
      <c r="AP459" s="18" t="n"/>
      <c r="AQ459" s="18" t="n"/>
      <c r="AR459" s="18" t="n"/>
      <c r="AS459" s="18" t="n"/>
      <c r="AT459" s="18" t="n"/>
      <c r="AU459" s="18" t="n"/>
      <c r="AV459" s="18" t="n"/>
      <c r="AW459" s="18" t="n"/>
    </row>
    <row r="460" ht="16.4" customHeight="1" s="828">
      <c r="A460" s="18" t="n"/>
      <c r="B460" s="18" t="n"/>
      <c r="C460" s="18" t="n"/>
      <c r="D460" s="18" t="n"/>
      <c r="E460" s="1002" t="n"/>
      <c r="F460" s="18" t="n"/>
      <c r="G460" s="1002" t="n"/>
      <c r="H460" s="18" t="n"/>
      <c r="I460" s="1002" t="n"/>
      <c r="J460" s="18" t="n"/>
      <c r="K460" s="1002" t="n"/>
      <c r="L460" s="1002" t="n"/>
      <c r="M460" s="18" t="n"/>
      <c r="N460" s="153" t="n"/>
      <c r="O460" s="153" t="n"/>
      <c r="P460" s="153" t="n"/>
      <c r="Q460" s="18" t="n"/>
      <c r="R460" s="18" t="n"/>
      <c r="S460" s="18" t="n"/>
      <c r="T460" s="18" t="n"/>
      <c r="U460" s="18" t="n"/>
      <c r="V460" s="18" t="n"/>
      <c r="W460" s="18" t="n"/>
      <c r="X460" s="18" t="n"/>
      <c r="Y460" s="1002" t="n"/>
      <c r="Z460" s="18" t="n"/>
      <c r="AA460" s="1002" t="n"/>
      <c r="AB460" s="18" t="n"/>
      <c r="AC460" s="1002" t="n"/>
      <c r="AD460" s="18" t="n"/>
      <c r="AE460" s="1002" t="n"/>
      <c r="AF460" s="1016" t="n"/>
      <c r="AG460" s="153" t="n"/>
      <c r="AH460" s="153" t="n"/>
      <c r="AI460" s="18" t="n"/>
      <c r="AJ460" s="18" t="n"/>
      <c r="AK460" s="18" t="n"/>
      <c r="AL460" s="18" t="n"/>
      <c r="AM460" s="18" t="n"/>
      <c r="AN460" s="18" t="n"/>
      <c r="AO460" s="18" t="n"/>
      <c r="AP460" s="18" t="n"/>
      <c r="AQ460" s="18" t="n"/>
      <c r="AR460" s="18" t="n"/>
      <c r="AS460" s="18" t="n"/>
      <c r="AT460" s="18" t="n"/>
      <c r="AU460" s="18" t="n"/>
      <c r="AV460" s="18" t="n"/>
      <c r="AW460" s="18" t="n"/>
    </row>
    <row r="461" ht="16.4" customHeight="1" s="828">
      <c r="A461" s="18" t="n"/>
      <c r="B461" s="18" t="n"/>
      <c r="C461" s="18" t="n"/>
      <c r="D461" s="18" t="n"/>
      <c r="E461" s="1002" t="n"/>
      <c r="F461" s="18" t="n"/>
      <c r="G461" s="1002" t="n"/>
      <c r="H461" s="18" t="n"/>
      <c r="I461" s="1002" t="n"/>
      <c r="J461" s="18" t="n"/>
      <c r="K461" s="1002" t="n"/>
      <c r="L461" s="1002" t="n"/>
      <c r="M461" s="18" t="n"/>
      <c r="N461" s="153" t="n"/>
      <c r="O461" s="153" t="n"/>
      <c r="P461" s="153" t="n"/>
      <c r="Q461" s="18" t="n"/>
      <c r="R461" s="18" t="n"/>
      <c r="S461" s="18" t="n"/>
      <c r="T461" s="18" t="n"/>
      <c r="U461" s="18" t="n"/>
      <c r="V461" s="18" t="n"/>
      <c r="W461" s="18" t="n"/>
      <c r="X461" s="18" t="n"/>
      <c r="Y461" s="1002" t="n"/>
      <c r="Z461" s="18" t="n"/>
      <c r="AA461" s="1002" t="n"/>
      <c r="AB461" s="18" t="n"/>
      <c r="AC461" s="1002" t="n"/>
      <c r="AD461" s="18" t="n"/>
      <c r="AE461" s="1002" t="n"/>
      <c r="AF461" s="1016" t="n"/>
      <c r="AG461" s="153" t="n"/>
      <c r="AH461" s="153" t="n"/>
      <c r="AI461" s="18" t="n"/>
      <c r="AJ461" s="18" t="n"/>
      <c r="AK461" s="18" t="n"/>
      <c r="AL461" s="18" t="n"/>
      <c r="AM461" s="18" t="n"/>
      <c r="AN461" s="18" t="n"/>
      <c r="AO461" s="18" t="n"/>
      <c r="AP461" s="18" t="n"/>
      <c r="AQ461" s="18" t="n"/>
      <c r="AR461" s="18" t="n"/>
      <c r="AS461" s="18" t="n"/>
      <c r="AT461" s="18" t="n"/>
      <c r="AU461" s="18" t="n"/>
      <c r="AV461" s="18" t="n"/>
      <c r="AW461" s="18" t="n"/>
    </row>
    <row r="462" ht="16.4" customHeight="1" s="828">
      <c r="A462" s="18" t="n"/>
      <c r="B462" s="18" t="n"/>
      <c r="C462" s="18" t="n"/>
      <c r="D462" s="18" t="n"/>
      <c r="E462" s="1002" t="n"/>
      <c r="F462" s="18" t="n"/>
      <c r="G462" s="1002" t="n"/>
      <c r="H462" s="18" t="n"/>
      <c r="I462" s="1002" t="n"/>
      <c r="J462" s="18" t="n"/>
      <c r="K462" s="1002" t="n"/>
      <c r="L462" s="1002" t="n"/>
      <c r="M462" s="18" t="n"/>
      <c r="N462" s="153" t="n"/>
      <c r="O462" s="153" t="n"/>
      <c r="P462" s="153" t="n"/>
      <c r="Q462" s="18" t="n"/>
      <c r="R462" s="18" t="n"/>
      <c r="S462" s="18" t="n"/>
      <c r="T462" s="18" t="n"/>
      <c r="U462" s="18" t="n"/>
      <c r="V462" s="18" t="n"/>
      <c r="W462" s="18" t="n"/>
      <c r="X462" s="18" t="n"/>
      <c r="Y462" s="1002" t="n"/>
      <c r="Z462" s="18" t="n"/>
      <c r="AA462" s="1002" t="n"/>
      <c r="AB462" s="18" t="n"/>
      <c r="AC462" s="1002" t="n"/>
      <c r="AD462" s="18" t="n"/>
      <c r="AE462" s="1002" t="n"/>
      <c r="AF462" s="1016" t="n"/>
      <c r="AG462" s="153" t="n"/>
      <c r="AH462" s="153" t="n"/>
      <c r="AI462" s="18" t="n"/>
      <c r="AJ462" s="18" t="n"/>
      <c r="AK462" s="18" t="n"/>
      <c r="AL462" s="18" t="n"/>
      <c r="AM462" s="18" t="n"/>
      <c r="AN462" s="18" t="n"/>
      <c r="AO462" s="18" t="n"/>
      <c r="AP462" s="18" t="n"/>
      <c r="AQ462" s="18" t="n"/>
      <c r="AR462" s="18" t="n"/>
      <c r="AS462" s="18" t="n"/>
      <c r="AT462" s="18" t="n"/>
      <c r="AU462" s="18" t="n"/>
      <c r="AV462" s="18" t="n"/>
      <c r="AW462" s="18" t="n"/>
    </row>
    <row r="463" ht="16.4" customHeight="1" s="828">
      <c r="A463" s="18" t="n"/>
      <c r="B463" s="18" t="n"/>
      <c r="C463" s="18" t="n"/>
      <c r="D463" s="18" t="n"/>
      <c r="E463" s="1002" t="n"/>
      <c r="F463" s="18" t="n"/>
      <c r="G463" s="1002" t="n"/>
      <c r="H463" s="18" t="n"/>
      <c r="I463" s="1002" t="n"/>
      <c r="J463" s="18" t="n"/>
      <c r="K463" s="1002" t="n"/>
      <c r="L463" s="1002" t="n"/>
      <c r="M463" s="18" t="n"/>
      <c r="N463" s="153" t="n"/>
      <c r="O463" s="153" t="n"/>
      <c r="P463" s="153" t="n"/>
      <c r="Q463" s="18" t="n"/>
      <c r="R463" s="18" t="n"/>
      <c r="S463" s="18" t="n"/>
      <c r="T463" s="18" t="n"/>
      <c r="U463" s="18" t="n"/>
      <c r="V463" s="18" t="n"/>
      <c r="W463" s="18" t="n"/>
      <c r="X463" s="18" t="n"/>
      <c r="Y463" s="1002" t="n"/>
      <c r="Z463" s="18" t="n"/>
      <c r="AA463" s="1002" t="n"/>
      <c r="AB463" s="18" t="n"/>
      <c r="AC463" s="1002" t="n"/>
      <c r="AD463" s="18" t="n"/>
      <c r="AE463" s="1002" t="n"/>
      <c r="AF463" s="1016" t="n"/>
      <c r="AG463" s="153" t="n"/>
      <c r="AH463" s="153" t="n"/>
      <c r="AI463" s="18" t="n"/>
      <c r="AJ463" s="18" t="n"/>
      <c r="AK463" s="18" t="n"/>
      <c r="AL463" s="18" t="n"/>
      <c r="AM463" s="18" t="n"/>
      <c r="AN463" s="18" t="n"/>
      <c r="AO463" s="18" t="n"/>
      <c r="AP463" s="18" t="n"/>
      <c r="AQ463" s="18" t="n"/>
      <c r="AR463" s="18" t="n"/>
      <c r="AS463" s="18" t="n"/>
      <c r="AT463" s="18" t="n"/>
      <c r="AU463" s="18" t="n"/>
      <c r="AV463" s="18" t="n"/>
      <c r="AW463" s="18" t="n"/>
    </row>
    <row r="464" ht="16.4" customHeight="1" s="828">
      <c r="A464" s="18" t="n"/>
      <c r="B464" s="18" t="n"/>
      <c r="C464" s="18" t="n"/>
      <c r="D464" s="18" t="n"/>
      <c r="E464" s="1002" t="n"/>
      <c r="F464" s="18" t="n"/>
      <c r="G464" s="1002" t="n"/>
      <c r="H464" s="18" t="n"/>
      <c r="I464" s="1002" t="n"/>
      <c r="J464" s="18" t="n"/>
      <c r="K464" s="1002" t="n"/>
      <c r="L464" s="1002" t="n"/>
      <c r="M464" s="18" t="n"/>
      <c r="N464" s="153" t="n"/>
      <c r="O464" s="153" t="n"/>
      <c r="P464" s="153" t="n"/>
      <c r="Q464" s="18" t="n"/>
      <c r="R464" s="18" t="n"/>
      <c r="S464" s="18" t="n"/>
      <c r="T464" s="18" t="n"/>
      <c r="U464" s="18" t="n"/>
      <c r="V464" s="18" t="n"/>
      <c r="W464" s="18" t="n"/>
      <c r="X464" s="18" t="n"/>
      <c r="Y464" s="1002" t="n"/>
      <c r="Z464" s="18" t="n"/>
      <c r="AA464" s="1002" t="n"/>
      <c r="AB464" s="18" t="n"/>
      <c r="AC464" s="1002" t="n"/>
      <c r="AD464" s="18" t="n"/>
      <c r="AE464" s="1002" t="n"/>
      <c r="AF464" s="1016" t="n"/>
      <c r="AG464" s="153" t="n"/>
      <c r="AH464" s="153" t="n"/>
      <c r="AI464" s="18" t="n"/>
      <c r="AJ464" s="18" t="n"/>
      <c r="AK464" s="18" t="n"/>
      <c r="AL464" s="18" t="n"/>
      <c r="AM464" s="18" t="n"/>
      <c r="AN464" s="18" t="n"/>
      <c r="AO464" s="18" t="n"/>
      <c r="AP464" s="18" t="n"/>
      <c r="AQ464" s="18" t="n"/>
      <c r="AR464" s="18" t="n"/>
      <c r="AS464" s="18" t="n"/>
      <c r="AT464" s="18" t="n"/>
      <c r="AU464" s="18" t="n"/>
      <c r="AV464" s="18" t="n"/>
      <c r="AW464" s="18" t="n"/>
    </row>
    <row r="465" ht="16.4" customHeight="1" s="828">
      <c r="A465" s="18" t="n"/>
      <c r="B465" s="18" t="n"/>
      <c r="C465" s="18" t="n"/>
      <c r="D465" s="18" t="n"/>
      <c r="E465" s="1002" t="n"/>
      <c r="F465" s="18" t="n"/>
      <c r="G465" s="1002" t="n"/>
      <c r="H465" s="18" t="n"/>
      <c r="I465" s="1002" t="n"/>
      <c r="J465" s="18" t="n"/>
      <c r="K465" s="1002" t="n"/>
      <c r="L465" s="1002" t="n"/>
      <c r="M465" s="18" t="n"/>
      <c r="N465" s="153" t="n"/>
      <c r="O465" s="153" t="n"/>
      <c r="P465" s="153" t="n"/>
      <c r="Q465" s="18" t="n"/>
      <c r="R465" s="18" t="n"/>
      <c r="S465" s="18" t="n"/>
      <c r="T465" s="18" t="n"/>
      <c r="U465" s="18" t="n"/>
      <c r="V465" s="18" t="n"/>
      <c r="W465" s="18" t="n"/>
      <c r="X465" s="18" t="n"/>
      <c r="Y465" s="1002" t="n"/>
      <c r="Z465" s="18" t="n"/>
      <c r="AA465" s="1002" t="n"/>
      <c r="AB465" s="18" t="n"/>
      <c r="AC465" s="1002" t="n"/>
      <c r="AD465" s="18" t="n"/>
      <c r="AE465" s="1002" t="n"/>
      <c r="AF465" s="1016" t="n"/>
      <c r="AG465" s="153" t="n"/>
      <c r="AH465" s="153" t="n"/>
      <c r="AI465" s="18" t="n"/>
      <c r="AJ465" s="18" t="n"/>
      <c r="AK465" s="18" t="n"/>
      <c r="AL465" s="18" t="n"/>
      <c r="AM465" s="18" t="n"/>
      <c r="AN465" s="18" t="n"/>
      <c r="AO465" s="18" t="n"/>
      <c r="AP465" s="18" t="n"/>
      <c r="AQ465" s="18" t="n"/>
      <c r="AR465" s="18" t="n"/>
      <c r="AS465" s="18" t="n"/>
      <c r="AT465" s="18" t="n"/>
      <c r="AU465" s="18" t="n"/>
      <c r="AV465" s="18" t="n"/>
      <c r="AW465" s="18" t="n"/>
    </row>
    <row r="466" ht="16.4" customHeight="1" s="828">
      <c r="A466" s="18" t="n"/>
      <c r="B466" s="18" t="n"/>
      <c r="C466" s="18" t="n"/>
      <c r="D466" s="18" t="n"/>
      <c r="E466" s="1002" t="n"/>
      <c r="F466" s="18" t="n"/>
      <c r="G466" s="1002" t="n"/>
      <c r="H466" s="18" t="n"/>
      <c r="I466" s="1002" t="n"/>
      <c r="J466" s="18" t="n"/>
      <c r="K466" s="1002" t="n"/>
      <c r="L466" s="1002" t="n"/>
      <c r="M466" s="18" t="n"/>
      <c r="N466" s="153" t="n"/>
      <c r="O466" s="153" t="n"/>
      <c r="P466" s="153" t="n"/>
      <c r="Q466" s="18" t="n"/>
      <c r="R466" s="18" t="n"/>
      <c r="S466" s="18" t="n"/>
      <c r="T466" s="18" t="n"/>
      <c r="U466" s="18" t="n"/>
      <c r="V466" s="18" t="n"/>
      <c r="W466" s="18" t="n"/>
      <c r="X466" s="18" t="n"/>
      <c r="Y466" s="1002" t="n"/>
      <c r="Z466" s="18" t="n"/>
      <c r="AA466" s="1002" t="n"/>
      <c r="AB466" s="18" t="n"/>
      <c r="AC466" s="1002" t="n"/>
      <c r="AD466" s="18" t="n"/>
      <c r="AE466" s="1002" t="n"/>
      <c r="AF466" s="1016" t="n"/>
      <c r="AG466" s="153" t="n"/>
      <c r="AH466" s="153" t="n"/>
      <c r="AI466" s="18" t="n"/>
      <c r="AJ466" s="18" t="n"/>
      <c r="AK466" s="18" t="n"/>
      <c r="AL466" s="18" t="n"/>
      <c r="AM466" s="18" t="n"/>
      <c r="AN466" s="18" t="n"/>
      <c r="AO466" s="18" t="n"/>
      <c r="AP466" s="18" t="n"/>
      <c r="AQ466" s="18" t="n"/>
      <c r="AR466" s="18" t="n"/>
      <c r="AS466" s="18" t="n"/>
      <c r="AT466" s="18" t="n"/>
      <c r="AU466" s="18" t="n"/>
      <c r="AV466" s="18" t="n"/>
      <c r="AW466" s="18" t="n"/>
    </row>
    <row r="467" ht="16.4" customHeight="1" s="828">
      <c r="A467" s="18" t="n"/>
      <c r="B467" s="18" t="n"/>
      <c r="C467" s="18" t="n"/>
      <c r="D467" s="18" t="n"/>
      <c r="E467" s="1002" t="n"/>
      <c r="F467" s="18" t="n"/>
      <c r="G467" s="1002" t="n"/>
      <c r="H467" s="18" t="n"/>
      <c r="I467" s="1002" t="n"/>
      <c r="J467" s="18" t="n"/>
      <c r="K467" s="1002" t="n"/>
      <c r="L467" s="1002" t="n"/>
      <c r="M467" s="18" t="n"/>
      <c r="N467" s="153" t="n"/>
      <c r="O467" s="153" t="n"/>
      <c r="P467" s="153" t="n"/>
      <c r="Q467" s="18" t="n"/>
      <c r="R467" s="18" t="n"/>
      <c r="S467" s="18" t="n"/>
      <c r="T467" s="18" t="n"/>
      <c r="U467" s="18" t="n"/>
      <c r="V467" s="18" t="n"/>
      <c r="W467" s="18" t="n"/>
      <c r="X467" s="18" t="n"/>
      <c r="Y467" s="1002" t="n"/>
      <c r="Z467" s="18" t="n"/>
      <c r="AA467" s="1002" t="n"/>
      <c r="AB467" s="18" t="n"/>
      <c r="AC467" s="1002" t="n"/>
      <c r="AD467" s="18" t="n"/>
      <c r="AE467" s="1002" t="n"/>
      <c r="AF467" s="1016" t="n"/>
      <c r="AG467" s="153" t="n"/>
      <c r="AH467" s="153" t="n"/>
      <c r="AI467" s="18" t="n"/>
      <c r="AJ467" s="18" t="n"/>
      <c r="AK467" s="18" t="n"/>
      <c r="AL467" s="18" t="n"/>
      <c r="AM467" s="18" t="n"/>
      <c r="AN467" s="18" t="n"/>
      <c r="AO467" s="18" t="n"/>
      <c r="AP467" s="18" t="n"/>
      <c r="AQ467" s="18" t="n"/>
      <c r="AR467" s="18" t="n"/>
      <c r="AS467" s="18" t="n"/>
      <c r="AT467" s="18" t="n"/>
      <c r="AU467" s="18" t="n"/>
      <c r="AV467" s="18" t="n"/>
      <c r="AW467" s="18" t="n"/>
    </row>
    <row r="468" ht="16.4" customHeight="1" s="828">
      <c r="A468" s="18" t="n"/>
      <c r="B468" s="18" t="n"/>
      <c r="C468" s="18" t="n"/>
      <c r="D468" s="18" t="n"/>
      <c r="E468" s="1002" t="n"/>
      <c r="F468" s="18" t="n"/>
      <c r="G468" s="1002" t="n"/>
      <c r="H468" s="18" t="n"/>
      <c r="I468" s="1002" t="n"/>
      <c r="J468" s="18" t="n"/>
      <c r="K468" s="1002" t="n"/>
      <c r="L468" s="1002" t="n"/>
      <c r="M468" s="18" t="n"/>
      <c r="N468" s="153" t="n"/>
      <c r="O468" s="153" t="n"/>
      <c r="P468" s="153" t="n"/>
      <c r="Q468" s="18" t="n"/>
      <c r="R468" s="18" t="n"/>
      <c r="S468" s="18" t="n"/>
      <c r="T468" s="18" t="n"/>
      <c r="U468" s="18" t="n"/>
      <c r="V468" s="18" t="n"/>
      <c r="W468" s="18" t="n"/>
      <c r="X468" s="18" t="n"/>
      <c r="Y468" s="1002" t="n"/>
      <c r="Z468" s="18" t="n"/>
      <c r="AA468" s="1002" t="n"/>
      <c r="AB468" s="18" t="n"/>
      <c r="AC468" s="1002" t="n"/>
      <c r="AD468" s="18" t="n"/>
      <c r="AE468" s="1002" t="n"/>
      <c r="AF468" s="1016" t="n"/>
      <c r="AG468" s="153" t="n"/>
      <c r="AH468" s="153" t="n"/>
      <c r="AI468" s="18" t="n"/>
      <c r="AJ468" s="18" t="n"/>
      <c r="AK468" s="18" t="n"/>
      <c r="AL468" s="18" t="n"/>
      <c r="AM468" s="18" t="n"/>
      <c r="AN468" s="18" t="n"/>
      <c r="AO468" s="18" t="n"/>
      <c r="AP468" s="18" t="n"/>
      <c r="AQ468" s="18" t="n"/>
      <c r="AR468" s="18" t="n"/>
      <c r="AS468" s="18" t="n"/>
      <c r="AT468" s="18" t="n"/>
      <c r="AU468" s="18" t="n"/>
      <c r="AV468" s="18" t="n"/>
      <c r="AW468" s="18" t="n"/>
    </row>
    <row r="469" ht="16.4" customHeight="1" s="828">
      <c r="A469" s="18" t="n"/>
      <c r="B469" s="18" t="n"/>
      <c r="C469" s="18" t="n"/>
      <c r="D469" s="18" t="n"/>
      <c r="E469" s="1002" t="n"/>
      <c r="F469" s="18" t="n"/>
      <c r="G469" s="1002" t="n"/>
      <c r="H469" s="18" t="n"/>
      <c r="I469" s="1002" t="n"/>
      <c r="J469" s="18" t="n"/>
      <c r="K469" s="1002" t="n"/>
      <c r="L469" s="1002" t="n"/>
      <c r="M469" s="18" t="n"/>
      <c r="N469" s="153" t="n"/>
      <c r="O469" s="153" t="n"/>
      <c r="P469" s="153" t="n"/>
      <c r="Q469" s="18" t="n"/>
      <c r="R469" s="18" t="n"/>
      <c r="S469" s="18" t="n"/>
      <c r="T469" s="18" t="n"/>
      <c r="U469" s="18" t="n"/>
      <c r="V469" s="18" t="n"/>
      <c r="W469" s="18" t="n"/>
      <c r="X469" s="18" t="n"/>
      <c r="Y469" s="1002" t="n"/>
      <c r="Z469" s="18" t="n"/>
      <c r="AA469" s="1002" t="n"/>
      <c r="AB469" s="18" t="n"/>
      <c r="AC469" s="1002" t="n"/>
      <c r="AD469" s="18" t="n"/>
      <c r="AE469" s="1002" t="n"/>
      <c r="AF469" s="1016" t="n"/>
      <c r="AG469" s="153" t="n"/>
      <c r="AH469" s="153" t="n"/>
      <c r="AI469" s="18" t="n"/>
      <c r="AJ469" s="18" t="n"/>
      <c r="AK469" s="18" t="n"/>
      <c r="AL469" s="18" t="n"/>
      <c r="AM469" s="18" t="n"/>
      <c r="AN469" s="18" t="n"/>
      <c r="AO469" s="18" t="n"/>
      <c r="AP469" s="18" t="n"/>
      <c r="AQ469" s="18" t="n"/>
      <c r="AR469" s="18" t="n"/>
      <c r="AS469" s="18" t="n"/>
      <c r="AT469" s="18" t="n"/>
      <c r="AU469" s="18" t="n"/>
      <c r="AV469" s="18" t="n"/>
      <c r="AW469" s="18" t="n"/>
    </row>
    <row r="470" ht="16.4" customHeight="1" s="828">
      <c r="A470" s="18" t="n"/>
      <c r="B470" s="18" t="n"/>
      <c r="C470" s="18" t="n"/>
      <c r="D470" s="18" t="n"/>
      <c r="E470" s="1002" t="n"/>
      <c r="F470" s="18" t="n"/>
      <c r="G470" s="1002" t="n"/>
      <c r="H470" s="18" t="n"/>
      <c r="I470" s="1002" t="n"/>
      <c r="J470" s="18" t="n"/>
      <c r="K470" s="1002" t="n"/>
      <c r="L470" s="1002" t="n"/>
      <c r="M470" s="18" t="n"/>
      <c r="N470" s="153" t="n"/>
      <c r="O470" s="153" t="n"/>
      <c r="P470" s="153" t="n"/>
      <c r="Q470" s="18" t="n"/>
      <c r="R470" s="18" t="n"/>
      <c r="S470" s="18" t="n"/>
      <c r="T470" s="18" t="n"/>
      <c r="U470" s="18" t="n"/>
      <c r="V470" s="18" t="n"/>
      <c r="W470" s="18" t="n"/>
      <c r="X470" s="18" t="n"/>
      <c r="Y470" s="1002" t="n"/>
      <c r="Z470" s="18" t="n"/>
      <c r="AA470" s="1002" t="n"/>
      <c r="AB470" s="18" t="n"/>
      <c r="AC470" s="1002" t="n"/>
      <c r="AD470" s="18" t="n"/>
      <c r="AE470" s="1002" t="n"/>
      <c r="AF470" s="1016" t="n"/>
      <c r="AG470" s="153" t="n"/>
      <c r="AH470" s="153" t="n"/>
      <c r="AI470" s="18" t="n"/>
      <c r="AJ470" s="18" t="n"/>
      <c r="AK470" s="18" t="n"/>
      <c r="AL470" s="18" t="n"/>
      <c r="AM470" s="18" t="n"/>
      <c r="AN470" s="18" t="n"/>
      <c r="AO470" s="18" t="n"/>
      <c r="AP470" s="18" t="n"/>
      <c r="AQ470" s="18" t="n"/>
      <c r="AR470" s="18" t="n"/>
      <c r="AS470" s="18" t="n"/>
      <c r="AT470" s="18" t="n"/>
      <c r="AU470" s="18" t="n"/>
      <c r="AV470" s="18" t="n"/>
      <c r="AW470" s="18" t="n"/>
    </row>
    <row r="471" ht="16.4" customHeight="1" s="828">
      <c r="A471" s="18" t="n"/>
      <c r="B471" s="18" t="n"/>
      <c r="C471" s="18" t="n"/>
      <c r="D471" s="18" t="n"/>
      <c r="E471" s="1002" t="n"/>
      <c r="F471" s="18" t="n"/>
      <c r="G471" s="1002" t="n"/>
      <c r="H471" s="18" t="n"/>
      <c r="I471" s="1002" t="n"/>
      <c r="J471" s="18" t="n"/>
      <c r="K471" s="1002" t="n"/>
      <c r="L471" s="1002" t="n"/>
      <c r="M471" s="18" t="n"/>
      <c r="N471" s="153" t="n"/>
      <c r="O471" s="153" t="n"/>
      <c r="P471" s="153" t="n"/>
      <c r="Q471" s="18" t="n"/>
      <c r="R471" s="18" t="n"/>
      <c r="S471" s="18" t="n"/>
      <c r="T471" s="18" t="n"/>
      <c r="U471" s="18" t="n"/>
      <c r="V471" s="18" t="n"/>
      <c r="W471" s="18" t="n"/>
      <c r="X471" s="18" t="n"/>
      <c r="Y471" s="1002" t="n"/>
      <c r="Z471" s="18" t="n"/>
      <c r="AA471" s="1002" t="n"/>
      <c r="AB471" s="18" t="n"/>
      <c r="AC471" s="1002" t="n"/>
      <c r="AD471" s="18" t="n"/>
      <c r="AE471" s="1002" t="n"/>
      <c r="AF471" s="1016" t="n"/>
      <c r="AG471" s="153" t="n"/>
      <c r="AH471" s="153" t="n"/>
      <c r="AI471" s="18" t="n"/>
      <c r="AJ471" s="18" t="n"/>
      <c r="AK471" s="18" t="n"/>
      <c r="AL471" s="18" t="n"/>
      <c r="AM471" s="18" t="n"/>
      <c r="AN471" s="18" t="n"/>
      <c r="AO471" s="18" t="n"/>
      <c r="AP471" s="18" t="n"/>
      <c r="AQ471" s="18" t="n"/>
      <c r="AR471" s="18" t="n"/>
      <c r="AS471" s="18" t="n"/>
      <c r="AT471" s="18" t="n"/>
      <c r="AU471" s="18" t="n"/>
      <c r="AV471" s="18" t="n"/>
      <c r="AW471" s="18" t="n"/>
    </row>
    <row r="472" ht="16.4" customHeight="1" s="828">
      <c r="A472" s="18" t="n"/>
      <c r="B472" s="18" t="n"/>
      <c r="C472" s="18" t="n"/>
      <c r="D472" s="18" t="n"/>
      <c r="E472" s="1002" t="n"/>
      <c r="F472" s="18" t="n"/>
      <c r="G472" s="1002" t="n"/>
      <c r="H472" s="18" t="n"/>
      <c r="I472" s="1002" t="n"/>
      <c r="J472" s="18" t="n"/>
      <c r="K472" s="1002" t="n"/>
      <c r="L472" s="1002" t="n"/>
      <c r="M472" s="18" t="n"/>
      <c r="N472" s="153" t="n"/>
      <c r="O472" s="153" t="n"/>
      <c r="P472" s="153" t="n"/>
      <c r="Q472" s="18" t="n"/>
      <c r="R472" s="18" t="n"/>
      <c r="S472" s="18" t="n"/>
      <c r="T472" s="18" t="n"/>
      <c r="U472" s="18" t="n"/>
      <c r="V472" s="18" t="n"/>
      <c r="W472" s="18" t="n"/>
      <c r="X472" s="18" t="n"/>
      <c r="Y472" s="1002" t="n"/>
      <c r="Z472" s="18" t="n"/>
      <c r="AA472" s="1002" t="n"/>
      <c r="AB472" s="18" t="n"/>
      <c r="AC472" s="1002" t="n"/>
      <c r="AD472" s="18" t="n"/>
      <c r="AE472" s="1002" t="n"/>
      <c r="AF472" s="1016" t="n"/>
      <c r="AG472" s="153" t="n"/>
      <c r="AH472" s="153" t="n"/>
      <c r="AI472" s="18" t="n"/>
      <c r="AJ472" s="18" t="n"/>
      <c r="AK472" s="18" t="n"/>
      <c r="AL472" s="18" t="n"/>
      <c r="AM472" s="18" t="n"/>
      <c r="AN472" s="18" t="n"/>
      <c r="AO472" s="18" t="n"/>
      <c r="AP472" s="18" t="n"/>
      <c r="AQ472" s="18" t="n"/>
      <c r="AR472" s="18" t="n"/>
      <c r="AS472" s="18" t="n"/>
      <c r="AT472" s="18" t="n"/>
      <c r="AU472" s="18" t="n"/>
      <c r="AV472" s="18" t="n"/>
      <c r="AW472" s="18" t="n"/>
    </row>
    <row r="473" ht="16.4" customHeight="1" s="828">
      <c r="A473" s="18" t="n"/>
      <c r="B473" s="18" t="n"/>
      <c r="C473" s="18" t="n"/>
      <c r="D473" s="18" t="n"/>
      <c r="E473" s="1002" t="n"/>
      <c r="F473" s="18" t="n"/>
      <c r="G473" s="1002" t="n"/>
      <c r="H473" s="18" t="n"/>
      <c r="I473" s="1002" t="n"/>
      <c r="J473" s="18" t="n"/>
      <c r="K473" s="1002" t="n"/>
      <c r="L473" s="1002" t="n"/>
      <c r="M473" s="18" t="n"/>
      <c r="N473" s="153" t="n"/>
      <c r="O473" s="153" t="n"/>
      <c r="P473" s="153" t="n"/>
      <c r="Q473" s="18" t="n"/>
      <c r="R473" s="18" t="n"/>
      <c r="S473" s="18" t="n"/>
      <c r="T473" s="18" t="n"/>
      <c r="U473" s="18" t="n"/>
      <c r="V473" s="18" t="n"/>
      <c r="W473" s="18" t="n"/>
      <c r="X473" s="18" t="n"/>
      <c r="Y473" s="1002" t="n"/>
      <c r="Z473" s="18" t="n"/>
      <c r="AA473" s="1002" t="n"/>
      <c r="AB473" s="18" t="n"/>
      <c r="AC473" s="1002" t="n"/>
      <c r="AD473" s="18" t="n"/>
      <c r="AE473" s="1002" t="n"/>
      <c r="AF473" s="1016" t="n"/>
      <c r="AG473" s="153" t="n"/>
      <c r="AH473" s="153" t="n"/>
      <c r="AI473" s="18" t="n"/>
      <c r="AJ473" s="18" t="n"/>
      <c r="AK473" s="18" t="n"/>
      <c r="AL473" s="18" t="n"/>
      <c r="AM473" s="18" t="n"/>
      <c r="AN473" s="18" t="n"/>
      <c r="AO473" s="18" t="n"/>
      <c r="AP473" s="18" t="n"/>
      <c r="AQ473" s="18" t="n"/>
      <c r="AR473" s="18" t="n"/>
      <c r="AS473" s="18" t="n"/>
      <c r="AT473" s="18" t="n"/>
      <c r="AU473" s="18" t="n"/>
      <c r="AV473" s="18" t="n"/>
      <c r="AW473" s="18" t="n"/>
    </row>
    <row r="474" ht="16.4" customHeight="1" s="828">
      <c r="A474" s="18" t="n"/>
      <c r="B474" s="18" t="n"/>
      <c r="C474" s="18" t="n"/>
      <c r="D474" s="18" t="n"/>
      <c r="E474" s="1002" t="n"/>
      <c r="F474" s="18" t="n"/>
      <c r="G474" s="1002" t="n"/>
      <c r="H474" s="18" t="n"/>
      <c r="I474" s="1002" t="n"/>
      <c r="J474" s="18" t="n"/>
      <c r="K474" s="1002" t="n"/>
      <c r="L474" s="1002" t="n"/>
      <c r="M474" s="18" t="n"/>
      <c r="N474" s="153" t="n"/>
      <c r="O474" s="153" t="n"/>
      <c r="P474" s="153" t="n"/>
      <c r="Q474" s="18" t="n"/>
      <c r="R474" s="18" t="n"/>
      <c r="S474" s="18" t="n"/>
      <c r="T474" s="18" t="n"/>
      <c r="U474" s="18" t="n"/>
      <c r="V474" s="18" t="n"/>
      <c r="W474" s="18" t="n"/>
      <c r="X474" s="18" t="n"/>
      <c r="Y474" s="1002" t="n"/>
      <c r="Z474" s="18" t="n"/>
      <c r="AA474" s="1002" t="n"/>
      <c r="AB474" s="18" t="n"/>
      <c r="AC474" s="1002" t="n"/>
      <c r="AD474" s="18" t="n"/>
      <c r="AE474" s="1002" t="n"/>
      <c r="AF474" s="1016" t="n"/>
      <c r="AG474" s="153" t="n"/>
      <c r="AH474" s="153" t="n"/>
      <c r="AI474" s="18" t="n"/>
      <c r="AJ474" s="18" t="n"/>
      <c r="AK474" s="18" t="n"/>
      <c r="AL474" s="18" t="n"/>
      <c r="AM474" s="18" t="n"/>
      <c r="AN474" s="18" t="n"/>
      <c r="AO474" s="18" t="n"/>
      <c r="AP474" s="18" t="n"/>
      <c r="AQ474" s="18" t="n"/>
      <c r="AR474" s="18" t="n"/>
      <c r="AS474" s="18" t="n"/>
      <c r="AT474" s="18" t="n"/>
      <c r="AU474" s="18" t="n"/>
      <c r="AV474" s="18" t="n"/>
      <c r="AW474" s="18" t="n"/>
    </row>
    <row r="475" ht="16.4" customHeight="1" s="828">
      <c r="A475" s="18" t="n"/>
      <c r="B475" s="18" t="n"/>
      <c r="C475" s="18" t="n"/>
      <c r="D475" s="18" t="n"/>
      <c r="E475" s="1002" t="n"/>
      <c r="F475" s="18" t="n"/>
      <c r="G475" s="1002" t="n"/>
      <c r="H475" s="18" t="n"/>
      <c r="I475" s="1002" t="n"/>
      <c r="J475" s="18" t="n"/>
      <c r="K475" s="1002" t="n"/>
      <c r="L475" s="1002" t="n"/>
      <c r="M475" s="18" t="n"/>
      <c r="N475" s="153" t="n"/>
      <c r="O475" s="153" t="n"/>
      <c r="P475" s="153" t="n"/>
      <c r="Q475" s="18" t="n"/>
      <c r="R475" s="18" t="n"/>
      <c r="S475" s="18" t="n"/>
      <c r="T475" s="18" t="n"/>
      <c r="U475" s="18" t="n"/>
      <c r="V475" s="18" t="n"/>
      <c r="W475" s="18" t="n"/>
      <c r="X475" s="18" t="n"/>
      <c r="Y475" s="1002" t="n"/>
      <c r="Z475" s="18" t="n"/>
      <c r="AA475" s="1002" t="n"/>
      <c r="AB475" s="18" t="n"/>
      <c r="AC475" s="1002" t="n"/>
      <c r="AD475" s="18" t="n"/>
      <c r="AE475" s="1002" t="n"/>
      <c r="AF475" s="1016" t="n"/>
      <c r="AG475" s="153" t="n"/>
      <c r="AH475" s="153" t="n"/>
      <c r="AI475" s="18" t="n"/>
      <c r="AJ475" s="18" t="n"/>
      <c r="AK475" s="18" t="n"/>
      <c r="AL475" s="18" t="n"/>
      <c r="AM475" s="18" t="n"/>
      <c r="AN475" s="18" t="n"/>
      <c r="AO475" s="18" t="n"/>
      <c r="AP475" s="18" t="n"/>
      <c r="AQ475" s="18" t="n"/>
      <c r="AR475" s="18" t="n"/>
      <c r="AS475" s="18" t="n"/>
      <c r="AT475" s="18" t="n"/>
      <c r="AU475" s="18" t="n"/>
      <c r="AV475" s="18" t="n"/>
      <c r="AW475" s="18" t="n"/>
    </row>
    <row r="476" ht="16.4" customHeight="1" s="828">
      <c r="A476" s="18" t="n"/>
      <c r="B476" s="18" t="n"/>
      <c r="C476" s="18" t="n"/>
      <c r="D476" s="18" t="n"/>
      <c r="E476" s="1002" t="n"/>
      <c r="F476" s="18" t="n"/>
      <c r="G476" s="1002" t="n"/>
      <c r="H476" s="18" t="n"/>
      <c r="I476" s="1002" t="n"/>
      <c r="J476" s="18" t="n"/>
      <c r="K476" s="1002" t="n"/>
      <c r="L476" s="1002" t="n"/>
      <c r="M476" s="18" t="n"/>
      <c r="N476" s="153" t="n"/>
      <c r="O476" s="153" t="n"/>
      <c r="P476" s="153" t="n"/>
      <c r="Q476" s="18" t="n"/>
      <c r="R476" s="18" t="n"/>
      <c r="S476" s="18" t="n"/>
      <c r="T476" s="18" t="n"/>
      <c r="U476" s="18" t="n"/>
      <c r="V476" s="18" t="n"/>
      <c r="W476" s="18" t="n"/>
      <c r="X476" s="18" t="n"/>
      <c r="Y476" s="1002" t="n"/>
      <c r="Z476" s="18" t="n"/>
      <c r="AA476" s="1002" t="n"/>
      <c r="AB476" s="18" t="n"/>
      <c r="AC476" s="1002" t="n"/>
      <c r="AD476" s="18" t="n"/>
      <c r="AE476" s="1002" t="n"/>
      <c r="AF476" s="1016" t="n"/>
      <c r="AG476" s="153" t="n"/>
      <c r="AH476" s="153" t="n"/>
      <c r="AI476" s="18" t="n"/>
      <c r="AJ476" s="18" t="n"/>
      <c r="AK476" s="18" t="n"/>
      <c r="AL476" s="18" t="n"/>
      <c r="AM476" s="18" t="n"/>
      <c r="AN476" s="18" t="n"/>
      <c r="AO476" s="18" t="n"/>
      <c r="AP476" s="18" t="n"/>
      <c r="AQ476" s="18" t="n"/>
      <c r="AR476" s="18" t="n"/>
      <c r="AS476" s="18" t="n"/>
      <c r="AT476" s="18" t="n"/>
      <c r="AU476" s="18" t="n"/>
      <c r="AV476" s="18" t="n"/>
      <c r="AW476" s="18" t="n"/>
    </row>
    <row r="477" ht="16.4" customHeight="1" s="828">
      <c r="A477" s="18" t="n"/>
      <c r="B477" s="18" t="n"/>
      <c r="C477" s="18" t="n"/>
      <c r="D477" s="18" t="n"/>
      <c r="E477" s="1002" t="n"/>
      <c r="F477" s="18" t="n"/>
      <c r="G477" s="1002" t="n"/>
      <c r="H477" s="18" t="n"/>
      <c r="I477" s="1002" t="n"/>
      <c r="J477" s="18" t="n"/>
      <c r="K477" s="1002" t="n"/>
      <c r="L477" s="1002" t="n"/>
      <c r="M477" s="18" t="n"/>
      <c r="N477" s="153" t="n"/>
      <c r="O477" s="153" t="n"/>
      <c r="P477" s="153" t="n"/>
      <c r="Q477" s="18" t="n"/>
      <c r="R477" s="18" t="n"/>
      <c r="S477" s="18" t="n"/>
      <c r="T477" s="18" t="n"/>
      <c r="U477" s="18" t="n"/>
      <c r="V477" s="18" t="n"/>
      <c r="W477" s="18" t="n"/>
      <c r="X477" s="18" t="n"/>
      <c r="Y477" s="1002" t="n"/>
      <c r="Z477" s="18" t="n"/>
      <c r="AA477" s="1002" t="n"/>
      <c r="AB477" s="18" t="n"/>
      <c r="AC477" s="1002" t="n"/>
      <c r="AD477" s="18" t="n"/>
      <c r="AE477" s="1002" t="n"/>
      <c r="AF477" s="1016" t="n"/>
      <c r="AG477" s="153" t="n"/>
      <c r="AH477" s="153" t="n"/>
      <c r="AI477" s="18" t="n"/>
      <c r="AJ477" s="18" t="n"/>
      <c r="AK477" s="18" t="n"/>
      <c r="AL477" s="18" t="n"/>
      <c r="AM477" s="18" t="n"/>
      <c r="AN477" s="18" t="n"/>
      <c r="AO477" s="18" t="n"/>
      <c r="AP477" s="18" t="n"/>
      <c r="AQ477" s="18" t="n"/>
      <c r="AR477" s="18" t="n"/>
      <c r="AS477" s="18" t="n"/>
      <c r="AT477" s="18" t="n"/>
      <c r="AU477" s="18" t="n"/>
      <c r="AV477" s="18" t="n"/>
      <c r="AW477" s="18" t="n"/>
    </row>
    <row r="478" ht="16.4" customHeight="1" s="828">
      <c r="A478" s="18" t="n"/>
      <c r="B478" s="18" t="n"/>
      <c r="C478" s="18" t="n"/>
      <c r="D478" s="18" t="n"/>
      <c r="E478" s="1002" t="n"/>
      <c r="F478" s="18" t="n"/>
      <c r="G478" s="1002" t="n"/>
      <c r="H478" s="18" t="n"/>
      <c r="I478" s="1002" t="n"/>
      <c r="J478" s="18" t="n"/>
      <c r="K478" s="1002" t="n"/>
      <c r="L478" s="1002" t="n"/>
      <c r="M478" s="18" t="n"/>
      <c r="N478" s="153" t="n"/>
      <c r="O478" s="153" t="n"/>
      <c r="P478" s="153" t="n"/>
      <c r="Q478" s="18" t="n"/>
      <c r="R478" s="18" t="n"/>
      <c r="S478" s="18" t="n"/>
      <c r="T478" s="18" t="n"/>
      <c r="U478" s="18" t="n"/>
      <c r="V478" s="18" t="n"/>
      <c r="W478" s="18" t="n"/>
      <c r="X478" s="18" t="n"/>
      <c r="Y478" s="1002" t="n"/>
      <c r="Z478" s="18" t="n"/>
      <c r="AA478" s="1002" t="n"/>
      <c r="AB478" s="18" t="n"/>
      <c r="AC478" s="1002" t="n"/>
      <c r="AD478" s="18" t="n"/>
      <c r="AE478" s="1002" t="n"/>
      <c r="AF478" s="1016" t="n"/>
      <c r="AG478" s="153" t="n"/>
      <c r="AH478" s="153" t="n"/>
      <c r="AI478" s="18" t="n"/>
      <c r="AJ478" s="18" t="n"/>
      <c r="AK478" s="18" t="n"/>
      <c r="AL478" s="18" t="n"/>
      <c r="AM478" s="18" t="n"/>
      <c r="AN478" s="18" t="n"/>
      <c r="AO478" s="18" t="n"/>
      <c r="AP478" s="18" t="n"/>
      <c r="AQ478" s="18" t="n"/>
      <c r="AR478" s="18" t="n"/>
      <c r="AS478" s="18" t="n"/>
      <c r="AT478" s="18" t="n"/>
      <c r="AU478" s="18" t="n"/>
      <c r="AV478" s="18" t="n"/>
      <c r="AW478" s="18" t="n"/>
    </row>
    <row r="479" ht="16.4" customHeight="1" s="828">
      <c r="A479" s="18" t="n"/>
      <c r="B479" s="18" t="n"/>
      <c r="C479" s="18" t="n"/>
      <c r="D479" s="18" t="n"/>
      <c r="E479" s="1002" t="n"/>
      <c r="F479" s="18" t="n"/>
      <c r="G479" s="1002" t="n"/>
      <c r="H479" s="18" t="n"/>
      <c r="I479" s="1002" t="n"/>
      <c r="J479" s="18" t="n"/>
      <c r="K479" s="1002" t="n"/>
      <c r="L479" s="1002" t="n"/>
      <c r="M479" s="18" t="n"/>
      <c r="N479" s="153" t="n"/>
      <c r="O479" s="153" t="n"/>
      <c r="P479" s="153" t="n"/>
      <c r="Q479" s="18" t="n"/>
      <c r="R479" s="18" t="n"/>
      <c r="S479" s="18" t="n"/>
      <c r="T479" s="18" t="n"/>
      <c r="U479" s="18" t="n"/>
      <c r="V479" s="18" t="n"/>
      <c r="W479" s="18" t="n"/>
      <c r="X479" s="18" t="n"/>
      <c r="Y479" s="1002" t="n"/>
      <c r="Z479" s="18" t="n"/>
      <c r="AA479" s="1002" t="n"/>
      <c r="AB479" s="18" t="n"/>
      <c r="AC479" s="1002" t="n"/>
      <c r="AD479" s="18" t="n"/>
      <c r="AE479" s="1002" t="n"/>
      <c r="AF479" s="1016" t="n"/>
      <c r="AG479" s="153" t="n"/>
      <c r="AH479" s="153" t="n"/>
      <c r="AI479" s="18" t="n"/>
      <c r="AJ479" s="18" t="n"/>
      <c r="AK479" s="18" t="n"/>
      <c r="AL479" s="18" t="n"/>
      <c r="AM479" s="18" t="n"/>
      <c r="AN479" s="18" t="n"/>
      <c r="AO479" s="18" t="n"/>
      <c r="AP479" s="18" t="n"/>
      <c r="AQ479" s="18" t="n"/>
      <c r="AR479" s="18" t="n"/>
      <c r="AS479" s="18" t="n"/>
      <c r="AT479" s="18" t="n"/>
      <c r="AU479" s="18" t="n"/>
      <c r="AV479" s="18" t="n"/>
      <c r="AW479" s="18" t="n"/>
    </row>
    <row r="480" ht="16.4" customHeight="1" s="828">
      <c r="A480" s="18" t="n"/>
      <c r="B480" s="18" t="n"/>
      <c r="C480" s="18" t="n"/>
      <c r="D480" s="18" t="n"/>
      <c r="E480" s="1002" t="n"/>
      <c r="F480" s="18" t="n"/>
      <c r="G480" s="1002" t="n"/>
      <c r="H480" s="18" t="n"/>
      <c r="I480" s="1002" t="n"/>
      <c r="J480" s="18" t="n"/>
      <c r="K480" s="1002" t="n"/>
      <c r="L480" s="1002" t="n"/>
      <c r="M480" s="18" t="n"/>
      <c r="N480" s="153" t="n"/>
      <c r="O480" s="153" t="n"/>
      <c r="P480" s="153" t="n"/>
      <c r="Q480" s="18" t="n"/>
      <c r="R480" s="18" t="n"/>
      <c r="S480" s="18" t="n"/>
      <c r="T480" s="18" t="n"/>
      <c r="U480" s="18" t="n"/>
      <c r="V480" s="18" t="n"/>
      <c r="W480" s="18" t="n"/>
      <c r="X480" s="18" t="n"/>
      <c r="Y480" s="1002" t="n"/>
      <c r="Z480" s="18" t="n"/>
      <c r="AA480" s="1002" t="n"/>
      <c r="AB480" s="18" t="n"/>
      <c r="AC480" s="1002" t="n"/>
      <c r="AD480" s="18" t="n"/>
      <c r="AE480" s="1002" t="n"/>
      <c r="AF480" s="1016" t="n"/>
      <c r="AG480" s="153" t="n"/>
      <c r="AH480" s="153" t="n"/>
      <c r="AI480" s="18" t="n"/>
      <c r="AJ480" s="18" t="n"/>
      <c r="AK480" s="18" t="n"/>
      <c r="AL480" s="18" t="n"/>
      <c r="AM480" s="18" t="n"/>
      <c r="AN480" s="18" t="n"/>
      <c r="AO480" s="18" t="n"/>
      <c r="AP480" s="18" t="n"/>
      <c r="AQ480" s="18" t="n"/>
      <c r="AR480" s="18" t="n"/>
      <c r="AS480" s="18" t="n"/>
      <c r="AT480" s="18" t="n"/>
      <c r="AU480" s="18" t="n"/>
      <c r="AV480" s="18" t="n"/>
      <c r="AW480" s="18" t="n"/>
    </row>
    <row r="481" ht="16.4" customHeight="1" s="828">
      <c r="A481" s="18" t="n"/>
      <c r="B481" s="18" t="n"/>
      <c r="C481" s="18" t="n"/>
      <c r="D481" s="18" t="n"/>
      <c r="E481" s="1002" t="n"/>
      <c r="F481" s="18" t="n"/>
      <c r="G481" s="1002" t="n"/>
      <c r="H481" s="18" t="n"/>
      <c r="I481" s="1002" t="n"/>
      <c r="J481" s="18" t="n"/>
      <c r="K481" s="1002" t="n"/>
      <c r="L481" s="1002" t="n"/>
      <c r="M481" s="18" t="n"/>
      <c r="N481" s="153" t="n"/>
      <c r="O481" s="153" t="n"/>
      <c r="P481" s="153" t="n"/>
      <c r="Q481" s="18" t="n"/>
      <c r="R481" s="18" t="n"/>
      <c r="S481" s="18" t="n"/>
      <c r="T481" s="18" t="n"/>
      <c r="U481" s="18" t="n"/>
      <c r="V481" s="18" t="n"/>
      <c r="W481" s="18" t="n"/>
      <c r="X481" s="18" t="n"/>
      <c r="Y481" s="1002" t="n"/>
      <c r="Z481" s="18" t="n"/>
      <c r="AA481" s="1002" t="n"/>
      <c r="AB481" s="18" t="n"/>
      <c r="AC481" s="1002" t="n"/>
      <c r="AD481" s="18" t="n"/>
      <c r="AE481" s="1002" t="n"/>
      <c r="AF481" s="1016" t="n"/>
      <c r="AG481" s="153" t="n"/>
      <c r="AH481" s="153" t="n"/>
      <c r="AI481" s="18" t="n"/>
      <c r="AJ481" s="18" t="n"/>
      <c r="AK481" s="18" t="n"/>
      <c r="AL481" s="18" t="n"/>
      <c r="AM481" s="18" t="n"/>
      <c r="AN481" s="18" t="n"/>
      <c r="AO481" s="18" t="n"/>
      <c r="AP481" s="18" t="n"/>
      <c r="AQ481" s="18" t="n"/>
      <c r="AR481" s="18" t="n"/>
      <c r="AS481" s="18" t="n"/>
      <c r="AT481" s="18" t="n"/>
      <c r="AU481" s="18" t="n"/>
      <c r="AV481" s="18" t="n"/>
      <c r="AW481" s="18" t="n"/>
    </row>
    <row r="482" ht="16.4" customHeight="1" s="828">
      <c r="A482" s="18" t="n"/>
      <c r="B482" s="18" t="n"/>
      <c r="C482" s="18" t="n"/>
      <c r="D482" s="18" t="n"/>
      <c r="E482" s="1002" t="n"/>
      <c r="F482" s="18" t="n"/>
      <c r="G482" s="1002" t="n"/>
      <c r="H482" s="18" t="n"/>
      <c r="I482" s="1002" t="n"/>
      <c r="J482" s="18" t="n"/>
      <c r="K482" s="1002" t="n"/>
      <c r="L482" s="1002" t="n"/>
      <c r="M482" s="18" t="n"/>
      <c r="N482" s="153" t="n"/>
      <c r="O482" s="153" t="n"/>
      <c r="P482" s="153" t="n"/>
      <c r="Q482" s="18" t="n"/>
      <c r="R482" s="18" t="n"/>
      <c r="S482" s="18" t="n"/>
      <c r="T482" s="18" t="n"/>
      <c r="U482" s="18" t="n"/>
      <c r="V482" s="18" t="n"/>
      <c r="W482" s="18" t="n"/>
      <c r="X482" s="18" t="n"/>
      <c r="Y482" s="1002" t="n"/>
      <c r="Z482" s="18" t="n"/>
      <c r="AA482" s="1002" t="n"/>
      <c r="AB482" s="18" t="n"/>
      <c r="AC482" s="1002" t="n"/>
      <c r="AD482" s="18" t="n"/>
      <c r="AE482" s="1002" t="n"/>
      <c r="AF482" s="1016" t="n"/>
      <c r="AG482" s="153" t="n"/>
      <c r="AH482" s="153" t="n"/>
      <c r="AI482" s="18" t="n"/>
      <c r="AJ482" s="18" t="n"/>
      <c r="AK482" s="18" t="n"/>
      <c r="AL482" s="18" t="n"/>
      <c r="AM482" s="18" t="n"/>
      <c r="AN482" s="18" t="n"/>
      <c r="AO482" s="18" t="n"/>
      <c r="AP482" s="18" t="n"/>
      <c r="AQ482" s="18" t="n"/>
      <c r="AR482" s="18" t="n"/>
      <c r="AS482" s="18" t="n"/>
      <c r="AT482" s="18" t="n"/>
      <c r="AU482" s="18" t="n"/>
      <c r="AV482" s="18" t="n"/>
      <c r="AW482" s="18" t="n"/>
    </row>
    <row r="483" ht="16.4" customHeight="1" s="828">
      <c r="A483" s="18" t="n"/>
      <c r="B483" s="18" t="n"/>
      <c r="C483" s="18" t="n"/>
      <c r="D483" s="18" t="n"/>
      <c r="E483" s="1002" t="n"/>
      <c r="F483" s="18" t="n"/>
      <c r="G483" s="1002" t="n"/>
      <c r="H483" s="18" t="n"/>
      <c r="I483" s="1002" t="n"/>
      <c r="J483" s="18" t="n"/>
      <c r="K483" s="1002" t="n"/>
      <c r="L483" s="1002" t="n"/>
      <c r="M483" s="18" t="n"/>
      <c r="N483" s="153" t="n"/>
      <c r="O483" s="153" t="n"/>
      <c r="P483" s="153" t="n"/>
      <c r="Q483" s="18" t="n"/>
      <c r="R483" s="18" t="n"/>
      <c r="S483" s="18" t="n"/>
      <c r="T483" s="18" t="n"/>
      <c r="U483" s="18" t="n"/>
      <c r="V483" s="18" t="n"/>
      <c r="W483" s="18" t="n"/>
      <c r="X483" s="18" t="n"/>
      <c r="Y483" s="1002" t="n"/>
      <c r="Z483" s="18" t="n"/>
      <c r="AA483" s="1002" t="n"/>
      <c r="AB483" s="18" t="n"/>
      <c r="AC483" s="1002" t="n"/>
      <c r="AD483" s="18" t="n"/>
      <c r="AE483" s="1002" t="n"/>
      <c r="AF483" s="1016" t="n"/>
      <c r="AG483" s="153" t="n"/>
      <c r="AH483" s="153" t="n"/>
      <c r="AI483" s="18" t="n"/>
      <c r="AJ483" s="18" t="n"/>
      <c r="AK483" s="18" t="n"/>
      <c r="AL483" s="18" t="n"/>
      <c r="AM483" s="18" t="n"/>
      <c r="AN483" s="18" t="n"/>
      <c r="AO483" s="18" t="n"/>
      <c r="AP483" s="18" t="n"/>
      <c r="AQ483" s="18" t="n"/>
      <c r="AR483" s="18" t="n"/>
      <c r="AS483" s="18" t="n"/>
      <c r="AT483" s="18" t="n"/>
      <c r="AU483" s="18" t="n"/>
      <c r="AV483" s="18" t="n"/>
      <c r="AW483" s="18" t="n"/>
    </row>
    <row r="484" ht="16.4" customHeight="1" s="828">
      <c r="A484" s="18" t="n"/>
      <c r="B484" s="18" t="n"/>
      <c r="C484" s="18" t="n"/>
      <c r="D484" s="18" t="n"/>
      <c r="E484" s="1002" t="n"/>
      <c r="F484" s="18" t="n"/>
      <c r="G484" s="1002" t="n"/>
      <c r="H484" s="18" t="n"/>
      <c r="I484" s="1002" t="n"/>
      <c r="J484" s="18" t="n"/>
      <c r="K484" s="1002" t="n"/>
      <c r="L484" s="1002" t="n"/>
      <c r="M484" s="18" t="n"/>
      <c r="N484" s="153" t="n"/>
      <c r="O484" s="153" t="n"/>
      <c r="P484" s="153" t="n"/>
      <c r="Q484" s="18" t="n"/>
      <c r="R484" s="18" t="n"/>
      <c r="S484" s="18" t="n"/>
      <c r="T484" s="18" t="n"/>
      <c r="U484" s="18" t="n"/>
      <c r="V484" s="18" t="n"/>
      <c r="W484" s="18" t="n"/>
      <c r="X484" s="18" t="n"/>
      <c r="Y484" s="1002" t="n"/>
      <c r="Z484" s="18" t="n"/>
      <c r="AA484" s="1002" t="n"/>
      <c r="AB484" s="18" t="n"/>
      <c r="AC484" s="1002" t="n"/>
      <c r="AD484" s="18" t="n"/>
      <c r="AE484" s="1002" t="n"/>
      <c r="AF484" s="1016" t="n"/>
      <c r="AG484" s="153" t="n"/>
      <c r="AH484" s="153" t="n"/>
      <c r="AI484" s="18" t="n"/>
      <c r="AJ484" s="18" t="n"/>
      <c r="AK484" s="18" t="n"/>
      <c r="AL484" s="18" t="n"/>
      <c r="AM484" s="18" t="n"/>
      <c r="AN484" s="18" t="n"/>
      <c r="AO484" s="18" t="n"/>
      <c r="AP484" s="18" t="n"/>
      <c r="AQ484" s="18" t="n"/>
      <c r="AR484" s="18" t="n"/>
      <c r="AS484" s="18" t="n"/>
      <c r="AT484" s="18" t="n"/>
      <c r="AU484" s="18" t="n"/>
      <c r="AV484" s="18" t="n"/>
      <c r="AW484" s="18" t="n"/>
    </row>
    <row r="485" ht="16.4" customHeight="1" s="828">
      <c r="A485" s="18" t="n"/>
      <c r="B485" s="18" t="n"/>
      <c r="C485" s="18" t="n"/>
      <c r="D485" s="18" t="n"/>
      <c r="E485" s="1002" t="n"/>
      <c r="F485" s="18" t="n"/>
      <c r="G485" s="1002" t="n"/>
      <c r="H485" s="18" t="n"/>
      <c r="I485" s="1002" t="n"/>
      <c r="J485" s="18" t="n"/>
      <c r="K485" s="1002" t="n"/>
      <c r="L485" s="1002" t="n"/>
      <c r="M485" s="18" t="n"/>
      <c r="N485" s="153" t="n"/>
      <c r="O485" s="153" t="n"/>
      <c r="P485" s="153" t="n"/>
      <c r="Q485" s="18" t="n"/>
      <c r="R485" s="18" t="n"/>
      <c r="S485" s="18" t="n"/>
      <c r="T485" s="18" t="n"/>
      <c r="U485" s="18" t="n"/>
      <c r="V485" s="18" t="n"/>
      <c r="W485" s="18" t="n"/>
      <c r="X485" s="18" t="n"/>
      <c r="Y485" s="1002" t="n"/>
      <c r="Z485" s="18" t="n"/>
      <c r="AA485" s="1002" t="n"/>
      <c r="AB485" s="18" t="n"/>
      <c r="AC485" s="1002" t="n"/>
      <c r="AD485" s="18" t="n"/>
      <c r="AE485" s="1002" t="n"/>
      <c r="AF485" s="1016" t="n"/>
      <c r="AG485" s="153" t="n"/>
      <c r="AH485" s="153" t="n"/>
      <c r="AI485" s="18" t="n"/>
      <c r="AJ485" s="18" t="n"/>
      <c r="AK485" s="18" t="n"/>
      <c r="AL485" s="18" t="n"/>
      <c r="AM485" s="18" t="n"/>
      <c r="AN485" s="18" t="n"/>
      <c r="AO485" s="18" t="n"/>
      <c r="AP485" s="18" t="n"/>
      <c r="AQ485" s="18" t="n"/>
      <c r="AR485" s="18" t="n"/>
      <c r="AS485" s="18" t="n"/>
      <c r="AT485" s="18" t="n"/>
      <c r="AU485" s="18" t="n"/>
      <c r="AV485" s="18" t="n"/>
      <c r="AW485" s="18" t="n"/>
    </row>
    <row r="486" ht="16.4" customHeight="1" s="828">
      <c r="A486" s="18" t="n"/>
      <c r="B486" s="18" t="n"/>
      <c r="C486" s="18" t="n"/>
      <c r="D486" s="18" t="n"/>
      <c r="E486" s="1002" t="n"/>
      <c r="F486" s="18" t="n"/>
      <c r="G486" s="1002" t="n"/>
      <c r="H486" s="18" t="n"/>
      <c r="I486" s="1002" t="n"/>
      <c r="J486" s="18" t="n"/>
      <c r="K486" s="1002" t="n"/>
      <c r="L486" s="1002" t="n"/>
      <c r="M486" s="18" t="n"/>
      <c r="N486" s="153" t="n"/>
      <c r="O486" s="153" t="n"/>
      <c r="P486" s="153" t="n"/>
      <c r="Q486" s="18" t="n"/>
      <c r="R486" s="18" t="n"/>
      <c r="S486" s="18" t="n"/>
      <c r="T486" s="18" t="n"/>
      <c r="U486" s="18" t="n"/>
      <c r="V486" s="18" t="n"/>
      <c r="W486" s="18" t="n"/>
      <c r="X486" s="18" t="n"/>
      <c r="Y486" s="1002" t="n"/>
      <c r="Z486" s="18" t="n"/>
      <c r="AA486" s="1002" t="n"/>
      <c r="AB486" s="18" t="n"/>
      <c r="AC486" s="1002" t="n"/>
      <c r="AD486" s="18" t="n"/>
      <c r="AE486" s="1002" t="n"/>
      <c r="AF486" s="1016" t="n"/>
      <c r="AG486" s="153" t="n"/>
      <c r="AH486" s="153" t="n"/>
      <c r="AI486" s="18" t="n"/>
      <c r="AJ486" s="18" t="n"/>
      <c r="AK486" s="18" t="n"/>
      <c r="AL486" s="18" t="n"/>
      <c r="AM486" s="18" t="n"/>
      <c r="AN486" s="18" t="n"/>
      <c r="AO486" s="18" t="n"/>
      <c r="AP486" s="18" t="n"/>
      <c r="AQ486" s="18" t="n"/>
      <c r="AR486" s="18" t="n"/>
      <c r="AS486" s="18" t="n"/>
      <c r="AT486" s="18" t="n"/>
      <c r="AU486" s="18" t="n"/>
      <c r="AV486" s="18" t="n"/>
      <c r="AW486" s="18" t="n"/>
    </row>
    <row r="487" ht="16.4" customHeight="1" s="828">
      <c r="A487" s="18" t="n"/>
      <c r="B487" s="18" t="n"/>
      <c r="C487" s="18" t="n"/>
      <c r="D487" s="18" t="n"/>
      <c r="E487" s="1002" t="n"/>
      <c r="F487" s="18" t="n"/>
      <c r="G487" s="1002" t="n"/>
      <c r="H487" s="18" t="n"/>
      <c r="I487" s="1002" t="n"/>
      <c r="J487" s="18" t="n"/>
      <c r="K487" s="1002" t="n"/>
      <c r="L487" s="1002" t="n"/>
      <c r="M487" s="18" t="n"/>
      <c r="N487" s="153" t="n"/>
      <c r="O487" s="153" t="n"/>
      <c r="P487" s="153" t="n"/>
      <c r="Q487" s="18" t="n"/>
      <c r="R487" s="18" t="n"/>
      <c r="S487" s="18" t="n"/>
      <c r="T487" s="18" t="n"/>
      <c r="U487" s="18" t="n"/>
      <c r="V487" s="18" t="n"/>
      <c r="W487" s="18" t="n"/>
      <c r="X487" s="18" t="n"/>
      <c r="Y487" s="1002" t="n"/>
      <c r="Z487" s="18" t="n"/>
      <c r="AA487" s="1002" t="n"/>
      <c r="AB487" s="18" t="n"/>
      <c r="AC487" s="1002" t="n"/>
      <c r="AD487" s="18" t="n"/>
      <c r="AE487" s="1002" t="n"/>
      <c r="AF487" s="1016" t="n"/>
      <c r="AG487" s="153" t="n"/>
      <c r="AH487" s="153" t="n"/>
      <c r="AI487" s="18" t="n"/>
      <c r="AJ487" s="18" t="n"/>
      <c r="AK487" s="18" t="n"/>
      <c r="AL487" s="18" t="n"/>
      <c r="AM487" s="18" t="n"/>
      <c r="AN487" s="18" t="n"/>
      <c r="AO487" s="18" t="n"/>
      <c r="AP487" s="18" t="n"/>
      <c r="AQ487" s="18" t="n"/>
      <c r="AR487" s="18" t="n"/>
      <c r="AS487" s="18" t="n"/>
      <c r="AT487" s="18" t="n"/>
      <c r="AU487" s="18" t="n"/>
      <c r="AV487" s="18" t="n"/>
      <c r="AW487" s="18" t="n"/>
    </row>
    <row r="488" ht="16.4" customHeight="1" s="828">
      <c r="A488" s="18" t="n"/>
      <c r="B488" s="18" t="n"/>
      <c r="C488" s="18" t="n"/>
      <c r="D488" s="18" t="n"/>
      <c r="E488" s="1002" t="n"/>
      <c r="F488" s="18" t="n"/>
      <c r="G488" s="1002" t="n"/>
      <c r="H488" s="18" t="n"/>
      <c r="I488" s="1002" t="n"/>
      <c r="J488" s="18" t="n"/>
      <c r="K488" s="1002" t="n"/>
      <c r="L488" s="1002" t="n"/>
      <c r="M488" s="18" t="n"/>
      <c r="N488" s="153" t="n"/>
      <c r="O488" s="153" t="n"/>
      <c r="P488" s="153" t="n"/>
      <c r="Q488" s="18" t="n"/>
      <c r="R488" s="18" t="n"/>
      <c r="S488" s="18" t="n"/>
      <c r="T488" s="18" t="n"/>
      <c r="U488" s="18" t="n"/>
      <c r="V488" s="18" t="n"/>
      <c r="W488" s="18" t="n"/>
      <c r="X488" s="18" t="n"/>
      <c r="Y488" s="1002" t="n"/>
      <c r="Z488" s="18" t="n"/>
      <c r="AA488" s="1002" t="n"/>
      <c r="AB488" s="18" t="n"/>
      <c r="AC488" s="1002" t="n"/>
      <c r="AD488" s="18" t="n"/>
      <c r="AE488" s="1002" t="n"/>
      <c r="AF488" s="1016" t="n"/>
      <c r="AG488" s="153" t="n"/>
      <c r="AH488" s="153" t="n"/>
      <c r="AI488" s="18" t="n"/>
      <c r="AJ488" s="18" t="n"/>
      <c r="AK488" s="18" t="n"/>
      <c r="AL488" s="18" t="n"/>
      <c r="AM488" s="18" t="n"/>
      <c r="AN488" s="18" t="n"/>
      <c r="AO488" s="18" t="n"/>
      <c r="AP488" s="18" t="n"/>
      <c r="AQ488" s="18" t="n"/>
      <c r="AR488" s="18" t="n"/>
      <c r="AS488" s="18" t="n"/>
      <c r="AT488" s="18" t="n"/>
      <c r="AU488" s="18" t="n"/>
      <c r="AV488" s="18" t="n"/>
      <c r="AW488" s="18" t="n"/>
    </row>
    <row r="489" ht="16.4" customHeight="1" s="828">
      <c r="A489" s="18" t="n"/>
      <c r="B489" s="18" t="n"/>
      <c r="C489" s="18" t="n"/>
      <c r="D489" s="18" t="n"/>
      <c r="E489" s="1002" t="n"/>
      <c r="F489" s="18" t="n"/>
      <c r="G489" s="1002" t="n"/>
      <c r="H489" s="18" t="n"/>
      <c r="I489" s="1002" t="n"/>
      <c r="J489" s="18" t="n"/>
      <c r="K489" s="1002" t="n"/>
      <c r="L489" s="1002" t="n"/>
      <c r="M489" s="18" t="n"/>
      <c r="N489" s="153" t="n"/>
      <c r="O489" s="153" t="n"/>
      <c r="P489" s="153" t="n"/>
      <c r="Q489" s="18" t="n"/>
      <c r="R489" s="18" t="n"/>
      <c r="S489" s="18" t="n"/>
      <c r="T489" s="18" t="n"/>
      <c r="U489" s="18" t="n"/>
      <c r="V489" s="18" t="n"/>
      <c r="W489" s="18" t="n"/>
      <c r="X489" s="18" t="n"/>
      <c r="Y489" s="1002" t="n"/>
      <c r="Z489" s="18" t="n"/>
      <c r="AA489" s="1002" t="n"/>
      <c r="AB489" s="18" t="n"/>
      <c r="AC489" s="1002" t="n"/>
      <c r="AD489" s="18" t="n"/>
      <c r="AE489" s="1002" t="n"/>
      <c r="AF489" s="1016" t="n"/>
      <c r="AG489" s="153" t="n"/>
      <c r="AH489" s="153" t="n"/>
      <c r="AI489" s="18" t="n"/>
      <c r="AJ489" s="18" t="n"/>
      <c r="AK489" s="18" t="n"/>
      <c r="AL489" s="18" t="n"/>
      <c r="AM489" s="18" t="n"/>
      <c r="AN489" s="18" t="n"/>
      <c r="AO489" s="18" t="n"/>
      <c r="AP489" s="18" t="n"/>
      <c r="AQ489" s="18" t="n"/>
      <c r="AR489" s="18" t="n"/>
      <c r="AS489" s="18" t="n"/>
      <c r="AT489" s="18" t="n"/>
      <c r="AU489" s="18" t="n"/>
      <c r="AV489" s="18" t="n"/>
      <c r="AW489" s="18" t="n"/>
    </row>
    <row r="490" ht="16.4" customHeight="1" s="828">
      <c r="A490" s="18" t="n"/>
      <c r="B490" s="18" t="n"/>
      <c r="C490" s="18" t="n"/>
      <c r="D490" s="18" t="n"/>
      <c r="E490" s="1002" t="n"/>
      <c r="F490" s="18" t="n"/>
      <c r="G490" s="1002" t="n"/>
      <c r="H490" s="18" t="n"/>
      <c r="I490" s="1002" t="n"/>
      <c r="J490" s="18" t="n"/>
      <c r="K490" s="1002" t="n"/>
      <c r="L490" s="1002" t="n"/>
      <c r="M490" s="18" t="n"/>
      <c r="N490" s="153" t="n"/>
      <c r="O490" s="153" t="n"/>
      <c r="P490" s="153" t="n"/>
      <c r="Q490" s="18" t="n"/>
      <c r="R490" s="18" t="n"/>
      <c r="S490" s="18" t="n"/>
      <c r="T490" s="18" t="n"/>
      <c r="U490" s="18" t="n"/>
      <c r="V490" s="18" t="n"/>
      <c r="W490" s="18" t="n"/>
      <c r="X490" s="18" t="n"/>
      <c r="Y490" s="1002" t="n"/>
      <c r="Z490" s="18" t="n"/>
      <c r="AA490" s="1002" t="n"/>
      <c r="AB490" s="18" t="n"/>
      <c r="AC490" s="1002" t="n"/>
      <c r="AD490" s="18" t="n"/>
      <c r="AE490" s="1002" t="n"/>
      <c r="AF490" s="1016" t="n"/>
      <c r="AG490" s="153" t="n"/>
      <c r="AH490" s="153" t="n"/>
      <c r="AI490" s="18" t="n"/>
      <c r="AJ490" s="18" t="n"/>
      <c r="AK490" s="18" t="n"/>
      <c r="AL490" s="18" t="n"/>
      <c r="AM490" s="18" t="n"/>
      <c r="AN490" s="18" t="n"/>
      <c r="AO490" s="18" t="n"/>
      <c r="AP490" s="18" t="n"/>
      <c r="AQ490" s="18" t="n"/>
      <c r="AR490" s="18" t="n"/>
      <c r="AS490" s="18" t="n"/>
      <c r="AT490" s="18" t="n"/>
      <c r="AU490" s="18" t="n"/>
      <c r="AV490" s="18" t="n"/>
      <c r="AW490" s="18" t="n"/>
    </row>
    <row r="491">
      <c r="A491" s="18" t="n"/>
    </row>
    <row r="492">
      <c r="A492" s="18" t="n"/>
    </row>
    <row r="493">
      <c r="A493" s="18" t="n"/>
    </row>
  </sheetData>
  <mergeCells count="17">
    <mergeCell ref="C13:I13"/>
    <mergeCell ref="AD1:AI1"/>
    <mergeCell ref="M1:S1"/>
    <mergeCell ref="AR1:AW1"/>
    <mergeCell ref="A12:AW12"/>
    <mergeCell ref="AK1:AP1"/>
    <mergeCell ref="I10:J10"/>
    <mergeCell ref="W1:AB1"/>
    <mergeCell ref="M13:S13"/>
    <mergeCell ref="AK13:AP13"/>
    <mergeCell ref="B10:C10"/>
    <mergeCell ref="J1:K1"/>
    <mergeCell ref="AR13:AW13"/>
    <mergeCell ref="AD13:AI13"/>
    <mergeCell ref="C1:I1"/>
    <mergeCell ref="J13:K13"/>
    <mergeCell ref="W13:AB13"/>
  </mergeCells>
  <printOptions gridLines="1" gridLinesSet="0"/>
  <pageMargins left="0.75" right="0.75" top="1" bottom="1" header="0.5" footer="0.5"/>
  <pageSetup orientation="portrait" paperSize="9" scale="13" horizontalDpi="4294967292"/>
</worksheet>
</file>

<file path=xl/worksheets/sheet10.xml><?xml version="1.0" encoding="utf-8"?>
<worksheet xmlns="http://schemas.openxmlformats.org/spreadsheetml/2006/main">
  <sheetPr codeName="Sheet15">
    <tabColor rgb="FF00B0F0"/>
    <outlinePr summaryBelow="1" summaryRight="1"/>
    <pageSetUpPr/>
  </sheetPr>
  <dimension ref="A1:AC415"/>
  <sheetViews>
    <sheetView workbookViewId="0">
      <selection activeCell="M9" sqref="M9"/>
    </sheetView>
  </sheetViews>
  <sheetFormatPr baseColWidth="8" defaultColWidth="8.54296875" defaultRowHeight="12.5"/>
  <cols>
    <col width="14.1796875" customWidth="1" style="20" min="1" max="1"/>
    <col width="8.54296875" customWidth="1" style="20" min="2" max="2"/>
    <col width="8.54296875" customWidth="1" style="978" min="3" max="4"/>
    <col width="10.54296875" customWidth="1" style="20" min="5" max="5"/>
    <col width="11.453125" customWidth="1" style="978" min="6" max="6"/>
    <col width="8.54296875" customWidth="1" style="978" min="7" max="7"/>
    <col width="8.54296875" customWidth="1" style="20" min="8" max="8"/>
    <col width="8.54296875" customWidth="1" style="978" min="9" max="9"/>
    <col width="9.453125" customWidth="1" style="978" min="10" max="10"/>
    <col width="8.54296875" customWidth="1" style="20" min="11" max="11"/>
    <col width="8.54296875" customWidth="1" style="978" min="12" max="12"/>
    <col width="14.1796875" customWidth="1" style="978" min="13" max="13"/>
    <col width="7.54296875" customWidth="1" style="20" min="14" max="14"/>
    <col width="8.54296875" customWidth="1" style="978" min="15" max="16"/>
    <col width="8.54296875" customWidth="1" style="20" min="17" max="17"/>
    <col width="8.54296875" customWidth="1" style="978" min="18" max="19"/>
    <col width="8.54296875" customWidth="1" style="20" min="20" max="20"/>
    <col width="8.54296875" customWidth="1" style="978" min="21" max="22"/>
    <col width="8.54296875" customWidth="1" style="20" min="23" max="23"/>
    <col width="8.54296875" customWidth="1" style="978" min="24" max="25"/>
    <col width="8.54296875" customWidth="1" style="20" min="26" max="26"/>
    <col width="8.54296875" customWidth="1" style="978" min="27" max="28"/>
    <col width="8.54296875" customWidth="1" style="20" min="29" max="16384"/>
  </cols>
  <sheetData>
    <row r="1">
      <c r="B1" s="849" t="inlineStr">
        <is>
          <t>Whole Economy</t>
        </is>
      </c>
      <c r="C1" s="1004" t="n"/>
      <c r="D1" s="489" t="n"/>
      <c r="E1" s="849" t="inlineStr">
        <is>
          <t>Private sector3 4 5</t>
        </is>
      </c>
      <c r="F1" s="1004" t="n"/>
      <c r="G1" s="489" t="n"/>
      <c r="H1" s="849" t="inlineStr">
        <is>
          <t>Public sector3 4 5</t>
        </is>
      </c>
      <c r="I1" s="1004" t="n"/>
      <c r="J1" s="489" t="n"/>
      <c r="K1" s="849" t="inlineStr">
        <is>
          <t xml:space="preserve">Services, SIC 2007 sections G-S </t>
        </is>
      </c>
      <c r="L1" s="1004" t="n"/>
      <c r="M1" s="489" t="n"/>
      <c r="N1" s="849" t="inlineStr">
        <is>
          <t>Finance and business services,
SIC 2007 sections K-N</t>
        </is>
      </c>
      <c r="O1" s="1004" t="n"/>
      <c r="P1" s="489" t="n"/>
      <c r="Q1" s="849" t="inlineStr">
        <is>
          <t>Public sector excluding financial services 4 5</t>
        </is>
      </c>
      <c r="R1" s="1004" t="n"/>
      <c r="S1" s="489" t="n"/>
      <c r="T1" s="849" t="inlineStr">
        <is>
          <t xml:space="preserve">Manufacturing, SIC 2007 section C </t>
        </is>
      </c>
      <c r="U1" s="1004" t="n"/>
      <c r="V1" s="489" t="n"/>
      <c r="W1" s="849" t="inlineStr">
        <is>
          <t>Construction, SIC 2007 section F</t>
        </is>
      </c>
      <c r="X1" s="1004" t="n"/>
      <c r="Y1" s="489" t="n"/>
      <c r="Z1" s="849" t="inlineStr">
        <is>
          <t xml:space="preserve">Wholesaling, retailing, hotels &amp; restaurants, SIC 2007 sections G &amp; I </t>
        </is>
      </c>
      <c r="AA1" s="1004" t="n"/>
      <c r="AB1" s="489" t="n"/>
    </row>
    <row r="2">
      <c r="B2" s="848" t="inlineStr">
        <is>
          <t>Weekly Earnings     (£)</t>
        </is>
      </c>
      <c r="C2" s="847" t="inlineStr">
        <is>
          <t>% changes year on year</t>
        </is>
      </c>
      <c r="D2" s="489" t="n"/>
      <c r="E2" s="848" t="inlineStr">
        <is>
          <t>Weekly Earnings      (£)</t>
        </is>
      </c>
      <c r="F2" s="847" t="inlineStr">
        <is>
          <t>% changes year on year</t>
        </is>
      </c>
      <c r="G2" s="489" t="n"/>
      <c r="H2" s="848" t="inlineStr">
        <is>
          <t>Weekly Earnings      (£)</t>
        </is>
      </c>
      <c r="I2" s="847" t="inlineStr">
        <is>
          <t>% changes year on year</t>
        </is>
      </c>
      <c r="J2" s="489" t="n"/>
      <c r="K2" s="848" t="inlineStr">
        <is>
          <t>Weekly Earnings      (£)</t>
        </is>
      </c>
      <c r="L2" s="847" t="inlineStr">
        <is>
          <t>% changes year on year</t>
        </is>
      </c>
      <c r="M2" s="489" t="n"/>
      <c r="N2" s="848" t="inlineStr">
        <is>
          <t>Weekly Earnings      (£)</t>
        </is>
      </c>
      <c r="O2" s="847" t="inlineStr">
        <is>
          <t>% changes year on year</t>
        </is>
      </c>
      <c r="P2" s="489" t="n"/>
      <c r="Q2" s="848" t="inlineStr">
        <is>
          <t>Weekly Earnings      (£)</t>
        </is>
      </c>
      <c r="R2" s="847" t="inlineStr">
        <is>
          <t>% changes year on year</t>
        </is>
      </c>
      <c r="S2" s="489" t="n"/>
      <c r="T2" s="848" t="inlineStr">
        <is>
          <t>Weekly Earnings      (£)</t>
        </is>
      </c>
      <c r="U2" s="847" t="inlineStr">
        <is>
          <t>% changes year on year</t>
        </is>
      </c>
      <c r="V2" s="489" t="n"/>
      <c r="W2" s="848" t="inlineStr">
        <is>
          <t>Weekly Earnings      (£)</t>
        </is>
      </c>
      <c r="X2" s="847" t="inlineStr">
        <is>
          <t>% changes year on year</t>
        </is>
      </c>
      <c r="Y2" s="489" t="n"/>
      <c r="Z2" s="848" t="inlineStr">
        <is>
          <t>Weekly Earnings      (£)</t>
        </is>
      </c>
      <c r="AA2" s="847" t="inlineStr">
        <is>
          <t>% changes year on year</t>
        </is>
      </c>
      <c r="AB2" s="489" t="n"/>
    </row>
    <row r="3" ht="20" customHeight="1" s="828" thickBot="1">
      <c r="B3" s="876" t="n"/>
      <c r="C3" s="420" t="inlineStr">
        <is>
          <t>Single month</t>
        </is>
      </c>
      <c r="D3" s="451" t="inlineStr">
        <is>
          <t>3 month average 2</t>
        </is>
      </c>
      <c r="E3" s="876" t="n"/>
      <c r="F3" s="420" t="inlineStr">
        <is>
          <t>Single month</t>
        </is>
      </c>
      <c r="G3" s="420" t="inlineStr">
        <is>
          <t>3 month average 2</t>
        </is>
      </c>
      <c r="H3" s="876" t="n"/>
      <c r="I3" s="420" t="inlineStr">
        <is>
          <t>Single month</t>
        </is>
      </c>
      <c r="J3" s="420" t="inlineStr">
        <is>
          <t>3 month average 2</t>
        </is>
      </c>
      <c r="K3" s="876" t="n"/>
      <c r="L3" s="420" t="inlineStr">
        <is>
          <t>Single month</t>
        </is>
      </c>
      <c r="M3" s="451" t="inlineStr">
        <is>
          <t>3 month average 2</t>
        </is>
      </c>
      <c r="N3" s="876" t="n"/>
      <c r="O3" s="420" t="inlineStr">
        <is>
          <t>Single month</t>
        </is>
      </c>
      <c r="P3" s="420" t="inlineStr">
        <is>
          <t>3 month average 2</t>
        </is>
      </c>
      <c r="Q3" s="876" t="n"/>
      <c r="R3" s="420" t="inlineStr">
        <is>
          <t>Single month</t>
        </is>
      </c>
      <c r="S3" s="420" t="inlineStr">
        <is>
          <t>3 month average 2</t>
        </is>
      </c>
      <c r="T3" s="876" t="n"/>
      <c r="U3" s="420" t="inlineStr">
        <is>
          <t>Single month</t>
        </is>
      </c>
      <c r="V3" s="420" t="inlineStr">
        <is>
          <t>3 month average 2</t>
        </is>
      </c>
      <c r="W3" s="876" t="n"/>
      <c r="X3" s="420" t="inlineStr">
        <is>
          <t>Single month</t>
        </is>
      </c>
      <c r="Y3" s="420" t="inlineStr">
        <is>
          <t>3 month average 2</t>
        </is>
      </c>
      <c r="Z3" s="876" t="n"/>
      <c r="AA3" s="420" t="inlineStr">
        <is>
          <t>Single month</t>
        </is>
      </c>
      <c r="AB3" s="420" t="inlineStr">
        <is>
          <t>3 month average 2</t>
        </is>
      </c>
    </row>
    <row r="4" ht="26.5" customHeight="1" s="828" thickBot="1">
      <c r="A4" s="419" t="inlineStr">
        <is>
          <t>Current (3mo avg)</t>
        </is>
      </c>
      <c r="B4" s="1026">
        <f>(AVERAGE(OFFSET(INDEX(B$18:B$1048576,COUNTA(B$18:B$1048576)),-2,0,3,1)))</f>
        <v/>
      </c>
      <c r="C4" s="1027">
        <f t="array" ref="C4">INDEX(C$30:C$1048576,COUNTA(C$30:C$1048576))</f>
        <v/>
      </c>
      <c r="D4" s="1028">
        <f t="array" ref="D4">INDEX(D$32:D$1048576,COUNTA(D$32:D$1048576))</f>
        <v/>
      </c>
      <c r="E4" s="1029">
        <f>(AVERAGE(OFFSET(INDEX(E$18:E$1048576,COUNTA(E$18:E$1048576)),-2,0,3,1)))</f>
        <v/>
      </c>
      <c r="F4" s="1030">
        <f t="array" ref="F4">INDEX(F$30:F$1048576,COUNTA(F$30:F$1048576))</f>
        <v/>
      </c>
      <c r="G4" s="1030">
        <f t="array" ref="G4">INDEX(G$32:G$1048576,COUNTA(G$32:G$1048576))</f>
        <v/>
      </c>
      <c r="H4" s="1026">
        <f>(AVERAGE(OFFSET(INDEX(H$18:H$1048576,COUNTA(H$18:H$1048576)),-2,0,3,1)))</f>
        <v/>
      </c>
      <c r="I4" s="1030">
        <f t="array" ref="I4">INDEX(I$30:I$1048576,COUNTA(I$30:I$1048576))</f>
        <v/>
      </c>
      <c r="J4" s="1030">
        <f t="array" ref="J4">INDEX(J$32:J$1048576,COUNTA(J$32:J$1048576))</f>
        <v/>
      </c>
      <c r="K4" s="1031">
        <f>(AVERAGE(OFFSET(INDEX(K$18:K$1048576,COUNTA(K$18:K$1048576)),-2,0,3,1)))</f>
        <v/>
      </c>
      <c r="L4" s="1032">
        <f t="array" ref="L4">INDEX(L$30:L$1048576,COUNTA(L$30:L$1048576))</f>
        <v/>
      </c>
      <c r="M4" s="1033">
        <f t="array" ref="M4">INDEX(M$32:M$1048576,COUNTA(M$32:M$1048576))</f>
        <v/>
      </c>
      <c r="N4" s="1034">
        <f>(AVERAGE(OFFSET(INDEX(N$18:N$1048576,COUNTA(N$18:N$1048576)),-2,0,3,1)))</f>
        <v/>
      </c>
      <c r="O4" s="1006">
        <f t="array" ref="O4">INDEX(O$30:O$1048576,COUNTA(O$30:O$1048576))</f>
        <v/>
      </c>
      <c r="P4" s="1006">
        <f t="array" ref="P4">INDEX(P$32:P$1048576,COUNTA(P$32:P$1048576))</f>
        <v/>
      </c>
      <c r="Q4" s="1031">
        <f>(AVERAGE(OFFSET(INDEX(Q$18:Q$1048576,COUNTA(Q$18:Q$1048576)),-2,0,3,1)))</f>
        <v/>
      </c>
      <c r="R4" s="1006">
        <f t="array" ref="R4">INDEX(R$30:R$1048576,COUNTA(R$30:R$1048576))</f>
        <v/>
      </c>
      <c r="S4" s="1006">
        <f t="array" ref="S4">INDEX(S$32:S$1048576,COUNTA(S$32:S$1048576))</f>
        <v/>
      </c>
      <c r="T4" s="1031">
        <f>(AVERAGE(OFFSET(INDEX(T$18:T$1048576,COUNTA(T$18:T$1048576)),-2,0,3,1)))</f>
        <v/>
      </c>
      <c r="U4" s="1006">
        <f t="array" ref="U4">INDEX(U$30:U$1048576,COUNTA(U$30:U$1048576))</f>
        <v/>
      </c>
      <c r="V4" s="1006">
        <f t="array" ref="V4">INDEX(V$32:V$1048576,COUNTA(V$32:V$1048576))</f>
        <v/>
      </c>
      <c r="W4" s="1031">
        <f>(AVERAGE(OFFSET(INDEX(W$18:W$1048576,COUNTA(W$18:W$1048576)),-2,0,3,1)))</f>
        <v/>
      </c>
      <c r="X4" s="1006">
        <f t="array" ref="X4">INDEX(X$30:X$1048576,COUNTA(X$30:X$1048576))</f>
        <v/>
      </c>
      <c r="Y4" s="1006">
        <f t="array" ref="Y4">INDEX(Y$32:Y$1048576,COUNTA(Y$32:Y$1048576))</f>
        <v/>
      </c>
      <c r="Z4" s="1031">
        <f>(AVERAGE(OFFSET(INDEX(Z$18:Z$1048576,COUNTA(Z$18:Z$1048576)),-2,0,3,1)))</f>
        <v/>
      </c>
      <c r="AA4" s="1006">
        <f t="array" ref="AA4">INDEX(AA$30:AA$1048576,COUNTA(AA$30:AA$1048576))</f>
        <v/>
      </c>
      <c r="AB4" s="1006">
        <f t="array" ref="AB4">INDEX(AB$32:AB$1048576,COUNTA(AB$32:AB$1048576))</f>
        <v/>
      </c>
    </row>
    <row r="5" ht="26" customHeight="1" s="828">
      <c r="A5" s="419" t="inlineStr">
        <is>
          <t>Change on quarter</t>
        </is>
      </c>
      <c r="B5" s="1031">
        <f>(AVERAGE(OFFSET(INDEX(B$18:B$1048576,COUNTA(B$18:B$1048576)),-2,0,3,1))-AVERAGE(OFFSET(INDEX(B$18:B$1048576,COUNTA(B$18:B$1048576)),-5,0,3,1)))*52</f>
        <v/>
      </c>
      <c r="C5" s="1006">
        <f t="array" ref="C5">INDEX(C$30:C$1048576,COUNTA(C$30:C$1048576))-INDEX(C$30:C$1048576,COUNTA(C$30:C$1048576)-3)</f>
        <v/>
      </c>
      <c r="D5" s="1035">
        <f t="array" ref="D5">INDEX(D$32:D$1048576,COUNTA(D$32:D$1048576))-INDEX(D$32:D$1048576,COUNTA(D$32:D$1048576)-3)</f>
        <v/>
      </c>
      <c r="E5" s="1031">
        <f>(AVERAGE(OFFSET(INDEX(E$18:E$1048576,COUNTA(E$18:E$1048576)),-2,0,3,1))-AVERAGE(OFFSET(INDEX(E$18:E$1048576,COUNTA(E$18:E$1048576)),-5,0,3,1)))*52</f>
        <v/>
      </c>
      <c r="F5" s="1006">
        <f t="array" ref="F5">INDEX(F$30:F$1048576,COUNTA(F$30:F$1048576))-INDEX(F$30:F$1048576,COUNTA(F$30:F$1048576)-3)</f>
        <v/>
      </c>
      <c r="G5" s="1006">
        <f t="array" ref="G5">INDEX(G$32:G$1048576,COUNTA(G$32:G$1048576))-INDEX(G$32:G$1048576,COUNTA(G$32:G$1048576)-3)</f>
        <v/>
      </c>
      <c r="H5" s="1031">
        <f>(AVERAGE(OFFSET(INDEX(H$18:H$1048576,COUNTA(H$18:H$1048576)),-2,0,3,1))-AVERAGE(OFFSET(INDEX(H$18:H$1048576,COUNTA(H$18:H$1048576)),-5,0,3,1)))*52</f>
        <v/>
      </c>
      <c r="I5" s="1006">
        <f t="array" ref="I5">INDEX(I$30:I$1048576,COUNTA(I$30:I$1048576))-INDEX(I$30:I$1048576,COUNTA(I$30:I$1048576)-3)</f>
        <v/>
      </c>
      <c r="J5" s="1006">
        <f t="array" ref="J5">INDEX(J$32:J$1048576,COUNTA(J$32:J$1048576))-INDEX(J$32:J$1048576,COUNTA(J$32:J$1048576)-3)</f>
        <v/>
      </c>
      <c r="K5" s="1031">
        <f>(AVERAGE(OFFSET(INDEX(K$18:K$1048576,COUNTA(K$18:K$1048576)),-2,0,3,1))-AVERAGE(OFFSET(INDEX(K$18:K$1048576,COUNTA(K$18:K$1048576)),-5,0,3,1)))*52</f>
        <v/>
      </c>
      <c r="L5" s="1006">
        <f t="array" ref="L5">INDEX(L$30:L$1048576,COUNTA(L$30:L$1048576))-INDEX(L$30:L$1048576,COUNTA(L$30:L$1048576)-3)</f>
        <v/>
      </c>
      <c r="M5" s="1035">
        <f t="array" ref="M5">INDEX(M$32:M$1048576,COUNTA(M$32:M$1048576))-INDEX(M$32:M$1048576,COUNTA(M$32:M$1048576)-3)</f>
        <v/>
      </c>
      <c r="N5" s="1031">
        <f>(AVERAGE(OFFSET(INDEX(N$18:N$1048576,COUNTA(N$18:N$1048576)),-2,0,3,1))-AVERAGE(OFFSET(INDEX(N$18:N$1048576,COUNTA(N$18:N$1048576)),-5,0,3,1)))*52</f>
        <v/>
      </c>
      <c r="O5" s="1006">
        <f t="array" ref="O5">INDEX(O$30:O$1048576,COUNTA(O$30:O$1048576))-INDEX(O$30:O$1048576,COUNTA(O$30:O$1048576)-3)</f>
        <v/>
      </c>
      <c r="P5" s="1006">
        <f t="array" ref="P5">INDEX(P$32:P$1048576,COUNTA(P$32:P$1048576))-INDEX(P$32:P$1048576,COUNTA(P$32:P$1048576)-3)</f>
        <v/>
      </c>
      <c r="Q5" s="1031">
        <f>(AVERAGE(OFFSET(INDEX(Q$18:Q$1048576,COUNTA(Q$18:Q$1048576)),-2,0,3,1))-AVERAGE(OFFSET(INDEX(Q$18:Q$1048576,COUNTA(Q$18:Q$1048576)),-5,0,3,1)))*52</f>
        <v/>
      </c>
      <c r="R5" s="1006">
        <f t="array" ref="R5">INDEX(R$30:R$1048576,COUNTA(R$30:R$1048576))-INDEX(R$30:R$1048576,COUNTA(R$30:R$1048576)-3)</f>
        <v/>
      </c>
      <c r="S5" s="1006">
        <f t="array" ref="S5">INDEX(S$32:S$1048576,COUNTA(S$32:S$1048576))-INDEX(S$32:S$1048576,COUNTA(S$32:S$1048576)-3)</f>
        <v/>
      </c>
      <c r="T5" s="1031">
        <f>(AVERAGE(OFFSET(INDEX(T$18:T$1048576,COUNTA(T$18:T$1048576)),-2,0,3,1))-AVERAGE(OFFSET(INDEX(T$18:T$1048576,COUNTA(T$18:T$1048576)),-5,0,3,1)))*52</f>
        <v/>
      </c>
      <c r="U5" s="1006">
        <f t="array" ref="U5">INDEX(U$30:U$1048576,COUNTA(U$30:U$1048576))-INDEX(U$30:U$1048576,COUNTA(U$30:U$1048576)-3)</f>
        <v/>
      </c>
      <c r="V5" s="1006">
        <f t="array" ref="V5">INDEX(V$32:V$1048576,COUNTA(V$32:V$1048576))-INDEX(V$32:V$1048576,COUNTA(V$32:V$1048576)-3)</f>
        <v/>
      </c>
      <c r="W5" s="1031">
        <f>(AVERAGE(OFFSET(INDEX(W$18:W$1048576,COUNTA(W$18:W$1048576)),-2,0,3,1))-AVERAGE(OFFSET(INDEX(W$18:W$1048576,COUNTA(W$18:W$1048576)),-5,0,3,1)))*52</f>
        <v/>
      </c>
      <c r="X5" s="1006">
        <f t="array" ref="X5">INDEX(X$30:X$1048576,COUNTA(X$30:X$1048576))-INDEX(X$30:X$1048576,COUNTA(X$30:X$1048576)-3)</f>
        <v/>
      </c>
      <c r="Y5" s="1006">
        <f t="array" ref="Y5">INDEX(Y$32:Y$1048576,COUNTA(Y$32:Y$1048576))-INDEX(Y$32:Y$1048576,COUNTA(Y$32:Y$1048576)-3)</f>
        <v/>
      </c>
      <c r="Z5" s="1031">
        <f>(AVERAGE(OFFSET(INDEX(Z$18:Z$1048576,COUNTA(Z$18:Z$1048576)),-2,0,3,1))-AVERAGE(OFFSET(INDEX(Z$18:Z$1048576,COUNTA(Z$18:Z$1048576)),-5,0,3,1)))*52</f>
        <v/>
      </c>
      <c r="AA5" s="1006">
        <f t="array" ref="AA5">INDEX(AA$30:AA$1048576,COUNTA(AA$30:AA$1048576))-INDEX(AA$30:AA$1048576,COUNTA(AA$30:AA$1048576)-3)</f>
        <v/>
      </c>
      <c r="AB5" s="1006">
        <f t="array" ref="AB5">INDEX(AB$32:AB$1048576,COUNTA(AB$32:AB$1048576))-INDEX(AB$32:AB$1048576,COUNTA(AB$32:AB$1048576)-3)</f>
        <v/>
      </c>
    </row>
    <row r="6" ht="26" customHeight="1" s="828">
      <c r="A6" s="419" t="inlineStr">
        <is>
          <t>Change year on year</t>
        </is>
      </c>
      <c r="B6" s="1031">
        <f>(AVERAGE(OFFSET(INDEX(B$18:B$1048576,COUNTA(B$18:B$1048576)),-2,0,3,1))-AVERAGE(OFFSET(INDEX(B$18:B$1048576,COUNTA(B$18:B$1048576)),-14,0,3,1)))*52</f>
        <v/>
      </c>
      <c r="C6" s="1006">
        <f t="array" ref="C6">INDEX(C$30:C$1048576,COUNTA(C$30:C$1048576))-INDEX(C$30:C$1048576,COUNTA(C$30:C$1048576)-12)</f>
        <v/>
      </c>
      <c r="D6" s="1006">
        <f t="array" ref="D6">INDEX(D$32:D$1048576,COUNTA(D$32:D$1048576))-INDEX(D$32:D$1048576,COUNTA(D$32:D$1048576)-12)</f>
        <v/>
      </c>
      <c r="E6" s="1031">
        <f>(AVERAGE(OFFSET(INDEX(E$18:E$1048576,COUNTA(E$18:E$1048576)),-2,0,3,1))-AVERAGE(OFFSET(INDEX(E$18:E$1048576,COUNTA(E$18:E$1048576)),-14,0,3,1)))*52</f>
        <v/>
      </c>
      <c r="F6" s="1006">
        <f t="array" ref="F6">INDEX(F$30:F$1048576,COUNTA(F$30:F$1048576))-INDEX(F$30:F$1048576,COUNTA(F$30:F$1048576)-12)</f>
        <v/>
      </c>
      <c r="G6" s="1006">
        <f t="array" ref="G6">INDEX(G$32:G$1048576,COUNTA(G$32:G$1048576))-INDEX(G$32:G$1048576,COUNTA(G$32:G$1048576)-12)</f>
        <v/>
      </c>
      <c r="H6" s="1031">
        <f>(AVERAGE(OFFSET(INDEX(H$18:H$1048576,COUNTA(H$18:H$1048576)),-2,0,3,1))-AVERAGE(OFFSET(INDEX(H$18:H$1048576,COUNTA(H$18:H$1048576)),-14,0,3,1)))*52</f>
        <v/>
      </c>
      <c r="I6" s="1006">
        <f t="array" ref="I6">INDEX(I$30:I$1048576,COUNTA(I$30:I$1048576))-INDEX(I$30:I$1048576,COUNTA(I$30:I$1048576)-12)</f>
        <v/>
      </c>
      <c r="J6" s="1006">
        <f t="array" ref="J6">INDEX(J$32:J$1048576,COUNTA(J$32:J$1048576))-INDEX(J$32:J$1048576,COUNTA(J$32:J$1048576)-12)</f>
        <v/>
      </c>
      <c r="K6" s="1031">
        <f>(AVERAGE(OFFSET(INDEX(K$18:K$1048576,COUNTA(K$18:K$1048576)),-2,0,3,1))-AVERAGE(OFFSET(INDEX(K$18:K$1048576,COUNTA(K$18:K$1048576)),-14,0,3,1)))*52</f>
        <v/>
      </c>
      <c r="L6" s="1006">
        <f t="array" ref="L6">INDEX(L$30:L$1048576,COUNTA(L$30:L$1048576))-INDEX(L$30:L$1048576,COUNTA(L$30:L$1048576)-12)</f>
        <v/>
      </c>
      <c r="M6" s="1006">
        <f t="array" ref="M6">INDEX(M$32:M$1048576,COUNTA(M$32:M$1048576))-INDEX(M$32:M$1048576,COUNTA(M$32:M$1048576)-12)</f>
        <v/>
      </c>
      <c r="N6" s="1031">
        <f>(AVERAGE(OFFSET(INDEX(N$18:N$1048576,COUNTA(N$18:N$1048576)),-2,0,3,1))-AVERAGE(OFFSET(INDEX(N$18:N$1048576,COUNTA(N$18:N$1048576)),-14,0,3,1)))*52</f>
        <v/>
      </c>
      <c r="O6" s="1006">
        <f t="array" ref="O6">INDEX(O$30:O$1048576,COUNTA(O$30:O$1048576))-INDEX(O$30:O$1048576,COUNTA(O$30:O$1048576)-12)</f>
        <v/>
      </c>
      <c r="P6" s="1006">
        <f t="array" ref="P6">INDEX(P$32:P$1048576,COUNTA(P$32:P$1048576))-INDEX(P$32:P$1048576,COUNTA(P$32:P$1048576)-12)</f>
        <v/>
      </c>
      <c r="Q6" s="1031">
        <f>(AVERAGE(OFFSET(INDEX(Q$18:Q$1048576,COUNTA(Q$18:Q$1048576)),-2,0,3,1))-AVERAGE(OFFSET(INDEX(Q$18:Q$1048576,COUNTA(Q$18:Q$1048576)),-14,0,3,1)))*52</f>
        <v/>
      </c>
      <c r="R6" s="1006">
        <f t="array" ref="R6">INDEX(R$30:R$1048576,COUNTA(R$30:R$1048576))-INDEX(R$30:R$1048576,COUNTA(R$30:R$1048576)-12)</f>
        <v/>
      </c>
      <c r="S6" s="1006">
        <f t="array" ref="S6">INDEX(S$32:S$1048576,COUNTA(S$32:S$1048576))-INDEX(S$32:S$1048576,COUNTA(S$32:S$1048576)-12)</f>
        <v/>
      </c>
      <c r="T6" s="1031">
        <f>(AVERAGE(OFFSET(INDEX(T$18:T$1048576,COUNTA(T$18:T$1048576)),-2,0,3,1))-AVERAGE(OFFSET(INDEX(T$18:T$1048576,COUNTA(T$18:T$1048576)),-14,0,3,1)))*52</f>
        <v/>
      </c>
      <c r="U6" s="1006">
        <f t="array" ref="U6">INDEX(U$30:U$1048576,COUNTA(U$30:U$1048576))-INDEX(U$30:U$1048576,COUNTA(U$30:U$1048576)-12)</f>
        <v/>
      </c>
      <c r="V6" s="1006">
        <f t="array" ref="V6">INDEX(V$32:V$1048576,COUNTA(V$32:V$1048576))-INDEX(V$32:V$1048576,COUNTA(V$32:V$1048576)-12)</f>
        <v/>
      </c>
      <c r="W6" s="1031">
        <f>(AVERAGE(OFFSET(INDEX(W$18:W$1048576,COUNTA(W$18:W$1048576)),-2,0,3,1))-AVERAGE(OFFSET(INDEX(W$18:W$1048576,COUNTA(W$18:W$1048576)),-14,0,3,1)))*52</f>
        <v/>
      </c>
      <c r="X6" s="1006">
        <f t="array" ref="X6">INDEX(X$30:X$1048576,COUNTA(X$30:X$1048576))-INDEX(X$30:X$1048576,COUNTA(X$30:X$1048576)-12)</f>
        <v/>
      </c>
      <c r="Y6" s="1006">
        <f t="array" ref="Y6">INDEX(Y$32:Y$1048576,COUNTA(Y$32:Y$1048576))-INDEX(Y$32:Y$1048576,COUNTA(Y$32:Y$1048576)-12)</f>
        <v/>
      </c>
      <c r="Z6" s="1031">
        <f>(AVERAGE(OFFSET(INDEX(Z$18:Z$1048576,COUNTA(Z$18:Z$1048576)),-2,0,3,1))-AVERAGE(OFFSET(INDEX(Z$18:Z$1048576,COUNTA(Z$18:Z$1048576)),-14,0,3,1)))*52</f>
        <v/>
      </c>
      <c r="AA6" s="1006">
        <f t="array" ref="AA6">INDEX(AA$30:AA$1048576,COUNTA(AA$30:AA$1048576))-INDEX(AA$30:AA$1048576,COUNTA(AA$30:AA$1048576)-12)</f>
        <v/>
      </c>
      <c r="AB6" s="1006">
        <f t="array" ref="AB6">INDEX(AB$32:AB$1048576,COUNTA(AB$32:AB$1048576))-INDEX(AB$32:AB$1048576,COUNTA(AB$32:AB$1048576)-12)</f>
        <v/>
      </c>
    </row>
    <row r="7" ht="26" customHeight="1" s="828">
      <c r="A7" s="419" t="inlineStr">
        <is>
          <t>Change since Covid-19</t>
        </is>
      </c>
      <c r="B7" s="1031">
        <f>(AVERAGE(OFFSET(INDEX(B$18:B$1048576,COUNTA(B$18:B$1048576)),-2,0,3,1))-AVERAGE($B$257:$B$259))*52</f>
        <v/>
      </c>
      <c r="C7" s="1006">
        <f t="array" ref="C7">INDEX(C$30:C$1048576,COUNTA(C$30:C$1048576))-AVERAGE($C$257:$C$259)</f>
        <v/>
      </c>
      <c r="D7" s="1006">
        <f t="array" ref="D7">INDEX(D$32:D$1048576,COUNTA(D$32:D$1048576))-AVERAGE($D$257:$D$259)</f>
        <v/>
      </c>
      <c r="E7" s="1031">
        <f>(AVERAGE(OFFSET(INDEX(E$18:E$1048576,COUNTA(E$18:E$1048576)),-2,0,3,1))-AVERAGE($B$257:$B$259))*52</f>
        <v/>
      </c>
      <c r="F7" s="1006">
        <f t="array" ref="F7">INDEX(F$30:F$1048576,COUNTA(F$30:F$1048576))-AVERAGE($C$257:$C$259)</f>
        <v/>
      </c>
      <c r="G7" s="1006">
        <f t="array" ref="G7">INDEX(G$32:G$1048576,COUNTA(G$32:G$1048576))-AVERAGE($D$257:$D$259)</f>
        <v/>
      </c>
      <c r="H7" s="1031">
        <f>(AVERAGE(OFFSET(INDEX(H$18:H$1048576,COUNTA(H$18:H$1048576)),-2,0,3,1))-AVERAGE($B$257:$B$259))*52</f>
        <v/>
      </c>
      <c r="I7" s="1006">
        <f t="array" ref="I7">INDEX(I$30:I$1048576,COUNTA(I$30:I$1048576))-AVERAGE($C$257:$C$259)</f>
        <v/>
      </c>
      <c r="J7" s="1006">
        <f t="array" ref="J7">INDEX(J$32:J$1048576,COUNTA(J$32:J$1048576))-AVERAGE($D$257:$D$259)</f>
        <v/>
      </c>
      <c r="K7" s="1031">
        <f>(AVERAGE(OFFSET(INDEX(K$18:K$1048576,COUNTA(K$18:K$1048576)),-2,0,3,1))-AVERAGE($B$257:$B$259))*52</f>
        <v/>
      </c>
      <c r="L7" s="1006">
        <f t="array" ref="L7">INDEX(L$30:L$1048576,COUNTA(L$30:L$1048576))-AVERAGE($C$257:$C$259)</f>
        <v/>
      </c>
      <c r="M7" s="1006">
        <f t="array" ref="M7">INDEX(M$32:M$1048576,COUNTA(M$32:M$1048576))-AVERAGE($D$257:$D$259)</f>
        <v/>
      </c>
      <c r="N7" s="1031">
        <f>(AVERAGE(OFFSET(INDEX(N$18:N$1048576,COUNTA(N$18:N$1048576)),-2,0,3,1))-AVERAGE($B$257:$B$259))*52</f>
        <v/>
      </c>
      <c r="O7" s="1006">
        <f t="array" ref="O7">INDEX(O$30:O$1048576,COUNTA(O$30:O$1048576))-AVERAGE($C$257:$C$259)</f>
        <v/>
      </c>
      <c r="P7" s="1006">
        <f t="array" ref="P7">INDEX(P$32:P$1048576,COUNTA(P$32:P$1048576))-AVERAGE($D$257:$D$259)</f>
        <v/>
      </c>
      <c r="Q7" s="1031">
        <f>(AVERAGE(OFFSET(INDEX(Q$18:Q$1048576,COUNTA(Q$18:Q$1048576)),-2,0,3,1))-AVERAGE($B$257:$B$259))*52</f>
        <v/>
      </c>
      <c r="R7" s="1006">
        <f t="array" ref="R7">INDEX(R$30:R$1048576,COUNTA(R$30:R$1048576))-AVERAGE($C$257:$C$259)</f>
        <v/>
      </c>
      <c r="S7" s="1006">
        <f t="array" ref="S7">INDEX(S$32:S$1048576,COUNTA(S$32:S$1048576))-AVERAGE($D$257:$D$259)</f>
        <v/>
      </c>
      <c r="T7" s="1031">
        <f>(AVERAGE(OFFSET(INDEX(T$18:T$1048576,COUNTA(T$18:T$1048576)),-2,0,3,1))-AVERAGE($B$257:$B$259))*52</f>
        <v/>
      </c>
      <c r="U7" s="1006">
        <f t="array" ref="U7">INDEX(U$30:U$1048576,COUNTA(U$30:U$1048576))-AVERAGE($C$257:$C$259)</f>
        <v/>
      </c>
      <c r="V7" s="1006">
        <f t="array" ref="V7">INDEX(V$32:V$1048576,COUNTA(V$32:V$1048576))-AVERAGE($D$257:$D$259)</f>
        <v/>
      </c>
      <c r="W7" s="1031">
        <f>(AVERAGE(OFFSET(INDEX(W$18:W$1048576,COUNTA(W$18:W$1048576)),-2,0,3,1))-AVERAGE($B$257:$B$259))*52</f>
        <v/>
      </c>
      <c r="X7" s="1006">
        <f t="array" ref="X7">INDEX(X$30:X$1048576,COUNTA(X$30:X$1048576))-AVERAGE($C$257:$C$259)</f>
        <v/>
      </c>
      <c r="Y7" s="1006">
        <f t="array" ref="Y7">INDEX(Y$32:Y$1048576,COUNTA(Y$32:Y$1048576))-AVERAGE($D$257:$D$259)</f>
        <v/>
      </c>
      <c r="Z7" s="1031">
        <f>(AVERAGE(OFFSET(INDEX(Z$18:Z$1048576,COUNTA(Z$18:Z$1048576)),-2,0,3,1))-AVERAGE($B$257:$B$259))*52</f>
        <v/>
      </c>
      <c r="AA7" s="1006">
        <f t="array" ref="AA7">INDEX(AA$30:AA$1048576,COUNTA(AA$30:AA$1048576))-AVERAGE($C$257:$C$259)</f>
        <v/>
      </c>
      <c r="AB7" s="1006">
        <f t="array" ref="AB7">INDEX(AB$32:AB$1048576,COUNTA(AB$32:AB$1048576))-AVERAGE($D$257:$D$259)</f>
        <v/>
      </c>
    </row>
    <row r="8">
      <c r="B8" s="535" t="n"/>
    </row>
    <row r="9" ht="19.5" customFormat="1" customHeight="1" s="32">
      <c r="A9" s="11" t="inlineStr">
        <is>
          <t xml:space="preserve">Table 13:  Average Weekly Earnings (nominal) - Total Pay (Great Britain, seasonally adjusted)1 </t>
        </is>
      </c>
      <c r="B9" s="11" t="n"/>
      <c r="C9" s="11" t="n"/>
      <c r="D9" s="11" t="n"/>
      <c r="E9" s="1036" t="n"/>
      <c r="F9" s="1036" t="n"/>
      <c r="G9" s="1036" t="n"/>
      <c r="H9" s="28" t="n"/>
      <c r="I9" s="1037" t="n"/>
      <c r="J9" s="1038" t="n"/>
      <c r="K9" s="31" t="n"/>
      <c r="L9" s="1037" t="n"/>
      <c r="M9" s="1037" t="inlineStr">
        <is>
          <t xml:space="preserve">Source: Monthly Wages &amp; Salaries Survey </t>
        </is>
      </c>
      <c r="O9" s="1039" t="n"/>
      <c r="P9" s="1040" t="n"/>
      <c r="R9" s="1039" t="n"/>
      <c r="S9" s="1040" t="n"/>
      <c r="U9" s="1039" t="n"/>
      <c r="V9" s="1039" t="n"/>
      <c r="X9" s="1039" t="n"/>
      <c r="Y9" s="1039" t="n"/>
      <c r="Z9" s="35" t="n"/>
      <c r="AA9" s="1041" t="n"/>
      <c r="AB9" s="1041" t="n"/>
    </row>
    <row r="10" ht="19.5" customFormat="1" customHeight="1" s="37">
      <c r="A10" s="853" t="inlineStr">
        <is>
          <t>Date of publication:</t>
        </is>
      </c>
      <c r="B10" s="28" t="n"/>
      <c r="C10" s="28" t="n"/>
      <c r="D10" s="28" t="n"/>
      <c r="E10" s="969" t="n">
        <v>45643</v>
      </c>
      <c r="G10" s="853" t="n"/>
      <c r="H10" s="853" t="inlineStr">
        <is>
          <t>Date of next publication:</t>
        </is>
      </c>
      <c r="K10" s="853" t="n"/>
      <c r="L10" s="969" t="n">
        <v>45678</v>
      </c>
      <c r="O10" s="1042" t="n"/>
      <c r="P10" s="1040" t="n"/>
      <c r="Q10" s="39" t="n"/>
      <c r="T10" s="40" t="n"/>
      <c r="U10" s="1042" t="n"/>
      <c r="V10" s="1042" t="n"/>
      <c r="X10" s="1042" t="n"/>
      <c r="Y10" s="1042" t="n"/>
      <c r="Z10" s="1040" t="n"/>
    </row>
    <row r="11" ht="15.5" customFormat="1" customHeight="1" s="42">
      <c r="A11" s="15" t="inlineStr">
        <is>
          <t xml:space="preserve">Inquiries: Email: </t>
        </is>
      </c>
      <c r="B11" s="28" t="n"/>
      <c r="C11" s="19" t="inlineStr">
        <is>
          <t xml:space="preserve">labour.market@ons.gov.uk </t>
        </is>
      </c>
      <c r="D11" s="28" t="n"/>
      <c r="E11" s="28" t="n"/>
      <c r="F11" s="1043" t="n"/>
      <c r="G11" s="1043" t="n"/>
      <c r="I11" s="853" t="n"/>
      <c r="J11" s="17" t="inlineStr">
        <is>
          <t>Tel: 01633 455400</t>
        </is>
      </c>
      <c r="K11" s="28" t="n"/>
      <c r="L11" s="1044" t="n"/>
      <c r="O11" s="1045" t="n"/>
      <c r="P11" s="1045" t="n"/>
      <c r="R11" s="1045" t="n"/>
      <c r="S11" s="1045" t="n"/>
      <c r="U11" s="1045" t="n"/>
      <c r="V11" s="1045" t="n"/>
      <c r="X11" s="1045" t="n"/>
      <c r="Y11" s="1045" t="n"/>
      <c r="AA11" s="1045" t="n"/>
      <c r="AB11" s="1045" t="n"/>
    </row>
    <row r="12" ht="12.75" customFormat="1" customHeight="1" s="37" thickBot="1">
      <c r="A12" s="44" t="inlineStr">
        <is>
          <t>Standard Industrial Classification (2007)</t>
        </is>
      </c>
      <c r="B12" s="45" t="n"/>
      <c r="C12" s="1046" t="n"/>
      <c r="D12" s="1046" t="n"/>
      <c r="E12" s="45" t="n"/>
      <c r="F12" s="1046" t="n"/>
      <c r="G12" s="1046" t="n"/>
      <c r="H12" s="45" t="n"/>
      <c r="I12" s="1046" t="n"/>
      <c r="J12" s="1046" t="n"/>
      <c r="K12" s="45" t="n"/>
      <c r="L12" s="1046" t="n"/>
      <c r="M12" s="1046" t="n"/>
      <c r="N12" s="45" t="n"/>
      <c r="O12" s="1046" t="n"/>
      <c r="P12" s="1046" t="n"/>
      <c r="Q12" s="45" t="n"/>
      <c r="R12" s="1046" t="n"/>
      <c r="S12" s="1046" t="n"/>
      <c r="T12" s="45" t="n"/>
      <c r="U12" s="1046" t="n"/>
      <c r="V12" s="1046" t="n"/>
      <c r="W12" s="45" t="n"/>
      <c r="X12" s="1046" t="n"/>
      <c r="Y12" s="1046" t="n"/>
      <c r="Z12" s="45" t="n"/>
      <c r="AA12" s="1046" t="n"/>
      <c r="AB12" s="1046" t="n"/>
    </row>
    <row r="13" ht="24" customFormat="1" customHeight="1" s="48">
      <c r="A13" s="47" t="n"/>
      <c r="B13" s="856" t="inlineStr">
        <is>
          <t>Whole Economy</t>
        </is>
      </c>
      <c r="C13" s="925" t="n"/>
      <c r="D13" s="925" t="n"/>
      <c r="E13" s="858" t="inlineStr">
        <is>
          <t>Private sector3 4 5</t>
        </is>
      </c>
      <c r="F13" s="1047" t="n"/>
      <c r="G13" s="1047" t="n"/>
      <c r="H13" s="858" t="inlineStr">
        <is>
          <t>Public sector3 4 5</t>
        </is>
      </c>
      <c r="I13" s="1047" t="n"/>
      <c r="J13" s="1047" t="n"/>
      <c r="K13" s="858" t="inlineStr">
        <is>
          <t xml:space="preserve">Services, SIC 2007 sections G-S </t>
        </is>
      </c>
      <c r="L13" s="1047" t="n"/>
      <c r="M13" s="1047" t="n"/>
      <c r="N13" s="858" t="inlineStr">
        <is>
          <t>Finance and business services,
SIC 2007 sections K-N</t>
        </is>
      </c>
      <c r="O13" s="1047" t="n"/>
      <c r="P13" s="1047" t="n"/>
      <c r="Q13" s="858" t="inlineStr">
        <is>
          <t>Public sector excluding financial services 4 5</t>
        </is>
      </c>
      <c r="R13" s="1047" t="n"/>
      <c r="S13" s="1047" t="n"/>
      <c r="T13" s="858" t="inlineStr">
        <is>
          <t xml:space="preserve">Manufacturing, SIC 2007 section C </t>
        </is>
      </c>
      <c r="U13" s="1047" t="n"/>
      <c r="V13" s="1047" t="n"/>
      <c r="W13" s="858" t="inlineStr">
        <is>
          <t>Construction, SIC 2007 section F</t>
        </is>
      </c>
      <c r="X13" s="1047" t="n"/>
      <c r="Y13" s="1047" t="n"/>
      <c r="Z13" s="858" t="inlineStr">
        <is>
          <t xml:space="preserve">Wholesaling, retailing, hotels &amp; restaurants, SIC 2007 sections G &amp; I </t>
        </is>
      </c>
      <c r="AA13" s="1047" t="n"/>
      <c r="AB13" s="1047" t="n"/>
    </row>
    <row r="14" ht="12.75" customFormat="1" customHeight="1" s="37">
      <c r="A14" s="49" t="n"/>
      <c r="B14" s="1048" t="inlineStr">
        <is>
          <t>Weekly Earnings     (£)</t>
        </is>
      </c>
      <c r="C14" s="862" t="inlineStr">
        <is>
          <t>% changes year on year</t>
        </is>
      </c>
      <c r="D14" s="1004" t="n"/>
      <c r="E14" s="1048" t="inlineStr">
        <is>
          <t>Weekly Earnings      (£)</t>
        </is>
      </c>
      <c r="F14" s="862" t="inlineStr">
        <is>
          <t>% changes year on year</t>
        </is>
      </c>
      <c r="G14" s="1004" t="n"/>
      <c r="H14" s="1048" t="inlineStr">
        <is>
          <t>Weekly Earnings      (£)</t>
        </is>
      </c>
      <c r="I14" s="862" t="inlineStr">
        <is>
          <t>% changes year on year</t>
        </is>
      </c>
      <c r="J14" s="1004" t="n"/>
      <c r="K14" s="1048" t="inlineStr">
        <is>
          <t>Weekly Earnings      (£)</t>
        </is>
      </c>
      <c r="L14" s="862" t="inlineStr">
        <is>
          <t>% changes year on year</t>
        </is>
      </c>
      <c r="M14" s="1004" t="n"/>
      <c r="N14" s="1048" t="inlineStr">
        <is>
          <t>Weekly Earnings      (£)</t>
        </is>
      </c>
      <c r="O14" s="862" t="inlineStr">
        <is>
          <t>% changes year on year</t>
        </is>
      </c>
      <c r="P14" s="1004" t="n"/>
      <c r="Q14" s="1048" t="inlineStr">
        <is>
          <t>Weekly Earnings      (£)</t>
        </is>
      </c>
      <c r="R14" s="862" t="inlineStr">
        <is>
          <t>% changes year on year</t>
        </is>
      </c>
      <c r="S14" s="1004" t="n"/>
      <c r="T14" s="1048" t="inlineStr">
        <is>
          <t>Weekly Earnings      (£)</t>
        </is>
      </c>
      <c r="U14" s="862" t="inlineStr">
        <is>
          <t>% changes year on year</t>
        </is>
      </c>
      <c r="V14" s="1004" t="n"/>
      <c r="W14" s="1048" t="inlineStr">
        <is>
          <t>Weekly Earnings      (£)</t>
        </is>
      </c>
      <c r="X14" s="862" t="inlineStr">
        <is>
          <t>% changes year on year</t>
        </is>
      </c>
      <c r="Y14" s="1004" t="n"/>
      <c r="Z14" s="1048" t="inlineStr">
        <is>
          <t>Weekly Earnings      (£)</t>
        </is>
      </c>
      <c r="AA14" s="862" t="inlineStr">
        <is>
          <t>% changes year on year</t>
        </is>
      </c>
      <c r="AB14" s="1004" t="n"/>
    </row>
    <row r="15" ht="19.5" customFormat="1" customHeight="1" s="52">
      <c r="A15" s="50" t="n"/>
      <c r="B15" s="1047" t="n"/>
      <c r="C15" s="51" t="inlineStr">
        <is>
          <t>Single month</t>
        </is>
      </c>
      <c r="D15" s="51" t="inlineStr">
        <is>
          <t>3 month average 2</t>
        </is>
      </c>
      <c r="E15" s="1047" t="n"/>
      <c r="F15" s="51" t="inlineStr">
        <is>
          <t>Single month</t>
        </is>
      </c>
      <c r="G15" s="51" t="inlineStr">
        <is>
          <t>3 month average 2</t>
        </is>
      </c>
      <c r="H15" s="1047" t="n"/>
      <c r="I15" s="51" t="inlineStr">
        <is>
          <t>Single month</t>
        </is>
      </c>
      <c r="J15" s="51" t="inlineStr">
        <is>
          <t>3 month average 2</t>
        </is>
      </c>
      <c r="K15" s="1047" t="n"/>
      <c r="L15" s="51" t="inlineStr">
        <is>
          <t>Single month</t>
        </is>
      </c>
      <c r="M15" s="51" t="inlineStr">
        <is>
          <t>3 month average 2</t>
        </is>
      </c>
      <c r="N15" s="1047" t="n"/>
      <c r="O15" s="51" t="inlineStr">
        <is>
          <t>Single month</t>
        </is>
      </c>
      <c r="P15" s="51" t="inlineStr">
        <is>
          <t>3 month average 2</t>
        </is>
      </c>
      <c r="Q15" s="1047" t="n"/>
      <c r="R15" s="51" t="inlineStr">
        <is>
          <t>Single month</t>
        </is>
      </c>
      <c r="S15" s="51" t="inlineStr">
        <is>
          <t>3 month average 2</t>
        </is>
      </c>
      <c r="T15" s="1047" t="n"/>
      <c r="U15" s="51" t="inlineStr">
        <is>
          <t>Single month</t>
        </is>
      </c>
      <c r="V15" s="51" t="inlineStr">
        <is>
          <t>3 month average 2</t>
        </is>
      </c>
      <c r="W15" s="1047" t="n"/>
      <c r="X15" s="51" t="inlineStr">
        <is>
          <t>Single month</t>
        </is>
      </c>
      <c r="Y15" s="51" t="inlineStr">
        <is>
          <t>3 month average 2</t>
        </is>
      </c>
      <c r="Z15" s="1047" t="n"/>
      <c r="AA15" s="51" t="inlineStr">
        <is>
          <t>Single month</t>
        </is>
      </c>
      <c r="AB15" s="51" t="inlineStr">
        <is>
          <t>3 month average 2</t>
        </is>
      </c>
    </row>
    <row r="16" ht="12.75" customFormat="1" customHeight="1" s="54">
      <c r="A16" s="50" t="n"/>
      <c r="B16" s="53" t="inlineStr">
        <is>
          <t>KAB9</t>
        </is>
      </c>
      <c r="C16" s="53" t="inlineStr">
        <is>
          <t>KAC2</t>
        </is>
      </c>
      <c r="D16" s="53" t="inlineStr">
        <is>
          <t>KAC3</t>
        </is>
      </c>
      <c r="E16" s="53" t="inlineStr">
        <is>
          <t>KAC4</t>
        </is>
      </c>
      <c r="F16" s="53" t="inlineStr">
        <is>
          <t>KAC5</t>
        </is>
      </c>
      <c r="G16" s="53" t="inlineStr">
        <is>
          <t>KAC6</t>
        </is>
      </c>
      <c r="H16" s="53" t="inlineStr">
        <is>
          <t>KAC7</t>
        </is>
      </c>
      <c r="I16" s="53" t="inlineStr">
        <is>
          <t>KAC8</t>
        </is>
      </c>
      <c r="J16" s="53" t="inlineStr">
        <is>
          <t>KAC9</t>
        </is>
      </c>
      <c r="K16" s="53" t="inlineStr">
        <is>
          <t>K5BZ</t>
        </is>
      </c>
      <c r="L16" s="53" t="inlineStr">
        <is>
          <t>K5C2</t>
        </is>
      </c>
      <c r="M16" s="53" t="inlineStr">
        <is>
          <t>K5C3</t>
        </is>
      </c>
      <c r="N16" s="53" t="inlineStr">
        <is>
          <t>K5C4</t>
        </is>
      </c>
      <c r="O16" s="53" t="inlineStr">
        <is>
          <t>K5C5</t>
        </is>
      </c>
      <c r="P16" s="53" t="inlineStr">
        <is>
          <t>K5C6</t>
        </is>
      </c>
      <c r="Q16" s="53" t="inlineStr">
        <is>
          <t>KAD8</t>
        </is>
      </c>
      <c r="R16" s="53" t="inlineStr">
        <is>
          <t>KAD9</t>
        </is>
      </c>
      <c r="S16" s="53" t="inlineStr">
        <is>
          <t>KAE2</t>
        </is>
      </c>
      <c r="T16" s="53" t="inlineStr">
        <is>
          <t>K5CA</t>
        </is>
      </c>
      <c r="U16" s="53" t="inlineStr">
        <is>
          <t>K5CB</t>
        </is>
      </c>
      <c r="V16" s="53" t="inlineStr">
        <is>
          <t>K5CC</t>
        </is>
      </c>
      <c r="W16" s="53" t="inlineStr">
        <is>
          <t>K5CD</t>
        </is>
      </c>
      <c r="X16" s="53" t="inlineStr">
        <is>
          <t>K5CE</t>
        </is>
      </c>
      <c r="Y16" s="53" t="inlineStr">
        <is>
          <t>K5CF</t>
        </is>
      </c>
      <c r="Z16" s="53" t="inlineStr">
        <is>
          <t>K5CG</t>
        </is>
      </c>
      <c r="AA16" s="53" t="inlineStr">
        <is>
          <t>K5CH</t>
        </is>
      </c>
      <c r="AB16" s="53" t="inlineStr">
        <is>
          <t>K5CI</t>
        </is>
      </c>
    </row>
    <row r="17" ht="12.75" customFormat="1" customHeight="1" s="52">
      <c r="A17" s="50" t="n"/>
      <c r="B17" s="53" t="n"/>
      <c r="C17" s="53" t="n"/>
      <c r="D17" s="53" t="n"/>
      <c r="E17" s="53" t="n"/>
      <c r="F17" s="53" t="n"/>
      <c r="G17" s="53" t="n"/>
      <c r="H17" s="53" t="n"/>
      <c r="I17" s="53" t="n"/>
      <c r="J17" s="53" t="n"/>
      <c r="K17" s="53" t="n"/>
      <c r="L17" s="53" t="n"/>
      <c r="M17" s="53" t="n"/>
      <c r="N17" s="53" t="n"/>
      <c r="O17" s="53" t="n"/>
      <c r="P17" s="53" t="n"/>
      <c r="Q17" s="53" t="n"/>
      <c r="R17" s="53" t="n"/>
      <c r="S17" s="53" t="n"/>
      <c r="T17" s="53" t="n"/>
      <c r="U17" s="53" t="n"/>
      <c r="V17" s="53" t="n"/>
      <c r="W17" s="53" t="n"/>
      <c r="X17" s="53" t="n"/>
      <c r="Y17" s="53" t="n"/>
      <c r="Z17" s="53" t="n"/>
      <c r="AA17" s="53" t="n"/>
      <c r="AB17" s="53" t="n"/>
    </row>
    <row r="18" ht="13" customHeight="1" s="828">
      <c r="A18" s="1049" t="n"/>
      <c r="B18" s="731" t="n"/>
      <c r="C18" s="1050" t="n"/>
      <c r="D18" s="1050" t="n"/>
      <c r="E18" s="731" t="n"/>
      <c r="F18" s="1050" t="n"/>
      <c r="G18" s="1050" t="n"/>
      <c r="H18" s="731" t="n"/>
      <c r="I18" s="1050" t="n"/>
      <c r="J18" s="1050" t="n"/>
      <c r="K18" s="731" t="n"/>
      <c r="L18" s="1050" t="n"/>
      <c r="M18" s="1050" t="n"/>
      <c r="N18" s="731" t="n"/>
      <c r="O18" s="1050" t="n"/>
      <c r="P18" s="1050" t="n"/>
      <c r="Q18" s="731" t="n"/>
      <c r="R18" s="1050" t="n"/>
      <c r="S18" s="1050" t="n"/>
      <c r="T18" s="731" t="n"/>
      <c r="U18" s="1050" t="n"/>
      <c r="V18" s="1050" t="n"/>
      <c r="W18" s="731" t="n"/>
      <c r="X18" s="1050" t="n"/>
      <c r="Y18" s="1050" t="n"/>
      <c r="Z18" s="731" t="n"/>
      <c r="AA18" s="1050" t="n"/>
      <c r="AB18" s="1050" t="n"/>
    </row>
    <row r="19" ht="13" customHeight="1" s="828">
      <c r="A19" s="1049" t="n"/>
      <c r="B19" s="731" t="n"/>
      <c r="C19" s="1050" t="n"/>
      <c r="D19" s="1050" t="n"/>
      <c r="E19" s="731" t="n"/>
      <c r="F19" s="1050" t="n"/>
      <c r="G19" s="1050" t="n"/>
      <c r="H19" s="731" t="n"/>
      <c r="I19" s="1050" t="n"/>
      <c r="J19" s="1050" t="n"/>
      <c r="K19" s="731" t="n"/>
      <c r="L19" s="1050" t="n"/>
      <c r="M19" s="1050" t="n"/>
      <c r="N19" s="731" t="n"/>
      <c r="O19" s="1050" t="n"/>
      <c r="P19" s="1050" t="n"/>
      <c r="Q19" s="731" t="n"/>
      <c r="R19" s="1050" t="n"/>
      <c r="S19" s="1050" t="n"/>
      <c r="T19" s="731" t="n"/>
      <c r="U19" s="1050" t="n"/>
      <c r="V19" s="1050" t="n"/>
      <c r="W19" s="731" t="n"/>
      <c r="X19" s="1050" t="n"/>
      <c r="Y19" s="1050" t="n"/>
      <c r="Z19" s="731" t="n"/>
      <c r="AA19" s="1050" t="n"/>
      <c r="AB19" s="1050" t="n"/>
    </row>
    <row r="20" ht="13" customHeight="1" s="828">
      <c r="A20" s="1049" t="n"/>
      <c r="B20" s="731" t="n"/>
      <c r="C20" s="1050" t="n"/>
      <c r="D20" s="1050" t="n"/>
      <c r="E20" s="731" t="n"/>
      <c r="F20" s="1050" t="n"/>
      <c r="G20" s="1050" t="n"/>
      <c r="H20" s="731" t="n"/>
      <c r="I20" s="1050" t="n"/>
      <c r="J20" s="1050" t="n"/>
      <c r="K20" s="731" t="n"/>
      <c r="L20" s="1050" t="n"/>
      <c r="M20" s="1050" t="n"/>
      <c r="N20" s="731" t="n"/>
      <c r="O20" s="1050" t="n"/>
      <c r="P20" s="1050" t="n"/>
      <c r="Q20" s="731" t="n"/>
      <c r="R20" s="1050" t="n"/>
      <c r="S20" s="1050" t="n"/>
      <c r="T20" s="731" t="n"/>
      <c r="U20" s="1050" t="n"/>
      <c r="V20" s="1050" t="n"/>
      <c r="W20" s="731" t="n"/>
      <c r="X20" s="1050" t="n"/>
      <c r="Y20" s="1050" t="n"/>
      <c r="Z20" s="731" t="n"/>
      <c r="AA20" s="1050" t="n"/>
      <c r="AB20" s="1050" t="n"/>
    </row>
    <row r="21" ht="13" customHeight="1" s="828">
      <c r="A21" s="1049" t="n"/>
      <c r="B21" s="731" t="n"/>
      <c r="C21" s="1050" t="n"/>
      <c r="D21" s="1050" t="n"/>
      <c r="E21" s="731" t="n"/>
      <c r="F21" s="1050" t="n"/>
      <c r="G21" s="1050" t="n"/>
      <c r="H21" s="731" t="n"/>
      <c r="I21" s="1050" t="n"/>
      <c r="J21" s="1050" t="n"/>
      <c r="K21" s="731" t="n"/>
      <c r="L21" s="1050" t="n"/>
      <c r="M21" s="1050" t="n"/>
      <c r="N21" s="731" t="n"/>
      <c r="O21" s="1050" t="n"/>
      <c r="P21" s="1050" t="n"/>
      <c r="Q21" s="731" t="n"/>
      <c r="R21" s="1050" t="n"/>
      <c r="S21" s="1050" t="n"/>
      <c r="T21" s="731" t="n"/>
      <c r="U21" s="1050" t="n"/>
      <c r="V21" s="1050" t="n"/>
      <c r="W21" s="731" t="n"/>
      <c r="X21" s="1050" t="n"/>
      <c r="Y21" s="1050" t="n"/>
      <c r="Z21" s="731" t="n"/>
      <c r="AA21" s="1050" t="n"/>
      <c r="AB21" s="1050" t="n"/>
    </row>
    <row r="22" ht="13" customHeight="1" s="828">
      <c r="A22" s="1049" t="n"/>
      <c r="B22" s="731" t="n"/>
      <c r="C22" s="1050" t="n"/>
      <c r="D22" s="1050" t="n"/>
      <c r="E22" s="731" t="n"/>
      <c r="F22" s="1050" t="n"/>
      <c r="G22" s="1050" t="n"/>
      <c r="H22" s="731" t="n"/>
      <c r="I22" s="1050" t="n"/>
      <c r="J22" s="1050" t="n"/>
      <c r="K22" s="731" t="n"/>
      <c r="L22" s="1050" t="n"/>
      <c r="M22" s="1050" t="n"/>
      <c r="N22" s="731" t="n"/>
      <c r="O22" s="1050" t="n"/>
      <c r="P22" s="1050" t="n"/>
      <c r="Q22" s="731" t="n"/>
      <c r="R22" s="1050" t="n"/>
      <c r="S22" s="1050" t="n"/>
      <c r="T22" s="731" t="n"/>
      <c r="U22" s="1050" t="n"/>
      <c r="V22" s="1050" t="n"/>
      <c r="W22" s="731" t="n"/>
      <c r="X22" s="1050" t="n"/>
      <c r="Y22" s="1050" t="n"/>
      <c r="Z22" s="731" t="n"/>
      <c r="AA22" s="1050" t="n"/>
      <c r="AB22" s="1050" t="n"/>
    </row>
    <row r="23" ht="13" customHeight="1" s="828">
      <c r="A23" s="1049" t="n"/>
      <c r="B23" s="731" t="n"/>
      <c r="C23" s="1050" t="n"/>
      <c r="D23" s="1050" t="n"/>
      <c r="E23" s="731" t="n"/>
      <c r="F23" s="1050" t="n"/>
      <c r="G23" s="1050" t="n"/>
      <c r="H23" s="731" t="n"/>
      <c r="I23" s="1050" t="n"/>
      <c r="J23" s="1050" t="n"/>
      <c r="K23" s="731" t="n"/>
      <c r="L23" s="1050" t="n"/>
      <c r="M23" s="1050" t="n"/>
      <c r="N23" s="731" t="n"/>
      <c r="O23" s="1050" t="n"/>
      <c r="P23" s="1050" t="n"/>
      <c r="Q23" s="731" t="n"/>
      <c r="R23" s="1050" t="n"/>
      <c r="S23" s="1050" t="n"/>
      <c r="T23" s="731" t="n"/>
      <c r="U23" s="1050" t="n"/>
      <c r="V23" s="1050" t="n"/>
      <c r="W23" s="731" t="n"/>
      <c r="X23" s="1050" t="n"/>
      <c r="Y23" s="1050" t="n"/>
      <c r="Z23" s="731" t="n"/>
      <c r="AA23" s="1050" t="n"/>
      <c r="AB23" s="1050" t="n"/>
    </row>
    <row r="24" ht="13" customHeight="1" s="828">
      <c r="A24" s="1049" t="n"/>
      <c r="B24" s="731" t="n"/>
      <c r="C24" s="1050" t="n"/>
      <c r="D24" s="1050" t="n"/>
      <c r="E24" s="731" t="n"/>
      <c r="F24" s="1050" t="n"/>
      <c r="G24" s="1050" t="n"/>
      <c r="H24" s="731" t="n"/>
      <c r="I24" s="1050" t="n"/>
      <c r="J24" s="1050" t="n"/>
      <c r="K24" s="731" t="n"/>
      <c r="L24" s="1050" t="n"/>
      <c r="M24" s="1050" t="n"/>
      <c r="N24" s="731" t="n"/>
      <c r="O24" s="1050" t="n"/>
      <c r="P24" s="1050" t="n"/>
      <c r="Q24" s="731" t="n"/>
      <c r="R24" s="1050" t="n"/>
      <c r="S24" s="1050" t="n"/>
      <c r="T24" s="731" t="n"/>
      <c r="U24" s="1050" t="n"/>
      <c r="V24" s="1050" t="n"/>
      <c r="W24" s="731" t="n"/>
      <c r="X24" s="1050" t="n"/>
      <c r="Y24" s="1050" t="n"/>
      <c r="Z24" s="731" t="n"/>
      <c r="AA24" s="1050" t="n"/>
      <c r="AB24" s="1050" t="n"/>
    </row>
    <row r="25" ht="13" customHeight="1" s="828">
      <c r="A25" s="1049" t="n"/>
      <c r="B25" s="731" t="n"/>
      <c r="C25" s="1050" t="n"/>
      <c r="D25" s="1050" t="n"/>
      <c r="E25" s="731" t="n"/>
      <c r="F25" s="1050" t="n"/>
      <c r="G25" s="1050" t="n"/>
      <c r="H25" s="731" t="n"/>
      <c r="I25" s="1050" t="n"/>
      <c r="J25" s="1050" t="n"/>
      <c r="K25" s="731" t="n"/>
      <c r="L25" s="1050" t="n"/>
      <c r="M25" s="1050" t="n"/>
      <c r="N25" s="731" t="n"/>
      <c r="O25" s="1050" t="n"/>
      <c r="P25" s="1050" t="n"/>
      <c r="Q25" s="731" t="n"/>
      <c r="R25" s="1050" t="n"/>
      <c r="S25" s="1050" t="n"/>
      <c r="T25" s="731" t="n"/>
      <c r="U25" s="1050" t="n"/>
      <c r="V25" s="1050" t="n"/>
      <c r="W25" s="731" t="n"/>
      <c r="X25" s="1050" t="n"/>
      <c r="Y25" s="1050" t="n"/>
      <c r="Z25" s="731" t="n"/>
      <c r="AA25" s="1050" t="n"/>
      <c r="AB25" s="1050" t="n"/>
    </row>
    <row r="26" ht="13" customHeight="1" s="828">
      <c r="A26" s="1049" t="n"/>
      <c r="B26" s="731" t="n"/>
      <c r="C26" s="1050" t="n"/>
      <c r="D26" s="1050" t="n"/>
      <c r="E26" s="731" t="n"/>
      <c r="F26" s="1050" t="n"/>
      <c r="G26" s="1050" t="n"/>
      <c r="H26" s="731" t="n"/>
      <c r="I26" s="1050" t="n"/>
      <c r="J26" s="1050" t="n"/>
      <c r="K26" s="731" t="n"/>
      <c r="L26" s="1050" t="n"/>
      <c r="M26" s="1050" t="n"/>
      <c r="N26" s="731" t="n"/>
      <c r="O26" s="1050" t="n"/>
      <c r="P26" s="1050" t="n"/>
      <c r="Q26" s="731" t="n"/>
      <c r="R26" s="1050" t="n"/>
      <c r="S26" s="1050" t="n"/>
      <c r="T26" s="731" t="n"/>
      <c r="U26" s="1050" t="n"/>
      <c r="V26" s="1050" t="n"/>
      <c r="W26" s="731" t="n"/>
      <c r="X26" s="1050" t="n"/>
      <c r="Y26" s="1050" t="n"/>
      <c r="Z26" s="731" t="n"/>
      <c r="AA26" s="1050" t="n"/>
      <c r="AB26" s="1050" t="n"/>
    </row>
    <row r="27" ht="13" customHeight="1" s="828">
      <c r="A27" s="1049" t="n"/>
      <c r="B27" s="731" t="n"/>
      <c r="C27" s="1050" t="n"/>
      <c r="D27" s="1050" t="n"/>
      <c r="E27" s="731" t="n"/>
      <c r="F27" s="1050" t="n"/>
      <c r="G27" s="1050" t="n"/>
      <c r="H27" s="731" t="n"/>
      <c r="I27" s="1050" t="n"/>
      <c r="J27" s="1050" t="n"/>
      <c r="K27" s="731" t="n"/>
      <c r="L27" s="1050" t="n"/>
      <c r="M27" s="1050" t="n"/>
      <c r="N27" s="731" t="n"/>
      <c r="O27" s="1050" t="n"/>
      <c r="P27" s="1050" t="n"/>
      <c r="Q27" s="731" t="n"/>
      <c r="R27" s="1050" t="n"/>
      <c r="S27" s="1050" t="n"/>
      <c r="T27" s="731" t="n"/>
      <c r="U27" s="1050" t="n"/>
      <c r="V27" s="1050" t="n"/>
      <c r="W27" s="731" t="n"/>
      <c r="X27" s="1050" t="n"/>
      <c r="Y27" s="1050" t="n"/>
      <c r="Z27" s="731" t="n"/>
      <c r="AA27" s="1050" t="n"/>
      <c r="AB27" s="1050" t="n"/>
    </row>
    <row r="28" ht="13" customHeight="1" s="828">
      <c r="A28" s="1049" t="n"/>
      <c r="B28" s="731" t="n"/>
      <c r="C28" s="1050" t="n"/>
      <c r="D28" s="1050" t="n"/>
      <c r="E28" s="731" t="n"/>
      <c r="F28" s="1050" t="n"/>
      <c r="G28" s="1050" t="n"/>
      <c r="H28" s="731" t="n"/>
      <c r="I28" s="1050" t="n"/>
      <c r="J28" s="1050" t="n"/>
      <c r="K28" s="731" t="n"/>
      <c r="L28" s="1050" t="n"/>
      <c r="M28" s="1050" t="n"/>
      <c r="N28" s="731" t="n"/>
      <c r="O28" s="1050" t="n"/>
      <c r="P28" s="1050" t="n"/>
      <c r="Q28" s="731" t="n"/>
      <c r="R28" s="1050" t="n"/>
      <c r="S28" s="1050" t="n"/>
      <c r="T28" s="731" t="n"/>
      <c r="U28" s="1050" t="n"/>
      <c r="V28" s="1050" t="n"/>
      <c r="W28" s="731" t="n"/>
      <c r="X28" s="1050" t="n"/>
      <c r="Y28" s="1050" t="n"/>
      <c r="Z28" s="731" t="n"/>
      <c r="AA28" s="1050" t="n"/>
      <c r="AB28" s="1050" t="n"/>
    </row>
    <row r="29" ht="13" customHeight="1" s="828">
      <c r="A29" s="1051" t="n"/>
      <c r="B29" s="731" t="n"/>
      <c r="C29" s="1050" t="n"/>
      <c r="D29" s="1050" t="n"/>
      <c r="E29" s="731" t="n"/>
      <c r="F29" s="1050" t="n"/>
      <c r="G29" s="1050" t="n"/>
      <c r="H29" s="731" t="n"/>
      <c r="I29" s="1050" t="n"/>
      <c r="J29" s="1050" t="n"/>
      <c r="K29" s="731" t="n"/>
      <c r="L29" s="1050" t="n"/>
      <c r="M29" s="1050" t="n"/>
      <c r="N29" s="731" t="n"/>
      <c r="O29" s="1050" t="n"/>
      <c r="P29" s="1050" t="n"/>
      <c r="Q29" s="731" t="n"/>
      <c r="R29" s="1050" t="n"/>
      <c r="S29" s="1050" t="n"/>
      <c r="T29" s="731" t="n"/>
      <c r="U29" s="1050" t="n"/>
      <c r="V29" s="1050" t="n"/>
      <c r="W29" s="731" t="n"/>
      <c r="X29" s="1050" t="n"/>
      <c r="Y29" s="1050" t="n"/>
      <c r="Z29" s="731" t="n"/>
      <c r="AA29" s="1050" t="n"/>
      <c r="AB29" s="1050" t="n"/>
    </row>
    <row r="30" ht="13" customHeight="1" s="828">
      <c r="A30" s="1051" t="n"/>
      <c r="B30" s="731" t="n"/>
      <c r="C30" s="1050" t="n"/>
      <c r="D30" s="1050" t="n"/>
      <c r="E30" s="731" t="n"/>
      <c r="F30" s="1050" t="n"/>
      <c r="G30" s="1050" t="n"/>
      <c r="H30" s="731" t="n"/>
      <c r="I30" s="1050" t="n"/>
      <c r="J30" s="1050" t="n"/>
      <c r="K30" s="731" t="n"/>
      <c r="L30" s="1050" t="n"/>
      <c r="M30" s="1050" t="n"/>
      <c r="N30" s="731" t="n"/>
      <c r="O30" s="1050" t="n"/>
      <c r="P30" s="1050" t="n"/>
      <c r="Q30" s="731" t="n"/>
      <c r="R30" s="1050" t="n"/>
      <c r="S30" s="1050" t="n"/>
      <c r="T30" s="731" t="n"/>
      <c r="U30" s="1050" t="n"/>
      <c r="V30" s="1050" t="n"/>
      <c r="W30" s="731" t="n"/>
      <c r="X30" s="1050" t="n"/>
      <c r="Y30" s="1050" t="n"/>
      <c r="Z30" s="731" t="n"/>
      <c r="AA30" s="1050" t="n"/>
      <c r="AB30" s="1050" t="n"/>
    </row>
    <row r="31" ht="13" customHeight="1" s="828">
      <c r="A31" s="1049" t="n"/>
      <c r="B31" s="731" t="n"/>
      <c r="C31" s="1050" t="n"/>
      <c r="D31" s="1050" t="n"/>
      <c r="E31" s="731" t="n"/>
      <c r="F31" s="1050" t="n"/>
      <c r="G31" s="1050" t="n"/>
      <c r="H31" s="731" t="n"/>
      <c r="I31" s="1050" t="n"/>
      <c r="J31" s="1050" t="n"/>
      <c r="K31" s="731" t="n"/>
      <c r="L31" s="1050" t="n"/>
      <c r="M31" s="1050" t="n"/>
      <c r="N31" s="731" t="n"/>
      <c r="O31" s="1050" t="n"/>
      <c r="P31" s="1050" t="n"/>
      <c r="Q31" s="731" t="n"/>
      <c r="R31" s="1050" t="n"/>
      <c r="S31" s="1050" t="n"/>
      <c r="T31" s="731" t="n"/>
      <c r="U31" s="1050" t="n"/>
      <c r="V31" s="1050" t="n"/>
      <c r="W31" s="731" t="n"/>
      <c r="X31" s="1050" t="n"/>
      <c r="Y31" s="1050" t="n"/>
      <c r="Z31" s="731" t="n"/>
      <c r="AA31" s="1050" t="n"/>
      <c r="AB31" s="1050" t="n"/>
    </row>
    <row r="32" ht="13" customHeight="1" s="828">
      <c r="A32" s="1051" t="n"/>
      <c r="B32" s="731" t="n"/>
      <c r="C32" s="1050" t="n"/>
      <c r="D32" s="1050" t="n"/>
      <c r="E32" s="731" t="n"/>
      <c r="F32" s="1050" t="n"/>
      <c r="G32" s="1050" t="n"/>
      <c r="H32" s="731" t="n"/>
      <c r="I32" s="1050" t="n"/>
      <c r="J32" s="1050" t="n"/>
      <c r="K32" s="731" t="n"/>
      <c r="L32" s="1050" t="n"/>
      <c r="M32" s="1050" t="n"/>
      <c r="N32" s="731" t="n"/>
      <c r="O32" s="1050" t="n"/>
      <c r="P32" s="1050" t="n"/>
      <c r="Q32" s="731" t="n"/>
      <c r="R32" s="1050" t="n"/>
      <c r="S32" s="1050" t="n"/>
      <c r="T32" s="731" t="n"/>
      <c r="U32" s="1050" t="n"/>
      <c r="V32" s="1050" t="n"/>
      <c r="W32" s="731" t="n"/>
      <c r="X32" s="1050" t="n"/>
      <c r="Y32" s="1050" t="n"/>
      <c r="Z32" s="731" t="n"/>
      <c r="AA32" s="1050" t="n"/>
      <c r="AB32" s="1050" t="n"/>
    </row>
    <row r="33" ht="13" customHeight="1" s="828">
      <c r="A33" s="1051" t="n"/>
      <c r="B33" s="731" t="n"/>
      <c r="C33" s="1050" t="n"/>
      <c r="D33" s="1050" t="n"/>
      <c r="E33" s="731" t="n"/>
      <c r="F33" s="1050" t="n"/>
      <c r="G33" s="1050" t="n"/>
      <c r="H33" s="731" t="n"/>
      <c r="I33" s="1050" t="n"/>
      <c r="J33" s="1050" t="n"/>
      <c r="K33" s="731" t="n"/>
      <c r="L33" s="1050" t="n"/>
      <c r="M33" s="1050" t="n"/>
      <c r="N33" s="731" t="n"/>
      <c r="O33" s="1050" t="n"/>
      <c r="P33" s="1050" t="n"/>
      <c r="Q33" s="731" t="n"/>
      <c r="R33" s="1050" t="n"/>
      <c r="S33" s="1050" t="n"/>
      <c r="T33" s="731" t="n"/>
      <c r="U33" s="1050" t="n"/>
      <c r="V33" s="1050" t="n"/>
      <c r="W33" s="731" t="n"/>
      <c r="X33" s="1050" t="n"/>
      <c r="Y33" s="1050" t="n"/>
      <c r="Z33" s="731" t="n"/>
      <c r="AA33" s="1050" t="n"/>
      <c r="AB33" s="1050" t="n"/>
    </row>
    <row r="34" ht="13" customHeight="1" s="828">
      <c r="A34" s="1051" t="n"/>
      <c r="B34" s="731" t="n"/>
      <c r="C34" s="1050" t="n"/>
      <c r="D34" s="1050" t="n"/>
      <c r="E34" s="731" t="n"/>
      <c r="F34" s="1050" t="n"/>
      <c r="G34" s="1050" t="n"/>
      <c r="H34" s="731" t="n"/>
      <c r="I34" s="1050" t="n"/>
      <c r="J34" s="1050" t="n"/>
      <c r="K34" s="731" t="n"/>
      <c r="L34" s="1050" t="n"/>
      <c r="M34" s="1050" t="n"/>
      <c r="N34" s="731" t="n"/>
      <c r="O34" s="1050" t="n"/>
      <c r="P34" s="1050" t="n"/>
      <c r="Q34" s="731" t="n"/>
      <c r="R34" s="1050" t="n"/>
      <c r="S34" s="1050" t="n"/>
      <c r="T34" s="731" t="n"/>
      <c r="U34" s="1050" t="n"/>
      <c r="V34" s="1050" t="n"/>
      <c r="W34" s="731" t="n"/>
      <c r="X34" s="1050" t="n"/>
      <c r="Y34" s="1050" t="n"/>
      <c r="Z34" s="731" t="n"/>
      <c r="AA34" s="1050" t="n"/>
      <c r="AB34" s="1050" t="n"/>
    </row>
    <row r="35" ht="13" customHeight="1" s="828">
      <c r="A35" s="1051" t="n"/>
      <c r="B35" s="731" t="n"/>
      <c r="C35" s="1050" t="n"/>
      <c r="D35" s="1050" t="n"/>
      <c r="E35" s="731" t="n"/>
      <c r="F35" s="1050" t="n"/>
      <c r="G35" s="1050" t="n"/>
      <c r="H35" s="731" t="n"/>
      <c r="I35" s="1050" t="n"/>
      <c r="J35" s="1050" t="n"/>
      <c r="K35" s="731" t="n"/>
      <c r="L35" s="1050" t="n"/>
      <c r="M35" s="1050" t="n"/>
      <c r="N35" s="731" t="n"/>
      <c r="O35" s="1050" t="n"/>
      <c r="P35" s="1050" t="n"/>
      <c r="Q35" s="731" t="n"/>
      <c r="R35" s="1050" t="n"/>
      <c r="S35" s="1050" t="n"/>
      <c r="T35" s="731" t="n"/>
      <c r="U35" s="1050" t="n"/>
      <c r="V35" s="1050" t="n"/>
      <c r="W35" s="731" t="n"/>
      <c r="X35" s="1050" t="n"/>
      <c r="Y35" s="1050" t="n"/>
      <c r="Z35" s="731" t="n"/>
      <c r="AA35" s="1050" t="n"/>
      <c r="AB35" s="1050" t="n"/>
    </row>
    <row r="36" ht="13" customHeight="1" s="828">
      <c r="A36" s="1051" t="n"/>
      <c r="B36" s="731" t="n"/>
      <c r="C36" s="1050" t="n"/>
      <c r="D36" s="1050" t="n"/>
      <c r="E36" s="731" t="n"/>
      <c r="F36" s="1050" t="n"/>
      <c r="G36" s="1050" t="n"/>
      <c r="H36" s="731" t="n"/>
      <c r="I36" s="1050" t="n"/>
      <c r="J36" s="1050" t="n"/>
      <c r="K36" s="731" t="n"/>
      <c r="L36" s="1050" t="n"/>
      <c r="M36" s="1050" t="n"/>
      <c r="N36" s="731" t="n"/>
      <c r="O36" s="1050" t="n"/>
      <c r="P36" s="1050" t="n"/>
      <c r="Q36" s="731" t="n"/>
      <c r="R36" s="1050" t="n"/>
      <c r="S36" s="1050" t="n"/>
      <c r="T36" s="731" t="n"/>
      <c r="U36" s="1050" t="n"/>
      <c r="V36" s="1050" t="n"/>
      <c r="W36" s="731" t="n"/>
      <c r="X36" s="1050" t="n"/>
      <c r="Y36" s="1050" t="n"/>
      <c r="Z36" s="731" t="n"/>
      <c r="AA36" s="1050" t="n"/>
      <c r="AB36" s="1050" t="n"/>
    </row>
    <row r="37" ht="13" customHeight="1" s="828">
      <c r="A37" s="1051" t="n"/>
      <c r="B37" s="731" t="n"/>
      <c r="C37" s="1050" t="n"/>
      <c r="D37" s="1050" t="n"/>
      <c r="E37" s="731" t="n"/>
      <c r="F37" s="1050" t="n"/>
      <c r="G37" s="1050" t="n"/>
      <c r="H37" s="731" t="n"/>
      <c r="I37" s="1050" t="n"/>
      <c r="J37" s="1050" t="n"/>
      <c r="K37" s="731" t="n"/>
      <c r="L37" s="1050" t="n"/>
      <c r="M37" s="1050" t="n"/>
      <c r="N37" s="731" t="n"/>
      <c r="O37" s="1050" t="n"/>
      <c r="P37" s="1050" t="n"/>
      <c r="Q37" s="731" t="n"/>
      <c r="R37" s="1050" t="n"/>
      <c r="S37" s="1050" t="n"/>
      <c r="T37" s="731" t="n"/>
      <c r="U37" s="1050" t="n"/>
      <c r="V37" s="1050" t="n"/>
      <c r="W37" s="731" t="n"/>
      <c r="X37" s="1050" t="n"/>
      <c r="Y37" s="1050" t="n"/>
      <c r="Z37" s="731" t="n"/>
      <c r="AA37" s="1050" t="n"/>
      <c r="AB37" s="1050" t="n"/>
    </row>
    <row r="38" ht="13" customHeight="1" s="828">
      <c r="A38" s="1051" t="n"/>
      <c r="B38" s="731" t="n"/>
      <c r="C38" s="1050" t="n"/>
      <c r="D38" s="1050" t="n"/>
      <c r="E38" s="731" t="n"/>
      <c r="F38" s="1050" t="n"/>
      <c r="G38" s="1050" t="n"/>
      <c r="H38" s="731" t="n"/>
      <c r="I38" s="1050" t="n"/>
      <c r="J38" s="1050" t="n"/>
      <c r="K38" s="731" t="n"/>
      <c r="L38" s="1050" t="n"/>
      <c r="M38" s="1050" t="n"/>
      <c r="N38" s="731" t="n"/>
      <c r="O38" s="1050" t="n"/>
      <c r="P38" s="1050" t="n"/>
      <c r="Q38" s="731" t="n"/>
      <c r="R38" s="1050" t="n"/>
      <c r="S38" s="1050" t="n"/>
      <c r="T38" s="731" t="n"/>
      <c r="U38" s="1050" t="n"/>
      <c r="V38" s="1050" t="n"/>
      <c r="W38" s="731" t="n"/>
      <c r="X38" s="1050" t="n"/>
      <c r="Y38" s="1050" t="n"/>
      <c r="Z38" s="731" t="n"/>
      <c r="AA38" s="1050" t="n"/>
      <c r="AB38" s="1050" t="n"/>
    </row>
    <row r="39" ht="13" customHeight="1" s="828">
      <c r="A39" s="1051" t="n"/>
      <c r="B39" s="731" t="n"/>
      <c r="C39" s="1050" t="n"/>
      <c r="D39" s="1050" t="n"/>
      <c r="E39" s="731" t="n"/>
      <c r="F39" s="1050" t="n"/>
      <c r="G39" s="1050" t="n"/>
      <c r="H39" s="731" t="n"/>
      <c r="I39" s="1050" t="n"/>
      <c r="J39" s="1050" t="n"/>
      <c r="K39" s="731" t="n"/>
      <c r="L39" s="1050" t="n"/>
      <c r="M39" s="1050" t="n"/>
      <c r="N39" s="731" t="n"/>
      <c r="O39" s="1050" t="n"/>
      <c r="P39" s="1050" t="n"/>
      <c r="Q39" s="731" t="n"/>
      <c r="R39" s="1050" t="n"/>
      <c r="S39" s="1050" t="n"/>
      <c r="T39" s="731" t="n"/>
      <c r="U39" s="1050" t="n"/>
      <c r="V39" s="1050" t="n"/>
      <c r="W39" s="731" t="n"/>
      <c r="X39" s="1050" t="n"/>
      <c r="Y39" s="1050" t="n"/>
      <c r="Z39" s="731" t="n"/>
      <c r="AA39" s="1050" t="n"/>
      <c r="AB39" s="1050" t="n"/>
    </row>
    <row r="40" ht="13" customHeight="1" s="828">
      <c r="A40" s="1051" t="n"/>
      <c r="B40" s="731" t="n"/>
      <c r="C40" s="1050" t="n"/>
      <c r="D40" s="1050" t="n"/>
      <c r="E40" s="731" t="n"/>
      <c r="F40" s="1050" t="n"/>
      <c r="G40" s="1050" t="n"/>
      <c r="H40" s="731" t="n"/>
      <c r="I40" s="1050" t="n"/>
      <c r="J40" s="1050" t="n"/>
      <c r="K40" s="731" t="n"/>
      <c r="L40" s="1050" t="n"/>
      <c r="M40" s="1050" t="n"/>
      <c r="N40" s="731" t="n"/>
      <c r="O40" s="1050" t="n"/>
      <c r="P40" s="1050" t="n"/>
      <c r="Q40" s="731" t="n"/>
      <c r="R40" s="1050" t="n"/>
      <c r="S40" s="1050" t="n"/>
      <c r="T40" s="731" t="n"/>
      <c r="U40" s="1050" t="n"/>
      <c r="V40" s="1050" t="n"/>
      <c r="W40" s="731" t="n"/>
      <c r="X40" s="1050" t="n"/>
      <c r="Y40" s="1050" t="n"/>
      <c r="Z40" s="731" t="n"/>
      <c r="AA40" s="1050" t="n"/>
      <c r="AB40" s="1050" t="n"/>
    </row>
    <row r="41" ht="13" customHeight="1" s="828">
      <c r="A41" s="1051" t="n"/>
      <c r="B41" s="731" t="n"/>
      <c r="C41" s="1050" t="n"/>
      <c r="D41" s="1050" t="n"/>
      <c r="E41" s="731" t="n"/>
      <c r="F41" s="1050" t="n"/>
      <c r="G41" s="1050" t="n"/>
      <c r="H41" s="731" t="n"/>
      <c r="I41" s="1050" t="n"/>
      <c r="J41" s="1050" t="n"/>
      <c r="K41" s="731" t="n"/>
      <c r="L41" s="1050" t="n"/>
      <c r="M41" s="1050" t="n"/>
      <c r="N41" s="731" t="n"/>
      <c r="O41" s="1050" t="n"/>
      <c r="P41" s="1050" t="n"/>
      <c r="Q41" s="731" t="n"/>
      <c r="R41" s="1050" t="n"/>
      <c r="S41" s="1050" t="n"/>
      <c r="T41" s="731" t="n"/>
      <c r="U41" s="1050" t="n"/>
      <c r="V41" s="1050" t="n"/>
      <c r="W41" s="731" t="n"/>
      <c r="X41" s="1050" t="n"/>
      <c r="Y41" s="1050" t="n"/>
      <c r="Z41" s="731" t="n"/>
      <c r="AA41" s="1050" t="n"/>
      <c r="AB41" s="1050" t="n"/>
    </row>
    <row r="42" ht="13" customHeight="1" s="828">
      <c r="A42" s="1051" t="n"/>
      <c r="B42" s="731" t="n"/>
      <c r="C42" s="1050" t="n"/>
      <c r="D42" s="1050" t="n"/>
      <c r="E42" s="731" t="n"/>
      <c r="F42" s="1050" t="n"/>
      <c r="G42" s="1050" t="n"/>
      <c r="H42" s="731" t="n"/>
      <c r="I42" s="1050" t="n"/>
      <c r="J42" s="1050" t="n"/>
      <c r="K42" s="731" t="n"/>
      <c r="L42" s="1050" t="n"/>
      <c r="M42" s="1050" t="n"/>
      <c r="N42" s="731" t="n"/>
      <c r="O42" s="1050" t="n"/>
      <c r="P42" s="1050" t="n"/>
      <c r="Q42" s="731" t="n"/>
      <c r="R42" s="1050" t="n"/>
      <c r="S42" s="1050" t="n"/>
      <c r="T42" s="731" t="n"/>
      <c r="U42" s="1050" t="n"/>
      <c r="V42" s="1050" t="n"/>
      <c r="W42" s="731" t="n"/>
      <c r="X42" s="1050" t="n"/>
      <c r="Y42" s="1050" t="n"/>
      <c r="Z42" s="731" t="n"/>
      <c r="AA42" s="1050" t="n"/>
      <c r="AB42" s="1050" t="n"/>
    </row>
    <row r="43" ht="13" customHeight="1" s="828">
      <c r="A43" s="1049" t="n"/>
      <c r="B43" s="731" t="n"/>
      <c r="C43" s="1050" t="n"/>
      <c r="D43" s="1050" t="n"/>
      <c r="E43" s="731" t="n"/>
      <c r="F43" s="1050" t="n"/>
      <c r="G43" s="1050" t="n"/>
      <c r="H43" s="731" t="n"/>
      <c r="I43" s="1050" t="n"/>
      <c r="J43" s="1050" t="n"/>
      <c r="K43" s="731" t="n"/>
      <c r="L43" s="1050" t="n"/>
      <c r="M43" s="1050" t="n"/>
      <c r="N43" s="731" t="n"/>
      <c r="O43" s="1050" t="n"/>
      <c r="P43" s="1050" t="n"/>
      <c r="Q43" s="731" t="n"/>
      <c r="R43" s="1050" t="n"/>
      <c r="S43" s="1050" t="n"/>
      <c r="T43" s="731" t="n"/>
      <c r="U43" s="1050" t="n"/>
      <c r="V43" s="1050" t="n"/>
      <c r="W43" s="731" t="n"/>
      <c r="X43" s="1050" t="n"/>
      <c r="Y43" s="1050" t="n"/>
      <c r="Z43" s="731" t="n"/>
      <c r="AA43" s="1050" t="n"/>
      <c r="AB43" s="1050" t="n"/>
    </row>
    <row r="44" ht="13" customHeight="1" s="828">
      <c r="A44" s="1051" t="n"/>
      <c r="B44" s="731" t="n"/>
      <c r="C44" s="1050" t="n"/>
      <c r="D44" s="1050" t="n"/>
      <c r="E44" s="731" t="n"/>
      <c r="F44" s="1050" t="n"/>
      <c r="G44" s="1050" t="n"/>
      <c r="H44" s="731" t="n"/>
      <c r="I44" s="1050" t="n"/>
      <c r="J44" s="1050" t="n"/>
      <c r="K44" s="731" t="n"/>
      <c r="L44" s="1050" t="n"/>
      <c r="M44" s="1050" t="n"/>
      <c r="N44" s="731" t="n"/>
      <c r="O44" s="1050" t="n"/>
      <c r="P44" s="1050" t="n"/>
      <c r="Q44" s="731" t="n"/>
      <c r="R44" s="1050" t="n"/>
      <c r="S44" s="1050" t="n"/>
      <c r="T44" s="731" t="n"/>
      <c r="U44" s="1050" t="n"/>
      <c r="V44" s="1050" t="n"/>
      <c r="W44" s="731" t="n"/>
      <c r="X44" s="1050" t="n"/>
      <c r="Y44" s="1050" t="n"/>
      <c r="Z44" s="731" t="n"/>
      <c r="AA44" s="1050" t="n"/>
      <c r="AB44" s="1050" t="n"/>
    </row>
    <row r="45" ht="13" customHeight="1" s="828">
      <c r="A45" s="1051" t="n"/>
      <c r="B45" s="731" t="n"/>
      <c r="C45" s="1050" t="n"/>
      <c r="D45" s="1050" t="n"/>
      <c r="E45" s="731" t="n"/>
      <c r="F45" s="1050" t="n"/>
      <c r="G45" s="1050" t="n"/>
      <c r="H45" s="731" t="n"/>
      <c r="I45" s="1050" t="n"/>
      <c r="J45" s="1050" t="n"/>
      <c r="K45" s="731" t="n"/>
      <c r="L45" s="1050" t="n"/>
      <c r="M45" s="1050" t="n"/>
      <c r="N45" s="731" t="n"/>
      <c r="O45" s="1050" t="n"/>
      <c r="P45" s="1050" t="n"/>
      <c r="Q45" s="731" t="n"/>
      <c r="R45" s="1050" t="n"/>
      <c r="S45" s="1050" t="n"/>
      <c r="T45" s="731" t="n"/>
      <c r="U45" s="1050" t="n"/>
      <c r="V45" s="1050" t="n"/>
      <c r="W45" s="731" t="n"/>
      <c r="X45" s="1050" t="n"/>
      <c r="Y45" s="1050" t="n"/>
      <c r="Z45" s="731" t="n"/>
      <c r="AA45" s="1050" t="n"/>
      <c r="AB45" s="1050" t="n"/>
    </row>
    <row r="46" ht="13" customHeight="1" s="828">
      <c r="A46" s="1051" t="n"/>
      <c r="B46" s="731" t="n"/>
      <c r="C46" s="1050" t="n"/>
      <c r="D46" s="1050" t="n"/>
      <c r="E46" s="731" t="n"/>
      <c r="F46" s="1050" t="n"/>
      <c r="G46" s="1050" t="n"/>
      <c r="H46" s="731" t="n"/>
      <c r="I46" s="1050" t="n"/>
      <c r="J46" s="1050" t="n"/>
      <c r="K46" s="731" t="n"/>
      <c r="L46" s="1050" t="n"/>
      <c r="M46" s="1050" t="n"/>
      <c r="N46" s="731" t="n"/>
      <c r="O46" s="1050" t="n"/>
      <c r="P46" s="1050" t="n"/>
      <c r="Q46" s="731" t="n"/>
      <c r="R46" s="1050" t="n"/>
      <c r="S46" s="1050" t="n"/>
      <c r="T46" s="731" t="n"/>
      <c r="U46" s="1050" t="n"/>
      <c r="V46" s="1050" t="n"/>
      <c r="W46" s="731" t="n"/>
      <c r="X46" s="1050" t="n"/>
      <c r="Y46" s="1050" t="n"/>
      <c r="Z46" s="731" t="n"/>
      <c r="AA46" s="1050" t="n"/>
      <c r="AB46" s="1050" t="n"/>
    </row>
    <row r="47" ht="13" customHeight="1" s="828">
      <c r="A47" s="1051" t="n"/>
      <c r="B47" s="731" t="n"/>
      <c r="C47" s="1050" t="n"/>
      <c r="D47" s="1050" t="n"/>
      <c r="E47" s="731" t="n"/>
      <c r="F47" s="1050" t="n"/>
      <c r="G47" s="1050" t="n"/>
      <c r="H47" s="731" t="n"/>
      <c r="I47" s="1050" t="n"/>
      <c r="J47" s="1050" t="n"/>
      <c r="K47" s="731" t="n"/>
      <c r="L47" s="1050" t="n"/>
      <c r="M47" s="1050" t="n"/>
      <c r="N47" s="731" t="n"/>
      <c r="O47" s="1050" t="n"/>
      <c r="P47" s="1050" t="n"/>
      <c r="Q47" s="731" t="n"/>
      <c r="R47" s="1050" t="n"/>
      <c r="S47" s="1050" t="n"/>
      <c r="T47" s="731" t="n"/>
      <c r="U47" s="1050" t="n"/>
      <c r="V47" s="1050" t="n"/>
      <c r="W47" s="731" t="n"/>
      <c r="X47" s="1050" t="n"/>
      <c r="Y47" s="1050" t="n"/>
      <c r="Z47" s="731" t="n"/>
      <c r="AA47" s="1050" t="n"/>
      <c r="AB47" s="1050" t="n"/>
    </row>
    <row r="48" ht="13" customHeight="1" s="828">
      <c r="A48" s="1051" t="n"/>
      <c r="B48" s="731" t="n"/>
      <c r="C48" s="1050" t="n"/>
      <c r="D48" s="1050" t="n"/>
      <c r="E48" s="731" t="n"/>
      <c r="F48" s="1050" t="n"/>
      <c r="G48" s="1050" t="n"/>
      <c r="H48" s="731" t="n"/>
      <c r="I48" s="1050" t="n"/>
      <c r="J48" s="1050" t="n"/>
      <c r="K48" s="731" t="n"/>
      <c r="L48" s="1050" t="n"/>
      <c r="M48" s="1050" t="n"/>
      <c r="N48" s="731" t="n"/>
      <c r="O48" s="1050" t="n"/>
      <c r="P48" s="1050" t="n"/>
      <c r="Q48" s="731" t="n"/>
      <c r="R48" s="1050" t="n"/>
      <c r="S48" s="1050" t="n"/>
      <c r="T48" s="731" t="n"/>
      <c r="U48" s="1050" t="n"/>
      <c r="V48" s="1050" t="n"/>
      <c r="W48" s="731" t="n"/>
      <c r="X48" s="1050" t="n"/>
      <c r="Y48" s="1050" t="n"/>
      <c r="Z48" s="731" t="n"/>
      <c r="AA48" s="1050" t="n"/>
      <c r="AB48" s="1050" t="n"/>
    </row>
    <row r="49" ht="13" customHeight="1" s="828">
      <c r="A49" s="1051" t="n"/>
      <c r="B49" s="731" t="n"/>
      <c r="C49" s="1050" t="n"/>
      <c r="D49" s="1050" t="n"/>
      <c r="E49" s="731" t="n"/>
      <c r="F49" s="1050" t="n"/>
      <c r="G49" s="1050" t="n"/>
      <c r="H49" s="731" t="n"/>
      <c r="I49" s="1050" t="n"/>
      <c r="J49" s="1050" t="n"/>
      <c r="K49" s="731" t="n"/>
      <c r="L49" s="1050" t="n"/>
      <c r="M49" s="1050" t="n"/>
      <c r="N49" s="731" t="n"/>
      <c r="O49" s="1050" t="n"/>
      <c r="P49" s="1050" t="n"/>
      <c r="Q49" s="731" t="n"/>
      <c r="R49" s="1050" t="n"/>
      <c r="S49" s="1050" t="n"/>
      <c r="T49" s="731" t="n"/>
      <c r="U49" s="1050" t="n"/>
      <c r="V49" s="1050" t="n"/>
      <c r="W49" s="731" t="n"/>
      <c r="X49" s="1050" t="n"/>
      <c r="Y49" s="1050" t="n"/>
      <c r="Z49" s="731" t="n"/>
      <c r="AA49" s="1050" t="n"/>
      <c r="AB49" s="1050" t="n"/>
    </row>
    <row r="50" ht="13" customHeight="1" s="828">
      <c r="A50" s="1051" t="n"/>
      <c r="B50" s="731" t="n"/>
      <c r="C50" s="1050" t="n"/>
      <c r="D50" s="1050" t="n"/>
      <c r="E50" s="731" t="n"/>
      <c r="F50" s="1050" t="n"/>
      <c r="G50" s="1050" t="n"/>
      <c r="H50" s="731" t="n"/>
      <c r="I50" s="1050" t="n"/>
      <c r="J50" s="1050" t="n"/>
      <c r="K50" s="731" t="n"/>
      <c r="L50" s="1050" t="n"/>
      <c r="M50" s="1050" t="n"/>
      <c r="N50" s="731" t="n"/>
      <c r="O50" s="1050" t="n"/>
      <c r="P50" s="1050" t="n"/>
      <c r="Q50" s="731" t="n"/>
      <c r="R50" s="1050" t="n"/>
      <c r="S50" s="1050" t="n"/>
      <c r="T50" s="731" t="n"/>
      <c r="U50" s="1050" t="n"/>
      <c r="V50" s="1050" t="n"/>
      <c r="W50" s="731" t="n"/>
      <c r="X50" s="1050" t="n"/>
      <c r="Y50" s="1050" t="n"/>
      <c r="Z50" s="731" t="n"/>
      <c r="AA50" s="1050" t="n"/>
      <c r="AB50" s="1050" t="n"/>
    </row>
    <row r="51" ht="13" customHeight="1" s="828">
      <c r="A51" s="1051" t="n"/>
      <c r="B51" s="731" t="n"/>
      <c r="C51" s="1050" t="n"/>
      <c r="D51" s="1050" t="n"/>
      <c r="E51" s="731" t="n"/>
      <c r="F51" s="1050" t="n"/>
      <c r="G51" s="1050" t="n"/>
      <c r="H51" s="731" t="n"/>
      <c r="I51" s="1050" t="n"/>
      <c r="J51" s="1050" t="n"/>
      <c r="K51" s="731" t="n"/>
      <c r="L51" s="1050" t="n"/>
      <c r="M51" s="1050" t="n"/>
      <c r="N51" s="731" t="n"/>
      <c r="O51" s="1050" t="n"/>
      <c r="P51" s="1050" t="n"/>
      <c r="Q51" s="731" t="n"/>
      <c r="R51" s="1050" t="n"/>
      <c r="S51" s="1050" t="n"/>
      <c r="T51" s="731" t="n"/>
      <c r="U51" s="1050" t="n"/>
      <c r="V51" s="1050" t="n"/>
      <c r="W51" s="731" t="n"/>
      <c r="X51" s="1050" t="n"/>
      <c r="Y51" s="1050" t="n"/>
      <c r="Z51" s="731" t="n"/>
      <c r="AA51" s="1050" t="n"/>
      <c r="AB51" s="1050" t="n"/>
    </row>
    <row r="52" ht="13" customHeight="1" s="828">
      <c r="A52" s="1051" t="n"/>
      <c r="B52" s="731" t="n"/>
      <c r="C52" s="1050" t="n"/>
      <c r="D52" s="1050" t="n"/>
      <c r="E52" s="731" t="n"/>
      <c r="F52" s="1050" t="n"/>
      <c r="G52" s="1050" t="n"/>
      <c r="H52" s="731" t="n"/>
      <c r="I52" s="1050" t="n"/>
      <c r="J52" s="1050" t="n"/>
      <c r="K52" s="731" t="n"/>
      <c r="L52" s="1050" t="n"/>
      <c r="M52" s="1050" t="n"/>
      <c r="N52" s="731" t="n"/>
      <c r="O52" s="1050" t="n"/>
      <c r="P52" s="1050" t="n"/>
      <c r="Q52" s="731" t="n"/>
      <c r="R52" s="1050" t="n"/>
      <c r="S52" s="1050" t="n"/>
      <c r="T52" s="731" t="n"/>
      <c r="U52" s="1050" t="n"/>
      <c r="V52" s="1050" t="n"/>
      <c r="W52" s="731" t="n"/>
      <c r="X52" s="1050" t="n"/>
      <c r="Y52" s="1050" t="n"/>
      <c r="Z52" s="731" t="n"/>
      <c r="AA52" s="1050" t="n"/>
      <c r="AB52" s="1050" t="n"/>
    </row>
    <row r="53" ht="13" customHeight="1" s="828">
      <c r="A53" s="1051" t="n"/>
      <c r="B53" s="731" t="n"/>
      <c r="C53" s="1050" t="n"/>
      <c r="D53" s="1050" t="n"/>
      <c r="E53" s="731" t="n"/>
      <c r="F53" s="1050" t="n"/>
      <c r="G53" s="1050" t="n"/>
      <c r="H53" s="731" t="n"/>
      <c r="I53" s="1050" t="n"/>
      <c r="J53" s="1050" t="n"/>
      <c r="K53" s="731" t="n"/>
      <c r="L53" s="1050" t="n"/>
      <c r="M53" s="1050" t="n"/>
      <c r="N53" s="731" t="n"/>
      <c r="O53" s="1050" t="n"/>
      <c r="P53" s="1050" t="n"/>
      <c r="Q53" s="731" t="n"/>
      <c r="R53" s="1050" t="n"/>
      <c r="S53" s="1050" t="n"/>
      <c r="T53" s="731" t="n"/>
      <c r="U53" s="1050" t="n"/>
      <c r="V53" s="1050" t="n"/>
      <c r="W53" s="731" t="n"/>
      <c r="X53" s="1050" t="n"/>
      <c r="Y53" s="1050" t="n"/>
      <c r="Z53" s="731" t="n"/>
      <c r="AA53" s="1050" t="n"/>
      <c r="AB53" s="1050" t="n"/>
    </row>
    <row r="54" ht="13" customHeight="1" s="828">
      <c r="A54" s="1051" t="n"/>
      <c r="B54" s="731" t="n"/>
      <c r="C54" s="1050" t="n"/>
      <c r="D54" s="1050" t="n"/>
      <c r="E54" s="731" t="n"/>
      <c r="F54" s="1050" t="n"/>
      <c r="G54" s="1050" t="n"/>
      <c r="H54" s="731" t="n"/>
      <c r="I54" s="1050" t="n"/>
      <c r="J54" s="1050" t="n"/>
      <c r="K54" s="731" t="n"/>
      <c r="L54" s="1050" t="n"/>
      <c r="M54" s="1050" t="n"/>
      <c r="N54" s="731" t="n"/>
      <c r="O54" s="1050" t="n"/>
      <c r="P54" s="1050" t="n"/>
      <c r="Q54" s="731" t="n"/>
      <c r="R54" s="1050" t="n"/>
      <c r="S54" s="1050" t="n"/>
      <c r="T54" s="731" t="n"/>
      <c r="U54" s="1050" t="n"/>
      <c r="V54" s="1050" t="n"/>
      <c r="W54" s="731" t="n"/>
      <c r="X54" s="1050" t="n"/>
      <c r="Y54" s="1050" t="n"/>
      <c r="Z54" s="731" t="n"/>
      <c r="AA54" s="1050" t="n"/>
      <c r="AB54" s="1050" t="n"/>
    </row>
    <row r="55" ht="13" customHeight="1" s="828">
      <c r="A55" s="1049" t="n"/>
      <c r="B55" s="731" t="n"/>
      <c r="C55" s="1050" t="n"/>
      <c r="D55" s="1050" t="n"/>
      <c r="E55" s="731" t="n"/>
      <c r="F55" s="1050" t="n"/>
      <c r="G55" s="1050" t="n"/>
      <c r="H55" s="731" t="n"/>
      <c r="I55" s="1050" t="n"/>
      <c r="J55" s="1050" t="n"/>
      <c r="K55" s="731" t="n"/>
      <c r="L55" s="1050" t="n"/>
      <c r="M55" s="1050" t="n"/>
      <c r="N55" s="731" t="n"/>
      <c r="O55" s="1050" t="n"/>
      <c r="P55" s="1050" t="n"/>
      <c r="Q55" s="731" t="n"/>
      <c r="R55" s="1050" t="n"/>
      <c r="S55" s="1050" t="n"/>
      <c r="T55" s="731" t="n"/>
      <c r="U55" s="1050" t="n"/>
      <c r="V55" s="1050" t="n"/>
      <c r="W55" s="731" t="n"/>
      <c r="X55" s="1050" t="n"/>
      <c r="Y55" s="1050" t="n"/>
      <c r="Z55" s="731" t="n"/>
      <c r="AA55" s="1050" t="n"/>
      <c r="AB55" s="1050" t="n"/>
    </row>
    <row r="56" ht="13" customHeight="1" s="828">
      <c r="A56" s="1051" t="n"/>
      <c r="B56" s="731" t="n"/>
      <c r="C56" s="1050" t="n"/>
      <c r="D56" s="1050" t="n"/>
      <c r="E56" s="731" t="n"/>
      <c r="F56" s="1050" t="n"/>
      <c r="G56" s="1050" t="n"/>
      <c r="H56" s="731" t="n"/>
      <c r="I56" s="1050" t="n"/>
      <c r="J56" s="1050" t="n"/>
      <c r="K56" s="731" t="n"/>
      <c r="L56" s="1050" t="n"/>
      <c r="M56" s="1050" t="n"/>
      <c r="N56" s="731" t="n"/>
      <c r="O56" s="1050" t="n"/>
      <c r="P56" s="1050" t="n"/>
      <c r="Q56" s="731" t="n"/>
      <c r="R56" s="1050" t="n"/>
      <c r="S56" s="1050" t="n"/>
      <c r="T56" s="731" t="n"/>
      <c r="U56" s="1050" t="n"/>
      <c r="V56" s="1050" t="n"/>
      <c r="W56" s="731" t="n"/>
      <c r="X56" s="1050" t="n"/>
      <c r="Y56" s="1050" t="n"/>
      <c r="Z56" s="731" t="n"/>
      <c r="AA56" s="1050" t="n"/>
      <c r="AB56" s="1050" t="n"/>
    </row>
    <row r="57" ht="13" customHeight="1" s="828">
      <c r="A57" s="1051" t="n"/>
      <c r="B57" s="731" t="n"/>
      <c r="C57" s="1050" t="n"/>
      <c r="D57" s="1050" t="n"/>
      <c r="E57" s="731" t="n"/>
      <c r="F57" s="1050" t="n"/>
      <c r="G57" s="1050" t="n"/>
      <c r="H57" s="731" t="n"/>
      <c r="I57" s="1050" t="n"/>
      <c r="J57" s="1050" t="n"/>
      <c r="K57" s="731" t="n"/>
      <c r="L57" s="1050" t="n"/>
      <c r="M57" s="1050" t="n"/>
      <c r="N57" s="731" t="n"/>
      <c r="O57" s="1050" t="n"/>
      <c r="P57" s="1050" t="n"/>
      <c r="Q57" s="731" t="n"/>
      <c r="R57" s="1050" t="n"/>
      <c r="S57" s="1050" t="n"/>
      <c r="T57" s="731" t="n"/>
      <c r="U57" s="1050" t="n"/>
      <c r="V57" s="1050" t="n"/>
      <c r="W57" s="731" t="n"/>
      <c r="X57" s="1050" t="n"/>
      <c r="Y57" s="1050" t="n"/>
      <c r="Z57" s="731" t="n"/>
      <c r="AA57" s="1050" t="n"/>
      <c r="AB57" s="1050" t="n"/>
    </row>
    <row r="58" ht="13" customHeight="1" s="828">
      <c r="A58" s="1051" t="n"/>
      <c r="B58" s="731" t="n"/>
      <c r="C58" s="1050" t="n"/>
      <c r="D58" s="1050" t="n"/>
      <c r="E58" s="731" t="n"/>
      <c r="F58" s="1050" t="n"/>
      <c r="G58" s="1050" t="n"/>
      <c r="H58" s="731" t="n"/>
      <c r="I58" s="1050" t="n"/>
      <c r="J58" s="1050" t="n"/>
      <c r="K58" s="731" t="n"/>
      <c r="L58" s="1050" t="n"/>
      <c r="M58" s="1050" t="n"/>
      <c r="N58" s="731" t="n"/>
      <c r="O58" s="1050" t="n"/>
      <c r="P58" s="1050" t="n"/>
      <c r="Q58" s="731" t="n"/>
      <c r="R58" s="1050" t="n"/>
      <c r="S58" s="1050" t="n"/>
      <c r="T58" s="731" t="n"/>
      <c r="U58" s="1050" t="n"/>
      <c r="V58" s="1050" t="n"/>
      <c r="W58" s="731" t="n"/>
      <c r="X58" s="1050" t="n"/>
      <c r="Y58" s="1050" t="n"/>
      <c r="Z58" s="731" t="n"/>
      <c r="AA58" s="1050" t="n"/>
      <c r="AB58" s="1050" t="n"/>
    </row>
    <row r="59" ht="13" customHeight="1" s="828">
      <c r="A59" s="1051" t="n"/>
      <c r="B59" s="731" t="n"/>
      <c r="C59" s="1050" t="n"/>
      <c r="D59" s="1050" t="n"/>
      <c r="E59" s="731" t="n"/>
      <c r="F59" s="1050" t="n"/>
      <c r="G59" s="1050" t="n"/>
      <c r="H59" s="731" t="n"/>
      <c r="I59" s="1050" t="n"/>
      <c r="J59" s="1050" t="n"/>
      <c r="K59" s="731" t="n"/>
      <c r="L59" s="1050" t="n"/>
      <c r="M59" s="1050" t="n"/>
      <c r="N59" s="731" t="n"/>
      <c r="O59" s="1050" t="n"/>
      <c r="P59" s="1050" t="n"/>
      <c r="Q59" s="731" t="n"/>
      <c r="R59" s="1050" t="n"/>
      <c r="S59" s="1050" t="n"/>
      <c r="T59" s="731" t="n"/>
      <c r="U59" s="1050" t="n"/>
      <c r="V59" s="1050" t="n"/>
      <c r="W59" s="731" t="n"/>
      <c r="X59" s="1050" t="n"/>
      <c r="Y59" s="1050" t="n"/>
      <c r="Z59" s="731" t="n"/>
      <c r="AA59" s="1050" t="n"/>
      <c r="AB59" s="1050" t="n"/>
    </row>
    <row r="60" ht="13" customHeight="1" s="828">
      <c r="A60" s="1051" t="n"/>
      <c r="B60" s="731" t="n"/>
      <c r="C60" s="1050" t="n"/>
      <c r="D60" s="1050" t="n"/>
      <c r="E60" s="731" t="n"/>
      <c r="F60" s="1050" t="n"/>
      <c r="G60" s="1050" t="n"/>
      <c r="H60" s="731" t="n"/>
      <c r="I60" s="1050" t="n"/>
      <c r="J60" s="1050" t="n"/>
      <c r="K60" s="731" t="n"/>
      <c r="L60" s="1050" t="n"/>
      <c r="M60" s="1050" t="n"/>
      <c r="N60" s="731" t="n"/>
      <c r="O60" s="1050" t="n"/>
      <c r="P60" s="1050" t="n"/>
      <c r="Q60" s="731" t="n"/>
      <c r="R60" s="1050" t="n"/>
      <c r="S60" s="1050" t="n"/>
      <c r="T60" s="731" t="n"/>
      <c r="U60" s="1050" t="n"/>
      <c r="V60" s="1050" t="n"/>
      <c r="W60" s="731" t="n"/>
      <c r="X60" s="1050" t="n"/>
      <c r="Y60" s="1050" t="n"/>
      <c r="Z60" s="731" t="n"/>
      <c r="AA60" s="1050" t="n"/>
      <c r="AB60" s="1050" t="n"/>
    </row>
    <row r="61" ht="13" customHeight="1" s="828">
      <c r="A61" s="1051" t="n"/>
      <c r="B61" s="731" t="n"/>
      <c r="C61" s="1050" t="n"/>
      <c r="D61" s="1050" t="n"/>
      <c r="E61" s="731" t="n"/>
      <c r="F61" s="1050" t="n"/>
      <c r="G61" s="1050" t="n"/>
      <c r="H61" s="731" t="n"/>
      <c r="I61" s="1050" t="n"/>
      <c r="J61" s="1050" t="n"/>
      <c r="K61" s="731" t="n"/>
      <c r="L61" s="1050" t="n"/>
      <c r="M61" s="1050" t="n"/>
      <c r="N61" s="731" t="n"/>
      <c r="O61" s="1050" t="n"/>
      <c r="P61" s="1050" t="n"/>
      <c r="Q61" s="731" t="n"/>
      <c r="R61" s="1050" t="n"/>
      <c r="S61" s="1050" t="n"/>
      <c r="T61" s="731" t="n"/>
      <c r="U61" s="1050" t="n"/>
      <c r="V61" s="1050" t="n"/>
      <c r="W61" s="731" t="n"/>
      <c r="X61" s="1050" t="n"/>
      <c r="Y61" s="1050" t="n"/>
      <c r="Z61" s="731" t="n"/>
      <c r="AA61" s="1050" t="n"/>
      <c r="AB61" s="1050" t="n"/>
    </row>
    <row r="62" ht="13" customHeight="1" s="828">
      <c r="A62" s="1051" t="n"/>
      <c r="B62" s="731" t="n"/>
      <c r="C62" s="1050" t="n"/>
      <c r="D62" s="1050" t="n"/>
      <c r="E62" s="731" t="n"/>
      <c r="F62" s="1050" t="n"/>
      <c r="G62" s="1050" t="n"/>
      <c r="H62" s="731" t="n"/>
      <c r="I62" s="1050" t="n"/>
      <c r="J62" s="1050" t="n"/>
      <c r="K62" s="731" t="n"/>
      <c r="L62" s="1050" t="n"/>
      <c r="M62" s="1050" t="n"/>
      <c r="N62" s="731" t="n"/>
      <c r="O62" s="1050" t="n"/>
      <c r="P62" s="1050" t="n"/>
      <c r="Q62" s="731" t="n"/>
      <c r="R62" s="1050" t="n"/>
      <c r="S62" s="1050" t="n"/>
      <c r="T62" s="731" t="n"/>
      <c r="U62" s="1050" t="n"/>
      <c r="V62" s="1050" t="n"/>
      <c r="W62" s="731" t="n"/>
      <c r="X62" s="1050" t="n"/>
      <c r="Y62" s="1050" t="n"/>
      <c r="Z62" s="731" t="n"/>
      <c r="AA62" s="1050" t="n"/>
      <c r="AB62" s="1050" t="n"/>
    </row>
    <row r="63" ht="13" customHeight="1" s="828">
      <c r="A63" s="1051" t="n"/>
      <c r="B63" s="731" t="n"/>
      <c r="C63" s="1050" t="n"/>
      <c r="D63" s="1050" t="n"/>
      <c r="E63" s="731" t="n"/>
      <c r="F63" s="1050" t="n"/>
      <c r="G63" s="1050" t="n"/>
      <c r="H63" s="731" t="n"/>
      <c r="I63" s="1050" t="n"/>
      <c r="J63" s="1050" t="n"/>
      <c r="K63" s="731" t="n"/>
      <c r="L63" s="1050" t="n"/>
      <c r="M63" s="1050" t="n"/>
      <c r="N63" s="731" t="n"/>
      <c r="O63" s="1050" t="n"/>
      <c r="P63" s="1050" t="n"/>
      <c r="Q63" s="731" t="n"/>
      <c r="R63" s="1050" t="n"/>
      <c r="S63" s="1050" t="n"/>
      <c r="T63" s="731" t="n"/>
      <c r="U63" s="1050" t="n"/>
      <c r="V63" s="1050" t="n"/>
      <c r="W63" s="731" t="n"/>
      <c r="X63" s="1050" t="n"/>
      <c r="Y63" s="1050" t="n"/>
      <c r="Z63" s="731" t="n"/>
      <c r="AA63" s="1050" t="n"/>
      <c r="AB63" s="1050" t="n"/>
    </row>
    <row r="64" ht="13" customHeight="1" s="828">
      <c r="A64" s="1051" t="n"/>
      <c r="B64" s="731" t="n"/>
      <c r="C64" s="1050" t="n"/>
      <c r="D64" s="1050" t="n"/>
      <c r="E64" s="731" t="n"/>
      <c r="F64" s="1050" t="n"/>
      <c r="G64" s="1050" t="n"/>
      <c r="H64" s="731" t="n"/>
      <c r="I64" s="1050" t="n"/>
      <c r="J64" s="1050" t="n"/>
      <c r="K64" s="731" t="n"/>
      <c r="L64" s="1050" t="n"/>
      <c r="M64" s="1050" t="n"/>
      <c r="N64" s="731" t="n"/>
      <c r="O64" s="1050" t="n"/>
      <c r="P64" s="1050" t="n"/>
      <c r="Q64" s="731" t="n"/>
      <c r="R64" s="1050" t="n"/>
      <c r="S64" s="1050" t="n"/>
      <c r="T64" s="731" t="n"/>
      <c r="U64" s="1050" t="n"/>
      <c r="V64" s="1050" t="n"/>
      <c r="W64" s="731" t="n"/>
      <c r="X64" s="1050" t="n"/>
      <c r="Y64" s="1050" t="n"/>
      <c r="Z64" s="731" t="n"/>
      <c r="AA64" s="1050" t="n"/>
      <c r="AB64" s="1050" t="n"/>
    </row>
    <row r="65" ht="13" customHeight="1" s="828">
      <c r="A65" s="1051" t="n"/>
      <c r="B65" s="731" t="n"/>
      <c r="C65" s="1050" t="n"/>
      <c r="D65" s="1050" t="n"/>
      <c r="E65" s="731" t="n"/>
      <c r="F65" s="1050" t="n"/>
      <c r="G65" s="1050" t="n"/>
      <c r="H65" s="731" t="n"/>
      <c r="I65" s="1050" t="n"/>
      <c r="J65" s="1050" t="n"/>
      <c r="K65" s="731" t="n"/>
      <c r="L65" s="1050" t="n"/>
      <c r="M65" s="1050" t="n"/>
      <c r="N65" s="731" t="n"/>
      <c r="O65" s="1050" t="n"/>
      <c r="P65" s="1050" t="n"/>
      <c r="Q65" s="731" t="n"/>
      <c r="R65" s="1050" t="n"/>
      <c r="S65" s="1050" t="n"/>
      <c r="T65" s="731" t="n"/>
      <c r="U65" s="1050" t="n"/>
      <c r="V65" s="1050" t="n"/>
      <c r="W65" s="731" t="n"/>
      <c r="X65" s="1050" t="n"/>
      <c r="Y65" s="1050" t="n"/>
      <c r="Z65" s="731" t="n"/>
      <c r="AA65" s="1050" t="n"/>
      <c r="AB65" s="1050" t="n"/>
    </row>
    <row r="66" ht="13" customHeight="1" s="828">
      <c r="A66" s="1051" t="n"/>
      <c r="B66" s="731" t="n"/>
      <c r="C66" s="1050" t="n"/>
      <c r="D66" s="1050" t="n"/>
      <c r="E66" s="731" t="n"/>
      <c r="F66" s="1050" t="n"/>
      <c r="G66" s="1050" t="n"/>
      <c r="H66" s="731" t="n"/>
      <c r="I66" s="1050" t="n"/>
      <c r="J66" s="1050" t="n"/>
      <c r="K66" s="731" t="n"/>
      <c r="L66" s="1050" t="n"/>
      <c r="M66" s="1050" t="n"/>
      <c r="N66" s="731" t="n"/>
      <c r="O66" s="1050" t="n"/>
      <c r="P66" s="1050" t="n"/>
      <c r="Q66" s="731" t="n"/>
      <c r="R66" s="1050" t="n"/>
      <c r="S66" s="1050" t="n"/>
      <c r="T66" s="731" t="n"/>
      <c r="U66" s="1050" t="n"/>
      <c r="V66" s="1050" t="n"/>
      <c r="W66" s="731" t="n"/>
      <c r="X66" s="1050" t="n"/>
      <c r="Y66" s="1050" t="n"/>
      <c r="Z66" s="731" t="n"/>
      <c r="AA66" s="1050" t="n"/>
      <c r="AB66" s="1050" t="n"/>
    </row>
    <row r="67" ht="13" customHeight="1" s="828">
      <c r="A67" s="1049" t="n"/>
      <c r="B67" s="731" t="n"/>
      <c r="C67" s="1050" t="n"/>
      <c r="D67" s="1050" t="n"/>
      <c r="E67" s="731" t="n"/>
      <c r="F67" s="1050" t="n"/>
      <c r="G67" s="1050" t="n"/>
      <c r="H67" s="731" t="n"/>
      <c r="I67" s="1050" t="n"/>
      <c r="J67" s="1050" t="n"/>
      <c r="K67" s="731" t="n"/>
      <c r="L67" s="1050" t="n"/>
      <c r="M67" s="1050" t="n"/>
      <c r="N67" s="731" t="n"/>
      <c r="O67" s="1050" t="n"/>
      <c r="P67" s="1050" t="n"/>
      <c r="Q67" s="731" t="n"/>
      <c r="R67" s="1050" t="n"/>
      <c r="S67" s="1050" t="n"/>
      <c r="T67" s="731" t="n"/>
      <c r="U67" s="1050" t="n"/>
      <c r="V67" s="1050" t="n"/>
      <c r="W67" s="731" t="n"/>
      <c r="X67" s="1050" t="n"/>
      <c r="Y67" s="1050" t="n"/>
      <c r="Z67" s="731" t="n"/>
      <c r="AA67" s="1050" t="n"/>
      <c r="AB67" s="1050" t="n"/>
    </row>
    <row r="68" ht="13" customHeight="1" s="828">
      <c r="A68" s="1051" t="n"/>
      <c r="B68" s="731" t="n"/>
      <c r="C68" s="1050" t="n"/>
      <c r="D68" s="1050" t="n"/>
      <c r="E68" s="731" t="n"/>
      <c r="F68" s="1050" t="n"/>
      <c r="G68" s="1050" t="n"/>
      <c r="H68" s="731" t="n"/>
      <c r="I68" s="1050" t="n"/>
      <c r="J68" s="1050" t="n"/>
      <c r="K68" s="731" t="n"/>
      <c r="L68" s="1050" t="n"/>
      <c r="M68" s="1050" t="n"/>
      <c r="N68" s="731" t="n"/>
      <c r="O68" s="1050" t="n"/>
      <c r="P68" s="1050" t="n"/>
      <c r="Q68" s="731" t="n"/>
      <c r="R68" s="1050" t="n"/>
      <c r="S68" s="1050" t="n"/>
      <c r="T68" s="731" t="n"/>
      <c r="U68" s="1050" t="n"/>
      <c r="V68" s="1050" t="n"/>
      <c r="W68" s="731" t="n"/>
      <c r="X68" s="1050" t="n"/>
      <c r="Y68" s="1050" t="n"/>
      <c r="Z68" s="731" t="n"/>
      <c r="AA68" s="1050" t="n"/>
      <c r="AB68" s="1050" t="n"/>
    </row>
    <row r="69" ht="13" customHeight="1" s="828">
      <c r="A69" s="1051" t="n"/>
      <c r="B69" s="731" t="n"/>
      <c r="C69" s="1050" t="n"/>
      <c r="D69" s="1050" t="n"/>
      <c r="E69" s="731" t="n"/>
      <c r="F69" s="1050" t="n"/>
      <c r="G69" s="1050" t="n"/>
      <c r="H69" s="731" t="n"/>
      <c r="I69" s="1050" t="n"/>
      <c r="J69" s="1050" t="n"/>
      <c r="K69" s="731" t="n"/>
      <c r="L69" s="1050" t="n"/>
      <c r="M69" s="1050" t="n"/>
      <c r="N69" s="731" t="n"/>
      <c r="O69" s="1050" t="n"/>
      <c r="P69" s="1050" t="n"/>
      <c r="Q69" s="731" t="n"/>
      <c r="R69" s="1050" t="n"/>
      <c r="S69" s="1050" t="n"/>
      <c r="T69" s="731" t="n"/>
      <c r="U69" s="1050" t="n"/>
      <c r="V69" s="1050" t="n"/>
      <c r="W69" s="731" t="n"/>
      <c r="X69" s="1050" t="n"/>
      <c r="Y69" s="1050" t="n"/>
      <c r="Z69" s="731" t="n"/>
      <c r="AA69" s="1050" t="n"/>
      <c r="AB69" s="1050" t="n"/>
    </row>
    <row r="70" ht="13" customHeight="1" s="828">
      <c r="A70" s="1051" t="n"/>
      <c r="B70" s="731" t="n"/>
      <c r="C70" s="1050" t="n"/>
      <c r="D70" s="1050" t="n"/>
      <c r="E70" s="731" t="n"/>
      <c r="F70" s="1050" t="n"/>
      <c r="G70" s="1050" t="n"/>
      <c r="H70" s="731" t="n"/>
      <c r="I70" s="1050" t="n"/>
      <c r="J70" s="1050" t="n"/>
      <c r="K70" s="731" t="n"/>
      <c r="L70" s="1050" t="n"/>
      <c r="M70" s="1050" t="n"/>
      <c r="N70" s="731" t="n"/>
      <c r="O70" s="1050" t="n"/>
      <c r="P70" s="1050" t="n"/>
      <c r="Q70" s="731" t="n"/>
      <c r="R70" s="1050" t="n"/>
      <c r="S70" s="1050" t="n"/>
      <c r="T70" s="731" t="n"/>
      <c r="U70" s="1050" t="n"/>
      <c r="V70" s="1050" t="n"/>
      <c r="W70" s="731" t="n"/>
      <c r="X70" s="1050" t="n"/>
      <c r="Y70" s="1050" t="n"/>
      <c r="Z70" s="731" t="n"/>
      <c r="AA70" s="1050" t="n"/>
      <c r="AB70" s="1050" t="n"/>
    </row>
    <row r="71" ht="13" customHeight="1" s="828">
      <c r="A71" s="1051" t="n"/>
      <c r="B71" s="731" t="n"/>
      <c r="C71" s="1050" t="n"/>
      <c r="D71" s="1050" t="n"/>
      <c r="E71" s="731" t="n"/>
      <c r="F71" s="1050" t="n"/>
      <c r="G71" s="1050" t="n"/>
      <c r="H71" s="731" t="n"/>
      <c r="I71" s="1050" t="n"/>
      <c r="J71" s="1050" t="n"/>
      <c r="K71" s="731" t="n"/>
      <c r="L71" s="1050" t="n"/>
      <c r="M71" s="1050" t="n"/>
      <c r="N71" s="731" t="n"/>
      <c r="O71" s="1050" t="n"/>
      <c r="P71" s="1050" t="n"/>
      <c r="Q71" s="731" t="n"/>
      <c r="R71" s="1050" t="n"/>
      <c r="S71" s="1050" t="n"/>
      <c r="T71" s="731" t="n"/>
      <c r="U71" s="1050" t="n"/>
      <c r="V71" s="1050" t="n"/>
      <c r="W71" s="731" t="n"/>
      <c r="X71" s="1050" t="n"/>
      <c r="Y71" s="1050" t="n"/>
      <c r="Z71" s="731" t="n"/>
      <c r="AA71" s="1050" t="n"/>
      <c r="AB71" s="1050" t="n"/>
    </row>
    <row r="72" ht="13" customHeight="1" s="828">
      <c r="A72" s="1051" t="n"/>
      <c r="B72" s="731" t="n"/>
      <c r="C72" s="1050" t="n"/>
      <c r="D72" s="1050" t="n"/>
      <c r="E72" s="731" t="n"/>
      <c r="F72" s="1050" t="n"/>
      <c r="G72" s="1050" t="n"/>
      <c r="H72" s="731" t="n"/>
      <c r="I72" s="1050" t="n"/>
      <c r="J72" s="1050" t="n"/>
      <c r="K72" s="731" t="n"/>
      <c r="L72" s="1050" t="n"/>
      <c r="M72" s="1050" t="n"/>
      <c r="N72" s="731" t="n"/>
      <c r="O72" s="1050" t="n"/>
      <c r="P72" s="1050" t="n"/>
      <c r="Q72" s="731" t="n"/>
      <c r="R72" s="1050" t="n"/>
      <c r="S72" s="1050" t="n"/>
      <c r="T72" s="731" t="n"/>
      <c r="U72" s="1050" t="n"/>
      <c r="V72" s="1050" t="n"/>
      <c r="W72" s="731" t="n"/>
      <c r="X72" s="1050" t="n"/>
      <c r="Y72" s="1050" t="n"/>
      <c r="Z72" s="731" t="n"/>
      <c r="AA72" s="1050" t="n"/>
      <c r="AB72" s="1050" t="n"/>
    </row>
    <row r="73" ht="13" customHeight="1" s="828">
      <c r="A73" s="1051" t="n"/>
      <c r="B73" s="731" t="n"/>
      <c r="C73" s="1050" t="n"/>
      <c r="D73" s="1050" t="n"/>
      <c r="E73" s="731" t="n"/>
      <c r="F73" s="1050" t="n"/>
      <c r="G73" s="1050" t="n"/>
      <c r="H73" s="731" t="n"/>
      <c r="I73" s="1050" t="n"/>
      <c r="J73" s="1050" t="n"/>
      <c r="K73" s="731" t="n"/>
      <c r="L73" s="1050" t="n"/>
      <c r="M73" s="1050" t="n"/>
      <c r="N73" s="731" t="n"/>
      <c r="O73" s="1050" t="n"/>
      <c r="P73" s="1050" t="n"/>
      <c r="Q73" s="731" t="n"/>
      <c r="R73" s="1050" t="n"/>
      <c r="S73" s="1050" t="n"/>
      <c r="T73" s="731" t="n"/>
      <c r="U73" s="1050" t="n"/>
      <c r="V73" s="1050" t="n"/>
      <c r="W73" s="731" t="n"/>
      <c r="X73" s="1050" t="n"/>
      <c r="Y73" s="1050" t="n"/>
      <c r="Z73" s="731" t="n"/>
      <c r="AA73" s="1050" t="n"/>
      <c r="AB73" s="1050" t="n"/>
    </row>
    <row r="74" ht="13" customHeight="1" s="828">
      <c r="A74" s="1051" t="n"/>
      <c r="B74" s="731" t="n"/>
      <c r="C74" s="1050" t="n"/>
      <c r="D74" s="1050" t="n"/>
      <c r="E74" s="731" t="n"/>
      <c r="F74" s="1050" t="n"/>
      <c r="G74" s="1050" t="n"/>
      <c r="H74" s="731" t="n"/>
      <c r="I74" s="1050" t="n"/>
      <c r="J74" s="1050" t="n"/>
      <c r="K74" s="731" t="n"/>
      <c r="L74" s="1050" t="n"/>
      <c r="M74" s="1050" t="n"/>
      <c r="N74" s="731" t="n"/>
      <c r="O74" s="1050" t="n"/>
      <c r="P74" s="1050" t="n"/>
      <c r="Q74" s="731" t="n"/>
      <c r="R74" s="1050" t="n"/>
      <c r="S74" s="1050" t="n"/>
      <c r="T74" s="731" t="n"/>
      <c r="U74" s="1050" t="n"/>
      <c r="V74" s="1050" t="n"/>
      <c r="W74" s="731" t="n"/>
      <c r="X74" s="1050" t="n"/>
      <c r="Y74" s="1050" t="n"/>
      <c r="Z74" s="731" t="n"/>
      <c r="AA74" s="1050" t="n"/>
      <c r="AB74" s="1050" t="n"/>
    </row>
    <row r="75" ht="13" customHeight="1" s="828">
      <c r="A75" s="1051" t="n"/>
      <c r="B75" s="731" t="n"/>
      <c r="C75" s="1050" t="n"/>
      <c r="D75" s="1050" t="n"/>
      <c r="E75" s="731" t="n"/>
      <c r="F75" s="1050" t="n"/>
      <c r="G75" s="1050" t="n"/>
      <c r="H75" s="731" t="n"/>
      <c r="I75" s="1050" t="n"/>
      <c r="J75" s="1050" t="n"/>
      <c r="K75" s="731" t="n"/>
      <c r="L75" s="1050" t="n"/>
      <c r="M75" s="1050" t="n"/>
      <c r="N75" s="731" t="n"/>
      <c r="O75" s="1050" t="n"/>
      <c r="P75" s="1050" t="n"/>
      <c r="Q75" s="731" t="n"/>
      <c r="R75" s="1050" t="n"/>
      <c r="S75" s="1050" t="n"/>
      <c r="T75" s="731" t="n"/>
      <c r="U75" s="1050" t="n"/>
      <c r="V75" s="1050" t="n"/>
      <c r="W75" s="731" t="n"/>
      <c r="X75" s="1050" t="n"/>
      <c r="Y75" s="1050" t="n"/>
      <c r="Z75" s="731" t="n"/>
      <c r="AA75" s="1050" t="n"/>
      <c r="AB75" s="1050" t="n"/>
    </row>
    <row r="76" ht="13" customHeight="1" s="828">
      <c r="A76" s="1051" t="n"/>
      <c r="B76" s="731" t="n"/>
      <c r="C76" s="1050" t="n"/>
      <c r="D76" s="1050" t="n"/>
      <c r="E76" s="731" t="n"/>
      <c r="F76" s="1050" t="n"/>
      <c r="G76" s="1050" t="n"/>
      <c r="H76" s="731" t="n"/>
      <c r="I76" s="1050" t="n"/>
      <c r="J76" s="1050" t="n"/>
      <c r="K76" s="731" t="n"/>
      <c r="L76" s="1050" t="n"/>
      <c r="M76" s="1050" t="n"/>
      <c r="N76" s="731" t="n"/>
      <c r="O76" s="1050" t="n"/>
      <c r="P76" s="1050" t="n"/>
      <c r="Q76" s="731" t="n"/>
      <c r="R76" s="1050" t="n"/>
      <c r="S76" s="1050" t="n"/>
      <c r="T76" s="731" t="n"/>
      <c r="U76" s="1050" t="n"/>
      <c r="V76" s="1050" t="n"/>
      <c r="W76" s="731" t="n"/>
      <c r="X76" s="1050" t="n"/>
      <c r="Y76" s="1050" t="n"/>
      <c r="Z76" s="731" t="n"/>
      <c r="AA76" s="1050" t="n"/>
      <c r="AB76" s="1050" t="n"/>
    </row>
    <row r="77" ht="13" customHeight="1" s="828">
      <c r="A77" s="1051" t="n"/>
      <c r="B77" s="731" t="n"/>
      <c r="C77" s="1050" t="n"/>
      <c r="D77" s="1050" t="n"/>
      <c r="E77" s="731" t="n"/>
      <c r="F77" s="1050" t="n"/>
      <c r="G77" s="1050" t="n"/>
      <c r="H77" s="731" t="n"/>
      <c r="I77" s="1050" t="n"/>
      <c r="J77" s="1050" t="n"/>
      <c r="K77" s="731" t="n"/>
      <c r="L77" s="1050" t="n"/>
      <c r="M77" s="1050" t="n"/>
      <c r="N77" s="731" t="n"/>
      <c r="O77" s="1050" t="n"/>
      <c r="P77" s="1050" t="n"/>
      <c r="Q77" s="731" t="n"/>
      <c r="R77" s="1050" t="n"/>
      <c r="S77" s="1050" t="n"/>
      <c r="T77" s="731" t="n"/>
      <c r="U77" s="1050" t="n"/>
      <c r="V77" s="1050" t="n"/>
      <c r="W77" s="731" t="n"/>
      <c r="X77" s="1050" t="n"/>
      <c r="Y77" s="1050" t="n"/>
      <c r="Z77" s="731" t="n"/>
      <c r="AA77" s="1050" t="n"/>
      <c r="AB77" s="1050" t="n"/>
    </row>
    <row r="78" ht="13" customHeight="1" s="828">
      <c r="A78" s="1051" t="n"/>
      <c r="B78" s="731" t="n"/>
      <c r="C78" s="1050" t="n"/>
      <c r="D78" s="1050" t="n"/>
      <c r="E78" s="731" t="n"/>
      <c r="F78" s="1050" t="n"/>
      <c r="G78" s="1050" t="n"/>
      <c r="H78" s="731" t="n"/>
      <c r="I78" s="1050" t="n"/>
      <c r="J78" s="1050" t="n"/>
      <c r="K78" s="731" t="n"/>
      <c r="L78" s="1050" t="n"/>
      <c r="M78" s="1050" t="n"/>
      <c r="N78" s="731" t="n"/>
      <c r="O78" s="1050" t="n"/>
      <c r="P78" s="1050" t="n"/>
      <c r="Q78" s="731" t="n"/>
      <c r="R78" s="1050" t="n"/>
      <c r="S78" s="1050" t="n"/>
      <c r="T78" s="731" t="n"/>
      <c r="U78" s="1050" t="n"/>
      <c r="V78" s="1050" t="n"/>
      <c r="W78" s="731" t="n"/>
      <c r="X78" s="1050" t="n"/>
      <c r="Y78" s="1050" t="n"/>
      <c r="Z78" s="731" t="n"/>
      <c r="AA78" s="1050" t="n"/>
      <c r="AB78" s="1050" t="n"/>
    </row>
    <row r="79" ht="13" customHeight="1" s="828">
      <c r="A79" s="1049" t="n"/>
      <c r="B79" s="731" t="n"/>
      <c r="C79" s="1050" t="n"/>
      <c r="D79" s="1050" t="n"/>
      <c r="E79" s="731" t="n"/>
      <c r="F79" s="1050" t="n"/>
      <c r="G79" s="1050" t="n"/>
      <c r="H79" s="731" t="n"/>
      <c r="I79" s="1050" t="n"/>
      <c r="J79" s="1050" t="n"/>
      <c r="K79" s="731" t="n"/>
      <c r="L79" s="1050" t="n"/>
      <c r="M79" s="1050" t="n"/>
      <c r="N79" s="731" t="n"/>
      <c r="O79" s="1050" t="n"/>
      <c r="P79" s="1050" t="n"/>
      <c r="Q79" s="731" t="n"/>
      <c r="R79" s="1050" t="n"/>
      <c r="S79" s="1050" t="n"/>
      <c r="T79" s="731" t="n"/>
      <c r="U79" s="1050" t="n"/>
      <c r="V79" s="1050" t="n"/>
      <c r="W79" s="731" t="n"/>
      <c r="X79" s="1050" t="n"/>
      <c r="Y79" s="1050" t="n"/>
      <c r="Z79" s="731" t="n"/>
      <c r="AA79" s="1050" t="n"/>
      <c r="AB79" s="1050" t="n"/>
    </row>
    <row r="80" ht="13" customHeight="1" s="828">
      <c r="A80" s="1051" t="n"/>
      <c r="B80" s="731" t="n"/>
      <c r="C80" s="1050" t="n"/>
      <c r="D80" s="1050" t="n"/>
      <c r="E80" s="731" t="n"/>
      <c r="F80" s="1050" t="n"/>
      <c r="G80" s="1050" t="n"/>
      <c r="H80" s="731" t="n"/>
      <c r="I80" s="1050" t="n"/>
      <c r="J80" s="1050" t="n"/>
      <c r="K80" s="731" t="n"/>
      <c r="L80" s="1050" t="n"/>
      <c r="M80" s="1050" t="n"/>
      <c r="N80" s="731" t="n"/>
      <c r="O80" s="1050" t="n"/>
      <c r="P80" s="1050" t="n"/>
      <c r="Q80" s="731" t="n"/>
      <c r="R80" s="1050" t="n"/>
      <c r="S80" s="1050" t="n"/>
      <c r="T80" s="731" t="n"/>
      <c r="U80" s="1050" t="n"/>
      <c r="V80" s="1050" t="n"/>
      <c r="W80" s="731" t="n"/>
      <c r="X80" s="1050" t="n"/>
      <c r="Y80" s="1050" t="n"/>
      <c r="Z80" s="731" t="n"/>
      <c r="AA80" s="1050" t="n"/>
      <c r="AB80" s="1050" t="n"/>
    </row>
    <row r="81" ht="13" customHeight="1" s="828">
      <c r="A81" s="1051" t="n"/>
      <c r="B81" s="731" t="n"/>
      <c r="C81" s="1050" t="n"/>
      <c r="D81" s="1050" t="n"/>
      <c r="E81" s="731" t="n"/>
      <c r="F81" s="1050" t="n"/>
      <c r="G81" s="1050" t="n"/>
      <c r="H81" s="731" t="n"/>
      <c r="I81" s="1050" t="n"/>
      <c r="J81" s="1050" t="n"/>
      <c r="K81" s="731" t="n"/>
      <c r="L81" s="1050" t="n"/>
      <c r="M81" s="1050" t="n"/>
      <c r="N81" s="731" t="n"/>
      <c r="O81" s="1050" t="n"/>
      <c r="P81" s="1050" t="n"/>
      <c r="Q81" s="731" t="n"/>
      <c r="R81" s="1050" t="n"/>
      <c r="S81" s="1050" t="n"/>
      <c r="T81" s="731" t="n"/>
      <c r="U81" s="1050" t="n"/>
      <c r="V81" s="1050" t="n"/>
      <c r="W81" s="731" t="n"/>
      <c r="X81" s="1050" t="n"/>
      <c r="Y81" s="1050" t="n"/>
      <c r="Z81" s="731" t="n"/>
      <c r="AA81" s="1050" t="n"/>
      <c r="AB81" s="1050" t="n"/>
    </row>
    <row r="82" ht="13" customHeight="1" s="828">
      <c r="A82" s="1051" t="n"/>
      <c r="B82" s="731" t="n"/>
      <c r="C82" s="1050" t="n"/>
      <c r="D82" s="1050" t="n"/>
      <c r="E82" s="731" t="n"/>
      <c r="F82" s="1050" t="n"/>
      <c r="G82" s="1050" t="n"/>
      <c r="H82" s="731" t="n"/>
      <c r="I82" s="1050" t="n"/>
      <c r="J82" s="1050" t="n"/>
      <c r="K82" s="731" t="n"/>
      <c r="L82" s="1050" t="n"/>
      <c r="M82" s="1050" t="n"/>
      <c r="N82" s="731" t="n"/>
      <c r="O82" s="1050" t="n"/>
      <c r="P82" s="1050" t="n"/>
      <c r="Q82" s="731" t="n"/>
      <c r="R82" s="1050" t="n"/>
      <c r="S82" s="1050" t="n"/>
      <c r="T82" s="731" t="n"/>
      <c r="U82" s="1050" t="n"/>
      <c r="V82" s="1050" t="n"/>
      <c r="W82" s="731" t="n"/>
      <c r="X82" s="1050" t="n"/>
      <c r="Y82" s="1050" t="n"/>
      <c r="Z82" s="731" t="n"/>
      <c r="AA82" s="1050" t="n"/>
      <c r="AB82" s="1050" t="n"/>
    </row>
    <row r="83" ht="13" customHeight="1" s="828">
      <c r="A83" s="1051" t="n"/>
      <c r="B83" s="731" t="n"/>
      <c r="C83" s="1050" t="n"/>
      <c r="D83" s="1050" t="n"/>
      <c r="E83" s="731" t="n"/>
      <c r="F83" s="1050" t="n"/>
      <c r="G83" s="1050" t="n"/>
      <c r="H83" s="731" t="n"/>
      <c r="I83" s="1050" t="n"/>
      <c r="J83" s="1050" t="n"/>
      <c r="K83" s="731" t="n"/>
      <c r="L83" s="1050" t="n"/>
      <c r="M83" s="1050" t="n"/>
      <c r="N83" s="731" t="n"/>
      <c r="O83" s="1050" t="n"/>
      <c r="P83" s="1050" t="n"/>
      <c r="Q83" s="731" t="n"/>
      <c r="R83" s="1050" t="n"/>
      <c r="S83" s="1050" t="n"/>
      <c r="T83" s="731" t="n"/>
      <c r="U83" s="1050" t="n"/>
      <c r="V83" s="1050" t="n"/>
      <c r="W83" s="731" t="n"/>
      <c r="X83" s="1050" t="n"/>
      <c r="Y83" s="1050" t="n"/>
      <c r="Z83" s="731" t="n"/>
      <c r="AA83" s="1050" t="n"/>
      <c r="AB83" s="1050" t="n"/>
    </row>
    <row r="84" ht="13" customHeight="1" s="828">
      <c r="A84" s="1051" t="n"/>
      <c r="B84" s="731" t="n"/>
      <c r="C84" s="1050" t="n"/>
      <c r="D84" s="1050" t="n"/>
      <c r="E84" s="731" t="n"/>
      <c r="F84" s="1050" t="n"/>
      <c r="G84" s="1050" t="n"/>
      <c r="H84" s="731" t="n"/>
      <c r="I84" s="1050" t="n"/>
      <c r="J84" s="1050" t="n"/>
      <c r="K84" s="731" t="n"/>
      <c r="L84" s="1050" t="n"/>
      <c r="M84" s="1050" t="n"/>
      <c r="N84" s="731" t="n"/>
      <c r="O84" s="1050" t="n"/>
      <c r="P84" s="1050" t="n"/>
      <c r="Q84" s="731" t="n"/>
      <c r="R84" s="1050" t="n"/>
      <c r="S84" s="1050" t="n"/>
      <c r="T84" s="731" t="n"/>
      <c r="U84" s="1050" t="n"/>
      <c r="V84" s="1050" t="n"/>
      <c r="W84" s="731" t="n"/>
      <c r="X84" s="1050" t="n"/>
      <c r="Y84" s="1050" t="n"/>
      <c r="Z84" s="731" t="n"/>
      <c r="AA84" s="1050" t="n"/>
      <c r="AB84" s="1050" t="n"/>
    </row>
    <row r="85" ht="13" customHeight="1" s="828">
      <c r="A85" s="1051" t="n"/>
      <c r="B85" s="731" t="n"/>
      <c r="C85" s="1050" t="n"/>
      <c r="D85" s="1050" t="n"/>
      <c r="E85" s="731" t="n"/>
      <c r="F85" s="1050" t="n"/>
      <c r="G85" s="1050" t="n"/>
      <c r="H85" s="731" t="n"/>
      <c r="I85" s="1050" t="n"/>
      <c r="J85" s="1050" t="n"/>
      <c r="K85" s="731" t="n"/>
      <c r="L85" s="1050" t="n"/>
      <c r="M85" s="1050" t="n"/>
      <c r="N85" s="731" t="n"/>
      <c r="O85" s="1050" t="n"/>
      <c r="P85" s="1050" t="n"/>
      <c r="Q85" s="731" t="n"/>
      <c r="R85" s="1050" t="n"/>
      <c r="S85" s="1050" t="n"/>
      <c r="T85" s="731" t="n"/>
      <c r="U85" s="1050" t="n"/>
      <c r="V85" s="1050" t="n"/>
      <c r="W85" s="731" t="n"/>
      <c r="X85" s="1050" t="n"/>
      <c r="Y85" s="1050" t="n"/>
      <c r="Z85" s="731" t="n"/>
      <c r="AA85" s="1050" t="n"/>
      <c r="AB85" s="1050" t="n"/>
    </row>
    <row r="86" ht="13" customHeight="1" s="828">
      <c r="A86" s="1051" t="n"/>
      <c r="B86" s="731" t="n"/>
      <c r="C86" s="1050" t="n"/>
      <c r="D86" s="1050" t="n"/>
      <c r="E86" s="731" t="n"/>
      <c r="F86" s="1050" t="n"/>
      <c r="G86" s="1050" t="n"/>
      <c r="H86" s="731" t="n"/>
      <c r="I86" s="1050" t="n"/>
      <c r="J86" s="1050" t="n"/>
      <c r="K86" s="731" t="n"/>
      <c r="L86" s="1050" t="n"/>
      <c r="M86" s="1050" t="n"/>
      <c r="N86" s="731" t="n"/>
      <c r="O86" s="1050" t="n"/>
      <c r="P86" s="1050" t="n"/>
      <c r="Q86" s="731" t="n"/>
      <c r="R86" s="1050" t="n"/>
      <c r="S86" s="1050" t="n"/>
      <c r="T86" s="731" t="n"/>
      <c r="U86" s="1050" t="n"/>
      <c r="V86" s="1050" t="n"/>
      <c r="W86" s="731" t="n"/>
      <c r="X86" s="1050" t="n"/>
      <c r="Y86" s="1050" t="n"/>
      <c r="Z86" s="731" t="n"/>
      <c r="AA86" s="1050" t="n"/>
      <c r="AB86" s="1050" t="n"/>
    </row>
    <row r="87" ht="13" customHeight="1" s="828">
      <c r="A87" s="1051" t="n"/>
      <c r="B87" s="731" t="n"/>
      <c r="C87" s="1050" t="n"/>
      <c r="D87" s="1050" t="n"/>
      <c r="E87" s="731" t="n"/>
      <c r="F87" s="1050" t="n"/>
      <c r="G87" s="1050" t="n"/>
      <c r="H87" s="731" t="n"/>
      <c r="I87" s="1050" t="n"/>
      <c r="J87" s="1050" t="n"/>
      <c r="K87" s="731" t="n"/>
      <c r="L87" s="1050" t="n"/>
      <c r="M87" s="1050" t="n"/>
      <c r="N87" s="731" t="n"/>
      <c r="O87" s="1050" t="n"/>
      <c r="P87" s="1050" t="n"/>
      <c r="Q87" s="731" t="n"/>
      <c r="R87" s="1050" t="n"/>
      <c r="S87" s="1050" t="n"/>
      <c r="T87" s="731" t="n"/>
      <c r="U87" s="1050" t="n"/>
      <c r="V87" s="1050" t="n"/>
      <c r="W87" s="731" t="n"/>
      <c r="X87" s="1050" t="n"/>
      <c r="Y87" s="1050" t="n"/>
      <c r="Z87" s="731" t="n"/>
      <c r="AA87" s="1050" t="n"/>
      <c r="AB87" s="1050" t="n"/>
    </row>
    <row r="88" ht="13" customHeight="1" s="828">
      <c r="A88" s="1051" t="n"/>
      <c r="B88" s="731" t="n"/>
      <c r="C88" s="1050" t="n"/>
      <c r="D88" s="1050" t="n"/>
      <c r="E88" s="731" t="n"/>
      <c r="F88" s="1050" t="n"/>
      <c r="G88" s="1050" t="n"/>
      <c r="H88" s="731" t="n"/>
      <c r="I88" s="1050" t="n"/>
      <c r="J88" s="1050" t="n"/>
      <c r="K88" s="731" t="n"/>
      <c r="L88" s="1050" t="n"/>
      <c r="M88" s="1050" t="n"/>
      <c r="N88" s="731" t="n"/>
      <c r="O88" s="1050" t="n"/>
      <c r="P88" s="1050" t="n"/>
      <c r="Q88" s="731" t="n"/>
      <c r="R88" s="1050" t="n"/>
      <c r="S88" s="1050" t="n"/>
      <c r="T88" s="731" t="n"/>
      <c r="U88" s="1050" t="n"/>
      <c r="V88" s="1050" t="n"/>
      <c r="W88" s="731" t="n"/>
      <c r="X88" s="1050" t="n"/>
      <c r="Y88" s="1050" t="n"/>
      <c r="Z88" s="731" t="n"/>
      <c r="AA88" s="1050" t="n"/>
      <c r="AB88" s="1050" t="n"/>
    </row>
    <row r="89" ht="13" customHeight="1" s="828">
      <c r="A89" s="1051" t="n"/>
      <c r="B89" s="731" t="n"/>
      <c r="C89" s="1050" t="n"/>
      <c r="D89" s="1050" t="n"/>
      <c r="E89" s="731" t="n"/>
      <c r="F89" s="1050" t="n"/>
      <c r="G89" s="1050" t="n"/>
      <c r="H89" s="731" t="n"/>
      <c r="I89" s="1050" t="n"/>
      <c r="J89" s="1050" t="n"/>
      <c r="K89" s="731" t="n"/>
      <c r="L89" s="1050" t="n"/>
      <c r="M89" s="1050" t="n"/>
      <c r="N89" s="731" t="n"/>
      <c r="O89" s="1050" t="n"/>
      <c r="P89" s="1050" t="n"/>
      <c r="Q89" s="731" t="n"/>
      <c r="R89" s="1050" t="n"/>
      <c r="S89" s="1050" t="n"/>
      <c r="T89" s="731" t="n"/>
      <c r="U89" s="1050" t="n"/>
      <c r="V89" s="1050" t="n"/>
      <c r="W89" s="731" t="n"/>
      <c r="X89" s="1050" t="n"/>
      <c r="Y89" s="1050" t="n"/>
      <c r="Z89" s="731" t="n"/>
      <c r="AA89" s="1050" t="n"/>
      <c r="AB89" s="1050" t="n"/>
    </row>
    <row r="90" ht="13" customHeight="1" s="828">
      <c r="A90" s="1051" t="n"/>
      <c r="B90" s="731" t="n"/>
      <c r="C90" s="1050" t="n"/>
      <c r="D90" s="1050" t="n"/>
      <c r="E90" s="731" t="n"/>
      <c r="F90" s="1050" t="n"/>
      <c r="G90" s="1050" t="n"/>
      <c r="H90" s="731" t="n"/>
      <c r="I90" s="1050" t="n"/>
      <c r="J90" s="1050" t="n"/>
      <c r="K90" s="731" t="n"/>
      <c r="L90" s="1050" t="n"/>
      <c r="M90" s="1050" t="n"/>
      <c r="N90" s="731" t="n"/>
      <c r="O90" s="1050" t="n"/>
      <c r="P90" s="1050" t="n"/>
      <c r="Q90" s="731" t="n"/>
      <c r="R90" s="1050" t="n"/>
      <c r="S90" s="1050" t="n"/>
      <c r="T90" s="731" t="n"/>
      <c r="U90" s="1050" t="n"/>
      <c r="V90" s="1050" t="n"/>
      <c r="W90" s="731" t="n"/>
      <c r="X90" s="1050" t="n"/>
      <c r="Y90" s="1050" t="n"/>
      <c r="Z90" s="731" t="n"/>
      <c r="AA90" s="1050" t="n"/>
      <c r="AB90" s="1050" t="n"/>
    </row>
    <row r="91" ht="13" customHeight="1" s="828">
      <c r="A91" s="1049" t="n"/>
      <c r="B91" s="731" t="n"/>
      <c r="C91" s="1050" t="n"/>
      <c r="D91" s="1050" t="n"/>
      <c r="E91" s="731" t="n"/>
      <c r="F91" s="1050" t="n"/>
      <c r="G91" s="1050" t="n"/>
      <c r="H91" s="731" t="n"/>
      <c r="I91" s="1050" t="n"/>
      <c r="J91" s="1050" t="n"/>
      <c r="K91" s="731" t="n"/>
      <c r="L91" s="1050" t="n"/>
      <c r="M91" s="1050" t="n"/>
      <c r="N91" s="731" t="n"/>
      <c r="O91" s="1050" t="n"/>
      <c r="P91" s="1050" t="n"/>
      <c r="Q91" s="731" t="n"/>
      <c r="R91" s="1050" t="n"/>
      <c r="S91" s="1050" t="n"/>
      <c r="T91" s="731" t="n"/>
      <c r="U91" s="1050" t="n"/>
      <c r="V91" s="1050" t="n"/>
      <c r="W91" s="731" t="n"/>
      <c r="X91" s="1050" t="n"/>
      <c r="Y91" s="1050" t="n"/>
      <c r="Z91" s="731" t="n"/>
      <c r="AA91" s="1050" t="n"/>
      <c r="AB91" s="1050" t="n"/>
    </row>
    <row r="92" ht="13" customHeight="1" s="828">
      <c r="A92" s="1051" t="n"/>
      <c r="B92" s="731" t="n"/>
      <c r="C92" s="1050" t="n"/>
      <c r="D92" s="1050" t="n"/>
      <c r="E92" s="731" t="n"/>
      <c r="F92" s="1050" t="n"/>
      <c r="G92" s="1050" t="n"/>
      <c r="H92" s="731" t="n"/>
      <c r="I92" s="1050" t="n"/>
      <c r="J92" s="1050" t="n"/>
      <c r="K92" s="731" t="n"/>
      <c r="L92" s="1050" t="n"/>
      <c r="M92" s="1050" t="n"/>
      <c r="N92" s="731" t="n"/>
      <c r="O92" s="1050" t="n"/>
      <c r="P92" s="1050" t="n"/>
      <c r="Q92" s="731" t="n"/>
      <c r="R92" s="1050" t="n"/>
      <c r="S92" s="1050" t="n"/>
      <c r="T92" s="731" t="n"/>
      <c r="U92" s="1050" t="n"/>
      <c r="V92" s="1050" t="n"/>
      <c r="W92" s="731" t="n"/>
      <c r="X92" s="1050" t="n"/>
      <c r="Y92" s="1050" t="n"/>
      <c r="Z92" s="731" t="n"/>
      <c r="AA92" s="1050" t="n"/>
      <c r="AB92" s="1050" t="n"/>
    </row>
    <row r="93" ht="13" customHeight="1" s="828">
      <c r="A93" s="1051" t="n"/>
      <c r="B93" s="731" t="n"/>
      <c r="C93" s="1050" t="n"/>
      <c r="D93" s="1050" t="n"/>
      <c r="E93" s="731" t="n"/>
      <c r="F93" s="1050" t="n"/>
      <c r="G93" s="1050" t="n"/>
      <c r="H93" s="731" t="n"/>
      <c r="I93" s="1050" t="n"/>
      <c r="J93" s="1050" t="n"/>
      <c r="K93" s="731" t="n"/>
      <c r="L93" s="1050" t="n"/>
      <c r="M93" s="1050" t="n"/>
      <c r="N93" s="731" t="n"/>
      <c r="O93" s="1050" t="n"/>
      <c r="P93" s="1050" t="n"/>
      <c r="Q93" s="731" t="n"/>
      <c r="R93" s="1050" t="n"/>
      <c r="S93" s="1050" t="n"/>
      <c r="T93" s="731" t="n"/>
      <c r="U93" s="1050" t="n"/>
      <c r="V93" s="1050" t="n"/>
      <c r="W93" s="731" t="n"/>
      <c r="X93" s="1050" t="n"/>
      <c r="Y93" s="1050" t="n"/>
      <c r="Z93" s="731" t="n"/>
      <c r="AA93" s="1050" t="n"/>
      <c r="AB93" s="1050" t="n"/>
    </row>
    <row r="94" ht="13" customHeight="1" s="828">
      <c r="A94" s="1051" t="n"/>
      <c r="B94" s="731" t="n"/>
      <c r="C94" s="1050" t="n"/>
      <c r="D94" s="1050" t="n"/>
      <c r="E94" s="731" t="n"/>
      <c r="F94" s="1050" t="n"/>
      <c r="G94" s="1050" t="n"/>
      <c r="H94" s="731" t="n"/>
      <c r="I94" s="1050" t="n"/>
      <c r="J94" s="1050" t="n"/>
      <c r="K94" s="731" t="n"/>
      <c r="L94" s="1050" t="n"/>
      <c r="M94" s="1050" t="n"/>
      <c r="N94" s="731" t="n"/>
      <c r="O94" s="1050" t="n"/>
      <c r="P94" s="1050" t="n"/>
      <c r="Q94" s="731" t="n"/>
      <c r="R94" s="1050" t="n"/>
      <c r="S94" s="1050" t="n"/>
      <c r="T94" s="731" t="n"/>
      <c r="U94" s="1050" t="n"/>
      <c r="V94" s="1050" t="n"/>
      <c r="W94" s="731" t="n"/>
      <c r="X94" s="1050" t="n"/>
      <c r="Y94" s="1050" t="n"/>
      <c r="Z94" s="731" t="n"/>
      <c r="AA94" s="1050" t="n"/>
      <c r="AB94" s="1050" t="n"/>
    </row>
    <row r="95" ht="13" customHeight="1" s="828">
      <c r="A95" s="1051" t="n"/>
      <c r="B95" s="731" t="n"/>
      <c r="C95" s="1050" t="n"/>
      <c r="D95" s="1050" t="n"/>
      <c r="E95" s="731" t="n"/>
      <c r="F95" s="1050" t="n"/>
      <c r="G95" s="1050" t="n"/>
      <c r="H95" s="731" t="n"/>
      <c r="I95" s="1050" t="n"/>
      <c r="J95" s="1050" t="n"/>
      <c r="K95" s="731" t="n"/>
      <c r="L95" s="1050" t="n"/>
      <c r="M95" s="1050" t="n"/>
      <c r="N95" s="731" t="n"/>
      <c r="O95" s="1050" t="n"/>
      <c r="P95" s="1050" t="n"/>
      <c r="Q95" s="731" t="n"/>
      <c r="R95" s="1050" t="n"/>
      <c r="S95" s="1050" t="n"/>
      <c r="T95" s="731" t="n"/>
      <c r="U95" s="1050" t="n"/>
      <c r="V95" s="1050" t="n"/>
      <c r="W95" s="731" t="n"/>
      <c r="X95" s="1050" t="n"/>
      <c r="Y95" s="1050" t="n"/>
      <c r="Z95" s="731" t="n"/>
      <c r="AA95" s="1050" t="n"/>
      <c r="AB95" s="1050" t="n"/>
    </row>
    <row r="96" ht="13" customHeight="1" s="828">
      <c r="A96" s="1051" t="n"/>
      <c r="B96" s="731" t="n"/>
      <c r="C96" s="1050" t="n"/>
      <c r="D96" s="1050" t="n"/>
      <c r="E96" s="731" t="n"/>
      <c r="F96" s="1050" t="n"/>
      <c r="G96" s="1050" t="n"/>
      <c r="H96" s="731" t="n"/>
      <c r="I96" s="1050" t="n"/>
      <c r="J96" s="1050" t="n"/>
      <c r="K96" s="731" t="n"/>
      <c r="L96" s="1050" t="n"/>
      <c r="M96" s="1050" t="n"/>
      <c r="N96" s="731" t="n"/>
      <c r="O96" s="1050" t="n"/>
      <c r="P96" s="1050" t="n"/>
      <c r="Q96" s="731" t="n"/>
      <c r="R96" s="1050" t="n"/>
      <c r="S96" s="1050" t="n"/>
      <c r="T96" s="731" t="n"/>
      <c r="U96" s="1050" t="n"/>
      <c r="V96" s="1050" t="n"/>
      <c r="W96" s="731" t="n"/>
      <c r="X96" s="1050" t="n"/>
      <c r="Y96" s="1050" t="n"/>
      <c r="Z96" s="731" t="n"/>
      <c r="AA96" s="1050" t="n"/>
      <c r="AB96" s="1050" t="n"/>
    </row>
    <row r="97" ht="13" customHeight="1" s="828">
      <c r="A97" s="1051" t="n"/>
      <c r="B97" s="731" t="n"/>
      <c r="C97" s="1050" t="n"/>
      <c r="D97" s="1050" t="n"/>
      <c r="E97" s="731" t="n"/>
      <c r="F97" s="1050" t="n"/>
      <c r="G97" s="1050" t="n"/>
      <c r="H97" s="731" t="n"/>
      <c r="I97" s="1050" t="n"/>
      <c r="J97" s="1050" t="n"/>
      <c r="K97" s="731" t="n"/>
      <c r="L97" s="1050" t="n"/>
      <c r="M97" s="1050" t="n"/>
      <c r="N97" s="731" t="n"/>
      <c r="O97" s="1050" t="n"/>
      <c r="P97" s="1050" t="n"/>
      <c r="Q97" s="731" t="n"/>
      <c r="R97" s="1050" t="n"/>
      <c r="S97" s="1050" t="n"/>
      <c r="T97" s="731" t="n"/>
      <c r="U97" s="1050" t="n"/>
      <c r="V97" s="1050" t="n"/>
      <c r="W97" s="731" t="n"/>
      <c r="X97" s="1050" t="n"/>
      <c r="Y97" s="1050" t="n"/>
      <c r="Z97" s="731" t="n"/>
      <c r="AA97" s="1050" t="n"/>
      <c r="AB97" s="1050" t="n"/>
    </row>
    <row r="98" ht="13" customHeight="1" s="828">
      <c r="A98" s="1051" t="n"/>
      <c r="B98" s="731" t="n"/>
      <c r="C98" s="1050" t="n"/>
      <c r="D98" s="1050" t="n"/>
      <c r="E98" s="731" t="n"/>
      <c r="F98" s="1050" t="n"/>
      <c r="G98" s="1050" t="n"/>
      <c r="H98" s="731" t="n"/>
      <c r="I98" s="1050" t="n"/>
      <c r="J98" s="1050" t="n"/>
      <c r="K98" s="731" t="n"/>
      <c r="L98" s="1050" t="n"/>
      <c r="M98" s="1050" t="n"/>
      <c r="N98" s="731" t="n"/>
      <c r="O98" s="1050" t="n"/>
      <c r="P98" s="1050" t="n"/>
      <c r="Q98" s="731" t="n"/>
      <c r="R98" s="1050" t="n"/>
      <c r="S98" s="1050" t="n"/>
      <c r="T98" s="731" t="n"/>
      <c r="U98" s="1050" t="n"/>
      <c r="V98" s="1050" t="n"/>
      <c r="W98" s="731" t="n"/>
      <c r="X98" s="1050" t="n"/>
      <c r="Y98" s="1050" t="n"/>
      <c r="Z98" s="731" t="n"/>
      <c r="AA98" s="1050" t="n"/>
      <c r="AB98" s="1050" t="n"/>
    </row>
    <row r="99" ht="13" customHeight="1" s="828">
      <c r="A99" s="1051" t="n"/>
      <c r="B99" s="731" t="n"/>
      <c r="C99" s="1050" t="n"/>
      <c r="D99" s="1050" t="n"/>
      <c r="E99" s="731" t="n"/>
      <c r="F99" s="1050" t="n"/>
      <c r="G99" s="1050" t="n"/>
      <c r="H99" s="731" t="n"/>
      <c r="I99" s="1050" t="n"/>
      <c r="J99" s="1050" t="n"/>
      <c r="K99" s="731" t="n"/>
      <c r="L99" s="1050" t="n"/>
      <c r="M99" s="1050" t="n"/>
      <c r="N99" s="731" t="n"/>
      <c r="O99" s="1050" t="n"/>
      <c r="P99" s="1050" t="n"/>
      <c r="Q99" s="731" t="n"/>
      <c r="R99" s="1050" t="n"/>
      <c r="S99" s="1050" t="n"/>
      <c r="T99" s="731" t="n"/>
      <c r="U99" s="1050" t="n"/>
      <c r="V99" s="1050" t="n"/>
      <c r="W99" s="731" t="n"/>
      <c r="X99" s="1050" t="n"/>
      <c r="Y99" s="1050" t="n"/>
      <c r="Z99" s="731" t="n"/>
      <c r="AA99" s="1050" t="n"/>
      <c r="AB99" s="1050" t="n"/>
    </row>
    <row r="100" ht="13" customHeight="1" s="828">
      <c r="A100" s="1051" t="n"/>
      <c r="B100" s="731" t="n"/>
      <c r="C100" s="1050" t="n"/>
      <c r="D100" s="1050" t="n"/>
      <c r="E100" s="731" t="n"/>
      <c r="F100" s="1050" t="n"/>
      <c r="G100" s="1050" t="n"/>
      <c r="H100" s="731" t="n"/>
      <c r="I100" s="1050" t="n"/>
      <c r="J100" s="1050" t="n"/>
      <c r="K100" s="731" t="n"/>
      <c r="L100" s="1050" t="n"/>
      <c r="M100" s="1050" t="n"/>
      <c r="N100" s="731" t="n"/>
      <c r="O100" s="1050" t="n"/>
      <c r="P100" s="1050" t="n"/>
      <c r="Q100" s="731" t="n"/>
      <c r="R100" s="1050" t="n"/>
      <c r="S100" s="1050" t="n"/>
      <c r="T100" s="731" t="n"/>
      <c r="U100" s="1050" t="n"/>
      <c r="V100" s="1050" t="n"/>
      <c r="W100" s="731" t="n"/>
      <c r="X100" s="1050" t="n"/>
      <c r="Y100" s="1050" t="n"/>
      <c r="Z100" s="731" t="n"/>
      <c r="AA100" s="1050" t="n"/>
      <c r="AB100" s="1050" t="n"/>
    </row>
    <row r="101" ht="13" customHeight="1" s="828">
      <c r="A101" s="1051" t="n"/>
      <c r="B101" s="731" t="n"/>
      <c r="C101" s="1050" t="n"/>
      <c r="D101" s="1050" t="n"/>
      <c r="E101" s="731" t="n"/>
      <c r="F101" s="1050" t="n"/>
      <c r="G101" s="1050" t="n"/>
      <c r="H101" s="731" t="n"/>
      <c r="I101" s="1050" t="n"/>
      <c r="J101" s="1050" t="n"/>
      <c r="K101" s="731" t="n"/>
      <c r="L101" s="1050" t="n"/>
      <c r="M101" s="1050" t="n"/>
      <c r="N101" s="731" t="n"/>
      <c r="O101" s="1050" t="n"/>
      <c r="P101" s="1050" t="n"/>
      <c r="Q101" s="731" t="n"/>
      <c r="R101" s="1050" t="n"/>
      <c r="S101" s="1050" t="n"/>
      <c r="T101" s="731" t="n"/>
      <c r="U101" s="1050" t="n"/>
      <c r="V101" s="1050" t="n"/>
      <c r="W101" s="731" t="n"/>
      <c r="X101" s="1050" t="n"/>
      <c r="Y101" s="1050" t="n"/>
      <c r="Z101" s="731" t="n"/>
      <c r="AA101" s="1050" t="n"/>
      <c r="AB101" s="1050" t="n"/>
    </row>
    <row r="102" ht="13" customHeight="1" s="828">
      <c r="A102" s="1051" t="n"/>
      <c r="B102" s="731" t="n"/>
      <c r="C102" s="1050" t="n"/>
      <c r="D102" s="1050" t="n"/>
      <c r="E102" s="731" t="n"/>
      <c r="F102" s="1050" t="n"/>
      <c r="G102" s="1050" t="n"/>
      <c r="H102" s="731" t="n"/>
      <c r="I102" s="1050" t="n"/>
      <c r="J102" s="1050" t="n"/>
      <c r="K102" s="731" t="n"/>
      <c r="L102" s="1050" t="n"/>
      <c r="M102" s="1050" t="n"/>
      <c r="N102" s="731" t="n"/>
      <c r="O102" s="1050" t="n"/>
      <c r="P102" s="1050" t="n"/>
      <c r="Q102" s="731" t="n"/>
      <c r="R102" s="1050" t="n"/>
      <c r="S102" s="1050" t="n"/>
      <c r="T102" s="731" t="n"/>
      <c r="U102" s="1050" t="n"/>
      <c r="V102" s="1050" t="n"/>
      <c r="W102" s="731" t="n"/>
      <c r="X102" s="1050" t="n"/>
      <c r="Y102" s="1050" t="n"/>
      <c r="Z102" s="731" t="n"/>
      <c r="AA102" s="1050" t="n"/>
      <c r="AB102" s="1050" t="n"/>
    </row>
    <row r="103" ht="13" customHeight="1" s="828">
      <c r="A103" s="1049" t="n"/>
      <c r="B103" s="731" t="n"/>
      <c r="C103" s="1050" t="n"/>
      <c r="D103" s="1050" t="n"/>
      <c r="E103" s="731" t="n"/>
      <c r="F103" s="1050" t="n"/>
      <c r="G103" s="1050" t="n"/>
      <c r="H103" s="731" t="n"/>
      <c r="I103" s="1050" t="n"/>
      <c r="J103" s="1050" t="n"/>
      <c r="K103" s="731" t="n"/>
      <c r="L103" s="1050" t="n"/>
      <c r="M103" s="1050" t="n"/>
      <c r="N103" s="731" t="n"/>
      <c r="O103" s="1050" t="n"/>
      <c r="P103" s="1050" t="n"/>
      <c r="Q103" s="731" t="n"/>
      <c r="R103" s="1050" t="n"/>
      <c r="S103" s="1050" t="n"/>
      <c r="T103" s="731" t="n"/>
      <c r="U103" s="1050" t="n"/>
      <c r="V103" s="1050" t="n"/>
      <c r="W103" s="731" t="n"/>
      <c r="X103" s="1050" t="n"/>
      <c r="Y103" s="1050" t="n"/>
      <c r="Z103" s="731" t="n"/>
      <c r="AA103" s="1050" t="n"/>
      <c r="AB103" s="1050" t="n"/>
    </row>
    <row r="104" ht="13" customHeight="1" s="828">
      <c r="A104" s="1051" t="n"/>
      <c r="B104" s="731" t="n"/>
      <c r="C104" s="1050" t="n"/>
      <c r="D104" s="1050" t="n"/>
      <c r="E104" s="731" t="n"/>
      <c r="F104" s="1050" t="n"/>
      <c r="G104" s="1050" t="n"/>
      <c r="H104" s="731" t="n"/>
      <c r="I104" s="1050" t="n"/>
      <c r="J104" s="1050" t="n"/>
      <c r="K104" s="731" t="n"/>
      <c r="L104" s="1050" t="n"/>
      <c r="M104" s="1050" t="n"/>
      <c r="N104" s="731" t="n"/>
      <c r="O104" s="1050" t="n"/>
      <c r="P104" s="1050" t="n"/>
      <c r="Q104" s="731" t="n"/>
      <c r="R104" s="1050" t="n"/>
      <c r="S104" s="1050" t="n"/>
      <c r="T104" s="731" t="n"/>
      <c r="U104" s="1050" t="n"/>
      <c r="V104" s="1050" t="n"/>
      <c r="W104" s="731" t="n"/>
      <c r="X104" s="1050" t="n"/>
      <c r="Y104" s="1050" t="n"/>
      <c r="Z104" s="731" t="n"/>
      <c r="AA104" s="1050" t="n"/>
      <c r="AB104" s="1050" t="n"/>
    </row>
    <row r="105" ht="13" customHeight="1" s="828">
      <c r="A105" s="1051" t="n"/>
      <c r="B105" s="731" t="n"/>
      <c r="C105" s="1050" t="n"/>
      <c r="D105" s="1050" t="n"/>
      <c r="E105" s="731" t="n"/>
      <c r="F105" s="1050" t="n"/>
      <c r="G105" s="1050" t="n"/>
      <c r="H105" s="731" t="n"/>
      <c r="I105" s="1050" t="n"/>
      <c r="J105" s="1050" t="n"/>
      <c r="K105" s="731" t="n"/>
      <c r="L105" s="1050" t="n"/>
      <c r="M105" s="1050" t="n"/>
      <c r="N105" s="731" t="n"/>
      <c r="O105" s="1050" t="n"/>
      <c r="P105" s="1050" t="n"/>
      <c r="Q105" s="731" t="n"/>
      <c r="R105" s="1050" t="n"/>
      <c r="S105" s="1050" t="n"/>
      <c r="T105" s="731" t="n"/>
      <c r="U105" s="1050" t="n"/>
      <c r="V105" s="1050" t="n"/>
      <c r="W105" s="731" t="n"/>
      <c r="X105" s="1050" t="n"/>
      <c r="Y105" s="1050" t="n"/>
      <c r="Z105" s="731" t="n"/>
      <c r="AA105" s="1050" t="n"/>
      <c r="AB105" s="1050" t="n"/>
    </row>
    <row r="106" ht="13" customHeight="1" s="828">
      <c r="A106" s="1051" t="n"/>
      <c r="B106" s="731" t="n"/>
      <c r="C106" s="1050" t="n"/>
      <c r="D106" s="1050" t="n"/>
      <c r="E106" s="731" t="n"/>
      <c r="F106" s="1050" t="n"/>
      <c r="G106" s="1050" t="n"/>
      <c r="H106" s="731" t="n"/>
      <c r="I106" s="1050" t="n"/>
      <c r="J106" s="1050" t="n"/>
      <c r="K106" s="731" t="n"/>
      <c r="L106" s="1050" t="n"/>
      <c r="M106" s="1050" t="n"/>
      <c r="N106" s="731" t="n"/>
      <c r="O106" s="1050" t="n"/>
      <c r="P106" s="1050" t="n"/>
      <c r="Q106" s="731" t="n"/>
      <c r="R106" s="1050" t="n"/>
      <c r="S106" s="1050" t="n"/>
      <c r="T106" s="731" t="n"/>
      <c r="U106" s="1050" t="n"/>
      <c r="V106" s="1050" t="n"/>
      <c r="W106" s="731" t="n"/>
      <c r="X106" s="1050" t="n"/>
      <c r="Y106" s="1050" t="n"/>
      <c r="Z106" s="731" t="n"/>
      <c r="AA106" s="1050" t="n"/>
      <c r="AB106" s="1050" t="n"/>
    </row>
    <row r="107" ht="13" customHeight="1" s="828">
      <c r="A107" s="1051" t="n"/>
      <c r="B107" s="731" t="n"/>
      <c r="C107" s="1050" t="n"/>
      <c r="D107" s="1050" t="n"/>
      <c r="E107" s="731" t="n"/>
      <c r="F107" s="1050" t="n"/>
      <c r="G107" s="1050" t="n"/>
      <c r="H107" s="731" t="n"/>
      <c r="I107" s="1050" t="n"/>
      <c r="J107" s="1050" t="n"/>
      <c r="K107" s="731" t="n"/>
      <c r="L107" s="1050" t="n"/>
      <c r="M107" s="1050" t="n"/>
      <c r="N107" s="731" t="n"/>
      <c r="O107" s="1050" t="n"/>
      <c r="P107" s="1050" t="n"/>
      <c r="Q107" s="731" t="n"/>
      <c r="R107" s="1050" t="n"/>
      <c r="S107" s="1050" t="n"/>
      <c r="T107" s="731" t="n"/>
      <c r="U107" s="1050" t="n"/>
      <c r="V107" s="1050" t="n"/>
      <c r="W107" s="731" t="n"/>
      <c r="X107" s="1050" t="n"/>
      <c r="Y107" s="1050" t="n"/>
      <c r="Z107" s="731" t="n"/>
      <c r="AA107" s="1050" t="n"/>
      <c r="AB107" s="1050" t="n"/>
    </row>
    <row r="108" ht="13" customHeight="1" s="828">
      <c r="A108" s="1051" t="n"/>
      <c r="B108" s="731" t="n"/>
      <c r="C108" s="1050" t="n"/>
      <c r="D108" s="1050" t="n"/>
      <c r="E108" s="731" t="n"/>
      <c r="F108" s="1050" t="n"/>
      <c r="G108" s="1050" t="n"/>
      <c r="H108" s="731" t="n"/>
      <c r="I108" s="1050" t="n"/>
      <c r="J108" s="1050" t="n"/>
      <c r="K108" s="731" t="n"/>
      <c r="L108" s="1050" t="n"/>
      <c r="M108" s="1050" t="n"/>
      <c r="N108" s="731" t="n"/>
      <c r="O108" s="1050" t="n"/>
      <c r="P108" s="1050" t="n"/>
      <c r="Q108" s="731" t="n"/>
      <c r="R108" s="1050" t="n"/>
      <c r="S108" s="1050" t="n"/>
      <c r="T108" s="731" t="n"/>
      <c r="U108" s="1050" t="n"/>
      <c r="V108" s="1050" t="n"/>
      <c r="W108" s="731" t="n"/>
      <c r="X108" s="1050" t="n"/>
      <c r="Y108" s="1050" t="n"/>
      <c r="Z108" s="731" t="n"/>
      <c r="AA108" s="1050" t="n"/>
      <c r="AB108" s="1050" t="n"/>
    </row>
    <row r="109" ht="13" customHeight="1" s="828">
      <c r="A109" s="1051" t="n"/>
      <c r="B109" s="731" t="n"/>
      <c r="C109" s="1050" t="n"/>
      <c r="D109" s="1050" t="n"/>
      <c r="E109" s="731" t="n"/>
      <c r="F109" s="1050" t="n"/>
      <c r="G109" s="1050" t="n"/>
      <c r="H109" s="731" t="n"/>
      <c r="I109" s="1050" t="n"/>
      <c r="J109" s="1050" t="n"/>
      <c r="K109" s="731" t="n"/>
      <c r="L109" s="1050" t="n"/>
      <c r="M109" s="1050" t="n"/>
      <c r="N109" s="731" t="n"/>
      <c r="O109" s="1050" t="n"/>
      <c r="P109" s="1050" t="n"/>
      <c r="Q109" s="731" t="n"/>
      <c r="R109" s="1050" t="n"/>
      <c r="S109" s="1050" t="n"/>
      <c r="T109" s="731" t="n"/>
      <c r="U109" s="1050" t="n"/>
      <c r="V109" s="1050" t="n"/>
      <c r="W109" s="731" t="n"/>
      <c r="X109" s="1050" t="n"/>
      <c r="Y109" s="1050" t="n"/>
      <c r="Z109" s="731" t="n"/>
      <c r="AA109" s="1050" t="n"/>
      <c r="AB109" s="1050" t="n"/>
    </row>
    <row r="110" ht="13" customHeight="1" s="828">
      <c r="A110" s="1051" t="n"/>
      <c r="B110" s="731" t="n"/>
      <c r="C110" s="1050" t="n"/>
      <c r="D110" s="1050" t="n"/>
      <c r="E110" s="731" t="n"/>
      <c r="F110" s="1050" t="n"/>
      <c r="G110" s="1050" t="n"/>
      <c r="H110" s="731" t="n"/>
      <c r="I110" s="1050" t="n"/>
      <c r="J110" s="1050" t="n"/>
      <c r="K110" s="731" t="n"/>
      <c r="L110" s="1050" t="n"/>
      <c r="M110" s="1050" t="n"/>
      <c r="N110" s="731" t="n"/>
      <c r="O110" s="1050" t="n"/>
      <c r="P110" s="1050" t="n"/>
      <c r="Q110" s="731" t="n"/>
      <c r="R110" s="1050" t="n"/>
      <c r="S110" s="1050" t="n"/>
      <c r="T110" s="731" t="n"/>
      <c r="U110" s="1050" t="n"/>
      <c r="V110" s="1050" t="n"/>
      <c r="W110" s="731" t="n"/>
      <c r="X110" s="1050" t="n"/>
      <c r="Y110" s="1050" t="n"/>
      <c r="Z110" s="731" t="n"/>
      <c r="AA110" s="1050" t="n"/>
      <c r="AB110" s="1050" t="n"/>
    </row>
    <row r="111" ht="13" customHeight="1" s="828">
      <c r="A111" s="1051" t="n"/>
      <c r="B111" s="731" t="n"/>
      <c r="C111" s="1050" t="n"/>
      <c r="D111" s="1050" t="n"/>
      <c r="E111" s="731" t="n"/>
      <c r="F111" s="1050" t="n"/>
      <c r="G111" s="1050" t="n"/>
      <c r="H111" s="731" t="n"/>
      <c r="I111" s="1050" t="n"/>
      <c r="J111" s="1050" t="n"/>
      <c r="K111" s="731" t="n"/>
      <c r="L111" s="1050" t="n"/>
      <c r="M111" s="1050" t="n"/>
      <c r="N111" s="731" t="n"/>
      <c r="O111" s="1050" t="n"/>
      <c r="P111" s="1050" t="n"/>
      <c r="Q111" s="731" t="n"/>
      <c r="R111" s="1050" t="n"/>
      <c r="S111" s="1050" t="n"/>
      <c r="T111" s="731" t="n"/>
      <c r="U111" s="1050" t="n"/>
      <c r="V111" s="1050" t="n"/>
      <c r="W111" s="731" t="n"/>
      <c r="X111" s="1050" t="n"/>
      <c r="Y111" s="1050" t="n"/>
      <c r="Z111" s="731" t="n"/>
      <c r="AA111" s="1050" t="n"/>
      <c r="AB111" s="1050" t="n"/>
    </row>
    <row r="112" ht="13" customHeight="1" s="828">
      <c r="A112" s="1051" t="n"/>
      <c r="B112" s="731" t="n"/>
      <c r="C112" s="1050" t="n"/>
      <c r="D112" s="1050" t="n"/>
      <c r="E112" s="731" t="n"/>
      <c r="F112" s="1050" t="n"/>
      <c r="G112" s="1050" t="n"/>
      <c r="H112" s="731" t="n"/>
      <c r="I112" s="1050" t="n"/>
      <c r="J112" s="1050" t="n"/>
      <c r="K112" s="731" t="n"/>
      <c r="L112" s="1050" t="n"/>
      <c r="M112" s="1050" t="n"/>
      <c r="N112" s="731" t="n"/>
      <c r="O112" s="1050" t="n"/>
      <c r="P112" s="1050" t="n"/>
      <c r="Q112" s="731" t="n"/>
      <c r="R112" s="1050" t="n"/>
      <c r="S112" s="1050" t="n"/>
      <c r="T112" s="731" t="n"/>
      <c r="U112" s="1050" t="n"/>
      <c r="V112" s="1050" t="n"/>
      <c r="W112" s="731" t="n"/>
      <c r="X112" s="1050" t="n"/>
      <c r="Y112" s="1050" t="n"/>
      <c r="Z112" s="731" t="n"/>
      <c r="AA112" s="1050" t="n"/>
      <c r="AB112" s="1050" t="n"/>
    </row>
    <row r="113" ht="13" customHeight="1" s="828">
      <c r="A113" s="1051" t="n"/>
      <c r="B113" s="731" t="n"/>
      <c r="C113" s="1050" t="n"/>
      <c r="D113" s="1050" t="n"/>
      <c r="E113" s="731" t="n"/>
      <c r="F113" s="1050" t="n"/>
      <c r="G113" s="1050" t="n"/>
      <c r="H113" s="731" t="n"/>
      <c r="I113" s="1050" t="n"/>
      <c r="J113" s="1050" t="n"/>
      <c r="K113" s="731" t="n"/>
      <c r="L113" s="1050" t="n"/>
      <c r="M113" s="1050" t="n"/>
      <c r="N113" s="731" t="n"/>
      <c r="O113" s="1050" t="n"/>
      <c r="P113" s="1050" t="n"/>
      <c r="Q113" s="731" t="n"/>
      <c r="R113" s="1050" t="n"/>
      <c r="S113" s="1050" t="n"/>
      <c r="T113" s="731" t="n"/>
      <c r="U113" s="1050" t="n"/>
      <c r="V113" s="1050" t="n"/>
      <c r="W113" s="731" t="n"/>
      <c r="X113" s="1050" t="n"/>
      <c r="Y113" s="1050" t="n"/>
      <c r="Z113" s="731" t="n"/>
      <c r="AA113" s="1050" t="n"/>
      <c r="AB113" s="1050" t="n"/>
    </row>
    <row r="114" ht="13" customHeight="1" s="828">
      <c r="A114" s="1051" t="n"/>
      <c r="B114" s="731" t="n"/>
      <c r="C114" s="1050" t="n"/>
      <c r="D114" s="1050" t="n"/>
      <c r="E114" s="731" t="n"/>
      <c r="F114" s="1050" t="n"/>
      <c r="G114" s="1050" t="n"/>
      <c r="H114" s="731" t="n"/>
      <c r="I114" s="1050" t="n"/>
      <c r="J114" s="1050" t="n"/>
      <c r="K114" s="731" t="n"/>
      <c r="L114" s="1050" t="n"/>
      <c r="M114" s="1050" t="n"/>
      <c r="N114" s="731" t="n"/>
      <c r="O114" s="1050" t="n"/>
      <c r="P114" s="1050" t="n"/>
      <c r="Q114" s="731" t="n"/>
      <c r="R114" s="1050" t="n"/>
      <c r="S114" s="1050" t="n"/>
      <c r="T114" s="731" t="n"/>
      <c r="U114" s="1050" t="n"/>
      <c r="V114" s="1050" t="n"/>
      <c r="W114" s="731" t="n"/>
      <c r="X114" s="1050" t="n"/>
      <c r="Y114" s="1050" t="n"/>
      <c r="Z114" s="731" t="n"/>
      <c r="AA114" s="1050" t="n"/>
      <c r="AB114" s="1050" t="n"/>
    </row>
    <row r="115" ht="13" customHeight="1" s="828">
      <c r="A115" s="1049" t="n"/>
      <c r="B115" s="731" t="n"/>
      <c r="C115" s="1050" t="n"/>
      <c r="D115" s="1050" t="n"/>
      <c r="E115" s="731" t="n"/>
      <c r="F115" s="1050" t="n"/>
      <c r="G115" s="1050" t="n"/>
      <c r="H115" s="731" t="n"/>
      <c r="I115" s="1050" t="n"/>
      <c r="J115" s="1050" t="n"/>
      <c r="K115" s="731" t="n"/>
      <c r="L115" s="1050" t="n"/>
      <c r="M115" s="1050" t="n"/>
      <c r="N115" s="731" t="n"/>
      <c r="O115" s="1050" t="n"/>
      <c r="P115" s="1050" t="n"/>
      <c r="Q115" s="731" t="n"/>
      <c r="R115" s="1050" t="n"/>
      <c r="S115" s="1050" t="n"/>
      <c r="T115" s="731" t="n"/>
      <c r="U115" s="1050" t="n"/>
      <c r="V115" s="1050" t="n"/>
      <c r="W115" s="731" t="n"/>
      <c r="X115" s="1050" t="n"/>
      <c r="Y115" s="1050" t="n"/>
      <c r="Z115" s="731" t="n"/>
      <c r="AA115" s="1050" t="n"/>
      <c r="AB115" s="1050" t="n"/>
    </row>
    <row r="116" ht="13" customHeight="1" s="828">
      <c r="A116" s="1051" t="n"/>
      <c r="B116" s="731" t="n"/>
      <c r="C116" s="1050" t="n"/>
      <c r="D116" s="1050" t="n"/>
      <c r="E116" s="731" t="n"/>
      <c r="F116" s="1050" t="n"/>
      <c r="G116" s="1050" t="n"/>
      <c r="H116" s="731" t="n"/>
      <c r="I116" s="1050" t="n"/>
      <c r="J116" s="1050" t="n"/>
      <c r="K116" s="731" t="n"/>
      <c r="L116" s="1050" t="n"/>
      <c r="M116" s="1050" t="n"/>
      <c r="N116" s="731" t="n"/>
      <c r="O116" s="1050" t="n"/>
      <c r="P116" s="1050" t="n"/>
      <c r="Q116" s="731" t="n"/>
      <c r="R116" s="1050" t="n"/>
      <c r="S116" s="1050" t="n"/>
      <c r="T116" s="731" t="n"/>
      <c r="U116" s="1050" t="n"/>
      <c r="V116" s="1050" t="n"/>
      <c r="W116" s="731" t="n"/>
      <c r="X116" s="1050" t="n"/>
      <c r="Y116" s="1050" t="n"/>
      <c r="Z116" s="731" t="n"/>
      <c r="AA116" s="1050" t="n"/>
      <c r="AB116" s="1050" t="n"/>
    </row>
    <row r="117" ht="13" customHeight="1" s="828">
      <c r="A117" s="1051" t="n"/>
      <c r="B117" s="731" t="n"/>
      <c r="C117" s="1050" t="n"/>
      <c r="D117" s="1050" t="n"/>
      <c r="E117" s="731" t="n"/>
      <c r="F117" s="1050" t="n"/>
      <c r="G117" s="1050" t="n"/>
      <c r="H117" s="731" t="n"/>
      <c r="I117" s="1050" t="n"/>
      <c r="J117" s="1050" t="n"/>
      <c r="K117" s="731" t="n"/>
      <c r="L117" s="1050" t="n"/>
      <c r="M117" s="1050" t="n"/>
      <c r="N117" s="731" t="n"/>
      <c r="O117" s="1050" t="n"/>
      <c r="P117" s="1050" t="n"/>
      <c r="Q117" s="731" t="n"/>
      <c r="R117" s="1050" t="n"/>
      <c r="S117" s="1050" t="n"/>
      <c r="T117" s="731" t="n"/>
      <c r="U117" s="1050" t="n"/>
      <c r="V117" s="1050" t="n"/>
      <c r="W117" s="731" t="n"/>
      <c r="X117" s="1050" t="n"/>
      <c r="Y117" s="1050" t="n"/>
      <c r="Z117" s="731" t="n"/>
      <c r="AA117" s="1050" t="n"/>
      <c r="AB117" s="1050" t="n"/>
    </row>
    <row r="118" ht="13" customHeight="1" s="828">
      <c r="A118" s="1051" t="n"/>
      <c r="B118" s="731" t="n"/>
      <c r="C118" s="1050" t="n"/>
      <c r="D118" s="1050" t="n"/>
      <c r="E118" s="731" t="n"/>
      <c r="F118" s="1050" t="n"/>
      <c r="G118" s="1050" t="n"/>
      <c r="H118" s="731" t="n"/>
      <c r="I118" s="1050" t="n"/>
      <c r="J118" s="1050" t="n"/>
      <c r="K118" s="731" t="n"/>
      <c r="L118" s="1050" t="n"/>
      <c r="M118" s="1050" t="n"/>
      <c r="N118" s="731" t="n"/>
      <c r="O118" s="1050" t="n"/>
      <c r="P118" s="1050" t="n"/>
      <c r="Q118" s="731" t="n"/>
      <c r="R118" s="1050" t="n"/>
      <c r="S118" s="1050" t="n"/>
      <c r="T118" s="731" t="n"/>
      <c r="U118" s="1050" t="n"/>
      <c r="V118" s="1050" t="n"/>
      <c r="W118" s="731" t="n"/>
      <c r="X118" s="1050" t="n"/>
      <c r="Y118" s="1050" t="n"/>
      <c r="Z118" s="731" t="n"/>
      <c r="AA118" s="1050" t="n"/>
      <c r="AB118" s="1050" t="n"/>
    </row>
    <row r="119" ht="13" customHeight="1" s="828">
      <c r="A119" s="1051" t="n"/>
      <c r="B119" s="731" t="n"/>
      <c r="C119" s="1050" t="n"/>
      <c r="D119" s="1050" t="n"/>
      <c r="E119" s="731" t="n"/>
      <c r="F119" s="1050" t="n"/>
      <c r="G119" s="1050" t="n"/>
      <c r="H119" s="731" t="n"/>
      <c r="I119" s="1050" t="n"/>
      <c r="J119" s="1050" t="n"/>
      <c r="K119" s="731" t="n"/>
      <c r="L119" s="1050" t="n"/>
      <c r="M119" s="1050" t="n"/>
      <c r="N119" s="731" t="n"/>
      <c r="O119" s="1050" t="n"/>
      <c r="P119" s="1050" t="n"/>
      <c r="Q119" s="731" t="n"/>
      <c r="R119" s="1050" t="n"/>
      <c r="S119" s="1050" t="n"/>
      <c r="T119" s="731" t="n"/>
      <c r="U119" s="1050" t="n"/>
      <c r="V119" s="1050" t="n"/>
      <c r="W119" s="731" t="n"/>
      <c r="X119" s="1050" t="n"/>
      <c r="Y119" s="1050" t="n"/>
      <c r="Z119" s="731" t="n"/>
      <c r="AA119" s="1050" t="n"/>
      <c r="AB119" s="1050" t="n"/>
    </row>
    <row r="120" ht="13" customHeight="1" s="828">
      <c r="A120" s="1051" t="n"/>
      <c r="B120" s="731" t="n"/>
      <c r="C120" s="1050" t="n"/>
      <c r="D120" s="1050" t="n"/>
      <c r="E120" s="731" t="n"/>
      <c r="F120" s="1050" t="n"/>
      <c r="G120" s="1050" t="n"/>
      <c r="H120" s="731" t="n"/>
      <c r="I120" s="1050" t="n"/>
      <c r="J120" s="1050" t="n"/>
      <c r="K120" s="731" t="n"/>
      <c r="L120" s="1050" t="n"/>
      <c r="M120" s="1050" t="n"/>
      <c r="N120" s="731" t="n"/>
      <c r="O120" s="1050" t="n"/>
      <c r="P120" s="1050" t="n"/>
      <c r="Q120" s="731" t="n"/>
      <c r="R120" s="1050" t="n"/>
      <c r="S120" s="1050" t="n"/>
      <c r="T120" s="731" t="n"/>
      <c r="U120" s="1050" t="n"/>
      <c r="V120" s="1050" t="n"/>
      <c r="W120" s="731" t="n"/>
      <c r="X120" s="1050" t="n"/>
      <c r="Y120" s="1050" t="n"/>
      <c r="Z120" s="731" t="n"/>
      <c r="AA120" s="1050" t="n"/>
      <c r="AB120" s="1050" t="n"/>
    </row>
    <row r="121" ht="13" customHeight="1" s="828">
      <c r="A121" s="1051" t="n"/>
      <c r="B121" s="731" t="n"/>
      <c r="C121" s="1050" t="n"/>
      <c r="D121" s="1050" t="n"/>
      <c r="E121" s="731" t="n"/>
      <c r="F121" s="1050" t="n"/>
      <c r="G121" s="1050" t="n"/>
      <c r="H121" s="731" t="n"/>
      <c r="I121" s="1050" t="n"/>
      <c r="J121" s="1050" t="n"/>
      <c r="K121" s="731" t="n"/>
      <c r="L121" s="1050" t="n"/>
      <c r="M121" s="1050" t="n"/>
      <c r="N121" s="731" t="n"/>
      <c r="O121" s="1050" t="n"/>
      <c r="P121" s="1050" t="n"/>
      <c r="Q121" s="731" t="n"/>
      <c r="R121" s="1050" t="n"/>
      <c r="S121" s="1050" t="n"/>
      <c r="T121" s="731" t="n"/>
      <c r="U121" s="1050" t="n"/>
      <c r="V121" s="1050" t="n"/>
      <c r="W121" s="731" t="n"/>
      <c r="X121" s="1050" t="n"/>
      <c r="Y121" s="1050" t="n"/>
      <c r="Z121" s="731" t="n"/>
      <c r="AA121" s="1050" t="n"/>
      <c r="AB121" s="1050" t="n"/>
    </row>
    <row r="122" ht="13" customHeight="1" s="828">
      <c r="A122" s="1051" t="n"/>
      <c r="B122" s="731" t="n"/>
      <c r="C122" s="1050" t="n"/>
      <c r="D122" s="1050" t="n"/>
      <c r="E122" s="731" t="n"/>
      <c r="F122" s="1050" t="n"/>
      <c r="G122" s="1050" t="n"/>
      <c r="H122" s="731" t="n"/>
      <c r="I122" s="1050" t="n"/>
      <c r="J122" s="1050" t="n"/>
      <c r="K122" s="731" t="n"/>
      <c r="L122" s="1050" t="n"/>
      <c r="M122" s="1050" t="n"/>
      <c r="N122" s="731" t="n"/>
      <c r="O122" s="1050" t="n"/>
      <c r="P122" s="1050" t="n"/>
      <c r="Q122" s="731" t="n"/>
      <c r="R122" s="1050" t="n"/>
      <c r="S122" s="1050" t="n"/>
      <c r="T122" s="731" t="n"/>
      <c r="U122" s="1050" t="n"/>
      <c r="V122" s="1050" t="n"/>
      <c r="W122" s="731" t="n"/>
      <c r="X122" s="1050" t="n"/>
      <c r="Y122" s="1050" t="n"/>
      <c r="Z122" s="731" t="n"/>
      <c r="AA122" s="1050" t="n"/>
      <c r="AB122" s="1050" t="n"/>
    </row>
    <row r="123" ht="13" customHeight="1" s="828">
      <c r="A123" s="1051" t="n"/>
      <c r="B123" s="731" t="n"/>
      <c r="C123" s="1050" t="n"/>
      <c r="D123" s="1050" t="n"/>
      <c r="E123" s="731" t="n"/>
      <c r="F123" s="1050" t="n"/>
      <c r="G123" s="1050" t="n"/>
      <c r="H123" s="731" t="n"/>
      <c r="I123" s="1050" t="n"/>
      <c r="J123" s="1050" t="n"/>
      <c r="K123" s="731" t="n"/>
      <c r="L123" s="1050" t="n"/>
      <c r="M123" s="1050" t="n"/>
      <c r="N123" s="731" t="n"/>
      <c r="O123" s="1050" t="n"/>
      <c r="P123" s="1050" t="n"/>
      <c r="Q123" s="731" t="n"/>
      <c r="R123" s="1050" t="n"/>
      <c r="S123" s="1050" t="n"/>
      <c r="T123" s="731" t="n"/>
      <c r="U123" s="1050" t="n"/>
      <c r="V123" s="1050" t="n"/>
      <c r="W123" s="731" t="n"/>
      <c r="X123" s="1050" t="n"/>
      <c r="Y123" s="1050" t="n"/>
      <c r="Z123" s="731" t="n"/>
      <c r="AA123" s="1050" t="n"/>
      <c r="AB123" s="1050" t="n"/>
    </row>
    <row r="124" ht="13" customHeight="1" s="828">
      <c r="A124" s="1051" t="n"/>
      <c r="B124" s="731" t="n"/>
      <c r="C124" s="1050" t="n"/>
      <c r="D124" s="1050" t="n"/>
      <c r="E124" s="731" t="n"/>
      <c r="F124" s="1050" t="n"/>
      <c r="G124" s="1050" t="n"/>
      <c r="H124" s="731" t="n"/>
      <c r="I124" s="1050" t="n"/>
      <c r="J124" s="1050" t="n"/>
      <c r="K124" s="731" t="n"/>
      <c r="L124" s="1050" t="n"/>
      <c r="M124" s="1050" t="n"/>
      <c r="N124" s="731" t="n"/>
      <c r="O124" s="1050" t="n"/>
      <c r="P124" s="1050" t="n"/>
      <c r="Q124" s="731" t="n"/>
      <c r="R124" s="1050" t="n"/>
      <c r="S124" s="1050" t="n"/>
      <c r="T124" s="731" t="n"/>
      <c r="U124" s="1050" t="n"/>
      <c r="V124" s="1050" t="n"/>
      <c r="W124" s="731" t="n"/>
      <c r="X124" s="1050" t="n"/>
      <c r="Y124" s="1050" t="n"/>
      <c r="Z124" s="731" t="n"/>
      <c r="AA124" s="1050" t="n"/>
      <c r="AB124" s="1050" t="n"/>
    </row>
    <row r="125" ht="13" customHeight="1" s="828">
      <c r="A125" s="1051" t="n"/>
      <c r="B125" s="731" t="n"/>
      <c r="C125" s="1050" t="n"/>
      <c r="D125" s="1050" t="n"/>
      <c r="E125" s="731" t="n"/>
      <c r="F125" s="1050" t="n"/>
      <c r="G125" s="1050" t="n"/>
      <c r="H125" s="731" t="n"/>
      <c r="I125" s="1050" t="n"/>
      <c r="J125" s="1050" t="n"/>
      <c r="K125" s="731" t="n"/>
      <c r="L125" s="1050" t="n"/>
      <c r="M125" s="1050" t="n"/>
      <c r="N125" s="731" t="n"/>
      <c r="O125" s="1050" t="n"/>
      <c r="P125" s="1050" t="n"/>
      <c r="Q125" s="731" t="n"/>
      <c r="R125" s="1050" t="n"/>
      <c r="S125" s="1050" t="n"/>
      <c r="T125" s="731" t="n"/>
      <c r="U125" s="1050" t="n"/>
      <c r="V125" s="1050" t="n"/>
      <c r="W125" s="731" t="n"/>
      <c r="X125" s="1050" t="n"/>
      <c r="Y125" s="1050" t="n"/>
      <c r="Z125" s="731" t="n"/>
      <c r="AA125" s="1050" t="n"/>
      <c r="AB125" s="1050" t="n"/>
    </row>
    <row r="126" ht="13" customHeight="1" s="828">
      <c r="A126" s="1051" t="n"/>
      <c r="B126" s="731" t="n"/>
      <c r="C126" s="1050" t="n"/>
      <c r="D126" s="1050" t="n"/>
      <c r="E126" s="731" t="n"/>
      <c r="F126" s="1050" t="n"/>
      <c r="G126" s="1050" t="n"/>
      <c r="H126" s="731" t="n"/>
      <c r="I126" s="1050" t="n"/>
      <c r="J126" s="1050" t="n"/>
      <c r="K126" s="731" t="n"/>
      <c r="L126" s="1050" t="n"/>
      <c r="M126" s="1050" t="n"/>
      <c r="N126" s="731" t="n"/>
      <c r="O126" s="1050" t="n"/>
      <c r="P126" s="1050" t="n"/>
      <c r="Q126" s="731" t="n"/>
      <c r="R126" s="1050" t="n"/>
      <c r="S126" s="1050" t="n"/>
      <c r="T126" s="731" t="n"/>
      <c r="U126" s="1050" t="n"/>
      <c r="V126" s="1050" t="n"/>
      <c r="W126" s="674" t="n"/>
      <c r="X126" s="1050" t="n"/>
      <c r="Y126" s="1050" t="n"/>
      <c r="Z126" s="731" t="n"/>
      <c r="AA126" s="1050" t="n"/>
      <c r="AB126" s="1050" t="n"/>
    </row>
    <row r="127" ht="13" customHeight="1" s="828">
      <c r="A127" s="1049" t="n"/>
      <c r="B127" s="731" t="n"/>
      <c r="C127" s="1050" t="n"/>
      <c r="D127" s="1050" t="n"/>
      <c r="E127" s="731" t="n"/>
      <c r="F127" s="1050" t="n"/>
      <c r="G127" s="1050" t="n"/>
      <c r="H127" s="731" t="n"/>
      <c r="I127" s="1050" t="n"/>
      <c r="J127" s="1050" t="n"/>
      <c r="K127" s="731" t="n"/>
      <c r="L127" s="1050" t="n"/>
      <c r="M127" s="1050" t="n"/>
      <c r="N127" s="731" t="n"/>
      <c r="O127" s="1050" t="n"/>
      <c r="P127" s="1050" t="n"/>
      <c r="Q127" s="731" t="n"/>
      <c r="R127" s="1050" t="n"/>
      <c r="S127" s="1050" t="n"/>
      <c r="T127" s="731" t="n"/>
      <c r="U127" s="1050" t="n"/>
      <c r="V127" s="1050" t="n"/>
      <c r="W127" s="674" t="n"/>
      <c r="X127" s="1050" t="n"/>
      <c r="Y127" s="1050" t="n"/>
      <c r="Z127" s="674" t="n"/>
      <c r="AA127" s="1050" t="n"/>
      <c r="AB127" s="1050" t="n"/>
    </row>
    <row r="128" ht="13" customHeight="1" s="828">
      <c r="A128" s="1051" t="n"/>
      <c r="B128" s="731" t="n"/>
      <c r="C128" s="1050" t="n"/>
      <c r="D128" s="1050" t="n"/>
      <c r="E128" s="731" t="n"/>
      <c r="F128" s="1050" t="n"/>
      <c r="G128" s="1050" t="n"/>
      <c r="H128" s="731" t="n"/>
      <c r="I128" s="1050" t="n"/>
      <c r="J128" s="1050" t="n"/>
      <c r="K128" s="731" t="n"/>
      <c r="L128" s="1050" t="n"/>
      <c r="M128" s="1050" t="n"/>
      <c r="N128" s="731" t="n"/>
      <c r="O128" s="1050" t="n"/>
      <c r="P128" s="1050" t="n"/>
      <c r="Q128" s="731" t="n"/>
      <c r="R128" s="1050" t="n"/>
      <c r="S128" s="1050" t="n"/>
      <c r="T128" s="731" t="n"/>
      <c r="U128" s="1050" t="n"/>
      <c r="V128" s="1050" t="n"/>
      <c r="W128" s="674" t="n"/>
      <c r="X128" s="1050" t="n"/>
      <c r="Y128" s="1050" t="n"/>
      <c r="Z128" s="731" t="n"/>
      <c r="AA128" s="1050" t="n"/>
      <c r="AB128" s="1050" t="n"/>
    </row>
    <row r="129" ht="13" customHeight="1" s="828">
      <c r="A129" s="1051" t="n"/>
      <c r="B129" s="731" t="n"/>
      <c r="C129" s="1050" t="n"/>
      <c r="D129" s="1050" t="n"/>
      <c r="E129" s="731" t="n"/>
      <c r="F129" s="1050" t="n"/>
      <c r="G129" s="1050" t="n"/>
      <c r="H129" s="731" t="n"/>
      <c r="I129" s="1050" t="n"/>
      <c r="J129" s="1050" t="n"/>
      <c r="K129" s="731" t="n"/>
      <c r="L129" s="1050" t="n"/>
      <c r="M129" s="1050" t="n"/>
      <c r="N129" s="731" t="n"/>
      <c r="O129" s="1050" t="n"/>
      <c r="P129" s="1050" t="n"/>
      <c r="Q129" s="731" t="n"/>
      <c r="R129" s="1050" t="n"/>
      <c r="S129" s="1050" t="n"/>
      <c r="T129" s="731" t="n"/>
      <c r="U129" s="1050" t="n"/>
      <c r="V129" s="1052" t="n"/>
      <c r="W129" s="674" t="n"/>
      <c r="X129" s="1050" t="n"/>
      <c r="Y129" s="1050" t="n"/>
      <c r="Z129" s="731" t="n"/>
      <c r="AA129" s="1050" t="n"/>
      <c r="AB129" s="1050" t="n"/>
    </row>
    <row r="130" ht="13" customHeight="1" s="828">
      <c r="A130" s="1051" t="n"/>
      <c r="B130" s="731" t="n"/>
      <c r="C130" s="1050" t="n"/>
      <c r="D130" s="1050" t="n"/>
      <c r="E130" s="731" t="n"/>
      <c r="F130" s="1050" t="n"/>
      <c r="G130" s="1050" t="n"/>
      <c r="H130" s="731" t="n"/>
      <c r="I130" s="1050" t="n"/>
      <c r="J130" s="1050" t="n"/>
      <c r="K130" s="731" t="n"/>
      <c r="L130" s="1050" t="n"/>
      <c r="M130" s="1050" t="n"/>
      <c r="N130" s="731" t="n"/>
      <c r="O130" s="1050" t="n"/>
      <c r="P130" s="1050" t="n"/>
      <c r="Q130" s="731" t="n"/>
      <c r="R130" s="1050" t="n"/>
      <c r="S130" s="1050" t="n"/>
      <c r="T130" s="731" t="n"/>
      <c r="U130" s="1050" t="n"/>
      <c r="V130" s="1050" t="n"/>
      <c r="W130" s="731" t="n"/>
      <c r="X130" s="1050" t="n"/>
      <c r="Y130" s="1050" t="n"/>
      <c r="Z130" s="731" t="n"/>
      <c r="AA130" s="1050" t="n"/>
      <c r="AB130" s="1050" t="n"/>
    </row>
    <row r="131" ht="13" customHeight="1" s="828">
      <c r="A131" s="1051" t="n"/>
      <c r="B131" s="731" t="n"/>
      <c r="C131" s="1050" t="n"/>
      <c r="D131" s="1050" t="n"/>
      <c r="E131" s="731" t="n"/>
      <c r="F131" s="1050" t="n"/>
      <c r="G131" s="1050" t="n"/>
      <c r="H131" s="731" t="n"/>
      <c r="I131" s="1050" t="n"/>
      <c r="J131" s="1050" t="n"/>
      <c r="K131" s="731" t="n"/>
      <c r="L131" s="1050" t="n"/>
      <c r="M131" s="1050" t="n"/>
      <c r="N131" s="731" t="n"/>
      <c r="O131" s="1050" t="n"/>
      <c r="P131" s="1050" t="n"/>
      <c r="Q131" s="731" t="n"/>
      <c r="R131" s="1050" t="n"/>
      <c r="S131" s="1050" t="n"/>
      <c r="T131" s="731" t="n"/>
      <c r="U131" s="1050" t="n"/>
      <c r="V131" s="1050" t="n"/>
      <c r="W131" s="731" t="n"/>
      <c r="X131" s="1050" t="n"/>
      <c r="Y131" s="1050" t="n"/>
      <c r="Z131" s="731" t="n"/>
      <c r="AA131" s="1050" t="n"/>
      <c r="AB131" s="1050" t="n"/>
    </row>
    <row r="132" ht="13" customHeight="1" s="828">
      <c r="A132" s="1051" t="n"/>
      <c r="B132" s="731" t="n"/>
      <c r="C132" s="1050" t="n"/>
      <c r="D132" s="1050" t="n"/>
      <c r="E132" s="731" t="n"/>
      <c r="F132" s="1050" t="n"/>
      <c r="G132" s="1050" t="n"/>
      <c r="H132" s="731" t="n"/>
      <c r="I132" s="1050" t="n"/>
      <c r="J132" s="1050" t="n"/>
      <c r="K132" s="731" t="n"/>
      <c r="L132" s="1050" t="n"/>
      <c r="M132" s="1050" t="n"/>
      <c r="N132" s="731" t="n"/>
      <c r="O132" s="1050" t="n"/>
      <c r="P132" s="1050" t="n"/>
      <c r="Q132" s="731" t="n"/>
      <c r="R132" s="1050" t="n"/>
      <c r="S132" s="1050" t="n"/>
      <c r="T132" s="731" t="n"/>
      <c r="U132" s="1050" t="n"/>
      <c r="V132" s="1050" t="n"/>
      <c r="W132" s="731" t="n"/>
      <c r="X132" s="1050" t="n"/>
      <c r="Y132" s="1050" t="n"/>
      <c r="Z132" s="731" t="n"/>
      <c r="AA132" s="1050" t="n"/>
      <c r="AB132" s="1050" t="n"/>
    </row>
    <row r="133" ht="13" customHeight="1" s="828">
      <c r="A133" s="1051" t="n"/>
      <c r="B133" s="731" t="n"/>
      <c r="C133" s="1050" t="n"/>
      <c r="D133" s="1050" t="n"/>
      <c r="E133" s="731" t="n"/>
      <c r="F133" s="1050" t="n"/>
      <c r="G133" s="1050" t="n"/>
      <c r="H133" s="731" t="n"/>
      <c r="I133" s="1050" t="n"/>
      <c r="J133" s="1050" t="n"/>
      <c r="K133" s="731" t="n"/>
      <c r="L133" s="1050" t="n"/>
      <c r="M133" s="1050" t="n"/>
      <c r="N133" s="731" t="n"/>
      <c r="O133" s="1050" t="n"/>
      <c r="P133" s="1050" t="n"/>
      <c r="Q133" s="731" t="n"/>
      <c r="R133" s="1050" t="n"/>
      <c r="S133" s="1050" t="n"/>
      <c r="T133" s="731" t="n"/>
      <c r="U133" s="1050" t="n"/>
      <c r="V133" s="1050" t="n"/>
      <c r="W133" s="731" t="n"/>
      <c r="X133" s="1050" t="n"/>
      <c r="Y133" s="1050" t="n"/>
      <c r="Z133" s="731" t="n"/>
      <c r="AA133" s="1050" t="n"/>
      <c r="AB133" s="1050" t="n"/>
    </row>
    <row r="134" ht="13" customHeight="1" s="828">
      <c r="A134" s="1051" t="n"/>
      <c r="B134" s="731" t="n"/>
      <c r="C134" s="1050" t="n"/>
      <c r="D134" s="1050" t="n"/>
      <c r="E134" s="731" t="n"/>
      <c r="F134" s="1050" t="n"/>
      <c r="G134" s="1050" t="n"/>
      <c r="H134" s="731" t="n"/>
      <c r="I134" s="1050" t="n"/>
      <c r="J134" s="1050" t="n"/>
      <c r="K134" s="731" t="n"/>
      <c r="L134" s="1050" t="n"/>
      <c r="M134" s="1050" t="n"/>
      <c r="N134" s="731" t="n"/>
      <c r="O134" s="1050" t="n"/>
      <c r="P134" s="1050" t="n"/>
      <c r="Q134" s="731" t="n"/>
      <c r="R134" s="1050" t="n"/>
      <c r="S134" s="1050" t="n"/>
      <c r="T134" s="731" t="n"/>
      <c r="U134" s="1050" t="n"/>
      <c r="V134" s="1050" t="n"/>
      <c r="W134" s="731" t="n"/>
      <c r="X134" s="1050" t="n"/>
      <c r="Y134" s="1050" t="n"/>
      <c r="Z134" s="731" t="n"/>
      <c r="AA134" s="1050" t="n"/>
      <c r="AB134" s="1050" t="n"/>
    </row>
    <row r="135" ht="13" customHeight="1" s="828">
      <c r="A135" s="1051" t="n"/>
      <c r="B135" s="731" t="n"/>
      <c r="C135" s="1050" t="n"/>
      <c r="D135" s="1050" t="n"/>
      <c r="E135" s="731" t="n"/>
      <c r="F135" s="1050" t="n"/>
      <c r="G135" s="1050" t="n"/>
      <c r="H135" s="731" t="n"/>
      <c r="I135" s="1050" t="n"/>
      <c r="J135" s="1050" t="n"/>
      <c r="K135" s="731" t="n"/>
      <c r="L135" s="1050" t="n"/>
      <c r="M135" s="1050" t="n"/>
      <c r="N135" s="731" t="n"/>
      <c r="O135" s="1050" t="n"/>
      <c r="P135" s="1050" t="n"/>
      <c r="Q135" s="731" t="n"/>
      <c r="R135" s="1050" t="n"/>
      <c r="S135" s="1050" t="n"/>
      <c r="T135" s="731" t="n"/>
      <c r="U135" s="1050" t="n"/>
      <c r="V135" s="1050" t="n"/>
      <c r="W135" s="731" t="n"/>
      <c r="X135" s="1050" t="n"/>
      <c r="Y135" s="1050" t="n"/>
      <c r="Z135" s="731" t="n"/>
      <c r="AA135" s="1050" t="n"/>
      <c r="AB135" s="1050" t="n"/>
    </row>
    <row r="136" ht="13" customHeight="1" s="828">
      <c r="A136" s="1051" t="n"/>
      <c r="B136" s="731" t="n"/>
      <c r="C136" s="1050" t="n"/>
      <c r="D136" s="1050" t="n"/>
      <c r="E136" s="731" t="n"/>
      <c r="F136" s="1050" t="n"/>
      <c r="G136" s="1050" t="n"/>
      <c r="H136" s="731" t="n"/>
      <c r="I136" s="1050" t="n"/>
      <c r="J136" s="1050" t="n"/>
      <c r="K136" s="731" t="n"/>
      <c r="L136" s="1050" t="n"/>
      <c r="M136" s="1050" t="n"/>
      <c r="N136" s="731" t="n"/>
      <c r="O136" s="1050" t="n"/>
      <c r="P136" s="1050" t="n"/>
      <c r="Q136" s="731" t="n"/>
      <c r="R136" s="1050" t="n"/>
      <c r="S136" s="1050" t="n"/>
      <c r="T136" s="731" t="n"/>
      <c r="U136" s="1050" t="n"/>
      <c r="V136" s="1050" t="n"/>
      <c r="W136" s="731" t="n"/>
      <c r="X136" s="1050" t="n"/>
      <c r="Y136" s="1050" t="n"/>
      <c r="Z136" s="731" t="n"/>
      <c r="AA136" s="1050" t="n"/>
      <c r="AB136" s="1050" t="n"/>
    </row>
    <row r="137" ht="13" customHeight="1" s="828">
      <c r="A137" s="1051" t="n"/>
      <c r="B137" s="731" t="n"/>
      <c r="C137" s="1050" t="n"/>
      <c r="D137" s="1050" t="n"/>
      <c r="E137" s="731" t="n"/>
      <c r="F137" s="1050" t="n"/>
      <c r="G137" s="1050" t="n"/>
      <c r="H137" s="731" t="n"/>
      <c r="I137" s="1050" t="n"/>
      <c r="J137" s="1050" t="n"/>
      <c r="K137" s="731" t="n"/>
      <c r="L137" s="1050" t="n"/>
      <c r="M137" s="1050" t="n"/>
      <c r="N137" s="731" t="n"/>
      <c r="O137" s="1050" t="n"/>
      <c r="P137" s="1050" t="n"/>
      <c r="Q137" s="731" t="n"/>
      <c r="R137" s="1050" t="n"/>
      <c r="S137" s="1050" t="n"/>
      <c r="T137" s="731" t="n"/>
      <c r="U137" s="1050" t="n"/>
      <c r="V137" s="1050" t="n"/>
      <c r="W137" s="731" t="n"/>
      <c r="X137" s="1050" t="n"/>
      <c r="Y137" s="1050" t="n"/>
      <c r="Z137" s="731" t="n"/>
      <c r="AA137" s="1050" t="n"/>
      <c r="AB137" s="1050" t="n"/>
    </row>
    <row r="138" ht="13" customHeight="1" s="828">
      <c r="A138" s="1051" t="n"/>
      <c r="B138" s="731" t="n"/>
      <c r="C138" s="1050" t="n"/>
      <c r="D138" s="1050" t="n"/>
      <c r="E138" s="731" t="n"/>
      <c r="F138" s="1050" t="n"/>
      <c r="G138" s="1050" t="n"/>
      <c r="H138" s="731" t="n"/>
      <c r="I138" s="1050" t="n"/>
      <c r="J138" s="1050" t="n"/>
      <c r="K138" s="731" t="n"/>
      <c r="L138" s="1050" t="n"/>
      <c r="M138" s="1050" t="n"/>
      <c r="N138" s="731" t="n"/>
      <c r="O138" s="1050" t="n"/>
      <c r="P138" s="1050" t="n"/>
      <c r="Q138" s="731" t="n"/>
      <c r="R138" s="1050" t="n"/>
      <c r="S138" s="1050" t="n"/>
      <c r="T138" s="731" t="n"/>
      <c r="U138" s="1050" t="n"/>
      <c r="V138" s="1050" t="n"/>
      <c r="W138" s="731" t="n"/>
      <c r="X138" s="1050" t="n"/>
      <c r="Y138" s="1050" t="n"/>
      <c r="Z138" s="731" t="n"/>
      <c r="AA138" s="1050" t="n"/>
      <c r="AB138" s="1050" t="n"/>
    </row>
    <row r="139" ht="13" customHeight="1" s="828">
      <c r="A139" s="1051" t="n"/>
      <c r="B139" s="731" t="n"/>
      <c r="C139" s="1050" t="n"/>
      <c r="D139" s="1050" t="n"/>
      <c r="E139" s="731" t="n"/>
      <c r="F139" s="1050" t="n"/>
      <c r="G139" s="1050" t="n"/>
      <c r="H139" s="731" t="n"/>
      <c r="I139" s="1050" t="n"/>
      <c r="J139" s="1050" t="n"/>
      <c r="K139" s="731" t="n"/>
      <c r="L139" s="1050" t="n"/>
      <c r="M139" s="1050" t="n"/>
      <c r="N139" s="731" t="n"/>
      <c r="O139" s="1050" t="n"/>
      <c r="P139" s="1050" t="n"/>
      <c r="Q139" s="731" t="n"/>
      <c r="R139" s="1050" t="n"/>
      <c r="S139" s="1050" t="n"/>
      <c r="T139" s="731" t="n"/>
      <c r="U139" s="1050" t="n"/>
      <c r="V139" s="1050" t="n"/>
      <c r="W139" s="731" t="n"/>
      <c r="X139" s="1050" t="n"/>
      <c r="Y139" s="1050" t="n"/>
      <c r="Z139" s="731" t="n"/>
      <c r="AA139" s="1050" t="n"/>
      <c r="AB139" s="1050" t="n"/>
    </row>
    <row r="140" ht="13" customHeight="1" s="828">
      <c r="A140" s="1051" t="n"/>
      <c r="B140" s="731" t="n"/>
      <c r="C140" s="1050" t="n"/>
      <c r="D140" s="1050" t="n"/>
      <c r="E140" s="731" t="n"/>
      <c r="F140" s="1050" t="n"/>
      <c r="G140" s="1050" t="n"/>
      <c r="H140" s="731" t="n"/>
      <c r="I140" s="1050" t="n"/>
      <c r="J140" s="1050" t="n"/>
      <c r="K140" s="731" t="n"/>
      <c r="L140" s="1050" t="n"/>
      <c r="M140" s="1050" t="n"/>
      <c r="N140" s="731" t="n"/>
      <c r="O140" s="1050" t="n"/>
      <c r="P140" s="1050" t="n"/>
      <c r="Q140" s="731" t="n"/>
      <c r="R140" s="1050" t="n"/>
      <c r="S140" s="1050" t="n"/>
      <c r="T140" s="731" t="n"/>
      <c r="U140" s="1050" t="n"/>
      <c r="V140" s="1050" t="n"/>
      <c r="W140" s="731" t="n"/>
      <c r="X140" s="1050" t="n"/>
      <c r="Y140" s="1050" t="n"/>
      <c r="Z140" s="731" t="n"/>
      <c r="AA140" s="1050" t="n"/>
      <c r="AB140" s="1050" t="n"/>
    </row>
    <row r="141" ht="13" customHeight="1" s="828">
      <c r="A141" s="1051" t="n"/>
      <c r="B141" s="731" t="n"/>
      <c r="C141" s="1050" t="n"/>
      <c r="D141" s="1050" t="n"/>
      <c r="E141" s="731" t="n"/>
      <c r="F141" s="1050" t="n"/>
      <c r="G141" s="1050" t="n"/>
      <c r="H141" s="731" t="n"/>
      <c r="I141" s="1050" t="n"/>
      <c r="J141" s="1050" t="n"/>
      <c r="K141" s="731" t="n"/>
      <c r="L141" s="1050" t="n"/>
      <c r="M141" s="1050" t="n"/>
      <c r="N141" s="731" t="n"/>
      <c r="O141" s="1050" t="n"/>
      <c r="P141" s="1050" t="n"/>
      <c r="Q141" s="731" t="n"/>
      <c r="R141" s="1050" t="n"/>
      <c r="S141" s="1050" t="n"/>
      <c r="T141" s="731" t="n"/>
      <c r="U141" s="1050" t="n"/>
      <c r="V141" s="1050" t="n"/>
      <c r="W141" s="731" t="n"/>
      <c r="X141" s="1050" t="n"/>
      <c r="Y141" s="1050" t="n"/>
      <c r="Z141" s="731" t="n"/>
      <c r="AA141" s="1050" t="n"/>
      <c r="AB141" s="1050" t="n"/>
    </row>
    <row r="142" ht="13" customHeight="1" s="828">
      <c r="A142" s="1051" t="n"/>
      <c r="B142" s="731" t="n"/>
      <c r="C142" s="1050" t="n"/>
      <c r="D142" s="1050" t="n"/>
      <c r="E142" s="731" t="n"/>
      <c r="F142" s="1050" t="n"/>
      <c r="G142" s="1050" t="n"/>
      <c r="H142" s="731" t="n"/>
      <c r="I142" s="1050" t="n"/>
      <c r="J142" s="1050" t="n"/>
      <c r="K142" s="731" t="n"/>
      <c r="L142" s="1050" t="n"/>
      <c r="M142" s="1050" t="n"/>
      <c r="N142" s="731" t="n"/>
      <c r="O142" s="1050" t="n"/>
      <c r="P142" s="1050" t="n"/>
      <c r="Q142" s="731" t="n"/>
      <c r="R142" s="1050" t="n"/>
      <c r="S142" s="1050" t="n"/>
      <c r="T142" s="731" t="n"/>
      <c r="U142" s="1050" t="n"/>
      <c r="V142" s="1050" t="n"/>
      <c r="W142" s="731" t="n"/>
      <c r="X142" s="1050" t="n"/>
      <c r="Y142" s="1050" t="n"/>
      <c r="Z142" s="731" t="n"/>
      <c r="AA142" s="1050" t="n"/>
      <c r="AB142" s="1050" t="n"/>
    </row>
    <row r="143" ht="13" customHeight="1" s="828">
      <c r="A143" s="1051" t="n"/>
      <c r="B143" s="731" t="n"/>
      <c r="C143" s="1050" t="n"/>
      <c r="D143" s="1050" t="n"/>
      <c r="E143" s="731" t="n"/>
      <c r="F143" s="1050" t="n"/>
      <c r="G143" s="1050" t="n"/>
      <c r="H143" s="731" t="n"/>
      <c r="I143" s="1050" t="n"/>
      <c r="J143" s="1050" t="n"/>
      <c r="K143" s="731" t="n"/>
      <c r="L143" s="1050" t="n"/>
      <c r="M143" s="1050" t="n"/>
      <c r="N143" s="731" t="n"/>
      <c r="O143" s="1050" t="n"/>
      <c r="P143" s="1050" t="n"/>
      <c r="Q143" s="731" t="n"/>
      <c r="R143" s="1050" t="n"/>
      <c r="S143" s="1050" t="n"/>
      <c r="T143" s="731" t="n"/>
      <c r="U143" s="1050" t="n"/>
      <c r="V143" s="1050" t="n"/>
      <c r="W143" s="731" t="n"/>
      <c r="X143" s="1050" t="n"/>
      <c r="Y143" s="1050" t="n"/>
      <c r="Z143" s="731" t="n"/>
      <c r="AA143" s="1050" t="n"/>
      <c r="AB143" s="1050" t="n"/>
    </row>
    <row r="144" ht="13" customHeight="1" s="828">
      <c r="A144" s="1051" t="n"/>
      <c r="B144" s="731" t="n"/>
      <c r="C144" s="1050" t="n"/>
      <c r="D144" s="1050" t="n"/>
      <c r="E144" s="731" t="n"/>
      <c r="F144" s="1050" t="n"/>
      <c r="G144" s="1050" t="n"/>
      <c r="H144" s="731" t="n"/>
      <c r="I144" s="1050" t="n"/>
      <c r="J144" s="1050" t="n"/>
      <c r="K144" s="731" t="n"/>
      <c r="L144" s="1050" t="n"/>
      <c r="M144" s="1050" t="n"/>
      <c r="N144" s="731" t="n"/>
      <c r="O144" s="1050" t="n"/>
      <c r="P144" s="1050" t="n"/>
      <c r="Q144" s="731" t="n"/>
      <c r="R144" s="1050" t="n"/>
      <c r="S144" s="1050" t="n"/>
      <c r="T144" s="731" t="n"/>
      <c r="U144" s="1050" t="n"/>
      <c r="V144" s="1050" t="n"/>
      <c r="W144" s="731" t="n"/>
      <c r="X144" s="1050" t="n"/>
      <c r="Y144" s="1050" t="n"/>
      <c r="Z144" s="731" t="n"/>
      <c r="AA144" s="1050" t="n"/>
      <c r="AB144" s="1050" t="n"/>
    </row>
    <row r="145" ht="13" customHeight="1" s="828">
      <c r="A145" s="1051" t="n"/>
      <c r="B145" s="731" t="n"/>
      <c r="C145" s="1050" t="n"/>
      <c r="D145" s="1050" t="n"/>
      <c r="E145" s="731" t="n"/>
      <c r="F145" s="1050" t="n"/>
      <c r="G145" s="1050" t="n"/>
      <c r="H145" s="731" t="n"/>
      <c r="I145" s="1050" t="n"/>
      <c r="J145" s="1050" t="n"/>
      <c r="K145" s="731" t="n"/>
      <c r="L145" s="1050" t="n"/>
      <c r="M145" s="1050" t="n"/>
      <c r="N145" s="731" t="n"/>
      <c r="O145" s="1050" t="n"/>
      <c r="P145" s="1050" t="n"/>
      <c r="Q145" s="731" t="n"/>
      <c r="R145" s="1050" t="n"/>
      <c r="S145" s="1050" t="n"/>
      <c r="T145" s="731" t="n"/>
      <c r="U145" s="1050" t="n"/>
      <c r="V145" s="1050" t="n"/>
      <c r="W145" s="731" t="n"/>
      <c r="X145" s="1050" t="n"/>
      <c r="Y145" s="1050" t="n"/>
      <c r="Z145" s="731" t="n"/>
      <c r="AA145" s="1050" t="n"/>
      <c r="AB145" s="1050" t="n"/>
    </row>
    <row r="146" ht="13" customFormat="1" customHeight="1" s="26">
      <c r="A146" s="672" t="n"/>
      <c r="B146" s="672" t="n"/>
      <c r="C146" s="672" t="n"/>
      <c r="D146" s="672" t="n"/>
      <c r="E146" s="672" t="n"/>
      <c r="F146" s="672" t="n"/>
      <c r="G146" s="672" t="n"/>
      <c r="H146" s="672" t="n"/>
      <c r="I146" s="672" t="n"/>
      <c r="J146" s="672" t="n"/>
      <c r="K146" s="672" t="n"/>
      <c r="L146" s="672" t="n"/>
      <c r="M146" s="672" t="n"/>
      <c r="N146" s="672" t="n"/>
      <c r="O146" s="672" t="n"/>
      <c r="P146" s="672" t="n"/>
      <c r="Q146" s="672" t="n"/>
      <c r="R146" s="672" t="n"/>
      <c r="S146" s="672" t="n"/>
      <c r="T146" s="672" t="n"/>
      <c r="U146" s="672" t="n"/>
      <c r="V146" s="672" t="n"/>
      <c r="W146" s="672" t="n"/>
      <c r="X146" s="672" t="n"/>
      <c r="Y146" s="672" t="n"/>
      <c r="Z146" s="672" t="n"/>
      <c r="AA146" s="672" t="n"/>
      <c r="AB146" s="672" t="n"/>
    </row>
    <row r="147">
      <c r="A147" s="1051" t="n"/>
      <c r="B147" s="674" t="n"/>
      <c r="C147" s="1052" t="n"/>
      <c r="D147" s="1052" t="n"/>
      <c r="E147" s="674" t="n"/>
      <c r="F147" s="1052" t="n"/>
      <c r="G147" s="1052" t="n"/>
      <c r="H147" s="674" t="n"/>
      <c r="I147" s="1052" t="n"/>
      <c r="J147" s="1052" t="n"/>
      <c r="K147" s="674" t="n"/>
      <c r="L147" s="1052" t="n"/>
      <c r="M147" s="1052" t="n"/>
      <c r="N147" s="674" t="n"/>
      <c r="O147" s="1052" t="n"/>
      <c r="P147" s="1052" t="n"/>
      <c r="Q147" s="674" t="n"/>
      <c r="R147" s="1052" t="n"/>
      <c r="S147" s="1052" t="n"/>
      <c r="T147" s="674" t="n"/>
      <c r="U147" s="1052" t="n"/>
      <c r="V147" s="1052" t="n"/>
      <c r="W147" s="674" t="n"/>
      <c r="X147" s="1052" t="n"/>
      <c r="Y147" s="1052" t="n"/>
      <c r="Z147" s="674" t="n"/>
      <c r="AA147" s="1052" t="n"/>
      <c r="AB147" s="1052" t="n"/>
    </row>
    <row r="148">
      <c r="A148" s="1051" t="n"/>
      <c r="B148" s="674" t="n"/>
      <c r="C148" s="1052" t="n"/>
      <c r="D148" s="1052" t="n"/>
      <c r="E148" s="674" t="n"/>
      <c r="F148" s="1052" t="n"/>
      <c r="G148" s="1052" t="n"/>
      <c r="H148" s="674" t="n"/>
      <c r="I148" s="1052" t="n"/>
      <c r="J148" s="1052" t="n"/>
      <c r="K148" s="674" t="n"/>
      <c r="L148" s="1052" t="n"/>
      <c r="M148" s="1052" t="n"/>
      <c r="N148" s="674" t="n"/>
      <c r="O148" s="1052" t="n"/>
      <c r="P148" s="1052" t="n"/>
      <c r="Q148" s="674" t="n"/>
      <c r="R148" s="1052" t="n"/>
      <c r="S148" s="1052" t="n"/>
      <c r="T148" s="674" t="n"/>
      <c r="U148" s="1052" t="n"/>
      <c r="V148" s="1052" t="n"/>
      <c r="W148" s="674" t="n"/>
      <c r="X148" s="1052" t="n"/>
      <c r="Y148" s="1052" t="n"/>
      <c r="Z148" s="674" t="n"/>
      <c r="AA148" s="1052" t="n"/>
      <c r="AB148" s="1052" t="n"/>
    </row>
    <row r="149">
      <c r="A149" s="1051" t="n"/>
      <c r="B149" s="674" t="n"/>
      <c r="C149" s="1052" t="n"/>
      <c r="D149" s="1052" t="n"/>
      <c r="E149" s="674" t="n"/>
      <c r="F149" s="1052" t="n"/>
      <c r="G149" s="1052" t="n"/>
      <c r="H149" s="674" t="n"/>
      <c r="I149" s="1052" t="n"/>
      <c r="J149" s="1052" t="n"/>
      <c r="K149" s="674" t="n"/>
      <c r="L149" s="1052" t="n"/>
      <c r="M149" s="1052" t="n"/>
      <c r="N149" s="674" t="n"/>
      <c r="O149" s="1052" t="n"/>
      <c r="P149" s="1052" t="n"/>
      <c r="Q149" s="674" t="n"/>
      <c r="R149" s="1052" t="n"/>
      <c r="S149" s="1052" t="n"/>
      <c r="T149" s="674" t="n"/>
      <c r="U149" s="1052" t="n"/>
      <c r="V149" s="1052" t="n"/>
      <c r="W149" s="674" t="n"/>
      <c r="X149" s="1052" t="n"/>
      <c r="Y149" s="1052" t="n"/>
      <c r="Z149" s="674" t="n"/>
      <c r="AA149" s="1052" t="n"/>
      <c r="AB149" s="1052" t="n"/>
    </row>
    <row r="150">
      <c r="A150" s="1051" t="n"/>
      <c r="B150" s="674" t="n"/>
      <c r="C150" s="1052" t="n"/>
      <c r="D150" s="1052" t="n"/>
      <c r="E150" s="674" t="n"/>
      <c r="F150" s="1052" t="n"/>
      <c r="G150" s="1052" t="n"/>
      <c r="H150" s="674" t="n"/>
      <c r="I150" s="1052" t="n"/>
      <c r="J150" s="1052" t="n"/>
      <c r="K150" s="674" t="n"/>
      <c r="L150" s="1052" t="n"/>
      <c r="M150" s="1052" t="n"/>
      <c r="N150" s="674" t="n"/>
      <c r="O150" s="1052" t="n"/>
      <c r="P150" s="1052" t="n"/>
      <c r="Q150" s="674" t="n"/>
      <c r="R150" s="1052" t="n"/>
      <c r="S150" s="1052" t="n"/>
      <c r="T150" s="674" t="n"/>
      <c r="U150" s="1052" t="n"/>
      <c r="V150" s="1052" t="n"/>
      <c r="W150" s="674" t="n"/>
      <c r="X150" s="1052" t="n"/>
      <c r="Y150" s="1052" t="n"/>
      <c r="Z150" s="674" t="n"/>
      <c r="AA150" s="1052" t="n"/>
      <c r="AB150" s="1052" t="n"/>
    </row>
    <row r="151" ht="13" customHeight="1" s="828">
      <c r="A151" s="1051" t="n"/>
      <c r="B151" s="731" t="n"/>
      <c r="C151" s="1050" t="n"/>
      <c r="D151" s="1050" t="n"/>
      <c r="E151" s="731" t="n"/>
      <c r="F151" s="1050" t="n"/>
      <c r="G151" s="1050" t="n"/>
      <c r="H151" s="731" t="n"/>
      <c r="I151" s="1050" t="n"/>
      <c r="J151" s="1050" t="n"/>
      <c r="K151" s="731" t="n"/>
      <c r="L151" s="1050" t="n"/>
      <c r="M151" s="1050" t="n"/>
      <c r="N151" s="731" t="n"/>
      <c r="O151" s="1050" t="n"/>
      <c r="P151" s="1050" t="n"/>
      <c r="Q151" s="731" t="n"/>
      <c r="R151" s="1050" t="n"/>
      <c r="S151" s="1050" t="n"/>
      <c r="T151" s="731" t="n"/>
      <c r="U151" s="1050" t="n"/>
      <c r="V151" s="1050" t="n"/>
      <c r="W151" s="731" t="n"/>
      <c r="X151" s="1050" t="n"/>
      <c r="Y151" s="1050" t="n"/>
      <c r="Z151" s="731" t="n"/>
      <c r="AA151" s="1050" t="n"/>
      <c r="AB151" s="1050" t="n"/>
    </row>
    <row r="152" ht="13" customHeight="1" s="828">
      <c r="A152" s="1051" t="n"/>
      <c r="B152" s="731" t="n"/>
      <c r="C152" s="1050" t="n"/>
      <c r="D152" s="1050" t="n"/>
      <c r="E152" s="731" t="n"/>
      <c r="F152" s="1050" t="n"/>
      <c r="G152" s="1050" t="n"/>
      <c r="H152" s="731" t="n"/>
      <c r="I152" s="1050" t="n"/>
      <c r="J152" s="1050" t="n"/>
      <c r="K152" s="731" t="n"/>
      <c r="L152" s="1050" t="n"/>
      <c r="M152" s="1050" t="n"/>
      <c r="N152" s="731" t="n"/>
      <c r="O152" s="1050" t="n"/>
      <c r="P152" s="1050" t="n"/>
      <c r="Q152" s="731" t="n"/>
      <c r="R152" s="1050" t="n"/>
      <c r="S152" s="1050" t="n"/>
      <c r="T152" s="731" t="n"/>
      <c r="U152" s="1050" t="n"/>
      <c r="V152" s="1050" t="n"/>
      <c r="W152" s="731" t="n"/>
      <c r="X152" s="1050" t="n"/>
      <c r="Y152" s="1050" t="n"/>
      <c r="Z152" s="731" t="n"/>
      <c r="AA152" s="1050" t="n"/>
      <c r="AB152" s="1050" t="n"/>
    </row>
    <row r="153" ht="13" customHeight="1" s="828">
      <c r="A153" s="1051" t="n"/>
      <c r="B153" s="731" t="n"/>
      <c r="C153" s="1050" t="n"/>
      <c r="D153" s="1050" t="n"/>
      <c r="E153" s="731" t="n"/>
      <c r="F153" s="1050" t="n"/>
      <c r="G153" s="1050" t="n"/>
      <c r="H153" s="731" t="n"/>
      <c r="I153" s="1050" t="n"/>
      <c r="J153" s="1050" t="n"/>
      <c r="K153" s="731" t="n"/>
      <c r="L153" s="1050" t="n"/>
      <c r="M153" s="1050" t="n"/>
      <c r="N153" s="731" t="n"/>
      <c r="O153" s="1050" t="n"/>
      <c r="P153" s="1050" t="n"/>
      <c r="Q153" s="731" t="n"/>
      <c r="R153" s="1050" t="n"/>
      <c r="S153" s="1050" t="n"/>
      <c r="T153" s="731" t="n"/>
      <c r="U153" s="1050" t="n"/>
      <c r="V153" s="1050" t="n"/>
      <c r="W153" s="731" t="n"/>
      <c r="X153" s="1050" t="n"/>
      <c r="Y153" s="1050" t="n"/>
      <c r="Z153" s="731" t="n"/>
      <c r="AA153" s="1050" t="n"/>
      <c r="AB153" s="1050" t="n"/>
    </row>
    <row r="154" ht="13" customHeight="1" s="828">
      <c r="A154" s="1051" t="n"/>
      <c r="B154" s="731" t="n"/>
      <c r="C154" s="1050" t="n"/>
      <c r="D154" s="1050" t="n"/>
      <c r="E154" s="731" t="n"/>
      <c r="F154" s="1050" t="n"/>
      <c r="G154" s="1050" t="n"/>
      <c r="H154" s="731" t="n"/>
      <c r="I154" s="1050" t="n"/>
      <c r="J154" s="1050" t="n"/>
      <c r="K154" s="731" t="n"/>
      <c r="L154" s="1050" t="n"/>
      <c r="M154" s="1050" t="n"/>
      <c r="N154" s="731" t="n"/>
      <c r="O154" s="1050" t="n"/>
      <c r="P154" s="1050" t="n"/>
      <c r="Q154" s="731" t="n"/>
      <c r="R154" s="1050" t="n"/>
      <c r="S154" s="1050" t="n"/>
      <c r="T154" s="731" t="n"/>
      <c r="U154" s="1050" t="n"/>
      <c r="V154" s="1050" t="n"/>
      <c r="W154" s="731" t="n"/>
      <c r="X154" s="1050" t="n"/>
      <c r="Y154" s="1050" t="n"/>
      <c r="Z154" s="731" t="n"/>
      <c r="AA154" s="1050" t="n"/>
      <c r="AB154" s="1050" t="n"/>
    </row>
    <row r="155">
      <c r="A155" s="1051" t="n"/>
      <c r="B155" s="674" t="n"/>
      <c r="C155" s="1052" t="n"/>
      <c r="D155" s="1052" t="n"/>
      <c r="E155" s="674" t="n"/>
      <c r="F155" s="1052" t="n"/>
      <c r="G155" s="1052" t="n"/>
      <c r="H155" s="674" t="n"/>
      <c r="I155" s="1052" t="n"/>
      <c r="J155" s="1052" t="n"/>
      <c r="K155" s="674" t="n"/>
      <c r="L155" s="1052" t="n"/>
      <c r="M155" s="1052" t="n"/>
      <c r="N155" s="674" t="n"/>
      <c r="O155" s="1052" t="n"/>
      <c r="P155" s="1052" t="n"/>
      <c r="Q155" s="674" t="n"/>
      <c r="R155" s="1052" t="n"/>
      <c r="S155" s="1052" t="n"/>
      <c r="T155" s="674" t="n"/>
      <c r="U155" s="1052" t="n"/>
      <c r="V155" s="1052" t="n"/>
      <c r="W155" s="674" t="n"/>
      <c r="X155" s="1052" t="n"/>
      <c r="Y155" s="1052" t="n"/>
      <c r="Z155" s="674" t="n"/>
      <c r="AA155" s="1052" t="n"/>
      <c r="AB155" s="1052" t="n"/>
    </row>
    <row r="156">
      <c r="A156" s="1051" t="n"/>
      <c r="B156" s="674" t="n"/>
      <c r="C156" s="1052" t="n"/>
      <c r="D156" s="1052" t="n"/>
      <c r="E156" s="674" t="n"/>
      <c r="F156" s="1052" t="n"/>
      <c r="G156" s="1052" t="n"/>
      <c r="H156" s="674" t="n"/>
      <c r="I156" s="1052" t="n"/>
      <c r="J156" s="1052" t="n"/>
      <c r="K156" s="674" t="n"/>
      <c r="L156" s="1052" t="n"/>
      <c r="M156" s="1052" t="n"/>
      <c r="N156" s="674" t="n"/>
      <c r="O156" s="1052" t="n"/>
      <c r="P156" s="1052" t="n"/>
      <c r="Q156" s="674" t="n"/>
      <c r="R156" s="1052" t="n"/>
      <c r="S156" s="1052" t="n"/>
      <c r="T156" s="674" t="n"/>
      <c r="U156" s="1052" t="n"/>
      <c r="V156" s="1052" t="n"/>
      <c r="W156" s="674" t="n"/>
      <c r="X156" s="1052" t="n"/>
      <c r="Y156" s="1052" t="n"/>
      <c r="Z156" s="674" t="n"/>
      <c r="AA156" s="1052" t="n"/>
      <c r="AB156" s="1052" t="n"/>
    </row>
    <row r="157">
      <c r="A157" s="1051" t="n"/>
      <c r="B157" s="674" t="n"/>
      <c r="C157" s="1052" t="n"/>
      <c r="D157" s="1052" t="n"/>
      <c r="E157" s="674" t="n"/>
      <c r="F157" s="1052" t="n"/>
      <c r="G157" s="1052" t="n"/>
      <c r="H157" s="674" t="n"/>
      <c r="I157" s="1052" t="n"/>
      <c r="J157" s="1052" t="n"/>
      <c r="K157" s="674" t="n"/>
      <c r="L157" s="1052" t="n"/>
      <c r="M157" s="1052" t="n"/>
      <c r="N157" s="674" t="n"/>
      <c r="O157" s="1052" t="n"/>
      <c r="P157" s="1052" t="n"/>
      <c r="Q157" s="674" t="n"/>
      <c r="R157" s="1052" t="n"/>
      <c r="S157" s="1052" t="n"/>
      <c r="T157" s="674" t="n"/>
      <c r="U157" s="1052" t="n"/>
      <c r="V157" s="1052" t="n"/>
      <c r="W157" s="674" t="n"/>
      <c r="X157" s="1052" t="n"/>
      <c r="Y157" s="1052" t="n"/>
      <c r="Z157" s="674" t="n"/>
      <c r="AA157" s="1052" t="n"/>
      <c r="AB157" s="1052" t="n"/>
    </row>
    <row r="158">
      <c r="A158" s="1051" t="n"/>
      <c r="B158" s="674" t="n"/>
      <c r="C158" s="1052" t="n"/>
      <c r="D158" s="1052" t="n"/>
      <c r="E158" s="674" t="n"/>
      <c r="F158" s="1052" t="n"/>
      <c r="G158" s="1052" t="n"/>
      <c r="H158" s="674" t="n"/>
      <c r="I158" s="1052" t="n"/>
      <c r="J158" s="1052" t="n"/>
      <c r="K158" s="674" t="n"/>
      <c r="L158" s="1052" t="n"/>
      <c r="M158" s="1052" t="n"/>
      <c r="N158" s="674" t="n"/>
      <c r="O158" s="1052" t="n"/>
      <c r="P158" s="1052" t="n"/>
      <c r="Q158" s="674" t="n"/>
      <c r="R158" s="1052" t="n"/>
      <c r="S158" s="1052" t="n"/>
      <c r="T158" s="674" t="n"/>
      <c r="U158" s="1052" t="n"/>
      <c r="V158" s="1052" t="n"/>
      <c r="W158" s="674" t="n"/>
      <c r="X158" s="1052" t="n"/>
      <c r="Y158" s="1052" t="n"/>
      <c r="Z158" s="674" t="n"/>
      <c r="AA158" s="1052" t="n"/>
      <c r="AB158" s="1052" t="n"/>
    </row>
    <row r="159">
      <c r="A159" s="1051" t="n"/>
      <c r="B159" s="674" t="n"/>
      <c r="C159" s="1052" t="n"/>
      <c r="D159" s="1052" t="n"/>
      <c r="E159" s="674" t="n"/>
      <c r="F159" s="1052" t="n"/>
      <c r="G159" s="1052" t="n"/>
      <c r="H159" s="674" t="n"/>
      <c r="I159" s="1052" t="n"/>
      <c r="J159" s="1052" t="n"/>
      <c r="K159" s="674" t="n"/>
      <c r="L159" s="1052" t="n"/>
      <c r="M159" s="1052" t="n"/>
      <c r="N159" s="674" t="n"/>
      <c r="O159" s="1052" t="n"/>
      <c r="P159" s="1052" t="n"/>
      <c r="Q159" s="674" t="n"/>
      <c r="R159" s="1052" t="n"/>
      <c r="S159" s="1052" t="n"/>
      <c r="T159" s="674" t="n"/>
      <c r="U159" s="1052" t="n"/>
      <c r="V159" s="1052" t="n"/>
      <c r="W159" s="674" t="n"/>
      <c r="X159" s="1052" t="n"/>
      <c r="Y159" s="1052" t="n"/>
      <c r="Z159" s="674" t="n"/>
      <c r="AA159" s="1052" t="n"/>
      <c r="AB159" s="1052" t="n"/>
    </row>
    <row r="160" ht="13" customFormat="1" customHeight="1" s="26">
      <c r="A160" s="672" t="n"/>
      <c r="B160" s="672" t="n"/>
      <c r="C160" s="672" t="n"/>
      <c r="D160" s="672" t="n"/>
      <c r="E160" s="672" t="n"/>
      <c r="F160" s="672" t="n"/>
      <c r="G160" s="672" t="n"/>
      <c r="H160" s="672" t="n"/>
      <c r="I160" s="672" t="n"/>
      <c r="J160" s="672" t="n"/>
      <c r="K160" s="672" t="n"/>
      <c r="L160" s="672" t="n"/>
      <c r="M160" s="672" t="n"/>
      <c r="N160" s="672" t="n"/>
      <c r="O160" s="672" t="n"/>
      <c r="P160" s="672" t="n"/>
      <c r="Q160" s="672" t="n"/>
      <c r="R160" s="672" t="n"/>
      <c r="S160" s="672" t="n"/>
      <c r="T160" s="672" t="n"/>
      <c r="U160" s="672" t="n"/>
      <c r="V160" s="672" t="n"/>
      <c r="W160" s="672" t="n"/>
      <c r="X160" s="672" t="n"/>
      <c r="Y160" s="672" t="n"/>
      <c r="Z160" s="672" t="n"/>
      <c r="AA160" s="672" t="n"/>
      <c r="AB160" s="672" t="n"/>
    </row>
    <row r="161">
      <c r="A161" s="1051" t="n"/>
      <c r="B161" s="674" t="n"/>
      <c r="C161" s="1052" t="n"/>
      <c r="D161" s="1052" t="n"/>
      <c r="E161" s="674" t="n"/>
      <c r="F161" s="1052" t="n"/>
      <c r="G161" s="1052" t="n"/>
      <c r="H161" s="674" t="n"/>
      <c r="I161" s="1052" t="n"/>
      <c r="J161" s="1052" t="n"/>
      <c r="K161" s="674" t="n"/>
      <c r="L161" s="1052" t="n"/>
      <c r="M161" s="1052" t="n"/>
      <c r="N161" s="674" t="n"/>
      <c r="O161" s="1052" t="n"/>
      <c r="P161" s="1052" t="n"/>
      <c r="Q161" s="674" t="n"/>
      <c r="R161" s="1052" t="n"/>
      <c r="S161" s="1052" t="n"/>
      <c r="T161" s="674" t="n"/>
      <c r="U161" s="1052" t="n"/>
      <c r="V161" s="1052" t="n"/>
      <c r="W161" s="674" t="n"/>
      <c r="X161" s="1052" t="n"/>
      <c r="Y161" s="1052" t="n"/>
      <c r="Z161" s="674" t="n"/>
      <c r="AA161" s="1052" t="n"/>
      <c r="AB161" s="1052" t="n"/>
    </row>
    <row r="162">
      <c r="A162" s="1051" t="n"/>
      <c r="B162" s="674" t="n"/>
      <c r="C162" s="1052" t="n"/>
      <c r="D162" s="1052" t="n"/>
      <c r="E162" s="674" t="n"/>
      <c r="F162" s="1052" t="n"/>
      <c r="G162" s="1052" t="n"/>
      <c r="H162" s="674" t="n"/>
      <c r="I162" s="1052" t="n"/>
      <c r="J162" s="1052" t="n"/>
      <c r="K162" s="674" t="n"/>
      <c r="L162" s="1052" t="n"/>
      <c r="M162" s="1052" t="n"/>
      <c r="N162" s="674" t="n"/>
      <c r="O162" s="1052" t="n"/>
      <c r="P162" s="1052" t="n"/>
      <c r="Q162" s="674" t="n"/>
      <c r="R162" s="1052" t="n"/>
      <c r="S162" s="1052" t="n"/>
      <c r="T162" s="674" t="n"/>
      <c r="U162" s="1052" t="n"/>
      <c r="V162" s="1052" t="n"/>
      <c r="W162" s="674" t="n"/>
      <c r="X162" s="1052" t="n"/>
      <c r="Y162" s="1052" t="n"/>
      <c r="Z162" s="674" t="n"/>
      <c r="AA162" s="1052" t="n"/>
      <c r="AB162" s="1052" t="n"/>
    </row>
    <row r="163">
      <c r="A163" s="1051" t="n"/>
      <c r="B163" s="674" t="n"/>
      <c r="C163" s="1052" t="n"/>
      <c r="D163" s="1052" t="n"/>
      <c r="E163" s="674" t="n"/>
      <c r="F163" s="1052" t="n"/>
      <c r="G163" s="1052" t="n"/>
      <c r="H163" s="674" t="n"/>
      <c r="I163" s="1052" t="n"/>
      <c r="J163" s="1052" t="n"/>
      <c r="K163" s="674" t="n"/>
      <c r="L163" s="1052" t="n"/>
      <c r="M163" s="1052" t="n"/>
      <c r="N163" s="674" t="n"/>
      <c r="O163" s="1052" t="n"/>
      <c r="P163" s="1052" t="n"/>
      <c r="Q163" s="674" t="n"/>
      <c r="R163" s="1052" t="n"/>
      <c r="S163" s="1052" t="n"/>
      <c r="T163" s="674" t="n"/>
      <c r="U163" s="1052" t="n"/>
      <c r="V163" s="1052" t="n"/>
      <c r="W163" s="674" t="n"/>
      <c r="X163" s="1052" t="n"/>
      <c r="Y163" s="1052" t="n"/>
      <c r="Z163" s="674" t="n"/>
      <c r="AA163" s="1052" t="n"/>
      <c r="AB163" s="1052" t="n"/>
    </row>
    <row r="164">
      <c r="A164" s="1051" t="n"/>
      <c r="B164" s="674" t="n"/>
      <c r="C164" s="1052" t="n"/>
      <c r="D164" s="1052" t="n"/>
      <c r="E164" s="674" t="n"/>
      <c r="F164" s="1052" t="n"/>
      <c r="G164" s="1052" t="n"/>
      <c r="H164" s="674" t="n"/>
      <c r="I164" s="1052" t="n"/>
      <c r="J164" s="1052" t="n"/>
      <c r="K164" s="674" t="n"/>
      <c r="L164" s="1052" t="n"/>
      <c r="M164" s="1052" t="n"/>
      <c r="N164" s="674" t="n"/>
      <c r="O164" s="1052" t="n"/>
      <c r="P164" s="1052" t="n"/>
      <c r="Q164" s="674" t="n"/>
      <c r="R164" s="1052" t="n"/>
      <c r="S164" s="1052" t="n"/>
      <c r="T164" s="674" t="n"/>
      <c r="U164" s="1052" t="n"/>
      <c r="V164" s="1052" t="n"/>
      <c r="W164" s="674" t="n"/>
      <c r="X164" s="1052" t="n"/>
      <c r="Y164" s="1052" t="n"/>
      <c r="Z164" s="674" t="n"/>
      <c r="AA164" s="1052" t="n"/>
      <c r="AB164" s="1052" t="n"/>
    </row>
    <row r="165">
      <c r="A165" s="1051" t="n"/>
      <c r="B165" s="674" t="n"/>
      <c r="C165" s="1052" t="n"/>
      <c r="D165" s="1052" t="n"/>
      <c r="E165" s="674" t="n"/>
      <c r="F165" s="1052" t="n"/>
      <c r="G165" s="1052" t="n"/>
      <c r="H165" s="674" t="n"/>
      <c r="I165" s="1052" t="n"/>
      <c r="J165" s="1052" t="n"/>
      <c r="K165" s="674" t="n"/>
      <c r="L165" s="1052" t="n"/>
      <c r="M165" s="1052" t="n"/>
      <c r="N165" s="674" t="n"/>
      <c r="O165" s="1052" t="n"/>
      <c r="P165" s="1052" t="n"/>
      <c r="Q165" s="674" t="n"/>
      <c r="R165" s="1052" t="n"/>
      <c r="S165" s="1052" t="n"/>
      <c r="T165" s="674" t="n"/>
      <c r="U165" s="1052" t="n"/>
      <c r="V165" s="1052" t="n"/>
      <c r="W165" s="674" t="n"/>
      <c r="X165" s="1052" t="n"/>
      <c r="Y165" s="1052" t="n"/>
      <c r="Z165" s="674" t="n"/>
      <c r="AA165" s="1052" t="n"/>
      <c r="AB165" s="1052" t="n"/>
    </row>
    <row r="166">
      <c r="A166" s="1051" t="n"/>
      <c r="B166" s="674" t="n"/>
      <c r="C166" s="1052" t="n"/>
      <c r="D166" s="1052" t="n"/>
      <c r="E166" s="674" t="n"/>
      <c r="F166" s="1052" t="n"/>
      <c r="G166" s="1052" t="n"/>
      <c r="H166" s="674" t="n"/>
      <c r="I166" s="1052" t="n"/>
      <c r="J166" s="1052" t="n"/>
      <c r="K166" s="674" t="n"/>
      <c r="L166" s="1052" t="n"/>
      <c r="M166" s="1052" t="n"/>
      <c r="N166" s="674" t="n"/>
      <c r="O166" s="1052" t="n"/>
      <c r="P166" s="1052" t="n"/>
      <c r="Q166" s="674" t="n"/>
      <c r="R166" s="1052" t="n"/>
      <c r="S166" s="1052" t="n"/>
      <c r="T166" s="674" t="n"/>
      <c r="U166" s="1052" t="n"/>
      <c r="V166" s="1052" t="n"/>
      <c r="W166" s="674" t="n"/>
      <c r="X166" s="1052" t="n"/>
      <c r="Y166" s="1052" t="n"/>
      <c r="Z166" s="674" t="n"/>
      <c r="AA166" s="1052" t="n"/>
      <c r="AB166" s="1052" t="n"/>
    </row>
    <row r="167">
      <c r="A167" s="1051" t="n"/>
      <c r="B167" s="674" t="n"/>
      <c r="C167" s="1052" t="n"/>
      <c r="D167" s="1052" t="n"/>
      <c r="E167" s="674" t="n"/>
      <c r="F167" s="1052" t="n"/>
      <c r="G167" s="1052" t="n"/>
      <c r="H167" s="674" t="n"/>
      <c r="I167" s="1052" t="n"/>
      <c r="J167" s="1052" t="n"/>
      <c r="K167" s="674" t="n"/>
      <c r="L167" s="1052" t="n"/>
      <c r="M167" s="1052" t="n"/>
      <c r="N167" s="674" t="n"/>
      <c r="O167" s="1052" t="n"/>
      <c r="P167" s="1052" t="n"/>
      <c r="Q167" s="674" t="n"/>
      <c r="R167" s="1052" t="n"/>
      <c r="S167" s="1052" t="n"/>
      <c r="T167" s="674" t="n"/>
      <c r="U167" s="1052" t="n"/>
      <c r="V167" s="1052" t="n"/>
      <c r="W167" s="674" t="n"/>
      <c r="X167" s="1052" t="n"/>
      <c r="Y167" s="1052" t="n"/>
      <c r="Z167" s="674" t="n"/>
      <c r="AA167" s="1052" t="n"/>
      <c r="AB167" s="1052" t="n"/>
    </row>
    <row r="168">
      <c r="A168" s="1051" t="n"/>
      <c r="B168" s="674" t="n"/>
      <c r="C168" s="1052" t="n"/>
      <c r="D168" s="1052" t="n"/>
      <c r="E168" s="674" t="n"/>
      <c r="F168" s="1052" t="n"/>
      <c r="G168" s="1052" t="n"/>
      <c r="H168" s="674" t="n"/>
      <c r="I168" s="1052" t="n"/>
      <c r="J168" s="1052" t="n"/>
      <c r="K168" s="674" t="n"/>
      <c r="L168" s="1052" t="n"/>
      <c r="M168" s="1052" t="n"/>
      <c r="N168" s="674" t="n"/>
      <c r="O168" s="1052" t="n"/>
      <c r="P168" s="1052" t="n"/>
      <c r="Q168" s="674" t="n"/>
      <c r="R168" s="1052" t="n"/>
      <c r="S168" s="1052" t="n"/>
      <c r="T168" s="674" t="n"/>
      <c r="U168" s="1052" t="n"/>
      <c r="V168" s="1052" t="n"/>
      <c r="W168" s="674" t="n"/>
      <c r="X168" s="1052" t="n"/>
      <c r="Y168" s="1052" t="n"/>
      <c r="Z168" s="674" t="n"/>
      <c r="AA168" s="1052" t="n"/>
      <c r="AB168" s="1052" t="n"/>
    </row>
    <row r="169">
      <c r="A169" s="1051" t="n"/>
      <c r="B169" s="674" t="n"/>
      <c r="C169" s="1052" t="n"/>
      <c r="D169" s="1052" t="n"/>
      <c r="E169" s="674" t="n"/>
      <c r="F169" s="1052" t="n"/>
      <c r="G169" s="1052" t="n"/>
      <c r="H169" s="674" t="n"/>
      <c r="I169" s="1052" t="n"/>
      <c r="J169" s="1052" t="n"/>
      <c r="K169" s="674" t="n"/>
      <c r="L169" s="1052" t="n"/>
      <c r="M169" s="1052" t="n"/>
      <c r="N169" s="674" t="n"/>
      <c r="O169" s="1052" t="n"/>
      <c r="P169" s="1052" t="n"/>
      <c r="Q169" s="674" t="n"/>
      <c r="R169" s="1052" t="n"/>
      <c r="S169" s="1052" t="n"/>
      <c r="T169" s="674" t="n"/>
      <c r="U169" s="1052" t="n"/>
      <c r="V169" s="1052" t="n"/>
      <c r="W169" s="674" t="n"/>
      <c r="X169" s="1052" t="n"/>
      <c r="Y169" s="1052" t="n"/>
      <c r="Z169" s="674" t="n"/>
      <c r="AA169" s="1052" t="n"/>
      <c r="AB169" s="1052" t="n"/>
    </row>
    <row r="170">
      <c r="A170" s="1051" t="n"/>
      <c r="B170" s="674" t="n"/>
      <c r="C170" s="1052" t="n"/>
      <c r="D170" s="1052" t="n"/>
      <c r="E170" s="674" t="n"/>
      <c r="F170" s="1052" t="n"/>
      <c r="G170" s="1052" t="n"/>
      <c r="H170" s="674" t="n"/>
      <c r="I170" s="1052" t="n"/>
      <c r="J170" s="1052" t="n"/>
      <c r="K170" s="674" t="n"/>
      <c r="L170" s="1052" t="n"/>
      <c r="M170" s="1052" t="n"/>
      <c r="N170" s="674" t="n"/>
      <c r="O170" s="1052" t="n"/>
      <c r="P170" s="1052" t="n"/>
      <c r="Q170" s="674" t="n"/>
      <c r="R170" s="1052" t="n"/>
      <c r="S170" s="1052" t="n"/>
      <c r="T170" s="674" t="n"/>
      <c r="U170" s="1052" t="n"/>
      <c r="V170" s="1052" t="n"/>
      <c r="W170" s="674" t="n"/>
      <c r="X170" s="1052" t="n"/>
      <c r="Y170" s="1052" t="n"/>
      <c r="Z170" s="674" t="n"/>
      <c r="AA170" s="1052" t="n"/>
      <c r="AB170" s="1052" t="n"/>
    </row>
    <row r="171">
      <c r="A171" s="1051" t="n"/>
      <c r="B171" s="674" t="n"/>
      <c r="C171" s="1052" t="n"/>
      <c r="D171" s="1052" t="n"/>
      <c r="E171" s="674" t="n"/>
      <c r="F171" s="1052" t="n"/>
      <c r="G171" s="1052" t="n"/>
      <c r="H171" s="674" t="n"/>
      <c r="I171" s="1052" t="n"/>
      <c r="J171" s="1052" t="n"/>
      <c r="K171" s="674" t="n"/>
      <c r="L171" s="1052" t="n"/>
      <c r="M171" s="1052" t="n"/>
      <c r="N171" s="674" t="n"/>
      <c r="O171" s="1052" t="n"/>
      <c r="P171" s="1052" t="n"/>
      <c r="Q171" s="674" t="n"/>
      <c r="R171" s="1052" t="n"/>
      <c r="S171" s="1052" t="n"/>
      <c r="T171" s="674" t="n"/>
      <c r="U171" s="1052" t="n"/>
      <c r="V171" s="1052" t="n"/>
      <c r="W171" s="674" t="n"/>
      <c r="X171" s="1052" t="n"/>
      <c r="Y171" s="1052" t="n"/>
      <c r="Z171" s="674" t="n"/>
      <c r="AA171" s="1052" t="n"/>
      <c r="AB171" s="1052" t="n"/>
    </row>
    <row r="172">
      <c r="A172" s="1051" t="n"/>
      <c r="B172" s="674" t="n"/>
      <c r="C172" s="1052" t="n"/>
      <c r="D172" s="1052" t="n"/>
      <c r="E172" s="674" t="n"/>
      <c r="F172" s="1052" t="n"/>
      <c r="G172" s="1052" t="n"/>
      <c r="H172" s="674" t="n"/>
      <c r="I172" s="1052" t="n"/>
      <c r="J172" s="1052" t="n"/>
      <c r="K172" s="674" t="n"/>
      <c r="L172" s="1052" t="n"/>
      <c r="M172" s="1052" t="n"/>
      <c r="N172" s="674" t="n"/>
      <c r="O172" s="1052" t="n"/>
      <c r="P172" s="1052" t="n"/>
      <c r="Q172" s="674" t="n"/>
      <c r="R172" s="1052" t="n"/>
      <c r="S172" s="1052" t="n"/>
      <c r="T172" s="674" t="n"/>
      <c r="U172" s="1052" t="n"/>
      <c r="V172" s="1052" t="n"/>
      <c r="W172" s="674" t="n"/>
      <c r="X172" s="1052" t="n"/>
      <c r="Y172" s="1052" t="n"/>
      <c r="Z172" s="674" t="n"/>
      <c r="AA172" s="1052" t="n"/>
      <c r="AB172" s="1052" t="n"/>
    </row>
    <row r="173">
      <c r="A173" s="1051" t="n"/>
      <c r="B173" s="674" t="n"/>
      <c r="C173" s="1052" t="n"/>
      <c r="D173" s="1052" t="n"/>
      <c r="E173" s="674" t="n"/>
      <c r="F173" s="1052" t="n"/>
      <c r="G173" s="1052" t="n"/>
      <c r="H173" s="674" t="n"/>
      <c r="I173" s="1052" t="n"/>
      <c r="J173" s="1052" t="n"/>
      <c r="K173" s="674" t="n"/>
      <c r="L173" s="1052" t="n"/>
      <c r="M173" s="1052" t="n"/>
      <c r="N173" s="674" t="n"/>
      <c r="O173" s="1052" t="n"/>
      <c r="P173" s="1052" t="n"/>
      <c r="Q173" s="674" t="n"/>
      <c r="R173" s="1052" t="n"/>
      <c r="S173" s="1052" t="n"/>
      <c r="T173" s="674" t="n"/>
      <c r="U173" s="1052" t="n"/>
      <c r="V173" s="1052" t="n"/>
      <c r="W173" s="674" t="n"/>
      <c r="X173" s="1052" t="n"/>
      <c r="Y173" s="1052" t="n"/>
      <c r="Z173" s="674" t="n"/>
      <c r="AA173" s="1052" t="n"/>
      <c r="AB173" s="1052" t="n"/>
    </row>
    <row r="174">
      <c r="A174" s="1051" t="n"/>
      <c r="B174" s="674" t="n"/>
      <c r="C174" s="1052" t="n"/>
      <c r="D174" s="1052" t="n"/>
      <c r="E174" s="674" t="n"/>
      <c r="F174" s="1052" t="n"/>
      <c r="G174" s="1052" t="n"/>
      <c r="H174" s="674" t="n"/>
      <c r="I174" s="1052" t="n"/>
      <c r="J174" s="1052" t="n"/>
      <c r="K174" s="674" t="n"/>
      <c r="L174" s="1052" t="n"/>
      <c r="M174" s="1052" t="n"/>
      <c r="N174" s="674" t="n"/>
      <c r="O174" s="1052" t="n"/>
      <c r="P174" s="1052" t="n"/>
      <c r="Q174" s="674" t="n"/>
      <c r="R174" s="1052" t="n"/>
      <c r="S174" s="1052" t="n"/>
      <c r="T174" s="674" t="n"/>
      <c r="U174" s="1052" t="n"/>
      <c r="V174" s="1052" t="n"/>
      <c r="W174" s="674" t="n"/>
      <c r="X174" s="1052" t="n"/>
      <c r="Y174" s="1052" t="n"/>
      <c r="Z174" s="674" t="n"/>
      <c r="AA174" s="1052" t="n"/>
      <c r="AB174" s="1052" t="n"/>
    </row>
    <row r="175">
      <c r="A175" s="1051" t="n"/>
      <c r="B175" s="674" t="n"/>
      <c r="C175" s="1052" t="n"/>
      <c r="D175" s="1052" t="n"/>
      <c r="E175" s="674" t="n"/>
      <c r="F175" s="1052" t="n"/>
      <c r="G175" s="1052" t="n"/>
      <c r="H175" s="674" t="n"/>
      <c r="I175" s="1052" t="n"/>
      <c r="J175" s="1052" t="n"/>
      <c r="K175" s="674" t="n"/>
      <c r="L175" s="1052" t="n"/>
      <c r="M175" s="1052" t="n"/>
      <c r="N175" s="674" t="n"/>
      <c r="O175" s="1052" t="n"/>
      <c r="P175" s="1052" t="n"/>
      <c r="Q175" s="674" t="n"/>
      <c r="R175" s="1052" t="n"/>
      <c r="S175" s="1052" t="n"/>
      <c r="T175" s="674" t="n"/>
      <c r="U175" s="1052" t="n"/>
      <c r="V175" s="1052" t="n"/>
      <c r="W175" s="674" t="n"/>
      <c r="X175" s="1052" t="n"/>
      <c r="Y175" s="1052" t="n"/>
      <c r="Z175" s="674" t="n"/>
      <c r="AA175" s="1052" t="n"/>
      <c r="AB175" s="1052" t="n"/>
    </row>
    <row r="176">
      <c r="A176" s="1051" t="n"/>
      <c r="B176" s="674" t="n"/>
      <c r="C176" s="1052" t="n"/>
      <c r="D176" s="1052" t="n"/>
      <c r="E176" s="674" t="n"/>
      <c r="F176" s="1052" t="n"/>
      <c r="G176" s="1052" t="n"/>
      <c r="H176" s="674" t="n"/>
      <c r="I176" s="1052" t="n"/>
      <c r="J176" s="1052" t="n"/>
      <c r="K176" s="674" t="n"/>
      <c r="L176" s="1052" t="n"/>
      <c r="M176" s="1052" t="n"/>
      <c r="N176" s="674" t="n"/>
      <c r="O176" s="1052" t="n"/>
      <c r="P176" s="1052" t="n"/>
      <c r="Q176" s="674" t="n"/>
      <c r="R176" s="1052" t="n"/>
      <c r="S176" s="1052" t="n"/>
      <c r="T176" s="674" t="n"/>
      <c r="U176" s="1052" t="n"/>
      <c r="V176" s="1052" t="n"/>
      <c r="W176" s="674" t="n"/>
      <c r="X176" s="1052" t="n"/>
      <c r="Y176" s="1052" t="n"/>
      <c r="Z176" s="674" t="n"/>
      <c r="AA176" s="1052" t="n"/>
      <c r="AB176" s="1052" t="n"/>
    </row>
    <row r="177">
      <c r="A177" s="1051" t="n"/>
      <c r="B177" s="674" t="n"/>
      <c r="C177" s="1052" t="n"/>
      <c r="D177" s="1052" t="n"/>
      <c r="E177" s="674" t="n"/>
      <c r="F177" s="1052" t="n"/>
      <c r="G177" s="1052" t="n"/>
      <c r="H177" s="674" t="n"/>
      <c r="I177" s="1052" t="n"/>
      <c r="J177" s="1052" t="n"/>
      <c r="K177" s="674" t="n"/>
      <c r="L177" s="1052" t="n"/>
      <c r="M177" s="1052" t="n"/>
      <c r="N177" s="674" t="n"/>
      <c r="O177" s="1052" t="n"/>
      <c r="P177" s="1052" t="n"/>
      <c r="Q177" s="674" t="n"/>
      <c r="R177" s="1052" t="n"/>
      <c r="S177" s="1052" t="n"/>
      <c r="T177" s="674" t="n"/>
      <c r="U177" s="1052" t="n"/>
      <c r="V177" s="1052" t="n"/>
      <c r="W177" s="674" t="n"/>
      <c r="X177" s="1052" t="n"/>
      <c r="Y177" s="1052" t="n"/>
      <c r="Z177" s="674" t="n"/>
      <c r="AA177" s="1052" t="n"/>
      <c r="AB177" s="1052" t="n"/>
    </row>
    <row r="178">
      <c r="A178" s="1051" t="n"/>
      <c r="B178" s="674" t="n"/>
      <c r="C178" s="1052" t="n"/>
      <c r="D178" s="1052" t="n"/>
      <c r="E178" s="674" t="n"/>
      <c r="F178" s="1052" t="n"/>
      <c r="G178" s="1052" t="n"/>
      <c r="H178" s="674" t="n"/>
      <c r="I178" s="1052" t="n"/>
      <c r="J178" s="1052" t="n"/>
      <c r="K178" s="674" t="n"/>
      <c r="L178" s="1052" t="n"/>
      <c r="M178" s="1052" t="n"/>
      <c r="N178" s="674" t="n"/>
      <c r="O178" s="1052" t="n"/>
      <c r="P178" s="1052" t="n"/>
      <c r="Q178" s="674" t="n"/>
      <c r="R178" s="1052" t="n"/>
      <c r="S178" s="1052" t="n"/>
      <c r="T178" s="674" t="n"/>
      <c r="U178" s="1052" t="n"/>
      <c r="V178" s="1052" t="n"/>
      <c r="W178" s="674" t="n"/>
      <c r="X178" s="1052" t="n"/>
      <c r="Y178" s="1052" t="n"/>
      <c r="Z178" s="674" t="n"/>
      <c r="AA178" s="1052" t="n"/>
      <c r="AB178" s="1052" t="n"/>
    </row>
    <row r="179">
      <c r="A179" s="1051" t="n"/>
      <c r="B179" s="674" t="n"/>
      <c r="C179" s="1052" t="n"/>
      <c r="D179" s="1052" t="n"/>
      <c r="E179" s="674" t="n"/>
      <c r="F179" s="1052" t="n"/>
      <c r="G179" s="1052" t="n"/>
      <c r="H179" s="674" t="n"/>
      <c r="I179" s="1052" t="n"/>
      <c r="J179" s="1052" t="n"/>
      <c r="K179" s="674" t="n"/>
      <c r="L179" s="1052" t="n"/>
      <c r="M179" s="1052" t="n"/>
      <c r="N179" s="674" t="n"/>
      <c r="O179" s="1052" t="n"/>
      <c r="P179" s="1052" t="n"/>
      <c r="Q179" s="674" t="n"/>
      <c r="R179" s="1052" t="n"/>
      <c r="S179" s="1052" t="n"/>
      <c r="T179" s="674" t="n"/>
      <c r="U179" s="1052" t="n"/>
      <c r="V179" s="1052" t="n"/>
      <c r="W179" s="674" t="n"/>
      <c r="X179" s="1052" t="n"/>
      <c r="Y179" s="1052" t="n"/>
      <c r="Z179" s="674" t="n"/>
      <c r="AA179" s="1052" t="n"/>
      <c r="AB179" s="1052" t="n"/>
    </row>
    <row r="180">
      <c r="A180" s="1051" t="n"/>
      <c r="B180" s="674" t="n"/>
      <c r="C180" s="1052" t="n"/>
      <c r="D180" s="1052" t="n"/>
      <c r="E180" s="674" t="n"/>
      <c r="F180" s="1052" t="n"/>
      <c r="G180" s="1052" t="n"/>
      <c r="H180" s="674" t="n"/>
      <c r="I180" s="1052" t="n"/>
      <c r="J180" s="1052" t="n"/>
      <c r="K180" s="674" t="n"/>
      <c r="L180" s="1052" t="n"/>
      <c r="M180" s="1052" t="n"/>
      <c r="N180" s="674" t="n"/>
      <c r="O180" s="1052" t="n"/>
      <c r="P180" s="1052" t="n"/>
      <c r="Q180" s="674" t="n"/>
      <c r="R180" s="1052" t="n"/>
      <c r="S180" s="1052" t="n"/>
      <c r="T180" s="674" t="n"/>
      <c r="U180" s="1052" t="n"/>
      <c r="V180" s="1052" t="n"/>
      <c r="W180" s="674" t="n"/>
      <c r="X180" s="1052" t="n"/>
      <c r="Y180" s="1052" t="n"/>
      <c r="Z180" s="674" t="n"/>
      <c r="AA180" s="1052" t="n"/>
      <c r="AB180" s="1052" t="n"/>
    </row>
    <row r="181">
      <c r="A181" s="1051" t="n"/>
      <c r="B181" s="674" t="n"/>
      <c r="C181" s="1052" t="n"/>
      <c r="D181" s="1052" t="n"/>
      <c r="E181" s="674" t="n"/>
      <c r="F181" s="1052" t="n"/>
      <c r="G181" s="1052" t="n"/>
      <c r="H181" s="674" t="n"/>
      <c r="I181" s="1052" t="n"/>
      <c r="J181" s="1052" t="n"/>
      <c r="K181" s="674" t="n"/>
      <c r="L181" s="1052" t="n"/>
      <c r="M181" s="1052" t="n"/>
      <c r="N181" s="674" t="n"/>
      <c r="O181" s="1052" t="n"/>
      <c r="P181" s="1052" t="n"/>
      <c r="Q181" s="674" t="n"/>
      <c r="R181" s="1052" t="n"/>
      <c r="S181" s="1052" t="n"/>
      <c r="T181" s="674" t="n"/>
      <c r="U181" s="1052" t="n"/>
      <c r="V181" s="1052" t="n"/>
      <c r="W181" s="674" t="n"/>
      <c r="X181" s="1052" t="n"/>
      <c r="Y181" s="1052" t="n"/>
      <c r="Z181" s="674" t="n"/>
      <c r="AA181" s="1052" t="n"/>
      <c r="AB181" s="1052" t="n"/>
    </row>
    <row r="182">
      <c r="A182" s="1051" t="n"/>
      <c r="B182" s="674" t="n"/>
      <c r="C182" s="1052" t="n"/>
      <c r="D182" s="1052" t="n"/>
      <c r="E182" s="674" t="n"/>
      <c r="F182" s="1052" t="n"/>
      <c r="G182" s="1052" t="n"/>
      <c r="H182" s="674" t="n"/>
      <c r="I182" s="1052" t="n"/>
      <c r="J182" s="1052" t="n"/>
      <c r="K182" s="674" t="n"/>
      <c r="L182" s="1052" t="n"/>
      <c r="M182" s="1052" t="n"/>
      <c r="N182" s="674" t="n"/>
      <c r="O182" s="1052" t="n"/>
      <c r="P182" s="1052" t="n"/>
      <c r="Q182" s="674" t="n"/>
      <c r="R182" s="1052" t="n"/>
      <c r="S182" s="1052" t="n"/>
      <c r="T182" s="674" t="n"/>
      <c r="U182" s="1052" t="n"/>
      <c r="V182" s="1052" t="n"/>
      <c r="W182" s="674" t="n"/>
      <c r="X182" s="1052" t="n"/>
      <c r="Y182" s="1052" t="n"/>
      <c r="Z182" s="674" t="n"/>
      <c r="AA182" s="1052" t="n"/>
      <c r="AB182" s="1052" t="n"/>
    </row>
    <row r="183">
      <c r="A183" s="1051" t="n"/>
      <c r="B183" s="674" t="n"/>
      <c r="C183" s="1052" t="n"/>
      <c r="D183" s="1052" t="n"/>
      <c r="E183" s="674" t="n"/>
      <c r="F183" s="1052" t="n"/>
      <c r="G183" s="1052" t="n"/>
      <c r="H183" s="674" t="n"/>
      <c r="I183" s="1052" t="n"/>
      <c r="J183" s="1052" t="n"/>
      <c r="K183" s="674" t="n"/>
      <c r="L183" s="1052" t="n"/>
      <c r="M183" s="1052" t="n"/>
      <c r="N183" s="674" t="n"/>
      <c r="O183" s="1052" t="n"/>
      <c r="P183" s="1052" t="n"/>
      <c r="Q183" s="674" t="n"/>
      <c r="R183" s="1052" t="n"/>
      <c r="S183" s="1052" t="n"/>
      <c r="T183" s="674" t="n"/>
      <c r="U183" s="1052" t="n"/>
      <c r="V183" s="1052" t="n"/>
      <c r="W183" s="674" t="n"/>
      <c r="X183" s="1052" t="n"/>
      <c r="Y183" s="1052" t="n"/>
      <c r="Z183" s="674" t="n"/>
      <c r="AA183" s="1052" t="n"/>
      <c r="AB183" s="1052" t="n"/>
    </row>
    <row r="184">
      <c r="A184" s="1051" t="n"/>
      <c r="B184" s="674" t="n"/>
      <c r="C184" s="1052" t="n"/>
      <c r="D184" s="1052" t="n"/>
      <c r="E184" s="674" t="n"/>
      <c r="F184" s="1052" t="n"/>
      <c r="G184" s="1052" t="n"/>
      <c r="H184" s="674" t="n"/>
      <c r="I184" s="1052" t="n"/>
      <c r="J184" s="1052" t="n"/>
      <c r="K184" s="674" t="n"/>
      <c r="L184" s="1052" t="n"/>
      <c r="M184" s="1052" t="n"/>
      <c r="N184" s="674" t="n"/>
      <c r="O184" s="1052" t="n"/>
      <c r="P184" s="1052" t="n"/>
      <c r="Q184" s="674" t="n"/>
      <c r="R184" s="1052" t="n"/>
      <c r="S184" s="1052" t="n"/>
      <c r="T184" s="674" t="n"/>
      <c r="U184" s="1052" t="n"/>
      <c r="V184" s="1052" t="n"/>
      <c r="W184" s="674" t="n"/>
      <c r="X184" s="1052" t="n"/>
      <c r="Y184" s="1052" t="n"/>
      <c r="Z184" s="674" t="n"/>
      <c r="AA184" s="1052" t="n"/>
      <c r="AB184" s="1052" t="n"/>
    </row>
    <row r="185">
      <c r="A185" s="1051" t="n"/>
      <c r="B185" s="674" t="n"/>
      <c r="C185" s="1052" t="n"/>
      <c r="D185" s="1052" t="n"/>
      <c r="E185" s="674" t="n"/>
      <c r="F185" s="1052" t="n"/>
      <c r="G185" s="1052" t="n"/>
      <c r="H185" s="674" t="n"/>
      <c r="I185" s="1052" t="n"/>
      <c r="J185" s="1052" t="n"/>
      <c r="K185" s="674" t="n"/>
      <c r="L185" s="1052" t="n"/>
      <c r="M185" s="1052" t="n"/>
      <c r="N185" s="674" t="n"/>
      <c r="O185" s="1052" t="n"/>
      <c r="P185" s="1052" t="n"/>
      <c r="Q185" s="674" t="n"/>
      <c r="R185" s="1052" t="n"/>
      <c r="S185" s="1052" t="n"/>
      <c r="T185" s="674" t="n"/>
      <c r="U185" s="1052" t="n"/>
      <c r="V185" s="1052" t="n"/>
      <c r="W185" s="674" t="n"/>
      <c r="X185" s="1052" t="n"/>
      <c r="Y185" s="1052" t="n"/>
      <c r="Z185" s="674" t="n"/>
      <c r="AA185" s="1052" t="n"/>
      <c r="AB185" s="1052" t="n"/>
    </row>
    <row r="186">
      <c r="A186" s="1051" t="n"/>
      <c r="B186" s="674" t="n"/>
      <c r="C186" s="1052" t="n"/>
      <c r="D186" s="1052" t="n"/>
      <c r="E186" s="674" t="n"/>
      <c r="F186" s="1052" t="n"/>
      <c r="G186" s="1052" t="n"/>
      <c r="H186" s="674" t="n"/>
      <c r="I186" s="1052" t="n"/>
      <c r="J186" s="1052" t="n"/>
      <c r="K186" s="674" t="n"/>
      <c r="L186" s="1052" t="n"/>
      <c r="M186" s="1052" t="n"/>
      <c r="N186" s="674" t="n"/>
      <c r="O186" s="1052" t="n"/>
      <c r="P186" s="1052" t="n"/>
      <c r="Q186" s="674" t="n"/>
      <c r="R186" s="1052" t="n"/>
      <c r="S186" s="1052" t="n"/>
      <c r="T186" s="674" t="n"/>
      <c r="U186" s="1052" t="n"/>
      <c r="V186" s="1052" t="n"/>
      <c r="W186" s="674" t="n"/>
      <c r="X186" s="1052" t="n"/>
      <c r="Y186" s="1052" t="n"/>
      <c r="Z186" s="674" t="n"/>
      <c r="AA186" s="1052" t="n"/>
      <c r="AB186" s="1052" t="n"/>
    </row>
    <row r="187">
      <c r="A187" s="1051" t="n"/>
      <c r="B187" s="674" t="n"/>
      <c r="C187" s="1052" t="n"/>
      <c r="D187" s="1052" t="n"/>
      <c r="E187" s="674" t="n"/>
      <c r="F187" s="1052" t="n"/>
      <c r="G187" s="1052" t="n"/>
      <c r="H187" s="674" t="n"/>
      <c r="I187" s="1052" t="n"/>
      <c r="J187" s="1052" t="n"/>
      <c r="K187" s="674" t="n"/>
      <c r="L187" s="1052" t="n"/>
      <c r="M187" s="1052" t="n"/>
      <c r="N187" s="674" t="n"/>
      <c r="O187" s="1052" t="n"/>
      <c r="P187" s="1052" t="n"/>
      <c r="Q187" s="674" t="n"/>
      <c r="R187" s="1052" t="n"/>
      <c r="S187" s="1052" t="n"/>
      <c r="T187" s="674" t="n"/>
      <c r="U187" s="1052" t="n"/>
      <c r="V187" s="1052" t="n"/>
      <c r="W187" s="674" t="n"/>
      <c r="X187" s="1052" t="n"/>
      <c r="Y187" s="1052" t="n"/>
      <c r="Z187" s="674" t="n"/>
      <c r="AA187" s="1052" t="n"/>
      <c r="AB187" s="1052" t="n"/>
    </row>
    <row r="188">
      <c r="A188" s="1051" t="n"/>
      <c r="B188" s="674" t="n"/>
      <c r="C188" s="1052" t="n"/>
      <c r="D188" s="1052" t="n"/>
      <c r="E188" s="674" t="n"/>
      <c r="F188" s="1052" t="n"/>
      <c r="G188" s="1052" t="n"/>
      <c r="H188" s="674" t="n"/>
      <c r="I188" s="1052" t="n"/>
      <c r="J188" s="1052" t="n"/>
      <c r="K188" s="674" t="n"/>
      <c r="L188" s="1052" t="n"/>
      <c r="M188" s="1052" t="n"/>
      <c r="N188" s="674" t="n"/>
      <c r="O188" s="1052" t="n"/>
      <c r="P188" s="1052" t="n"/>
      <c r="Q188" s="674" t="n"/>
      <c r="R188" s="1052" t="n"/>
      <c r="S188" s="1052" t="n"/>
      <c r="T188" s="674" t="n"/>
      <c r="U188" s="1052" t="n"/>
      <c r="V188" s="1052" t="n"/>
      <c r="W188" s="674" t="n"/>
      <c r="X188" s="1052" t="n"/>
      <c r="Y188" s="1052" t="n"/>
      <c r="Z188" s="674" t="n"/>
      <c r="AA188" s="1052" t="n"/>
      <c r="AB188" s="1052" t="n"/>
    </row>
    <row r="189">
      <c r="A189" s="1051" t="n"/>
      <c r="B189" s="674" t="n"/>
      <c r="C189" s="1052" t="n"/>
      <c r="D189" s="1052" t="n"/>
      <c r="E189" s="674" t="n"/>
      <c r="F189" s="1052" t="n"/>
      <c r="G189" s="1052" t="n"/>
      <c r="H189" s="674" t="n"/>
      <c r="I189" s="1052" t="n"/>
      <c r="J189" s="1052" t="n"/>
      <c r="K189" s="674" t="n"/>
      <c r="L189" s="1052" t="n"/>
      <c r="M189" s="1052" t="n"/>
      <c r="N189" s="674" t="n"/>
      <c r="O189" s="1052" t="n"/>
      <c r="P189" s="1052" t="n"/>
      <c r="Q189" s="674" t="n"/>
      <c r="R189" s="1052" t="n"/>
      <c r="S189" s="1052" t="n"/>
      <c r="T189" s="674" t="n"/>
      <c r="U189" s="1052" t="n"/>
      <c r="V189" s="1052" t="n"/>
      <c r="W189" s="674" t="n"/>
      <c r="X189" s="1052" t="n"/>
      <c r="Y189" s="1052" t="n"/>
      <c r="Z189" s="674" t="n"/>
      <c r="AA189" s="1052" t="n"/>
      <c r="AB189" s="1052" t="n"/>
    </row>
    <row r="190">
      <c r="A190" s="1051" t="n"/>
      <c r="B190" s="674" t="n"/>
      <c r="C190" s="1052" t="n"/>
      <c r="D190" s="1052" t="n"/>
      <c r="E190" s="674" t="n"/>
      <c r="F190" s="1052" t="n"/>
      <c r="G190" s="1052" t="n"/>
      <c r="H190" s="674" t="n"/>
      <c r="I190" s="1052" t="n"/>
      <c r="J190" s="1052" t="n"/>
      <c r="K190" s="674" t="n"/>
      <c r="L190" s="1052" t="n"/>
      <c r="M190" s="1052" t="n"/>
      <c r="N190" s="674" t="n"/>
      <c r="O190" s="1052" t="n"/>
      <c r="P190" s="1052" t="n"/>
      <c r="Q190" s="674" t="n"/>
      <c r="R190" s="1052" t="n"/>
      <c r="S190" s="1052" t="n"/>
      <c r="T190" s="674" t="n"/>
      <c r="U190" s="1052" t="n"/>
      <c r="V190" s="1052" t="n"/>
      <c r="W190" s="674" t="n"/>
      <c r="X190" s="1052" t="n"/>
      <c r="Y190" s="1052" t="n"/>
      <c r="Z190" s="674" t="n"/>
      <c r="AA190" s="1052" t="n"/>
      <c r="AB190" s="1052" t="n"/>
    </row>
    <row r="191">
      <c r="A191" s="1051" t="n"/>
      <c r="B191" s="674" t="n"/>
      <c r="C191" s="1052" t="n"/>
      <c r="D191" s="1052" t="n"/>
      <c r="E191" s="674" t="n"/>
      <c r="F191" s="1052" t="n"/>
      <c r="G191" s="1052" t="n"/>
      <c r="H191" s="674" t="n"/>
      <c r="I191" s="1052" t="n"/>
      <c r="J191" s="1052" t="n"/>
      <c r="K191" s="674" t="n"/>
      <c r="L191" s="1052" t="n"/>
      <c r="M191" s="1052" t="n"/>
      <c r="N191" s="674" t="n"/>
      <c r="O191" s="1052" t="n"/>
      <c r="P191" s="1052" t="n"/>
      <c r="Q191" s="674" t="n"/>
      <c r="R191" s="1052" t="n"/>
      <c r="S191" s="1052" t="n"/>
      <c r="T191" s="674" t="n"/>
      <c r="U191" s="1052" t="n"/>
      <c r="V191" s="1052" t="n"/>
      <c r="W191" s="674" t="n"/>
      <c r="X191" s="1052" t="n"/>
      <c r="Y191" s="1052" t="n"/>
      <c r="Z191" s="674" t="n"/>
      <c r="AA191" s="1052" t="n"/>
      <c r="AB191" s="1052" t="n"/>
    </row>
    <row r="192">
      <c r="A192" s="1051" t="n"/>
      <c r="B192" s="674" t="n"/>
      <c r="C192" s="1052" t="n"/>
      <c r="D192" s="1052" t="n"/>
      <c r="E192" s="674" t="n"/>
      <c r="F192" s="1052" t="n"/>
      <c r="G192" s="1052" t="n"/>
      <c r="H192" s="674" t="n"/>
      <c r="I192" s="1052" t="n"/>
      <c r="J192" s="1052" t="n"/>
      <c r="K192" s="674" t="n"/>
      <c r="L192" s="1052" t="n"/>
      <c r="M192" s="1052" t="n"/>
      <c r="N192" s="674" t="n"/>
      <c r="O192" s="1052" t="n"/>
      <c r="P192" s="1052" t="n"/>
      <c r="Q192" s="674" t="n"/>
      <c r="R192" s="1052" t="n"/>
      <c r="S192" s="1052" t="n"/>
      <c r="T192" s="674" t="n"/>
      <c r="U192" s="1052" t="n"/>
      <c r="V192" s="1052" t="n"/>
      <c r="W192" s="674" t="n"/>
      <c r="X192" s="1052" t="n"/>
      <c r="Y192" s="1052" t="n"/>
      <c r="Z192" s="674" t="n"/>
      <c r="AA192" s="1052" t="n"/>
      <c r="AB192" s="1052" t="n"/>
    </row>
    <row r="193">
      <c r="A193" s="1051" t="n"/>
      <c r="B193" s="674" t="n"/>
      <c r="C193" s="1052" t="n"/>
      <c r="D193" s="1052" t="n"/>
      <c r="E193" s="674" t="n"/>
      <c r="F193" s="1052" t="n"/>
      <c r="G193" s="1052" t="n"/>
      <c r="H193" s="674" t="n"/>
      <c r="I193" s="1052" t="n"/>
      <c r="J193" s="1052" t="n"/>
      <c r="K193" s="674" t="n"/>
      <c r="L193" s="1052" t="n"/>
      <c r="M193" s="1052" t="n"/>
      <c r="N193" s="674" t="n"/>
      <c r="O193" s="1052" t="n"/>
      <c r="P193" s="1052" t="n"/>
      <c r="Q193" s="674" t="n"/>
      <c r="R193" s="1052" t="n"/>
      <c r="S193" s="1052" t="n"/>
      <c r="T193" s="674" t="n"/>
      <c r="U193" s="1052" t="n"/>
      <c r="V193" s="1052" t="n"/>
      <c r="W193" s="674" t="n"/>
      <c r="X193" s="1052" t="n"/>
      <c r="Y193" s="1052" t="n"/>
      <c r="Z193" s="674" t="n"/>
      <c r="AA193" s="1052" t="n"/>
      <c r="AB193" s="1052" t="n"/>
    </row>
    <row r="194">
      <c r="A194" s="1051" t="n"/>
      <c r="B194" s="674" t="n"/>
      <c r="C194" s="1052" t="n"/>
      <c r="D194" s="1052" t="n"/>
      <c r="E194" s="674" t="n"/>
      <c r="F194" s="1052" t="n"/>
      <c r="G194" s="1052" t="n"/>
      <c r="H194" s="674" t="n"/>
      <c r="I194" s="1052" t="n"/>
      <c r="J194" s="1052" t="n"/>
      <c r="K194" s="674" t="n"/>
      <c r="L194" s="1052" t="n"/>
      <c r="M194" s="1052" t="n"/>
      <c r="N194" s="674" t="n"/>
      <c r="O194" s="1052" t="n"/>
      <c r="P194" s="1052" t="n"/>
      <c r="Q194" s="674" t="n"/>
      <c r="R194" s="1052" t="n"/>
      <c r="S194" s="1052" t="n"/>
      <c r="T194" s="674" t="n"/>
      <c r="U194" s="1052" t="n"/>
      <c r="V194" s="1052" t="n"/>
      <c r="W194" s="674" t="n"/>
      <c r="X194" s="1052" t="n"/>
      <c r="Y194" s="1052" t="n"/>
      <c r="Z194" s="674" t="n"/>
      <c r="AA194" s="1052" t="n"/>
      <c r="AB194" s="1052" t="n"/>
    </row>
    <row r="195">
      <c r="A195" s="1051" t="n"/>
      <c r="B195" s="674" t="n"/>
      <c r="C195" s="1052" t="n"/>
      <c r="D195" s="1052" t="n"/>
      <c r="E195" s="674" t="n"/>
      <c r="F195" s="1052" t="n"/>
      <c r="G195" s="1052" t="n"/>
      <c r="H195" s="674" t="n"/>
      <c r="I195" s="1052" t="n"/>
      <c r="J195" s="1052" t="n"/>
      <c r="K195" s="674" t="n"/>
      <c r="L195" s="1052" t="n"/>
      <c r="M195" s="1052" t="n"/>
      <c r="N195" s="674" t="n"/>
      <c r="O195" s="1052" t="n"/>
      <c r="P195" s="1052" t="n"/>
      <c r="Q195" s="674" t="n"/>
      <c r="R195" s="1052" t="n"/>
      <c r="S195" s="1052" t="n"/>
      <c r="T195" s="674" t="n"/>
      <c r="U195" s="1052" t="n"/>
      <c r="V195" s="1052" t="n"/>
      <c r="W195" s="674" t="n"/>
      <c r="X195" s="1052" t="n"/>
      <c r="Y195" s="1052" t="n"/>
      <c r="Z195" s="674" t="n"/>
      <c r="AA195" s="1052" t="n"/>
      <c r="AB195" s="1052" t="n"/>
    </row>
    <row r="196">
      <c r="A196" s="1051" t="n"/>
      <c r="B196" s="674" t="n"/>
      <c r="C196" s="1052" t="n"/>
      <c r="D196" s="1052" t="n"/>
      <c r="E196" s="674" t="n"/>
      <c r="F196" s="1052" t="n"/>
      <c r="G196" s="1052" t="n"/>
      <c r="H196" s="674" t="n"/>
      <c r="I196" s="1052" t="n"/>
      <c r="J196" s="1052" t="n"/>
      <c r="K196" s="674" t="n"/>
      <c r="L196" s="1052" t="n"/>
      <c r="M196" s="1052" t="n"/>
      <c r="N196" s="674" t="n"/>
      <c r="O196" s="1052" t="n"/>
      <c r="P196" s="1052" t="n"/>
      <c r="Q196" s="674" t="n"/>
      <c r="R196" s="1052" t="n"/>
      <c r="S196" s="1052" t="n"/>
      <c r="T196" s="674" t="n"/>
      <c r="U196" s="1052" t="n"/>
      <c r="V196" s="1052" t="n"/>
      <c r="W196" s="674" t="n"/>
      <c r="X196" s="1052" t="n"/>
      <c r="Y196" s="1052" t="n"/>
      <c r="Z196" s="674" t="n"/>
      <c r="AA196" s="1052" t="n"/>
      <c r="AB196" s="1052" t="n"/>
    </row>
    <row r="197">
      <c r="A197" s="1051" t="n"/>
      <c r="B197" s="674" t="n"/>
      <c r="C197" s="1052" t="n"/>
      <c r="D197" s="1052" t="n"/>
      <c r="E197" s="674" t="n"/>
      <c r="F197" s="1052" t="n"/>
      <c r="G197" s="1052" t="n"/>
      <c r="H197" s="674" t="n"/>
      <c r="I197" s="1052" t="n"/>
      <c r="J197" s="1052" t="n"/>
      <c r="K197" s="674" t="n"/>
      <c r="L197" s="1052" t="n"/>
      <c r="M197" s="1052" t="n"/>
      <c r="N197" s="674" t="n"/>
      <c r="O197" s="1052" t="n"/>
      <c r="P197" s="1052" t="n"/>
      <c r="Q197" s="674" t="n"/>
      <c r="R197" s="1052" t="n"/>
      <c r="S197" s="1052" t="n"/>
      <c r="T197" s="674" t="n"/>
      <c r="U197" s="1052" t="n"/>
      <c r="V197" s="1052" t="n"/>
      <c r="W197" s="674" t="n"/>
      <c r="X197" s="1052" t="n"/>
      <c r="Y197" s="1052" t="n"/>
      <c r="Z197" s="674" t="n"/>
      <c r="AA197" s="1052" t="n"/>
      <c r="AB197" s="1052" t="n"/>
    </row>
    <row r="198">
      <c r="A198" s="1051" t="n"/>
      <c r="B198" s="674" t="n"/>
      <c r="C198" s="1052" t="n"/>
      <c r="D198" s="1052" t="n"/>
      <c r="E198" s="674" t="n"/>
      <c r="F198" s="1052" t="n"/>
      <c r="G198" s="1052" t="n"/>
      <c r="H198" s="674" t="n"/>
      <c r="I198" s="1052" t="n"/>
      <c r="J198" s="1052" t="n"/>
      <c r="K198" s="674" t="n"/>
      <c r="L198" s="1052" t="n"/>
      <c r="M198" s="1052" t="n"/>
      <c r="N198" s="674" t="n"/>
      <c r="O198" s="1052" t="n"/>
      <c r="P198" s="1052" t="n"/>
      <c r="Q198" s="674" t="n"/>
      <c r="R198" s="1052" t="n"/>
      <c r="S198" s="1052" t="n"/>
      <c r="T198" s="674" t="n"/>
      <c r="U198" s="1052" t="n"/>
      <c r="V198" s="1052" t="n"/>
      <c r="W198" s="674" t="n"/>
      <c r="X198" s="1052" t="n"/>
      <c r="Y198" s="1052" t="n"/>
      <c r="Z198" s="674" t="n"/>
      <c r="AA198" s="1052" t="n"/>
      <c r="AB198" s="1052" t="n"/>
    </row>
    <row r="199">
      <c r="A199" s="1051" t="n"/>
      <c r="B199" s="674" t="n"/>
      <c r="C199" s="1052" t="n"/>
      <c r="D199" s="1052" t="n"/>
      <c r="E199" s="674" t="n"/>
      <c r="F199" s="1052" t="n"/>
      <c r="G199" s="1052" t="n"/>
      <c r="H199" s="674" t="n"/>
      <c r="I199" s="1052" t="n"/>
      <c r="J199" s="1052" t="n"/>
      <c r="K199" s="674" t="n"/>
      <c r="L199" s="1052" t="n"/>
      <c r="M199" s="1052" t="n"/>
      <c r="N199" s="674" t="n"/>
      <c r="O199" s="1052" t="n"/>
      <c r="P199" s="1052" t="n"/>
      <c r="Q199" s="674" t="n"/>
      <c r="R199" s="1052" t="n"/>
      <c r="S199" s="1052" t="n"/>
      <c r="T199" s="674" t="n"/>
      <c r="U199" s="1052" t="n"/>
      <c r="V199" s="1052" t="n"/>
      <c r="W199" s="674" t="n"/>
      <c r="X199" s="1052" t="n"/>
      <c r="Y199" s="1052" t="n"/>
      <c r="Z199" s="674" t="n"/>
      <c r="AA199" s="1052" t="n"/>
      <c r="AB199" s="1052" t="n"/>
    </row>
    <row r="200" ht="13" customFormat="1" customHeight="1" s="26">
      <c r="A200" s="672" t="n"/>
      <c r="B200" s="672" t="n"/>
      <c r="C200" s="672" t="n"/>
      <c r="D200" s="672" t="n"/>
      <c r="E200" s="672" t="n"/>
      <c r="F200" s="672" t="n"/>
      <c r="G200" s="672" t="n"/>
      <c r="H200" s="672" t="n"/>
      <c r="I200" s="672" t="n"/>
      <c r="J200" s="672" t="n"/>
      <c r="K200" s="672" t="n"/>
      <c r="L200" s="672" t="n"/>
      <c r="M200" s="672" t="n"/>
      <c r="N200" s="672" t="n"/>
      <c r="O200" s="672" t="n"/>
      <c r="P200" s="672" t="n"/>
      <c r="Q200" s="672" t="n"/>
      <c r="R200" s="672" t="n"/>
      <c r="S200" s="672" t="n"/>
      <c r="T200" s="672" t="n"/>
      <c r="U200" s="672" t="n"/>
      <c r="V200" s="672" t="n"/>
      <c r="W200" s="672" t="n"/>
      <c r="X200" s="672" t="n"/>
      <c r="Y200" s="672" t="n"/>
      <c r="Z200" s="672" t="n"/>
      <c r="AA200" s="672" t="n"/>
      <c r="AB200" s="672" t="n"/>
    </row>
    <row r="201" ht="13" customFormat="1" customHeight="1" s="26">
      <c r="A201" s="672" t="n"/>
      <c r="B201" s="672" t="n"/>
      <c r="C201" s="672" t="n"/>
      <c r="D201" s="672" t="n"/>
      <c r="E201" s="672" t="n"/>
      <c r="F201" s="672" t="n"/>
      <c r="G201" s="672" t="n"/>
      <c r="H201" s="672" t="n"/>
      <c r="I201" s="672" t="n"/>
      <c r="J201" s="672" t="n"/>
      <c r="K201" s="672" t="n"/>
      <c r="L201" s="672" t="n"/>
      <c r="M201" s="672" t="n"/>
      <c r="N201" s="672" t="n"/>
      <c r="O201" s="672" t="n"/>
      <c r="P201" s="672" t="n"/>
      <c r="Q201" s="672" t="n"/>
      <c r="R201" s="672" t="n"/>
      <c r="S201" s="672" t="n"/>
      <c r="T201" s="672" t="n"/>
      <c r="U201" s="672" t="n"/>
      <c r="V201" s="672" t="n"/>
      <c r="W201" s="672" t="n"/>
      <c r="X201" s="672" t="n"/>
      <c r="Y201" s="672" t="n"/>
      <c r="Z201" s="672" t="n"/>
      <c r="AA201" s="672" t="n"/>
      <c r="AB201" s="672" t="n"/>
    </row>
    <row r="202">
      <c r="A202" s="1051" t="n"/>
      <c r="B202" s="674" t="n"/>
      <c r="C202" s="1052" t="n"/>
      <c r="D202" s="1052" t="n"/>
      <c r="E202" s="674" t="n"/>
      <c r="F202" s="1052" t="n"/>
      <c r="G202" s="1052" t="n"/>
      <c r="H202" s="674" t="n"/>
      <c r="I202" s="1052" t="n"/>
      <c r="J202" s="1052" t="n"/>
      <c r="K202" s="674" t="n"/>
      <c r="L202" s="1052" t="n"/>
      <c r="M202" s="1052" t="n"/>
      <c r="N202" s="674" t="n"/>
      <c r="O202" s="1052" t="n"/>
      <c r="P202" s="1052" t="n"/>
      <c r="Q202" s="674" t="n"/>
      <c r="R202" s="1052" t="n"/>
      <c r="S202" s="1052" t="n"/>
      <c r="T202" s="674" t="n"/>
      <c r="U202" s="1052" t="n"/>
      <c r="V202" s="1052" t="n"/>
      <c r="W202" s="674" t="n"/>
      <c r="X202" s="1052" t="n"/>
      <c r="Y202" s="1052" t="n"/>
      <c r="Z202" s="674" t="n"/>
      <c r="AA202" s="1052" t="n"/>
      <c r="AB202" s="1052" t="n"/>
    </row>
    <row r="203">
      <c r="A203" s="1051" t="n"/>
      <c r="B203" s="674" t="n"/>
      <c r="C203" s="1052" t="n"/>
      <c r="D203" s="1052" t="n"/>
      <c r="E203" s="674" t="n"/>
      <c r="F203" s="1052" t="n"/>
      <c r="G203" s="1052" t="n"/>
      <c r="H203" s="674" t="n"/>
      <c r="I203" s="1052" t="n"/>
      <c r="J203" s="1052" t="n"/>
      <c r="K203" s="674" t="n"/>
      <c r="L203" s="1052" t="n"/>
      <c r="M203" s="1052" t="n"/>
      <c r="N203" s="674" t="n"/>
      <c r="O203" s="1052" t="n"/>
      <c r="P203" s="1052" t="n"/>
      <c r="Q203" s="674" t="n"/>
      <c r="R203" s="1052" t="n"/>
      <c r="S203" s="1052" t="n"/>
      <c r="T203" s="674" t="n"/>
      <c r="U203" s="1052" t="n"/>
      <c r="V203" s="1052" t="n"/>
      <c r="W203" s="674" t="n"/>
      <c r="X203" s="1052" t="n"/>
      <c r="Y203" s="1052" t="n"/>
      <c r="Z203" s="674" t="n"/>
      <c r="AA203" s="1052" t="n"/>
      <c r="AB203" s="1052" t="n"/>
    </row>
    <row r="204">
      <c r="A204" s="1051" t="n"/>
      <c r="B204" s="674" t="n"/>
      <c r="C204" s="1052" t="n"/>
      <c r="D204" s="1052" t="n"/>
      <c r="E204" s="674" t="n"/>
      <c r="F204" s="1052" t="n"/>
      <c r="G204" s="1052" t="n"/>
      <c r="H204" s="674" t="n"/>
      <c r="I204" s="1052" t="n"/>
      <c r="J204" s="1052" t="n"/>
      <c r="K204" s="674" t="n"/>
      <c r="L204" s="1052" t="n"/>
      <c r="M204" s="1052" t="n"/>
      <c r="N204" s="674" t="n"/>
      <c r="O204" s="1052" t="n"/>
      <c r="P204" s="1052" t="n"/>
      <c r="Q204" s="674" t="n"/>
      <c r="R204" s="1052" t="n"/>
      <c r="S204" s="1052" t="n"/>
      <c r="T204" s="674" t="n"/>
      <c r="U204" s="1052" t="n"/>
      <c r="V204" s="1052" t="n"/>
      <c r="W204" s="674" t="n"/>
      <c r="X204" s="1052" t="n"/>
      <c r="Y204" s="1052" t="n"/>
      <c r="Z204" s="674" t="n"/>
      <c r="AA204" s="1052" t="n"/>
      <c r="AB204" s="1052" t="n"/>
    </row>
    <row r="205">
      <c r="A205" s="1051" t="n"/>
      <c r="B205" s="674" t="n"/>
      <c r="C205" s="1052" t="n"/>
      <c r="D205" s="1052" t="n"/>
      <c r="E205" s="674" t="n"/>
      <c r="F205" s="1052" t="n"/>
      <c r="G205" s="1052" t="n"/>
      <c r="H205" s="674" t="n"/>
      <c r="I205" s="1052" t="n"/>
      <c r="J205" s="1052" t="n"/>
      <c r="K205" s="674" t="n"/>
      <c r="L205" s="1052" t="n"/>
      <c r="M205" s="1052" t="n"/>
      <c r="N205" s="674" t="n"/>
      <c r="O205" s="1052" t="n"/>
      <c r="P205" s="1052" t="n"/>
      <c r="Q205" s="674" t="n"/>
      <c r="R205" s="1052" t="n"/>
      <c r="S205" s="1052" t="n"/>
      <c r="T205" s="674" t="n"/>
      <c r="U205" s="1052" t="n"/>
      <c r="V205" s="1052" t="n"/>
      <c r="W205" s="674" t="n"/>
      <c r="X205" s="1052" t="n"/>
      <c r="Y205" s="1052" t="n"/>
      <c r="Z205" s="674" t="n"/>
      <c r="AA205" s="1052" t="n"/>
      <c r="AB205" s="1052" t="n"/>
    </row>
    <row r="206" ht="13" customHeight="1" s="828">
      <c r="A206" s="1051" t="n"/>
      <c r="B206" s="674" t="n"/>
      <c r="C206" s="1052" t="n"/>
      <c r="D206" s="1052" t="n"/>
      <c r="E206" s="674" t="n"/>
      <c r="F206" s="1052" t="n"/>
      <c r="G206" s="1052" t="n"/>
      <c r="H206" s="674" t="n"/>
      <c r="I206" s="1052" t="n"/>
      <c r="J206" s="1052" t="n"/>
      <c r="K206" s="674" t="n"/>
      <c r="L206" s="1052" t="n"/>
      <c r="M206" s="1052" t="n"/>
      <c r="N206" s="674" t="n"/>
      <c r="O206" s="1052" t="n"/>
      <c r="P206" s="1052" t="n"/>
      <c r="Q206" s="674" t="n"/>
      <c r="R206" s="1052" t="n"/>
      <c r="S206" s="1052" t="n"/>
      <c r="T206" s="674" t="n"/>
      <c r="U206" s="1052" t="n"/>
      <c r="V206" s="1052" t="n"/>
      <c r="W206" s="674" t="n"/>
      <c r="X206" s="1052" t="n"/>
      <c r="Y206" s="1052" t="n"/>
      <c r="Z206" s="674" t="n"/>
      <c r="AA206" s="1052" t="n"/>
      <c r="AB206" s="1052" t="n"/>
      <c r="AC206" s="26" t="n"/>
    </row>
    <row r="207">
      <c r="A207" s="1051" t="n"/>
      <c r="B207" s="674" t="n"/>
      <c r="C207" s="1052" t="n"/>
      <c r="D207" s="1052" t="n"/>
      <c r="E207" s="674" t="n"/>
      <c r="F207" s="1052" t="n"/>
      <c r="G207" s="1052" t="n"/>
      <c r="H207" s="674" t="n"/>
      <c r="I207" s="1052" t="n"/>
      <c r="J207" s="1052" t="n"/>
      <c r="K207" s="674" t="n"/>
      <c r="L207" s="1052" t="n"/>
      <c r="M207" s="1052" t="n"/>
      <c r="N207" s="674" t="n"/>
      <c r="O207" s="1052" t="n"/>
      <c r="P207" s="1052" t="n"/>
      <c r="Q207" s="674" t="n"/>
      <c r="R207" s="1052" t="n"/>
      <c r="S207" s="1052" t="n"/>
      <c r="T207" s="674" t="n"/>
      <c r="U207" s="1052" t="n"/>
      <c r="V207" s="1052" t="n"/>
      <c r="W207" s="674" t="n"/>
      <c r="X207" s="1052" t="n"/>
      <c r="Y207" s="1052" t="n"/>
      <c r="Z207" s="674" t="n"/>
      <c r="AA207" s="1052" t="n"/>
      <c r="AB207" s="1052" t="n"/>
    </row>
    <row r="208">
      <c r="A208" s="1051" t="n"/>
      <c r="B208" s="674" t="n"/>
      <c r="C208" s="1052" t="n"/>
      <c r="D208" s="1052" t="n"/>
      <c r="E208" s="674" t="n"/>
      <c r="F208" s="1052" t="n"/>
      <c r="G208" s="1052" t="n"/>
      <c r="H208" s="674" t="n"/>
      <c r="I208" s="1052" t="n"/>
      <c r="J208" s="1052" t="n"/>
      <c r="K208" s="674" t="n"/>
      <c r="L208" s="1052" t="n"/>
      <c r="M208" s="1052" t="n"/>
      <c r="N208" s="674" t="n"/>
      <c r="O208" s="1052" t="n"/>
      <c r="P208" s="1052" t="n"/>
      <c r="Q208" s="674" t="n"/>
      <c r="R208" s="1052" t="n"/>
      <c r="S208" s="1052" t="n"/>
      <c r="T208" s="674" t="n"/>
      <c r="U208" s="1052" t="n"/>
      <c r="V208" s="1052" t="n"/>
      <c r="W208" s="674" t="n"/>
      <c r="X208" s="1052" t="n"/>
      <c r="Y208" s="1052" t="n"/>
      <c r="Z208" s="674" t="n"/>
      <c r="AA208" s="1052" t="n"/>
      <c r="AB208" s="1052" t="n"/>
    </row>
    <row r="209" ht="13" customHeight="1" s="828">
      <c r="A209" s="1051" t="n"/>
      <c r="B209" s="674" t="n"/>
      <c r="C209" s="1052" t="n"/>
      <c r="D209" s="1052" t="n"/>
      <c r="E209" s="674" t="n"/>
      <c r="F209" s="1052" t="n"/>
      <c r="G209" s="1052" t="n"/>
      <c r="H209" s="674" t="n"/>
      <c r="I209" s="1052" t="n"/>
      <c r="J209" s="1052" t="n"/>
      <c r="K209" s="674" t="n"/>
      <c r="L209" s="1052" t="n"/>
      <c r="M209" s="1052" t="n"/>
      <c r="N209" s="674" t="n"/>
      <c r="O209" s="1052" t="n"/>
      <c r="P209" s="1052" t="n"/>
      <c r="Q209" s="674" t="n"/>
      <c r="R209" s="1052" t="n"/>
      <c r="S209" s="1052" t="n"/>
      <c r="T209" s="674" t="n"/>
      <c r="U209" s="1052" t="n"/>
      <c r="V209" s="1052" t="n"/>
      <c r="W209" s="674" t="n"/>
      <c r="X209" s="1052" t="n"/>
      <c r="Y209" s="1052" t="n"/>
      <c r="Z209" s="674" t="n"/>
      <c r="AA209" s="1052" t="n"/>
      <c r="AB209" s="1052" t="n"/>
      <c r="AC209" s="26" t="n"/>
    </row>
    <row r="210" ht="13" customHeight="1" s="828">
      <c r="A210" s="1051" t="n"/>
      <c r="B210" s="674" t="n"/>
      <c r="C210" s="1052" t="n"/>
      <c r="D210" s="1052" t="n"/>
      <c r="E210" s="674" t="n"/>
      <c r="F210" s="1052" t="n"/>
      <c r="G210" s="1052" t="n"/>
      <c r="H210" s="674" t="n"/>
      <c r="I210" s="1052" t="n"/>
      <c r="J210" s="1052" t="n"/>
      <c r="K210" s="674" t="n"/>
      <c r="L210" s="1052" t="n"/>
      <c r="M210" s="1052" t="n"/>
      <c r="N210" s="674" t="n"/>
      <c r="O210" s="1052" t="n"/>
      <c r="P210" s="1052" t="n"/>
      <c r="Q210" s="674" t="n"/>
      <c r="R210" s="1052" t="n"/>
      <c r="S210" s="1052" t="n"/>
      <c r="T210" s="674" t="n"/>
      <c r="U210" s="1052" t="n"/>
      <c r="V210" s="1052" t="n"/>
      <c r="W210" s="674" t="n"/>
      <c r="X210" s="1052" t="n"/>
      <c r="Y210" s="1052" t="n"/>
      <c r="Z210" s="674" t="n"/>
      <c r="AA210" s="1052" t="n"/>
      <c r="AB210" s="1052" t="n"/>
      <c r="AC210" s="26" t="n"/>
    </row>
    <row r="211" ht="13" customHeight="1" s="828">
      <c r="A211" s="1051" t="n"/>
      <c r="B211" s="674" t="n"/>
      <c r="C211" s="1052" t="n"/>
      <c r="D211" s="1052" t="n"/>
      <c r="E211" s="674" t="n"/>
      <c r="F211" s="1052" t="n"/>
      <c r="G211" s="1052" t="n"/>
      <c r="H211" s="674" t="n"/>
      <c r="I211" s="1052" t="n"/>
      <c r="J211" s="1052" t="n"/>
      <c r="K211" s="674" t="n"/>
      <c r="L211" s="1052" t="n"/>
      <c r="M211" s="1052" t="n"/>
      <c r="N211" s="674" t="n"/>
      <c r="O211" s="1052" t="n"/>
      <c r="P211" s="1052" t="n"/>
      <c r="Q211" s="674" t="n"/>
      <c r="R211" s="1052" t="n"/>
      <c r="S211" s="1052" t="n"/>
      <c r="T211" s="674" t="n"/>
      <c r="U211" s="1052" t="n"/>
      <c r="V211" s="1052" t="n"/>
      <c r="W211" s="674" t="n"/>
      <c r="X211" s="1052" t="n"/>
      <c r="Y211" s="1052" t="n"/>
      <c r="Z211" s="674" t="n"/>
      <c r="AA211" s="1052" t="n"/>
      <c r="AB211" s="1052" t="n"/>
      <c r="AC211" s="26" t="n"/>
    </row>
    <row r="212" ht="13" customHeight="1" s="828">
      <c r="A212" s="1051" t="n"/>
      <c r="B212" s="674" t="n"/>
      <c r="C212" s="1052" t="n"/>
      <c r="D212" s="1052" t="n"/>
      <c r="E212" s="674" t="n"/>
      <c r="F212" s="1052" t="n"/>
      <c r="G212" s="1052" t="n"/>
      <c r="H212" s="674" t="n"/>
      <c r="I212" s="1052" t="n"/>
      <c r="J212" s="1052" t="n"/>
      <c r="K212" s="674" t="n"/>
      <c r="L212" s="1052" t="n"/>
      <c r="M212" s="1052" t="n"/>
      <c r="N212" s="674" t="n"/>
      <c r="O212" s="1052" t="n"/>
      <c r="P212" s="1052" t="n"/>
      <c r="Q212" s="674" t="n"/>
      <c r="R212" s="1052" t="n"/>
      <c r="S212" s="1052" t="n"/>
      <c r="T212" s="674" t="n"/>
      <c r="U212" s="1052" t="n"/>
      <c r="V212" s="1052" t="n"/>
      <c r="W212" s="674" t="n"/>
      <c r="X212" s="1052" t="n"/>
      <c r="Y212" s="1052" t="n"/>
      <c r="Z212" s="674" t="n"/>
      <c r="AA212" s="1052" t="n"/>
      <c r="AB212" s="1052" t="n"/>
      <c r="AC212" s="26" t="n"/>
    </row>
    <row r="213" ht="13" customHeight="1" s="828">
      <c r="A213" s="1051" t="n"/>
      <c r="B213" s="674" t="n"/>
      <c r="C213" s="1052" t="n"/>
      <c r="D213" s="1052" t="n"/>
      <c r="E213" s="674" t="n"/>
      <c r="F213" s="1052" t="n"/>
      <c r="G213" s="1052" t="n"/>
      <c r="H213" s="674" t="n"/>
      <c r="I213" s="1052" t="n"/>
      <c r="J213" s="1052" t="n"/>
      <c r="K213" s="674" t="n"/>
      <c r="L213" s="1052" t="n"/>
      <c r="M213" s="1052" t="n"/>
      <c r="N213" s="674" t="n"/>
      <c r="O213" s="1052" t="n"/>
      <c r="P213" s="1052" t="n"/>
      <c r="Q213" s="674" t="n"/>
      <c r="R213" s="1052" t="n"/>
      <c r="S213" s="1052" t="n"/>
      <c r="T213" s="674" t="n"/>
      <c r="U213" s="1052" t="n"/>
      <c r="V213" s="1052" t="n"/>
      <c r="W213" s="674" t="n"/>
      <c r="X213" s="1052" t="n"/>
      <c r="Y213" s="1052" t="n"/>
      <c r="Z213" s="674" t="n"/>
      <c r="AA213" s="1052" t="n"/>
      <c r="AB213" s="1052" t="n"/>
      <c r="AC213" s="26" t="n"/>
    </row>
    <row r="214" ht="13" customHeight="1" s="828">
      <c r="A214" s="1051" t="n"/>
      <c r="B214" s="674" t="n"/>
      <c r="C214" s="1052" t="n"/>
      <c r="D214" s="1052" t="n"/>
      <c r="E214" s="674" t="n"/>
      <c r="F214" s="1052" t="n"/>
      <c r="G214" s="1052" t="n"/>
      <c r="H214" s="674" t="n"/>
      <c r="I214" s="1052" t="n"/>
      <c r="J214" s="1052" t="n"/>
      <c r="K214" s="674" t="n"/>
      <c r="L214" s="1052" t="n"/>
      <c r="M214" s="1052" t="n"/>
      <c r="N214" s="674" t="n"/>
      <c r="O214" s="1052" t="n"/>
      <c r="P214" s="1052" t="n"/>
      <c r="Q214" s="674" t="n"/>
      <c r="R214" s="1052" t="n"/>
      <c r="S214" s="1052" t="n"/>
      <c r="T214" s="674" t="n"/>
      <c r="U214" s="1052" t="n"/>
      <c r="V214" s="1052" t="n"/>
      <c r="W214" s="674" t="n"/>
      <c r="X214" s="1052" t="n"/>
      <c r="Y214" s="1052" t="n"/>
      <c r="Z214" s="674" t="n"/>
      <c r="AA214" s="1052" t="n"/>
      <c r="AB214" s="1052" t="n"/>
      <c r="AC214" s="26" t="n"/>
    </row>
    <row r="215" ht="13" customHeight="1" s="828">
      <c r="A215" s="1051" t="n"/>
      <c r="B215" s="674" t="n"/>
      <c r="C215" s="1052" t="n"/>
      <c r="D215" s="1052" t="n"/>
      <c r="E215" s="674" t="n"/>
      <c r="F215" s="1052" t="n"/>
      <c r="G215" s="1052" t="n"/>
      <c r="H215" s="674" t="n"/>
      <c r="I215" s="1052" t="n"/>
      <c r="J215" s="1052" t="n"/>
      <c r="K215" s="674" t="n"/>
      <c r="L215" s="1052" t="n"/>
      <c r="M215" s="1052" t="n"/>
      <c r="N215" s="674" t="n"/>
      <c r="O215" s="1052" t="n"/>
      <c r="P215" s="1052" t="n"/>
      <c r="Q215" s="674" t="n"/>
      <c r="R215" s="1052" t="n"/>
      <c r="S215" s="1052" t="n"/>
      <c r="T215" s="674" t="n"/>
      <c r="U215" s="1052" t="n"/>
      <c r="V215" s="1052" t="n"/>
      <c r="W215" s="674" t="n"/>
      <c r="X215" s="1052" t="n"/>
      <c r="Y215" s="1052" t="n"/>
      <c r="Z215" s="674" t="n"/>
      <c r="AA215" s="1052" t="n"/>
      <c r="AB215" s="1052" t="n"/>
      <c r="AC215" s="26" t="n"/>
    </row>
    <row r="216" ht="13" customHeight="1" s="828">
      <c r="A216" s="1051" t="n"/>
      <c r="B216" s="674" t="n"/>
      <c r="C216" s="1052" t="n"/>
      <c r="D216" s="1052" t="n"/>
      <c r="E216" s="674" t="n"/>
      <c r="F216" s="1052" t="n"/>
      <c r="G216" s="1052" t="n"/>
      <c r="H216" s="674" t="n"/>
      <c r="I216" s="1052" t="n"/>
      <c r="J216" s="1052" t="n"/>
      <c r="K216" s="674" t="n"/>
      <c r="L216" s="1052" t="n"/>
      <c r="M216" s="1052" t="n"/>
      <c r="N216" s="674" t="n"/>
      <c r="O216" s="1052" t="n"/>
      <c r="P216" s="1052" t="n"/>
      <c r="Q216" s="674" t="n"/>
      <c r="R216" s="1052" t="n"/>
      <c r="S216" s="1052" t="n"/>
      <c r="T216" s="674" t="n"/>
      <c r="U216" s="1052" t="n"/>
      <c r="V216" s="1052" t="n"/>
      <c r="W216" s="674" t="n"/>
      <c r="X216" s="1052" t="n"/>
      <c r="Y216" s="1052" t="n"/>
      <c r="Z216" s="674" t="n"/>
      <c r="AA216" s="1052" t="n"/>
      <c r="AB216" s="1052" t="n"/>
      <c r="AC216" s="26" t="n"/>
    </row>
    <row r="217" ht="13" customHeight="1" s="828">
      <c r="A217" s="1051" t="n"/>
      <c r="B217" s="674" t="n"/>
      <c r="C217" s="1052" t="n"/>
      <c r="D217" s="1052" t="n"/>
      <c r="E217" s="674" t="n"/>
      <c r="F217" s="1052" t="n"/>
      <c r="G217" s="1052" t="n"/>
      <c r="H217" s="674" t="n"/>
      <c r="I217" s="1052" t="n"/>
      <c r="J217" s="1052" t="n"/>
      <c r="K217" s="674" t="n"/>
      <c r="L217" s="1052" t="n"/>
      <c r="M217" s="1052" t="n"/>
      <c r="N217" s="674" t="n"/>
      <c r="O217" s="1052" t="n"/>
      <c r="P217" s="1052" t="n"/>
      <c r="Q217" s="674" t="n"/>
      <c r="R217" s="1052" t="n"/>
      <c r="S217" s="1052" t="n"/>
      <c r="T217" s="674" t="n"/>
      <c r="U217" s="1052" t="n"/>
      <c r="V217" s="1052" t="n"/>
      <c r="W217" s="674" t="n"/>
      <c r="X217" s="1052" t="n"/>
      <c r="Y217" s="1052" t="n"/>
      <c r="Z217" s="674" t="n"/>
      <c r="AA217" s="1052" t="n"/>
      <c r="AB217" s="1052" t="n"/>
      <c r="AC217" s="26" t="n"/>
    </row>
    <row r="218" ht="13" customHeight="1" s="828">
      <c r="A218" s="1051" t="n"/>
      <c r="B218" s="674" t="n"/>
      <c r="C218" s="1052" t="n"/>
      <c r="D218" s="1052" t="n"/>
      <c r="E218" s="674" t="n"/>
      <c r="F218" s="1052" t="n"/>
      <c r="G218" s="1052" t="n"/>
      <c r="H218" s="674" t="n"/>
      <c r="I218" s="1052" t="n"/>
      <c r="J218" s="1052" t="n"/>
      <c r="K218" s="674" t="n"/>
      <c r="L218" s="1052" t="n"/>
      <c r="M218" s="1052" t="n"/>
      <c r="N218" s="674" t="n"/>
      <c r="O218" s="1052" t="n"/>
      <c r="P218" s="1052" t="n"/>
      <c r="Q218" s="674" t="n"/>
      <c r="R218" s="1052" t="n"/>
      <c r="S218" s="1052" t="n"/>
      <c r="T218" s="674" t="n"/>
      <c r="U218" s="1052" t="n"/>
      <c r="V218" s="1052" t="n"/>
      <c r="W218" s="674" t="n"/>
      <c r="X218" s="1052" t="n"/>
      <c r="Y218" s="1052" t="n"/>
      <c r="Z218" s="674" t="n"/>
      <c r="AA218" s="1052" t="n"/>
      <c r="AB218" s="1052" t="n"/>
      <c r="AC218" s="26" t="n"/>
    </row>
    <row r="219" ht="13" customHeight="1" s="828">
      <c r="A219" s="1051" t="n"/>
      <c r="B219" s="674" t="n"/>
      <c r="C219" s="1052" t="n"/>
      <c r="D219" s="1052" t="n"/>
      <c r="E219" s="674" t="n"/>
      <c r="F219" s="1052" t="n"/>
      <c r="G219" s="1052" t="n"/>
      <c r="H219" s="674" t="n"/>
      <c r="I219" s="1052" t="n"/>
      <c r="J219" s="1052" t="n"/>
      <c r="K219" s="674" t="n"/>
      <c r="L219" s="1052" t="n"/>
      <c r="M219" s="1052" t="n"/>
      <c r="N219" s="674" t="n"/>
      <c r="O219" s="1052" t="n"/>
      <c r="P219" s="1052" t="n"/>
      <c r="Q219" s="674" t="n"/>
      <c r="R219" s="1052" t="n"/>
      <c r="S219" s="1052" t="n"/>
      <c r="T219" s="674" t="n"/>
      <c r="U219" s="1052" t="n"/>
      <c r="V219" s="1052" t="n"/>
      <c r="W219" s="674" t="n"/>
      <c r="X219" s="1052" t="n"/>
      <c r="Y219" s="1052" t="n"/>
      <c r="Z219" s="674" t="n"/>
      <c r="AA219" s="1052" t="n"/>
      <c r="AB219" s="1052" t="n"/>
      <c r="AC219" s="26" t="n"/>
    </row>
    <row r="220" ht="13" customHeight="1" s="828">
      <c r="A220" s="1051" t="n"/>
      <c r="B220" s="674" t="n"/>
      <c r="C220" s="1052" t="n"/>
      <c r="D220" s="1052" t="n"/>
      <c r="E220" s="674" t="n"/>
      <c r="F220" s="1052" t="n"/>
      <c r="G220" s="1052" t="n"/>
      <c r="H220" s="674" t="n"/>
      <c r="I220" s="1052" t="n"/>
      <c r="J220" s="1052" t="n"/>
      <c r="K220" s="674" t="n"/>
      <c r="L220" s="1052" t="n"/>
      <c r="M220" s="1052" t="n"/>
      <c r="N220" s="674" t="n"/>
      <c r="O220" s="1052" t="n"/>
      <c r="P220" s="1052" t="n"/>
      <c r="Q220" s="674" t="n"/>
      <c r="R220" s="1052" t="n"/>
      <c r="S220" s="1052" t="n"/>
      <c r="T220" s="674" t="n"/>
      <c r="U220" s="1052" t="n"/>
      <c r="V220" s="1052" t="n"/>
      <c r="W220" s="674" t="n"/>
      <c r="X220" s="1052" t="n"/>
      <c r="Y220" s="1052" t="n"/>
      <c r="Z220" s="674" t="n"/>
      <c r="AA220" s="1052" t="n"/>
      <c r="AB220" s="1052" t="n"/>
      <c r="AC220" s="26" t="n"/>
    </row>
    <row r="221" ht="13" customHeight="1" s="828">
      <c r="A221" s="1051" t="n"/>
      <c r="B221" s="674" t="n"/>
      <c r="C221" s="1052" t="n"/>
      <c r="D221" s="1052" t="n"/>
      <c r="E221" s="674" t="n"/>
      <c r="F221" s="1052" t="n"/>
      <c r="G221" s="1052" t="n"/>
      <c r="H221" s="674" t="n"/>
      <c r="I221" s="1052" t="n"/>
      <c r="J221" s="1052" t="n"/>
      <c r="K221" s="674" t="n"/>
      <c r="L221" s="1052" t="n"/>
      <c r="M221" s="1052" t="n"/>
      <c r="N221" s="674" t="n"/>
      <c r="O221" s="1052" t="n"/>
      <c r="P221" s="1052" t="n"/>
      <c r="Q221" s="674" t="n"/>
      <c r="R221" s="1052" t="n"/>
      <c r="S221" s="1052" t="n"/>
      <c r="T221" s="674" t="n"/>
      <c r="U221" s="1052" t="n"/>
      <c r="V221" s="1052" t="n"/>
      <c r="W221" s="674" t="n"/>
      <c r="X221" s="1052" t="n"/>
      <c r="Y221" s="1052" t="n"/>
      <c r="Z221" s="674" t="n"/>
      <c r="AA221" s="1052" t="n"/>
      <c r="AB221" s="1052" t="n"/>
      <c r="AC221" s="26" t="n"/>
    </row>
    <row r="222" ht="13" customHeight="1" s="828">
      <c r="A222" s="1051" t="n"/>
      <c r="B222" s="674" t="n"/>
      <c r="C222" s="1052" t="n"/>
      <c r="D222" s="1052" t="n"/>
      <c r="E222" s="674" t="n"/>
      <c r="F222" s="1052" t="n"/>
      <c r="G222" s="1052" t="n"/>
      <c r="H222" s="674" t="n"/>
      <c r="I222" s="1052" t="n"/>
      <c r="J222" s="1052" t="n"/>
      <c r="K222" s="674" t="n"/>
      <c r="L222" s="1052" t="n"/>
      <c r="M222" s="1052" t="n"/>
      <c r="N222" s="674" t="n"/>
      <c r="O222" s="1052" t="n"/>
      <c r="P222" s="1052" t="n"/>
      <c r="Q222" s="674" t="n"/>
      <c r="R222" s="1052" t="n"/>
      <c r="S222" s="1052" t="n"/>
      <c r="T222" s="674" t="n"/>
      <c r="U222" s="1052" t="n"/>
      <c r="V222" s="1052" t="n"/>
      <c r="W222" s="674" t="n"/>
      <c r="X222" s="1052" t="n"/>
      <c r="Y222" s="1052" t="n"/>
      <c r="Z222" s="674" t="n"/>
      <c r="AA222" s="1052" t="n"/>
      <c r="AB222" s="1052" t="n"/>
      <c r="AC222" s="26" t="n"/>
    </row>
    <row r="223" ht="13" customHeight="1" s="828">
      <c r="A223" s="1051" t="n"/>
      <c r="B223" s="674" t="n"/>
      <c r="C223" s="1052" t="n"/>
      <c r="D223" s="1052" t="n"/>
      <c r="E223" s="674" t="n"/>
      <c r="F223" s="1052" t="n"/>
      <c r="G223" s="1052" t="n"/>
      <c r="H223" s="674" t="n"/>
      <c r="I223" s="1052" t="n"/>
      <c r="J223" s="1052" t="n"/>
      <c r="K223" s="674" t="n"/>
      <c r="L223" s="1052" t="n"/>
      <c r="M223" s="1052" t="n"/>
      <c r="N223" s="674" t="n"/>
      <c r="O223" s="1052" t="n"/>
      <c r="P223" s="1052" t="n"/>
      <c r="Q223" s="674" t="n"/>
      <c r="R223" s="1052" t="n"/>
      <c r="S223" s="1052" t="n"/>
      <c r="T223" s="674" t="n"/>
      <c r="U223" s="1052" t="n"/>
      <c r="V223" s="1052" t="n"/>
      <c r="W223" s="674" t="n"/>
      <c r="X223" s="1052" t="n"/>
      <c r="Y223" s="1052" t="n"/>
      <c r="Z223" s="674" t="n"/>
      <c r="AA223" s="1052" t="n"/>
      <c r="AB223" s="1052" t="n"/>
      <c r="AC223" s="26" t="n"/>
    </row>
    <row r="224" ht="13" customHeight="1" s="828">
      <c r="A224" s="1051" t="n"/>
      <c r="B224" s="674" t="n"/>
      <c r="C224" s="1052" t="n"/>
      <c r="D224" s="1052" t="n"/>
      <c r="E224" s="674" t="n"/>
      <c r="F224" s="1052" t="n"/>
      <c r="G224" s="1052" t="n"/>
      <c r="H224" s="674" t="n"/>
      <c r="I224" s="1052" t="n"/>
      <c r="J224" s="1052" t="n"/>
      <c r="K224" s="674" t="n"/>
      <c r="L224" s="1052" t="n"/>
      <c r="M224" s="1052" t="n"/>
      <c r="N224" s="674" t="n"/>
      <c r="O224" s="1052" t="n"/>
      <c r="P224" s="1052" t="n"/>
      <c r="Q224" s="674" t="n"/>
      <c r="R224" s="1052" t="n"/>
      <c r="S224" s="1052" t="n"/>
      <c r="T224" s="674" t="n"/>
      <c r="U224" s="1052" t="n"/>
      <c r="V224" s="1052" t="n"/>
      <c r="W224" s="674" t="n"/>
      <c r="X224" s="1052" t="n"/>
      <c r="Y224" s="1052" t="n"/>
      <c r="Z224" s="674" t="n"/>
      <c r="AA224" s="1052" t="n"/>
      <c r="AB224" s="1052" t="n"/>
      <c r="AC224" s="26" t="n"/>
    </row>
    <row r="225" ht="13" customHeight="1" s="828">
      <c r="A225" s="1051" t="n"/>
      <c r="B225" s="674" t="n"/>
      <c r="C225" s="1052" t="n"/>
      <c r="D225" s="1052" t="n"/>
      <c r="E225" s="674" t="n"/>
      <c r="F225" s="1052" t="n"/>
      <c r="G225" s="1052" t="n"/>
      <c r="H225" s="674" t="n"/>
      <c r="I225" s="1052" t="n"/>
      <c r="J225" s="1052" t="n"/>
      <c r="K225" s="674" t="n"/>
      <c r="L225" s="1052" t="n"/>
      <c r="M225" s="1052" t="n"/>
      <c r="N225" s="674" t="n"/>
      <c r="O225" s="1052" t="n"/>
      <c r="P225" s="1052" t="n"/>
      <c r="Q225" s="674" t="n"/>
      <c r="R225" s="1052" t="n"/>
      <c r="S225" s="1052" t="n"/>
      <c r="T225" s="674" t="n"/>
      <c r="U225" s="1052" t="n"/>
      <c r="V225" s="1052" t="n"/>
      <c r="W225" s="674" t="n"/>
      <c r="X225" s="1052" t="n"/>
      <c r="Y225" s="1052" t="n"/>
      <c r="Z225" s="674" t="n"/>
      <c r="AA225" s="1052" t="n"/>
      <c r="AB225" s="1052" t="n"/>
      <c r="AC225" s="26" t="n"/>
    </row>
    <row r="226" ht="13" customHeight="1" s="828">
      <c r="A226" s="1051" t="n"/>
      <c r="B226" s="674" t="n"/>
      <c r="C226" s="1052" t="n"/>
      <c r="D226" s="1052" t="n"/>
      <c r="E226" s="674" t="n"/>
      <c r="F226" s="1052" t="n"/>
      <c r="G226" s="1052" t="n"/>
      <c r="H226" s="674" t="n"/>
      <c r="I226" s="1052" t="n"/>
      <c r="J226" s="1052" t="n"/>
      <c r="K226" s="674" t="n"/>
      <c r="L226" s="1052" t="n"/>
      <c r="M226" s="1052" t="n"/>
      <c r="N226" s="674" t="n"/>
      <c r="O226" s="1052" t="n"/>
      <c r="P226" s="1052" t="n"/>
      <c r="Q226" s="674" t="n"/>
      <c r="R226" s="1052" t="n"/>
      <c r="S226" s="1052" t="n"/>
      <c r="T226" s="674" t="n"/>
      <c r="U226" s="1052" t="n"/>
      <c r="V226" s="1052" t="n"/>
      <c r="W226" s="674" t="n"/>
      <c r="X226" s="1052" t="n"/>
      <c r="Y226" s="1052" t="n"/>
      <c r="Z226" s="674" t="n"/>
      <c r="AA226" s="1052" t="n"/>
      <c r="AB226" s="1052" t="n"/>
      <c r="AC226" s="26" t="n"/>
    </row>
    <row r="227" ht="13" customHeight="1" s="828">
      <c r="A227" s="1051" t="n"/>
      <c r="B227" s="674" t="n"/>
      <c r="C227" s="1052" t="n"/>
      <c r="D227" s="1052" t="n"/>
      <c r="E227" s="674" t="n"/>
      <c r="F227" s="1052" t="n"/>
      <c r="G227" s="1052" t="n"/>
      <c r="H227" s="674" t="n"/>
      <c r="I227" s="1052" t="n"/>
      <c r="J227" s="1052" t="n"/>
      <c r="K227" s="674" t="n"/>
      <c r="L227" s="1052" t="n"/>
      <c r="M227" s="1052" t="n"/>
      <c r="N227" s="674" t="n"/>
      <c r="O227" s="1052" t="n"/>
      <c r="P227" s="1052" t="n"/>
      <c r="Q227" s="674" t="n"/>
      <c r="R227" s="1052" t="n"/>
      <c r="S227" s="1052" t="n"/>
      <c r="T227" s="674" t="n"/>
      <c r="U227" s="1052" t="n"/>
      <c r="V227" s="1052" t="n"/>
      <c r="W227" s="674" t="n"/>
      <c r="X227" s="1052" t="n"/>
      <c r="Y227" s="1052" t="n"/>
      <c r="Z227" s="674" t="n"/>
      <c r="AA227" s="1052" t="n"/>
      <c r="AB227" s="1052" t="n"/>
      <c r="AC227" s="26" t="n"/>
    </row>
    <row r="228" ht="13" customHeight="1" s="828">
      <c r="A228" s="1051" t="n"/>
      <c r="B228" s="674" t="n"/>
      <c r="C228" s="1052" t="n"/>
      <c r="D228" s="1052" t="n"/>
      <c r="E228" s="674" t="n"/>
      <c r="F228" s="1052" t="n"/>
      <c r="G228" s="1052" t="n"/>
      <c r="H228" s="674" t="n"/>
      <c r="I228" s="1052" t="n"/>
      <c r="J228" s="1052" t="n"/>
      <c r="K228" s="674" t="n"/>
      <c r="L228" s="1052" t="n"/>
      <c r="M228" s="1052" t="n"/>
      <c r="N228" s="674" t="n"/>
      <c r="O228" s="1052" t="n"/>
      <c r="P228" s="1052" t="n"/>
      <c r="Q228" s="674" t="n"/>
      <c r="R228" s="1052" t="n"/>
      <c r="S228" s="1052" t="n"/>
      <c r="T228" s="674" t="n"/>
      <c r="U228" s="1052" t="n"/>
      <c r="V228" s="1052" t="n"/>
      <c r="W228" s="674" t="n"/>
      <c r="X228" s="1052" t="n"/>
      <c r="Y228" s="1052" t="n"/>
      <c r="Z228" s="674" t="n"/>
      <c r="AA228" s="1052" t="n"/>
      <c r="AB228" s="1052" t="n"/>
      <c r="AC228" s="26" t="n"/>
    </row>
    <row r="229" ht="13" customHeight="1" s="828">
      <c r="A229" s="1051" t="n"/>
      <c r="B229" s="674" t="n"/>
      <c r="C229" s="1052" t="n"/>
      <c r="D229" s="1052" t="n"/>
      <c r="E229" s="674" t="n"/>
      <c r="F229" s="1052" t="n"/>
      <c r="G229" s="1052" t="n"/>
      <c r="H229" s="674" t="n"/>
      <c r="I229" s="1052" t="n"/>
      <c r="J229" s="1052" t="n"/>
      <c r="K229" s="674" t="n"/>
      <c r="L229" s="1052" t="n"/>
      <c r="M229" s="1052" t="n"/>
      <c r="N229" s="674" t="n"/>
      <c r="O229" s="1052" t="n"/>
      <c r="P229" s="1052" t="n"/>
      <c r="Q229" s="674" t="n"/>
      <c r="R229" s="1052" t="n"/>
      <c r="S229" s="1052" t="n"/>
      <c r="T229" s="674" t="n"/>
      <c r="U229" s="1052" t="n"/>
      <c r="V229" s="1052" t="n"/>
      <c r="W229" s="674" t="n"/>
      <c r="X229" s="1052" t="n"/>
      <c r="Y229" s="1052" t="n"/>
      <c r="Z229" s="674" t="n"/>
      <c r="AA229" s="1052" t="n"/>
      <c r="AB229" s="1052" t="n"/>
      <c r="AC229" s="26" t="n"/>
    </row>
    <row r="230" ht="13" customHeight="1" s="828">
      <c r="A230" s="1051" t="n"/>
      <c r="B230" s="674" t="n"/>
      <c r="C230" s="1052" t="n"/>
      <c r="D230" s="1052" t="n"/>
      <c r="E230" s="674" t="n"/>
      <c r="F230" s="1052" t="n"/>
      <c r="G230" s="1052" t="n"/>
      <c r="H230" s="674" t="n"/>
      <c r="I230" s="1052" t="n"/>
      <c r="J230" s="1052" t="n"/>
      <c r="K230" s="674" t="n"/>
      <c r="L230" s="1052" t="n"/>
      <c r="M230" s="1052" t="n"/>
      <c r="N230" s="674" t="n"/>
      <c r="O230" s="1052" t="n"/>
      <c r="P230" s="1052" t="n"/>
      <c r="Q230" s="674" t="n"/>
      <c r="R230" s="1052" t="n"/>
      <c r="S230" s="1052" t="n"/>
      <c r="T230" s="674" t="n"/>
      <c r="U230" s="1052" t="n"/>
      <c r="V230" s="1052" t="n"/>
      <c r="W230" s="674" t="n"/>
      <c r="X230" s="1052" t="n"/>
      <c r="Y230" s="1052" t="n"/>
      <c r="Z230" s="674" t="n"/>
      <c r="AA230" s="1052" t="n"/>
      <c r="AB230" s="1052" t="n"/>
      <c r="AC230" s="26" t="n"/>
    </row>
    <row r="231">
      <c r="A231" s="1051" t="n"/>
      <c r="B231" s="674" t="n"/>
      <c r="C231" s="1052" t="n"/>
      <c r="D231" s="1052" t="n"/>
      <c r="E231" s="674" t="n"/>
      <c r="F231" s="1052" t="n"/>
      <c r="G231" s="1052" t="n"/>
      <c r="H231" s="674" t="n"/>
      <c r="I231" s="1052" t="n"/>
      <c r="J231" s="1052" t="n"/>
      <c r="K231" s="674" t="n"/>
      <c r="L231" s="1052" t="n"/>
      <c r="M231" s="1052" t="n"/>
      <c r="N231" s="674" t="n"/>
      <c r="O231" s="1052" t="n"/>
      <c r="P231" s="1052" t="n"/>
      <c r="Q231" s="674" t="n"/>
      <c r="R231" s="1052" t="n"/>
      <c r="S231" s="1052" t="n"/>
      <c r="T231" s="674" t="n"/>
      <c r="U231" s="1052" t="n"/>
      <c r="V231" s="1052" t="n"/>
      <c r="W231" s="674" t="n"/>
      <c r="X231" s="1052" t="n"/>
      <c r="Y231" s="1052" t="n"/>
      <c r="Z231" s="674" t="n"/>
      <c r="AA231" s="1052" t="n"/>
      <c r="AB231" s="1052" t="n"/>
    </row>
    <row r="232">
      <c r="A232" s="1051" t="n"/>
      <c r="B232" s="674" t="n"/>
      <c r="C232" s="1052" t="n"/>
      <c r="D232" s="1052" t="n"/>
      <c r="E232" s="674" t="n"/>
      <c r="F232" s="1052" t="n"/>
      <c r="G232" s="1052" t="n"/>
      <c r="H232" s="674" t="n"/>
      <c r="I232" s="1052" t="n"/>
      <c r="J232" s="1052" t="n"/>
      <c r="K232" s="674" t="n"/>
      <c r="L232" s="1052" t="n"/>
      <c r="M232" s="1052" t="n"/>
      <c r="N232" s="674" t="n"/>
      <c r="O232" s="1052" t="n"/>
      <c r="P232" s="1052" t="n"/>
      <c r="Q232" s="674" t="n"/>
      <c r="R232" s="1052" t="n"/>
      <c r="S232" s="1052" t="n"/>
      <c r="T232" s="674" t="n"/>
      <c r="U232" s="1052" t="n"/>
      <c r="V232" s="1052" t="n"/>
      <c r="W232" s="674" t="n"/>
      <c r="X232" s="1052" t="n"/>
      <c r="Y232" s="1052" t="n"/>
      <c r="Z232" s="674" t="n"/>
      <c r="AA232" s="1052" t="n"/>
      <c r="AB232" s="1052" t="n"/>
    </row>
    <row r="233">
      <c r="A233" s="1051" t="n"/>
      <c r="B233" s="674" t="n"/>
      <c r="C233" s="1052" t="n"/>
      <c r="D233" s="1052" t="n"/>
      <c r="E233" s="674" t="n"/>
      <c r="F233" s="1052" t="n"/>
      <c r="G233" s="1052" t="n"/>
      <c r="H233" s="674" t="n"/>
      <c r="I233" s="1052" t="n"/>
      <c r="J233" s="1052" t="n"/>
      <c r="K233" s="674" t="n"/>
      <c r="L233" s="1052" t="n"/>
      <c r="M233" s="1052" t="n"/>
      <c r="N233" s="674" t="n"/>
      <c r="O233" s="1052" t="n"/>
      <c r="P233" s="1052" t="n"/>
      <c r="Q233" s="674" t="n"/>
      <c r="R233" s="1052" t="n"/>
      <c r="S233" s="1052" t="n"/>
      <c r="T233" s="674" t="n"/>
      <c r="U233" s="1052" t="n"/>
      <c r="V233" s="1052" t="n"/>
      <c r="W233" s="674" t="n"/>
      <c r="X233" s="1052" t="n"/>
      <c r="Y233" s="1052" t="n"/>
      <c r="Z233" s="674" t="n"/>
      <c r="AA233" s="1052" t="n"/>
      <c r="AB233" s="1052" t="n"/>
    </row>
    <row r="234" customFormat="1" s="220">
      <c r="A234" s="1051" t="n"/>
      <c r="B234" s="674" t="n"/>
      <c r="C234" s="1052" t="n"/>
      <c r="D234" s="1052" t="n"/>
      <c r="E234" s="674" t="n"/>
      <c r="F234" s="1052" t="n"/>
      <c r="G234" s="1052" t="n"/>
      <c r="H234" s="674" t="n"/>
      <c r="I234" s="1052" t="n"/>
      <c r="J234" s="1052" t="n"/>
      <c r="K234" s="674" t="n"/>
      <c r="L234" s="1052" t="n"/>
      <c r="M234" s="1052" t="n"/>
      <c r="N234" s="674" t="n"/>
      <c r="O234" s="1052" t="n"/>
      <c r="P234" s="1052" t="n"/>
      <c r="Q234" s="674" t="n"/>
      <c r="R234" s="1052" t="n"/>
      <c r="S234" s="1052" t="n"/>
      <c r="T234" s="674" t="n"/>
      <c r="U234" s="1052" t="n"/>
      <c r="V234" s="1052" t="n"/>
      <c r="W234" s="674" t="n"/>
      <c r="X234" s="1052" t="n"/>
      <c r="Y234" s="1052" t="n"/>
      <c r="Z234" s="674" t="n"/>
      <c r="AA234" s="1052" t="n"/>
      <c r="AB234" s="1052" t="n"/>
    </row>
    <row r="235" customFormat="1" s="220">
      <c r="A235" s="1051" t="n"/>
      <c r="B235" s="674" t="n"/>
      <c r="C235" s="1052" t="n"/>
      <c r="D235" s="1052" t="n"/>
      <c r="E235" s="674" t="n"/>
      <c r="F235" s="1052" t="n"/>
      <c r="G235" s="1052" t="n"/>
      <c r="H235" s="674" t="n"/>
      <c r="I235" s="1052" t="n"/>
      <c r="J235" s="1052" t="n"/>
      <c r="K235" s="674" t="n"/>
      <c r="L235" s="1052" t="n"/>
      <c r="M235" s="1052" t="n"/>
      <c r="N235" s="674" t="n"/>
      <c r="O235" s="1052" t="n"/>
      <c r="P235" s="1052" t="n"/>
      <c r="Q235" s="674" t="n"/>
      <c r="R235" s="1052" t="n"/>
      <c r="S235" s="1052" t="n"/>
      <c r="T235" s="674" t="n"/>
      <c r="U235" s="1052" t="n"/>
      <c r="V235" s="1052" t="n"/>
      <c r="W235" s="674" t="n"/>
      <c r="X235" s="1052" t="n"/>
      <c r="Y235" s="1052" t="n"/>
      <c r="Z235" s="674" t="n"/>
      <c r="AA235" s="1052" t="n"/>
      <c r="AB235" s="1052" t="n"/>
    </row>
    <row r="236" customFormat="1" s="220">
      <c r="A236" s="1051" t="n"/>
      <c r="B236" s="674" t="n"/>
      <c r="C236" s="1052" t="n"/>
      <c r="D236" s="1052" t="n"/>
      <c r="E236" s="674" t="n"/>
      <c r="F236" s="1052" t="n"/>
      <c r="G236" s="1052" t="n"/>
      <c r="H236" s="674" t="n"/>
      <c r="I236" s="1052" t="n"/>
      <c r="J236" s="1052" t="n"/>
      <c r="K236" s="674" t="n"/>
      <c r="L236" s="1052" t="n"/>
      <c r="M236" s="1052" t="n"/>
      <c r="N236" s="674" t="n"/>
      <c r="O236" s="1052" t="n"/>
      <c r="P236" s="1052" t="n"/>
      <c r="Q236" s="674" t="n"/>
      <c r="R236" s="1052" t="n"/>
      <c r="S236" s="1052" t="n"/>
      <c r="T236" s="674" t="n"/>
      <c r="U236" s="1052" t="n"/>
      <c r="V236" s="1052" t="n"/>
      <c r="W236" s="674" t="n"/>
      <c r="X236" s="1052" t="n"/>
      <c r="Y236" s="1052" t="n"/>
      <c r="Z236" s="674" t="n"/>
      <c r="AA236" s="1052" t="n"/>
      <c r="AB236" s="1052" t="n"/>
    </row>
    <row r="237" customFormat="1" s="220">
      <c r="A237" s="1051" t="n"/>
      <c r="B237" s="674" t="n"/>
      <c r="C237" s="1052" t="n"/>
      <c r="D237" s="1052" t="n"/>
      <c r="E237" s="674" t="n"/>
      <c r="F237" s="1052" t="n"/>
      <c r="G237" s="1052" t="n"/>
      <c r="H237" s="674" t="n"/>
      <c r="I237" s="1052" t="n"/>
      <c r="J237" s="1052" t="n"/>
      <c r="K237" s="674" t="n"/>
      <c r="L237" s="1052" t="n"/>
      <c r="M237" s="1052" t="n"/>
      <c r="N237" s="674" t="n"/>
      <c r="O237" s="1052" t="n"/>
      <c r="P237" s="1052" t="n"/>
      <c r="Q237" s="674" t="n"/>
      <c r="R237" s="1052" t="n"/>
      <c r="S237" s="1052" t="n"/>
      <c r="T237" s="674" t="n"/>
      <c r="U237" s="1052" t="n"/>
      <c r="V237" s="1052" t="n"/>
      <c r="W237" s="674" t="n"/>
      <c r="X237" s="1052" t="n"/>
      <c r="Y237" s="1052" t="n"/>
      <c r="Z237" s="674" t="n"/>
      <c r="AA237" s="1052" t="n"/>
      <c r="AB237" s="1052" t="n"/>
    </row>
    <row r="238" customFormat="1" s="220">
      <c r="A238" s="1051" t="n"/>
      <c r="B238" s="674" t="n"/>
      <c r="C238" s="1052" t="n"/>
      <c r="D238" s="1052" t="n"/>
      <c r="E238" s="674" t="n"/>
      <c r="F238" s="1052" t="n"/>
      <c r="G238" s="1052" t="n"/>
      <c r="H238" s="674" t="n"/>
      <c r="I238" s="1052" t="n"/>
      <c r="J238" s="1052" t="n"/>
      <c r="K238" s="674" t="n"/>
      <c r="L238" s="1052" t="n"/>
      <c r="M238" s="1052" t="n"/>
      <c r="N238" s="674" t="n"/>
      <c r="O238" s="1052" t="n"/>
      <c r="P238" s="1052" t="n"/>
      <c r="Q238" s="674" t="n"/>
      <c r="R238" s="1052" t="n"/>
      <c r="S238" s="1052" t="n"/>
      <c r="T238" s="674" t="n"/>
      <c r="U238" s="1052" t="n"/>
      <c r="V238" s="1052" t="n"/>
      <c r="W238" s="674" t="n"/>
      <c r="X238" s="1052" t="n"/>
      <c r="Y238" s="1052" t="n"/>
      <c r="Z238" s="674" t="n"/>
      <c r="AA238" s="1052" t="n"/>
      <c r="AB238" s="1052" t="n"/>
    </row>
    <row r="239" customFormat="1" s="220">
      <c r="A239" s="1051" t="n"/>
      <c r="B239" s="674" t="n"/>
      <c r="C239" s="1052" t="n"/>
      <c r="D239" s="1052" t="n"/>
      <c r="E239" s="674" t="n"/>
      <c r="F239" s="1052" t="n"/>
      <c r="G239" s="1052" t="n"/>
      <c r="H239" s="674" t="n"/>
      <c r="I239" s="1052" t="n"/>
      <c r="J239" s="1052" t="n"/>
      <c r="K239" s="674" t="n"/>
      <c r="L239" s="1052" t="n"/>
      <c r="M239" s="1052" t="n"/>
      <c r="N239" s="674" t="n"/>
      <c r="O239" s="1052" t="n"/>
      <c r="P239" s="1052" t="n"/>
      <c r="Q239" s="674" t="n"/>
      <c r="R239" s="1052" t="n"/>
      <c r="S239" s="1052" t="n"/>
      <c r="T239" s="674" t="n"/>
      <c r="U239" s="1052" t="n"/>
      <c r="V239" s="1052" t="n"/>
      <c r="W239" s="674" t="n"/>
      <c r="X239" s="1052" t="n"/>
      <c r="Y239" s="1052" t="n"/>
      <c r="Z239" s="674" t="n"/>
      <c r="AA239" s="1052" t="n"/>
      <c r="AB239" s="1052" t="n"/>
    </row>
    <row r="240" customFormat="1" s="220">
      <c r="A240" s="1051" t="n"/>
      <c r="B240" s="674" t="n"/>
      <c r="C240" s="1052" t="n"/>
      <c r="D240" s="1052" t="n"/>
      <c r="E240" s="674" t="n"/>
      <c r="F240" s="1052" t="n"/>
      <c r="G240" s="1052" t="n"/>
      <c r="H240" s="674" t="n"/>
      <c r="I240" s="1052" t="n"/>
      <c r="J240" s="1052" t="n"/>
      <c r="K240" s="674" t="n"/>
      <c r="L240" s="1052" t="n"/>
      <c r="M240" s="1052" t="n"/>
      <c r="N240" s="674" t="n"/>
      <c r="O240" s="1052" t="n"/>
      <c r="P240" s="1052" t="n"/>
      <c r="Q240" s="674" t="n"/>
      <c r="R240" s="1052" t="n"/>
      <c r="S240" s="1052" t="n"/>
      <c r="T240" s="674" t="n"/>
      <c r="U240" s="1052" t="n"/>
      <c r="V240" s="1052" t="n"/>
      <c r="W240" s="674" t="n"/>
      <c r="X240" s="1052" t="n"/>
      <c r="Y240" s="1052" t="n"/>
      <c r="Z240" s="674" t="n"/>
      <c r="AA240" s="1052" t="n"/>
      <c r="AB240" s="1052" t="n"/>
    </row>
    <row r="241" customFormat="1" s="220">
      <c r="A241" s="1051" t="n"/>
      <c r="B241" s="674" t="n"/>
      <c r="C241" s="1052" t="n"/>
      <c r="D241" s="1052" t="n"/>
      <c r="E241" s="674" t="n"/>
      <c r="F241" s="1052" t="n"/>
      <c r="G241" s="1052" t="n"/>
      <c r="H241" s="674" t="n"/>
      <c r="I241" s="1052" t="n"/>
      <c r="J241" s="1052" t="n"/>
      <c r="K241" s="674" t="n"/>
      <c r="L241" s="1052" t="n"/>
      <c r="M241" s="1052" t="n"/>
      <c r="N241" s="674" t="n"/>
      <c r="O241" s="1052" t="n"/>
      <c r="P241" s="1052" t="n"/>
      <c r="Q241" s="674" t="n"/>
      <c r="R241" s="1052" t="n"/>
      <c r="S241" s="1052" t="n"/>
      <c r="T241" s="674" t="n"/>
      <c r="U241" s="1052" t="n"/>
      <c r="V241" s="1052" t="n"/>
      <c r="W241" s="674" t="n"/>
      <c r="X241" s="1052" t="n"/>
      <c r="Y241" s="1052" t="n"/>
      <c r="Z241" s="674" t="n"/>
      <c r="AA241" s="1052" t="n"/>
      <c r="AB241" s="1052" t="n"/>
    </row>
    <row r="242" customFormat="1" s="220">
      <c r="A242" s="1051" t="n"/>
      <c r="B242" s="674" t="n"/>
      <c r="C242" s="1052" t="n"/>
      <c r="D242" s="1052" t="n"/>
      <c r="E242" s="674" t="n"/>
      <c r="F242" s="1052" t="n"/>
      <c r="G242" s="1052" t="n"/>
      <c r="H242" s="674" t="n"/>
      <c r="I242" s="1052" t="n"/>
      <c r="J242" s="1052" t="n"/>
      <c r="K242" s="674" t="n"/>
      <c r="L242" s="1052" t="n"/>
      <c r="M242" s="1052" t="n"/>
      <c r="N242" s="674" t="n"/>
      <c r="O242" s="1052" t="n"/>
      <c r="P242" s="1052" t="n"/>
      <c r="Q242" s="674" t="n"/>
      <c r="R242" s="1052" t="n"/>
      <c r="S242" s="1052" t="n"/>
      <c r="T242" s="674" t="n"/>
      <c r="U242" s="1052" t="n"/>
      <c r="V242" s="1052" t="n"/>
      <c r="W242" s="674" t="n"/>
      <c r="X242" s="1052" t="n"/>
      <c r="Y242" s="1052" t="n"/>
      <c r="Z242" s="674" t="n"/>
      <c r="AA242" s="1052" t="n"/>
      <c r="AB242" s="1052" t="n"/>
    </row>
    <row r="243" customFormat="1" s="220">
      <c r="A243" s="1051" t="n"/>
      <c r="B243" s="674" t="n"/>
      <c r="C243" s="1052" t="n"/>
      <c r="D243" s="1052" t="n"/>
      <c r="E243" s="674" t="n"/>
      <c r="F243" s="1052" t="n"/>
      <c r="G243" s="1052" t="n"/>
      <c r="H243" s="674" t="n"/>
      <c r="I243" s="1052" t="n"/>
      <c r="J243" s="1052" t="n"/>
      <c r="K243" s="674" t="n"/>
      <c r="L243" s="1052" t="n"/>
      <c r="M243" s="1052" t="n"/>
      <c r="N243" s="674" t="n"/>
      <c r="O243" s="1052" t="n"/>
      <c r="P243" s="1052" t="n"/>
      <c r="Q243" s="674" t="n"/>
      <c r="R243" s="1052" t="n"/>
      <c r="S243" s="1052" t="n"/>
      <c r="T243" s="674" t="n"/>
      <c r="U243" s="1052" t="n"/>
      <c r="V243" s="1052" t="n"/>
      <c r="W243" s="674" t="n"/>
      <c r="X243" s="1052" t="n"/>
      <c r="Y243" s="1052" t="n"/>
      <c r="Z243" s="674" t="n"/>
      <c r="AA243" s="1052" t="n"/>
      <c r="AB243" s="1052" t="n"/>
    </row>
    <row r="244" customFormat="1" s="220">
      <c r="A244" s="1051" t="n"/>
      <c r="B244" s="674" t="n"/>
      <c r="C244" s="1052" t="n"/>
      <c r="D244" s="1052" t="n"/>
      <c r="E244" s="674" t="n"/>
      <c r="F244" s="1052" t="n"/>
      <c r="G244" s="1052" t="n"/>
      <c r="H244" s="674" t="n"/>
      <c r="I244" s="1052" t="n"/>
      <c r="J244" s="1052" t="n"/>
      <c r="K244" s="674" t="n"/>
      <c r="L244" s="1052" t="n"/>
      <c r="M244" s="1052" t="n"/>
      <c r="N244" s="674" t="n"/>
      <c r="O244" s="1052" t="n"/>
      <c r="P244" s="1052" t="n"/>
      <c r="Q244" s="674" t="n"/>
      <c r="R244" s="1052" t="n"/>
      <c r="S244" s="1052" t="n"/>
      <c r="T244" s="674" t="n"/>
      <c r="U244" s="1052" t="n"/>
      <c r="V244" s="1052" t="n"/>
      <c r="W244" s="674" t="n"/>
      <c r="X244" s="1052" t="n"/>
      <c r="Y244" s="1052" t="n"/>
      <c r="Z244" s="674" t="n"/>
      <c r="AA244" s="1052" t="n"/>
      <c r="AB244" s="1052" t="n"/>
    </row>
    <row r="245" customFormat="1" s="220">
      <c r="A245" s="1051" t="n"/>
      <c r="B245" s="674" t="n"/>
      <c r="C245" s="1052" t="n"/>
      <c r="D245" s="1052" t="n"/>
      <c r="E245" s="674" t="n"/>
      <c r="F245" s="1052" t="n"/>
      <c r="G245" s="1052" t="n"/>
      <c r="H245" s="674" t="n"/>
      <c r="I245" s="1052" t="n"/>
      <c r="J245" s="1052" t="n"/>
      <c r="K245" s="674" t="n"/>
      <c r="L245" s="1052" t="n"/>
      <c r="M245" s="1052" t="n"/>
      <c r="N245" s="674" t="n"/>
      <c r="O245" s="1052" t="n"/>
      <c r="P245" s="1052" t="n"/>
      <c r="Q245" s="674" t="n"/>
      <c r="R245" s="1052" t="n"/>
      <c r="S245" s="1052" t="n"/>
      <c r="T245" s="674" t="n"/>
      <c r="U245" s="1052" t="n"/>
      <c r="V245" s="1052" t="n"/>
      <c r="W245" s="674" t="n"/>
      <c r="X245" s="1052" t="n"/>
      <c r="Y245" s="1052" t="n"/>
      <c r="Z245" s="674" t="n"/>
      <c r="AA245" s="1052" t="n"/>
      <c r="AB245" s="1052" t="n"/>
    </row>
    <row r="246" customFormat="1" s="220">
      <c r="A246" s="1051" t="n"/>
      <c r="B246" s="674" t="n"/>
      <c r="C246" s="1052" t="n"/>
      <c r="D246" s="1052" t="n"/>
      <c r="E246" s="674" t="n"/>
      <c r="F246" s="1052" t="n"/>
      <c r="G246" s="1052" t="n"/>
      <c r="H246" s="674" t="n"/>
      <c r="I246" s="1052" t="n"/>
      <c r="J246" s="1052" t="n"/>
      <c r="K246" s="674" t="n"/>
      <c r="L246" s="1052" t="n"/>
      <c r="M246" s="1052" t="n"/>
      <c r="N246" s="674" t="n"/>
      <c r="O246" s="1052" t="n"/>
      <c r="P246" s="1052" t="n"/>
      <c r="Q246" s="674" t="n"/>
      <c r="R246" s="1052" t="n"/>
      <c r="S246" s="1052" t="n"/>
      <c r="T246" s="674" t="n"/>
      <c r="U246" s="1052" t="n"/>
      <c r="V246" s="1052" t="n"/>
      <c r="W246" s="674" t="n"/>
      <c r="X246" s="1052" t="n"/>
      <c r="Y246" s="1052" t="n"/>
      <c r="Z246" s="674" t="n"/>
      <c r="AA246" s="1052" t="n"/>
      <c r="AB246" s="1052" t="n"/>
    </row>
    <row r="247" customFormat="1" s="220">
      <c r="A247" s="1051" t="n"/>
      <c r="B247" s="674" t="n"/>
      <c r="C247" s="1052" t="n"/>
      <c r="D247" s="1052" t="n"/>
      <c r="E247" s="674" t="n"/>
      <c r="F247" s="1052" t="n"/>
      <c r="G247" s="1052" t="n"/>
      <c r="H247" s="674" t="n"/>
      <c r="I247" s="1052" t="n"/>
      <c r="J247" s="1052" t="n"/>
      <c r="K247" s="674" t="n"/>
      <c r="L247" s="1052" t="n"/>
      <c r="M247" s="1052" t="n"/>
      <c r="N247" s="674" t="n"/>
      <c r="O247" s="1052" t="n"/>
      <c r="P247" s="1052" t="n"/>
      <c r="Q247" s="674" t="n"/>
      <c r="R247" s="1052" t="n"/>
      <c r="S247" s="1052" t="n"/>
      <c r="T247" s="674" t="n"/>
      <c r="U247" s="1052" t="n"/>
      <c r="V247" s="1052" t="n"/>
      <c r="W247" s="674" t="n"/>
      <c r="X247" s="1052" t="n"/>
      <c r="Y247" s="1052" t="n"/>
      <c r="Z247" s="674" t="n"/>
      <c r="AA247" s="1052" t="n"/>
      <c r="AB247" s="1052" t="n"/>
    </row>
    <row r="248" customFormat="1" s="220">
      <c r="A248" s="1051" t="n"/>
      <c r="B248" s="674" t="n"/>
      <c r="C248" s="1052" t="n"/>
      <c r="D248" s="1052" t="n"/>
      <c r="E248" s="674" t="n"/>
      <c r="F248" s="1052" t="n"/>
      <c r="G248" s="1052" t="n"/>
      <c r="H248" s="674" t="n"/>
      <c r="I248" s="1052" t="n"/>
      <c r="J248" s="1052" t="n"/>
      <c r="K248" s="674" t="n"/>
      <c r="L248" s="1052" t="n"/>
      <c r="M248" s="1052" t="n"/>
      <c r="N248" s="674" t="n"/>
      <c r="O248" s="1052" t="n"/>
      <c r="P248" s="1052" t="n"/>
      <c r="Q248" s="674" t="n"/>
      <c r="R248" s="1052" t="n"/>
      <c r="S248" s="1052" t="n"/>
      <c r="T248" s="674" t="n"/>
      <c r="U248" s="1052" t="n"/>
      <c r="V248" s="1052" t="n"/>
      <c r="W248" s="674" t="n"/>
      <c r="X248" s="1052" t="n"/>
      <c r="Y248" s="1052" t="n"/>
      <c r="Z248" s="674" t="n"/>
      <c r="AA248" s="1052" t="n"/>
      <c r="AB248" s="1052" t="n"/>
    </row>
    <row r="249" customFormat="1" s="221">
      <c r="A249" s="697" t="n"/>
      <c r="B249" s="697" t="n"/>
      <c r="C249" s="697" t="n"/>
      <c r="D249" s="697" t="n"/>
      <c r="E249" s="697" t="n"/>
      <c r="F249" s="697" t="n"/>
      <c r="G249" s="697" t="n"/>
      <c r="H249" s="697" t="n"/>
      <c r="I249" s="697" t="n"/>
      <c r="J249" s="697" t="n"/>
      <c r="K249" s="697" t="n"/>
      <c r="L249" s="697" t="n"/>
      <c r="M249" s="697" t="n"/>
      <c r="N249" s="697" t="n"/>
      <c r="O249" s="697" t="n"/>
      <c r="P249" s="697" t="n"/>
      <c r="Q249" s="697" t="n"/>
      <c r="R249" s="697" t="n"/>
      <c r="S249" s="697" t="n"/>
      <c r="T249" s="697" t="n"/>
      <c r="U249" s="697" t="n"/>
      <c r="V249" s="697" t="n"/>
      <c r="W249" s="697" t="n"/>
      <c r="X249" s="697" t="n"/>
      <c r="Y249" s="697" t="n"/>
      <c r="Z249" s="697" t="n"/>
      <c r="AA249" s="697" t="n"/>
      <c r="AB249" s="697" t="n"/>
    </row>
    <row r="250" customFormat="1" s="221">
      <c r="A250" s="697" t="n"/>
      <c r="B250" s="697" t="n"/>
      <c r="C250" s="697" t="n"/>
      <c r="D250" s="697" t="n"/>
      <c r="E250" s="697" t="n"/>
      <c r="F250" s="697" t="n"/>
      <c r="G250" s="697" t="n"/>
      <c r="H250" s="697" t="n"/>
      <c r="I250" s="697" t="n"/>
      <c r="J250" s="697" t="n"/>
      <c r="K250" s="697" t="n"/>
      <c r="L250" s="697" t="n"/>
      <c r="M250" s="697" t="n"/>
      <c r="N250" s="697" t="n"/>
      <c r="O250" s="697" t="n"/>
      <c r="P250" s="697" t="n"/>
      <c r="Q250" s="697" t="n"/>
      <c r="R250" s="697" t="n"/>
      <c r="S250" s="697" t="n"/>
      <c r="T250" s="697" t="n"/>
      <c r="U250" s="697" t="n"/>
      <c r="V250" s="697" t="n"/>
      <c r="W250" s="697" t="n"/>
      <c r="X250" s="697" t="n"/>
      <c r="Y250" s="697" t="n"/>
      <c r="Z250" s="697" t="n"/>
      <c r="AA250" s="697" t="n"/>
      <c r="AB250" s="697" t="n"/>
    </row>
    <row r="251" customFormat="1" s="221">
      <c r="A251" s="697" t="n"/>
      <c r="B251" s="697" t="n"/>
      <c r="C251" s="697" t="n"/>
      <c r="D251" s="697" t="n"/>
      <c r="E251" s="697" t="n"/>
      <c r="F251" s="697" t="n"/>
      <c r="G251" s="697" t="n"/>
      <c r="H251" s="697" t="n"/>
      <c r="I251" s="697" t="n"/>
      <c r="J251" s="697" t="n"/>
      <c r="K251" s="697" t="n"/>
      <c r="L251" s="697" t="n"/>
      <c r="M251" s="697" t="n"/>
      <c r="N251" s="697" t="n"/>
      <c r="O251" s="697" t="n"/>
      <c r="P251" s="697" t="n"/>
      <c r="Q251" s="697" t="n"/>
      <c r="R251" s="697" t="n"/>
      <c r="S251" s="697" t="n"/>
      <c r="T251" s="697" t="n"/>
      <c r="U251" s="697" t="n"/>
      <c r="V251" s="697" t="n"/>
      <c r="W251" s="697" t="n"/>
      <c r="X251" s="697" t="n"/>
      <c r="Y251" s="697" t="n"/>
      <c r="Z251" s="697" t="n"/>
      <c r="AA251" s="697" t="n"/>
      <c r="AB251" s="697" t="n"/>
    </row>
    <row r="252" customFormat="1" s="221">
      <c r="A252" s="697" t="n"/>
      <c r="B252" s="697" t="n"/>
      <c r="C252" s="697" t="n"/>
      <c r="D252" s="697" t="n"/>
      <c r="E252" s="697" t="n"/>
      <c r="F252" s="697" t="n"/>
      <c r="G252" s="697" t="n"/>
      <c r="H252" s="697" t="n"/>
      <c r="I252" s="697" t="n"/>
      <c r="J252" s="697" t="n"/>
      <c r="K252" s="697" t="n"/>
      <c r="L252" s="697" t="n"/>
      <c r="M252" s="697" t="n"/>
      <c r="N252" s="697" t="n"/>
      <c r="O252" s="697" t="n"/>
      <c r="P252" s="697" t="n"/>
      <c r="Q252" s="697" t="n"/>
      <c r="R252" s="697" t="n"/>
      <c r="S252" s="697" t="n"/>
      <c r="T252" s="697" t="n"/>
      <c r="U252" s="697" t="n"/>
      <c r="V252" s="697" t="n"/>
      <c r="W252" s="697" t="n"/>
      <c r="X252" s="697" t="n"/>
      <c r="Y252" s="697" t="n"/>
      <c r="Z252" s="697" t="n"/>
      <c r="AA252" s="697" t="n"/>
      <c r="AB252" s="697" t="n"/>
    </row>
    <row r="253" customFormat="1" s="221">
      <c r="A253" s="697" t="n"/>
      <c r="B253" s="697" t="n"/>
      <c r="C253" s="697" t="n"/>
      <c r="D253" s="697" t="n"/>
      <c r="E253" s="697" t="n"/>
      <c r="F253" s="697" t="n"/>
      <c r="G253" s="697" t="n"/>
      <c r="H253" s="697" t="n"/>
      <c r="I253" s="697" t="n"/>
      <c r="J253" s="697" t="n"/>
      <c r="K253" s="697" t="n"/>
      <c r="L253" s="697" t="n"/>
      <c r="M253" s="697" t="n"/>
      <c r="N253" s="697" t="n"/>
      <c r="O253" s="697" t="n"/>
      <c r="P253" s="697" t="n"/>
      <c r="Q253" s="697" t="n"/>
      <c r="R253" s="697" t="n"/>
      <c r="S253" s="697" t="n"/>
      <c r="T253" s="697" t="n"/>
      <c r="U253" s="697" t="n"/>
      <c r="V253" s="697" t="n"/>
      <c r="W253" s="697" t="n"/>
      <c r="X253" s="697" t="n"/>
      <c r="Y253" s="697" t="n"/>
      <c r="Z253" s="697" t="n"/>
      <c r="AA253" s="697" t="n"/>
      <c r="AB253" s="697" t="n"/>
    </row>
    <row r="254" customFormat="1" s="221">
      <c r="A254" s="697" t="n"/>
      <c r="B254" s="697" t="n"/>
      <c r="C254" s="697" t="n"/>
      <c r="D254" s="697" t="n"/>
      <c r="E254" s="697" t="n"/>
      <c r="F254" s="697" t="n"/>
      <c r="G254" s="697" t="n"/>
      <c r="H254" s="697" t="n"/>
      <c r="I254" s="697" t="n"/>
      <c r="J254" s="697" t="n"/>
      <c r="K254" s="697" t="n"/>
      <c r="L254" s="697" t="n"/>
      <c r="M254" s="697" t="n"/>
      <c r="N254" s="697" t="n"/>
      <c r="O254" s="697" t="n"/>
      <c r="P254" s="697" t="n"/>
      <c r="Q254" s="697" t="n"/>
      <c r="R254" s="697" t="n"/>
      <c r="S254" s="697" t="n"/>
      <c r="T254" s="697" t="n"/>
      <c r="U254" s="697" t="n"/>
      <c r="V254" s="697" t="n"/>
      <c r="W254" s="697" t="n"/>
      <c r="X254" s="697" t="n"/>
      <c r="Y254" s="697" t="n"/>
      <c r="Z254" s="697" t="n"/>
      <c r="AA254" s="697" t="n"/>
      <c r="AB254" s="697" t="n"/>
    </row>
    <row r="255" customFormat="1" s="221">
      <c r="A255" s="697" t="n"/>
      <c r="B255" s="697" t="n"/>
      <c r="C255" s="697" t="n"/>
      <c r="D255" s="697" t="n"/>
      <c r="E255" s="697" t="n"/>
      <c r="F255" s="697" t="n"/>
      <c r="G255" s="697" t="n"/>
      <c r="H255" s="697" t="n"/>
      <c r="I255" s="697" t="n"/>
      <c r="J255" s="697" t="n"/>
      <c r="K255" s="697" t="n"/>
      <c r="L255" s="697" t="n"/>
      <c r="M255" s="697" t="n"/>
      <c r="N255" s="697" t="n"/>
      <c r="O255" s="697" t="n"/>
      <c r="P255" s="697" t="n"/>
      <c r="Q255" s="697" t="n"/>
      <c r="R255" s="697" t="n"/>
      <c r="S255" s="697" t="n"/>
      <c r="T255" s="697" t="n"/>
      <c r="U255" s="697" t="n"/>
      <c r="V255" s="697" t="n"/>
      <c r="W255" s="697" t="n"/>
      <c r="X255" s="697" t="n"/>
      <c r="Y255" s="697" t="n"/>
      <c r="Z255" s="697" t="n"/>
      <c r="AA255" s="697" t="n"/>
      <c r="AB255" s="697" t="n"/>
    </row>
    <row r="256" customFormat="1" s="221">
      <c r="A256" s="697" t="n"/>
      <c r="B256" s="697" t="n"/>
      <c r="C256" s="697" t="n"/>
      <c r="D256" s="697" t="n"/>
      <c r="E256" s="697" t="n"/>
      <c r="F256" s="697" t="n"/>
      <c r="G256" s="697" t="n"/>
      <c r="H256" s="697" t="n"/>
      <c r="I256" s="697" t="n"/>
      <c r="J256" s="697" t="n"/>
      <c r="K256" s="697" t="n"/>
      <c r="L256" s="697" t="n"/>
      <c r="M256" s="697" t="n"/>
      <c r="N256" s="697" t="n"/>
      <c r="O256" s="697" t="n"/>
      <c r="P256" s="697" t="n"/>
      <c r="Q256" s="697" t="n"/>
      <c r="R256" s="697" t="n"/>
      <c r="S256" s="697" t="n"/>
      <c r="T256" s="697" t="n"/>
      <c r="U256" s="697" t="n"/>
      <c r="V256" s="697" t="n"/>
      <c r="W256" s="697" t="n"/>
      <c r="X256" s="697" t="n"/>
      <c r="Y256" s="697" t="n"/>
      <c r="Z256" s="697" t="n"/>
      <c r="AA256" s="697" t="n"/>
      <c r="AB256" s="697" t="n"/>
    </row>
    <row r="257" customFormat="1" s="221">
      <c r="A257" s="697" t="n"/>
      <c r="B257" s="697" t="n"/>
      <c r="C257" s="697" t="n"/>
      <c r="D257" s="697" t="n"/>
      <c r="E257" s="697" t="n"/>
      <c r="F257" s="697" t="n"/>
      <c r="G257" s="697" t="n"/>
      <c r="H257" s="697" t="n"/>
      <c r="I257" s="697" t="n"/>
      <c r="J257" s="697" t="n"/>
      <c r="K257" s="697" t="n"/>
      <c r="L257" s="697" t="n"/>
      <c r="M257" s="697" t="n"/>
      <c r="N257" s="697" t="n"/>
      <c r="O257" s="697" t="n"/>
      <c r="P257" s="697" t="n"/>
      <c r="Q257" s="697" t="n"/>
      <c r="R257" s="697" t="n"/>
      <c r="S257" s="697" t="n"/>
      <c r="T257" s="697" t="n"/>
      <c r="U257" s="697" t="n"/>
      <c r="V257" s="697" t="n"/>
      <c r="W257" s="697" t="n"/>
      <c r="X257" s="697" t="n"/>
      <c r="Y257" s="697" t="n"/>
      <c r="Z257" s="697" t="n"/>
      <c r="AA257" s="697" t="n"/>
      <c r="AB257" s="697" t="n"/>
    </row>
    <row r="258" customFormat="1" s="220">
      <c r="A258" s="1051" t="n"/>
      <c r="B258" s="674" t="n"/>
      <c r="C258" s="1052" t="n"/>
      <c r="D258" s="1052" t="n"/>
      <c r="E258" s="674" t="n"/>
      <c r="F258" s="1052" t="n"/>
      <c r="G258" s="1052" t="n"/>
      <c r="H258" s="674" t="n"/>
      <c r="I258" s="1052" t="n"/>
      <c r="J258" s="1052" t="n"/>
      <c r="K258" s="674" t="n"/>
      <c r="L258" s="1052" t="n"/>
      <c r="M258" s="1052" t="n"/>
      <c r="N258" s="674" t="n"/>
      <c r="O258" s="1052" t="n"/>
      <c r="P258" s="1052" t="n"/>
      <c r="Q258" s="674" t="n"/>
      <c r="R258" s="1052" t="n"/>
      <c r="S258" s="1052" t="n"/>
      <c r="T258" s="674" t="n"/>
      <c r="U258" s="1052" t="n"/>
      <c r="V258" s="1052" t="n"/>
      <c r="W258" s="674" t="n"/>
      <c r="X258" s="1052" t="n"/>
      <c r="Y258" s="1052" t="n"/>
      <c r="Z258" s="674" t="n"/>
      <c r="AA258" s="1052" t="n"/>
      <c r="AB258" s="1052" t="n"/>
    </row>
    <row r="259" customFormat="1" s="220">
      <c r="A259" s="1051" t="n"/>
      <c r="B259" s="674" t="n"/>
      <c r="C259" s="1052" t="n"/>
      <c r="D259" s="1052" t="n"/>
      <c r="E259" s="674" t="n"/>
      <c r="F259" s="1052" t="n"/>
      <c r="G259" s="1052" t="n"/>
      <c r="H259" s="674" t="n"/>
      <c r="I259" s="1052" t="n"/>
      <c r="J259" s="1052" t="n"/>
      <c r="K259" s="674" t="n"/>
      <c r="L259" s="1052" t="n"/>
      <c r="M259" s="1052" t="n"/>
      <c r="N259" s="674" t="n"/>
      <c r="O259" s="1052" t="n"/>
      <c r="P259" s="1052" t="n"/>
      <c r="Q259" s="674" t="n"/>
      <c r="R259" s="1052" t="n"/>
      <c r="S259" s="1052" t="n"/>
      <c r="T259" s="674" t="n"/>
      <c r="U259" s="1052" t="n"/>
      <c r="V259" s="1052" t="n"/>
      <c r="W259" s="674" t="n"/>
      <c r="X259" s="1052" t="n"/>
      <c r="Y259" s="1052" t="n"/>
      <c r="Z259" s="674" t="n"/>
      <c r="AA259" s="1052" t="n"/>
      <c r="AB259" s="1052" t="n"/>
    </row>
    <row r="260" ht="13" customFormat="1" customHeight="1" s="220">
      <c r="A260" s="1051" t="n"/>
      <c r="B260" s="674" t="n"/>
      <c r="C260" s="1052" t="n"/>
      <c r="D260" s="1052" t="n"/>
      <c r="E260" s="674" t="n"/>
      <c r="F260" s="1052" t="n"/>
      <c r="G260" s="1052" t="n"/>
      <c r="H260" s="674" t="n"/>
      <c r="I260" s="1052" t="n"/>
      <c r="J260" s="1052" t="n"/>
      <c r="K260" s="674" t="n"/>
      <c r="L260" s="1052" t="n"/>
      <c r="M260" s="1052" t="n"/>
      <c r="N260" s="674" t="n"/>
      <c r="O260" s="1052" t="n"/>
      <c r="P260" s="1052" t="n"/>
      <c r="Q260" s="674" t="n"/>
      <c r="R260" s="1052" t="n"/>
      <c r="S260" s="1052" t="n"/>
      <c r="T260" s="674" t="n"/>
      <c r="U260" s="1052" t="n"/>
      <c r="V260" s="1052" t="n"/>
      <c r="W260" s="674" t="n"/>
      <c r="X260" s="1052" t="n"/>
      <c r="Y260" s="1052" t="n"/>
      <c r="Z260" s="674" t="n"/>
      <c r="AA260" s="1052" t="n"/>
      <c r="AB260" s="1052" t="n"/>
      <c r="AC260" s="225" t="n"/>
    </row>
    <row r="261" ht="13" customFormat="1" customHeight="1" s="220">
      <c r="A261" s="1051" t="n"/>
      <c r="B261" s="674" t="n"/>
      <c r="C261" s="1052" t="n"/>
      <c r="D261" s="1052" t="n"/>
      <c r="E261" s="674" t="n"/>
      <c r="F261" s="1052" t="n"/>
      <c r="G261" s="1052" t="n"/>
      <c r="H261" s="674" t="n"/>
      <c r="I261" s="1052" t="n"/>
      <c r="J261" s="1052" t="n"/>
      <c r="K261" s="674" t="n"/>
      <c r="L261" s="1052" t="n"/>
      <c r="M261" s="1052" t="n"/>
      <c r="N261" s="674" t="n"/>
      <c r="O261" s="1052" t="n"/>
      <c r="P261" s="1052" t="n"/>
      <c r="Q261" s="674" t="n"/>
      <c r="R261" s="1052" t="n"/>
      <c r="S261" s="1052" t="n"/>
      <c r="T261" s="674" t="n"/>
      <c r="U261" s="1052" t="n"/>
      <c r="V261" s="1052" t="n"/>
      <c r="W261" s="674" t="n"/>
      <c r="X261" s="1052" t="n"/>
      <c r="Y261" s="1052" t="n"/>
      <c r="Z261" s="674" t="n"/>
      <c r="AA261" s="1052" t="n"/>
      <c r="AB261" s="1052" t="n"/>
      <c r="AC261" s="225" t="n"/>
    </row>
    <row r="262" customFormat="1" s="220">
      <c r="A262" s="1051" t="n"/>
      <c r="B262" s="674" t="n"/>
      <c r="C262" s="1052" t="n"/>
      <c r="D262" s="1052" t="n"/>
      <c r="E262" s="674" t="n"/>
      <c r="F262" s="1052" t="n"/>
      <c r="G262" s="1052" t="n"/>
      <c r="H262" s="674" t="n"/>
      <c r="I262" s="1052" t="n"/>
      <c r="J262" s="1052" t="n"/>
      <c r="K262" s="674" t="n"/>
      <c r="L262" s="1052" t="n"/>
      <c r="M262" s="1052" t="n"/>
      <c r="N262" s="674" t="n"/>
      <c r="O262" s="1052" t="n"/>
      <c r="P262" s="1052" t="n"/>
      <c r="Q262" s="674" t="n"/>
      <c r="R262" s="1052" t="n"/>
      <c r="S262" s="1052" t="n"/>
      <c r="T262" s="674" t="n"/>
      <c r="U262" s="1052" t="n"/>
      <c r="V262" s="1052" t="n"/>
      <c r="W262" s="674" t="n"/>
      <c r="X262" s="1052" t="n"/>
      <c r="Y262" s="1052" t="n"/>
      <c r="Z262" s="674" t="n"/>
      <c r="AA262" s="1052" t="n"/>
      <c r="AB262" s="1052" t="n"/>
    </row>
    <row r="263" customFormat="1" s="221">
      <c r="A263" s="697" t="n"/>
      <c r="B263" s="697" t="n"/>
      <c r="C263" s="697" t="n"/>
      <c r="D263" s="697" t="n"/>
      <c r="E263" s="697" t="n"/>
      <c r="F263" s="697" t="n"/>
      <c r="G263" s="697" t="n"/>
      <c r="H263" s="697" t="n"/>
      <c r="I263" s="697" t="n"/>
      <c r="J263" s="697" t="n"/>
      <c r="K263" s="697" t="n"/>
      <c r="L263" s="697" t="n"/>
      <c r="M263" s="697" t="n"/>
      <c r="N263" s="697" t="n"/>
      <c r="O263" s="697" t="n"/>
      <c r="P263" s="697" t="n"/>
      <c r="Q263" s="697" t="n"/>
      <c r="R263" s="697" t="n"/>
      <c r="S263" s="697" t="n"/>
      <c r="T263" s="697" t="n"/>
      <c r="U263" s="697" t="n"/>
      <c r="V263" s="697" t="n"/>
      <c r="W263" s="697" t="n"/>
      <c r="X263" s="697" t="n"/>
      <c r="Y263" s="697" t="n"/>
      <c r="Z263" s="697" t="n"/>
      <c r="AA263" s="697" t="n"/>
      <c r="AB263" s="697" t="n"/>
    </row>
    <row r="264" ht="13" customFormat="1" customHeight="1" s="222">
      <c r="A264" s="695" t="n"/>
      <c r="B264" s="695" t="n"/>
      <c r="C264" s="695" t="n"/>
      <c r="D264" s="695" t="n"/>
      <c r="E264" s="695" t="n"/>
      <c r="F264" s="695" t="n"/>
      <c r="G264" s="695" t="n"/>
      <c r="H264" s="695" t="n"/>
      <c r="I264" s="695" t="n"/>
      <c r="J264" s="695" t="n"/>
      <c r="K264" s="695" t="n"/>
      <c r="L264" s="695" t="n"/>
      <c r="M264" s="695" t="n"/>
      <c r="N264" s="695" t="n"/>
      <c r="O264" s="695" t="n"/>
      <c r="P264" s="695" t="n"/>
      <c r="Q264" s="695" t="n"/>
      <c r="R264" s="695" t="n"/>
      <c r="S264" s="695" t="n"/>
      <c r="T264" s="695" t="n"/>
      <c r="U264" s="695" t="n"/>
      <c r="V264" s="695" t="n"/>
      <c r="W264" s="695" t="n"/>
      <c r="X264" s="695" t="n"/>
      <c r="Y264" s="695" t="n"/>
      <c r="Z264" s="695" t="n"/>
      <c r="AA264" s="695" t="n"/>
      <c r="AB264" s="695" t="n"/>
    </row>
    <row r="265" ht="13" customFormat="1" customHeight="1" s="220">
      <c r="A265" s="1051" t="n"/>
      <c r="B265" s="674" t="n"/>
      <c r="C265" s="1052" t="n"/>
      <c r="D265" s="1052" t="n"/>
      <c r="E265" s="674" t="n"/>
      <c r="F265" s="1052" t="n"/>
      <c r="G265" s="1052" t="n"/>
      <c r="H265" s="674" t="n"/>
      <c r="I265" s="1052" t="n"/>
      <c r="J265" s="1052" t="n"/>
      <c r="K265" s="674" t="n"/>
      <c r="L265" s="1052" t="n"/>
      <c r="M265" s="1052" t="n"/>
      <c r="N265" s="674" t="n"/>
      <c r="O265" s="1052" t="n"/>
      <c r="P265" s="1052" t="n"/>
      <c r="Q265" s="674" t="n"/>
      <c r="R265" s="1052" t="n"/>
      <c r="S265" s="1052" t="n"/>
      <c r="T265" s="674" t="n"/>
      <c r="U265" s="1052" t="n"/>
      <c r="V265" s="1052" t="n"/>
      <c r="W265" s="674" t="n"/>
      <c r="X265" s="1052" t="n"/>
      <c r="Y265" s="1052" t="n"/>
      <c r="Z265" s="674" t="n"/>
      <c r="AA265" s="1052" t="n"/>
      <c r="AB265" s="1052" t="n"/>
      <c r="AC265" s="225" t="n"/>
    </row>
    <row r="266" customFormat="1" s="220">
      <c r="A266" s="1051" t="n"/>
      <c r="B266" s="674" t="n"/>
      <c r="C266" s="1052" t="n"/>
      <c r="D266" s="1052" t="n"/>
      <c r="E266" s="674" t="n"/>
      <c r="F266" s="1052" t="n"/>
      <c r="G266" s="1052" t="n"/>
      <c r="H266" s="674" t="n"/>
      <c r="I266" s="1052" t="n"/>
      <c r="J266" s="1052" t="n"/>
      <c r="K266" s="674" t="n"/>
      <c r="L266" s="1052" t="n"/>
      <c r="M266" s="1052" t="n"/>
      <c r="N266" s="674" t="n"/>
      <c r="O266" s="1052" t="n"/>
      <c r="P266" s="1052" t="n"/>
      <c r="Q266" s="674" t="n"/>
      <c r="R266" s="1052" t="n"/>
      <c r="S266" s="1052" t="n"/>
      <c r="T266" s="674" t="n"/>
      <c r="U266" s="1052" t="n"/>
      <c r="V266" s="1052" t="n"/>
      <c r="W266" s="674" t="n"/>
      <c r="X266" s="1052" t="n"/>
      <c r="Y266" s="1052" t="n"/>
      <c r="Z266" s="674" t="n"/>
      <c r="AA266" s="1052" t="n"/>
      <c r="AB266" s="1052" t="n"/>
    </row>
    <row r="267" customFormat="1" s="220">
      <c r="A267" s="1051" t="n"/>
      <c r="B267" s="674" t="n"/>
      <c r="C267" s="1052" t="n"/>
      <c r="D267" s="1052" t="n"/>
      <c r="E267" s="674" t="n"/>
      <c r="F267" s="1052" t="n"/>
      <c r="G267" s="1052" t="n"/>
      <c r="H267" s="674" t="n"/>
      <c r="I267" s="1052" t="n"/>
      <c r="J267" s="1052" t="n"/>
      <c r="K267" s="674" t="n"/>
      <c r="L267" s="1052" t="n"/>
      <c r="M267" s="1052" t="n"/>
      <c r="N267" s="674" t="n"/>
      <c r="O267" s="1052" t="n"/>
      <c r="P267" s="1052" t="n"/>
      <c r="Q267" s="674" t="n"/>
      <c r="R267" s="1052" t="n"/>
      <c r="S267" s="1052" t="n"/>
      <c r="T267" s="674" t="n"/>
      <c r="U267" s="1052" t="n"/>
      <c r="V267" s="1052" t="n"/>
      <c r="W267" s="674" t="n"/>
      <c r="X267" s="1052" t="n"/>
      <c r="Y267" s="1052" t="n"/>
      <c r="Z267" s="674" t="n"/>
      <c r="AA267" s="1052" t="n"/>
      <c r="AB267" s="1052" t="n"/>
    </row>
    <row r="268" customFormat="1" s="220">
      <c r="A268" s="1051" t="n"/>
      <c r="B268" s="674" t="n"/>
      <c r="C268" s="1052" t="n"/>
      <c r="D268" s="1052" t="n"/>
      <c r="E268" s="674" t="n"/>
      <c r="F268" s="1052" t="n"/>
      <c r="G268" s="1052" t="n"/>
      <c r="H268" s="674" t="n"/>
      <c r="I268" s="1052" t="n"/>
      <c r="J268" s="1052" t="n"/>
      <c r="K268" s="674" t="n"/>
      <c r="L268" s="1052" t="n"/>
      <c r="M268" s="1052" t="n"/>
      <c r="N268" s="674" t="n"/>
      <c r="O268" s="1052" t="n"/>
      <c r="P268" s="1052" t="n"/>
      <c r="Q268" s="674" t="n"/>
      <c r="R268" s="1052" t="n"/>
      <c r="S268" s="1052" t="n"/>
      <c r="T268" s="674" t="n"/>
      <c r="U268" s="1052" t="n"/>
      <c r="V268" s="1052" t="n"/>
      <c r="W268" s="674" t="n"/>
      <c r="X268" s="1052" t="n"/>
      <c r="Y268" s="1052" t="n"/>
      <c r="Z268" s="674" t="n"/>
      <c r="AA268" s="1052" t="n"/>
      <c r="AB268" s="1052" t="n"/>
    </row>
    <row r="269" customFormat="1" s="220">
      <c r="A269" s="1051" t="n"/>
      <c r="B269" s="674" t="n"/>
      <c r="C269" s="1052" t="n"/>
      <c r="D269" s="1052" t="n"/>
      <c r="E269" s="674" t="n"/>
      <c r="F269" s="1052" t="n"/>
      <c r="G269" s="1052" t="n"/>
      <c r="H269" s="674" t="n"/>
      <c r="I269" s="1052" t="n"/>
      <c r="J269" s="1052" t="n"/>
      <c r="K269" s="674" t="n"/>
      <c r="L269" s="1052" t="n"/>
      <c r="M269" s="1052" t="n"/>
      <c r="N269" s="674" t="n"/>
      <c r="O269" s="1052" t="n"/>
      <c r="P269" s="1052" t="n"/>
      <c r="Q269" s="674" t="n"/>
      <c r="R269" s="1052" t="n"/>
      <c r="S269" s="1052" t="n"/>
      <c r="T269" s="674" t="n"/>
      <c r="U269" s="1052" t="n"/>
      <c r="V269" s="1052" t="n"/>
      <c r="W269" s="674" t="n"/>
      <c r="X269" s="1052" t="n"/>
      <c r="Y269" s="1052" t="n"/>
      <c r="Z269" s="674" t="n"/>
      <c r="AA269" s="1052" t="n"/>
      <c r="AB269" s="1052" t="n"/>
    </row>
    <row r="270" customFormat="1" s="220">
      <c r="A270" s="1051" t="n"/>
      <c r="B270" s="674" t="n"/>
      <c r="C270" s="1052" t="n"/>
      <c r="D270" s="1052" t="n"/>
      <c r="E270" s="674" t="n"/>
      <c r="F270" s="1052" t="n"/>
      <c r="G270" s="1052" t="n"/>
      <c r="H270" s="674" t="n"/>
      <c r="I270" s="1052" t="n"/>
      <c r="J270" s="1052" t="n"/>
      <c r="K270" s="674" t="n"/>
      <c r="L270" s="1052" t="n"/>
      <c r="M270" s="1052" t="n"/>
      <c r="N270" s="674" t="n"/>
      <c r="O270" s="1052" t="n"/>
      <c r="P270" s="1052" t="n"/>
      <c r="Q270" s="674" t="n"/>
      <c r="R270" s="1052" t="n"/>
      <c r="S270" s="1052" t="n"/>
      <c r="T270" s="674" t="n"/>
      <c r="U270" s="1052" t="n"/>
      <c r="V270" s="1052" t="n"/>
      <c r="W270" s="674" t="n"/>
      <c r="X270" s="1052" t="n"/>
      <c r="Y270" s="1052" t="n"/>
      <c r="Z270" s="674" t="n"/>
      <c r="AA270" s="1052" t="n"/>
      <c r="AB270" s="1052" t="n"/>
    </row>
    <row r="271" customFormat="1" s="220">
      <c r="A271" s="1051" t="n"/>
      <c r="B271" s="674" t="n"/>
      <c r="C271" s="1052" t="n"/>
      <c r="D271" s="1052" t="n"/>
      <c r="E271" s="674" t="n"/>
      <c r="F271" s="1052" t="n"/>
      <c r="G271" s="1052" t="n"/>
      <c r="H271" s="674" t="n"/>
      <c r="I271" s="1052" t="n"/>
      <c r="J271" s="1052" t="n"/>
      <c r="K271" s="674" t="n"/>
      <c r="L271" s="1052" t="n"/>
      <c r="M271" s="1052" t="n"/>
      <c r="N271" s="674" t="n"/>
      <c r="O271" s="1052" t="n"/>
      <c r="P271" s="1052" t="n"/>
      <c r="Q271" s="674" t="n"/>
      <c r="R271" s="1052" t="n"/>
      <c r="S271" s="1052" t="n"/>
      <c r="T271" s="674" t="n"/>
      <c r="U271" s="1052" t="n"/>
      <c r="V271" s="1052" t="n"/>
      <c r="W271" s="674" t="n"/>
      <c r="X271" s="1052" t="n"/>
      <c r="Y271" s="1052" t="n"/>
      <c r="Z271" s="674" t="n"/>
      <c r="AA271" s="1052" t="n"/>
      <c r="AB271" s="1052" t="n"/>
    </row>
    <row r="272" customFormat="1" s="220">
      <c r="A272" s="1051" t="n"/>
      <c r="B272" s="674" t="n"/>
      <c r="C272" s="1052" t="n"/>
      <c r="D272" s="1052" t="n"/>
      <c r="E272" s="674" t="n"/>
      <c r="F272" s="1052" t="n"/>
      <c r="G272" s="1052" t="n"/>
      <c r="H272" s="674" t="n"/>
      <c r="I272" s="1052" t="n"/>
      <c r="J272" s="1052" t="n"/>
      <c r="K272" s="674" t="n"/>
      <c r="L272" s="1052" t="n"/>
      <c r="M272" s="1052" t="n"/>
      <c r="N272" s="674" t="n"/>
      <c r="O272" s="1052" t="n"/>
      <c r="P272" s="1052" t="n"/>
      <c r="Q272" s="674" t="n"/>
      <c r="R272" s="1052" t="n"/>
      <c r="S272" s="1052" t="n"/>
      <c r="T272" s="674" t="n"/>
      <c r="U272" s="1052" t="n"/>
      <c r="V272" s="1052" t="n"/>
      <c r="W272" s="674" t="n"/>
      <c r="X272" s="1052" t="n"/>
      <c r="Y272" s="1052" t="n"/>
      <c r="Z272" s="674" t="n"/>
      <c r="AA272" s="1052" t="n"/>
      <c r="AB272" s="1052" t="n"/>
    </row>
    <row r="273" customFormat="1" s="220">
      <c r="A273" s="1051" t="n"/>
      <c r="B273" s="674" t="n"/>
      <c r="C273" s="1052" t="n"/>
      <c r="D273" s="1052" t="n"/>
      <c r="E273" s="674" t="n"/>
      <c r="F273" s="1052" t="n"/>
      <c r="G273" s="1052" t="n"/>
      <c r="H273" s="674" t="n"/>
      <c r="I273" s="1052" t="n"/>
      <c r="J273" s="1052" t="n"/>
      <c r="K273" s="674" t="n"/>
      <c r="L273" s="1052" t="n"/>
      <c r="M273" s="1052" t="n"/>
      <c r="N273" s="674" t="n"/>
      <c r="O273" s="1052" t="n"/>
      <c r="P273" s="1052" t="n"/>
      <c r="Q273" s="674" t="n"/>
      <c r="R273" s="1052" t="n"/>
      <c r="S273" s="1052" t="n"/>
      <c r="T273" s="674" t="n"/>
      <c r="U273" s="1052" t="n"/>
      <c r="V273" s="1052" t="n"/>
      <c r="W273" s="674" t="n"/>
      <c r="X273" s="1052" t="n"/>
      <c r="Y273" s="1052" t="n"/>
      <c r="Z273" s="674" t="n"/>
      <c r="AA273" s="1052" t="n"/>
      <c r="AB273" s="1052" t="n"/>
    </row>
    <row r="274" customFormat="1" s="220">
      <c r="A274" s="1051" t="n"/>
      <c r="B274" s="674" t="n"/>
      <c r="C274" s="1052" t="n"/>
      <c r="D274" s="1052" t="n"/>
      <c r="E274" s="674" t="n"/>
      <c r="F274" s="1052" t="n"/>
      <c r="G274" s="1052" t="n"/>
      <c r="H274" s="674" t="n"/>
      <c r="I274" s="1052" t="n"/>
      <c r="J274" s="1052" t="n"/>
      <c r="K274" s="674" t="n"/>
      <c r="L274" s="1052" t="n"/>
      <c r="M274" s="1052" t="n"/>
      <c r="N274" s="674" t="n"/>
      <c r="O274" s="1052" t="n"/>
      <c r="P274" s="1052" t="n"/>
      <c r="Q274" s="674" t="n"/>
      <c r="R274" s="1052" t="n"/>
      <c r="S274" s="1052" t="n"/>
      <c r="T274" s="674" t="n"/>
      <c r="U274" s="1052" t="n"/>
      <c r="V274" s="1052" t="n"/>
      <c r="W274" s="674" t="n"/>
      <c r="X274" s="1052" t="n"/>
      <c r="Y274" s="1052" t="n"/>
      <c r="Z274" s="674" t="n"/>
      <c r="AA274" s="1052" t="n"/>
      <c r="AB274" s="1052" t="n"/>
    </row>
    <row r="275" customFormat="1" s="220">
      <c r="A275" s="1051" t="n"/>
      <c r="B275" s="674" t="n"/>
      <c r="C275" s="1052" t="n"/>
      <c r="D275" s="1052" t="n"/>
      <c r="E275" s="674" t="n"/>
      <c r="F275" s="1052" t="n"/>
      <c r="G275" s="1052" t="n"/>
      <c r="H275" s="674" t="n"/>
      <c r="I275" s="1052" t="n"/>
      <c r="J275" s="1052" t="n"/>
      <c r="K275" s="674" t="n"/>
      <c r="L275" s="1052" t="n"/>
      <c r="M275" s="1052" t="n"/>
      <c r="N275" s="674" t="n"/>
      <c r="O275" s="1052" t="n"/>
      <c r="P275" s="1052" t="n"/>
      <c r="Q275" s="674" t="n"/>
      <c r="R275" s="1052" t="n"/>
      <c r="S275" s="1052" t="n"/>
      <c r="T275" s="674" t="n"/>
      <c r="U275" s="1052" t="n"/>
      <c r="V275" s="1052" t="n"/>
      <c r="W275" s="674" t="n"/>
      <c r="X275" s="1052" t="n"/>
      <c r="Y275" s="1052" t="n"/>
      <c r="Z275" s="674" t="n"/>
      <c r="AA275" s="1052" t="n"/>
      <c r="AB275" s="1052" t="n"/>
    </row>
    <row r="276" customFormat="1" s="220">
      <c r="A276" s="1051" t="n"/>
      <c r="B276" s="674" t="n"/>
      <c r="C276" s="1052" t="n"/>
      <c r="D276" s="1052" t="n"/>
      <c r="E276" s="674" t="n"/>
      <c r="F276" s="1052" t="n"/>
      <c r="G276" s="1052" t="n"/>
      <c r="H276" s="674" t="n"/>
      <c r="I276" s="1052" t="n"/>
      <c r="J276" s="1052" t="n"/>
      <c r="K276" s="674" t="n"/>
      <c r="L276" s="1052" t="n"/>
      <c r="M276" s="1052" t="n"/>
      <c r="N276" s="674" t="n"/>
      <c r="O276" s="1052" t="n"/>
      <c r="P276" s="1052" t="n"/>
      <c r="Q276" s="674" t="n"/>
      <c r="R276" s="1052" t="n"/>
      <c r="S276" s="1052" t="n"/>
      <c r="T276" s="674" t="n"/>
      <c r="U276" s="1052" t="n"/>
      <c r="V276" s="1052" t="n"/>
      <c r="W276" s="674" t="n"/>
      <c r="X276" s="1052" t="n"/>
      <c r="Y276" s="1052" t="n"/>
      <c r="Z276" s="674" t="n"/>
      <c r="AA276" s="1052" t="n"/>
      <c r="AB276" s="1052" t="n"/>
    </row>
    <row r="277" customFormat="1" s="220">
      <c r="A277" s="1051" t="n"/>
      <c r="B277" s="674" t="n"/>
      <c r="C277" s="1052" t="n"/>
      <c r="D277" s="1052" t="n"/>
      <c r="E277" s="674" t="n"/>
      <c r="F277" s="1052" t="n"/>
      <c r="G277" s="1052" t="n"/>
      <c r="H277" s="674" t="n"/>
      <c r="I277" s="1052" t="n"/>
      <c r="J277" s="1052" t="n"/>
      <c r="K277" s="674" t="n"/>
      <c r="L277" s="1052" t="n"/>
      <c r="M277" s="1052" t="n"/>
      <c r="N277" s="674" t="n"/>
      <c r="O277" s="1052" t="n"/>
      <c r="P277" s="1052" t="n"/>
      <c r="Q277" s="674" t="n"/>
      <c r="R277" s="1052" t="n"/>
      <c r="S277" s="1052" t="n"/>
      <c r="T277" s="674" t="n"/>
      <c r="U277" s="1052" t="n"/>
      <c r="V277" s="1052" t="n"/>
      <c r="W277" s="674" t="n"/>
      <c r="X277" s="1052" t="n"/>
      <c r="Y277" s="1052" t="n"/>
      <c r="Z277" s="674" t="n"/>
      <c r="AA277" s="1052" t="n"/>
      <c r="AB277" s="1052" t="n"/>
    </row>
    <row r="278" customFormat="1" s="220">
      <c r="A278" s="1051" t="n"/>
      <c r="B278" s="674" t="n"/>
      <c r="C278" s="1052" t="n"/>
      <c r="D278" s="1052" t="n"/>
      <c r="E278" s="674" t="n"/>
      <c r="F278" s="1052" t="n"/>
      <c r="G278" s="1052" t="n"/>
      <c r="H278" s="674" t="n"/>
      <c r="I278" s="1052" t="n"/>
      <c r="J278" s="1052" t="n"/>
      <c r="K278" s="674" t="n"/>
      <c r="L278" s="1052" t="n"/>
      <c r="M278" s="1052" t="n"/>
      <c r="N278" s="674" t="n"/>
      <c r="O278" s="1052" t="n"/>
      <c r="P278" s="1052" t="n"/>
      <c r="Q278" s="674" t="n"/>
      <c r="R278" s="1052" t="n"/>
      <c r="S278" s="1052" t="n"/>
      <c r="T278" s="674" t="n"/>
      <c r="U278" s="1052" t="n"/>
      <c r="V278" s="1052" t="n"/>
      <c r="W278" s="674" t="n"/>
      <c r="X278" s="1052" t="n"/>
      <c r="Y278" s="1052" t="n"/>
      <c r="Z278" s="674" t="n"/>
      <c r="AA278" s="1052" t="n"/>
      <c r="AB278" s="1052" t="n"/>
    </row>
    <row r="279" customFormat="1" s="220">
      <c r="A279" s="1051" t="n"/>
      <c r="B279" s="674" t="n"/>
      <c r="C279" s="1052" t="n"/>
      <c r="D279" s="1052" t="n"/>
      <c r="E279" s="674" t="n"/>
      <c r="F279" s="1052" t="n"/>
      <c r="G279" s="1052" t="n"/>
      <c r="H279" s="674" t="n"/>
      <c r="I279" s="1052" t="n"/>
      <c r="J279" s="1052" t="n"/>
      <c r="K279" s="674" t="n"/>
      <c r="L279" s="1052" t="n"/>
      <c r="M279" s="1052" t="n"/>
      <c r="N279" s="674" t="n"/>
      <c r="O279" s="1052" t="n"/>
      <c r="P279" s="1052" t="n"/>
      <c r="Q279" s="674" t="n"/>
      <c r="R279" s="1052" t="n"/>
      <c r="S279" s="1052" t="n"/>
      <c r="T279" s="674" t="n"/>
      <c r="U279" s="1052" t="n"/>
      <c r="V279" s="1052" t="n"/>
      <c r="W279" s="674" t="n"/>
      <c r="X279" s="1052" t="n"/>
      <c r="Y279" s="1052" t="n"/>
      <c r="Z279" s="674" t="n"/>
      <c r="AA279" s="1052" t="n"/>
      <c r="AB279" s="1052" t="n"/>
    </row>
    <row r="280" customFormat="1" s="220">
      <c r="A280" s="1051" t="n"/>
      <c r="B280" s="674" t="n"/>
      <c r="C280" s="1052" t="n"/>
      <c r="D280" s="1052" t="n"/>
      <c r="E280" s="674" t="n"/>
      <c r="F280" s="1052" t="n"/>
      <c r="G280" s="1052" t="n"/>
      <c r="H280" s="674" t="n"/>
      <c r="I280" s="1052" t="n"/>
      <c r="J280" s="1052" t="n"/>
      <c r="K280" s="674" t="n"/>
      <c r="L280" s="1052" t="n"/>
      <c r="M280" s="1052" t="n"/>
      <c r="N280" s="674" t="n"/>
      <c r="O280" s="1052" t="n"/>
      <c r="P280" s="1052" t="n"/>
      <c r="Q280" s="674" t="n"/>
      <c r="R280" s="1052" t="n"/>
      <c r="S280" s="1052" t="n"/>
      <c r="T280" s="674" t="n"/>
      <c r="U280" s="1052" t="n"/>
      <c r="V280" s="1052" t="n"/>
      <c r="W280" s="674" t="n"/>
      <c r="X280" s="1052" t="n"/>
      <c r="Y280" s="1052" t="n"/>
      <c r="Z280" s="674" t="n"/>
      <c r="AA280" s="1052" t="n"/>
      <c r="AB280" s="1052" t="n"/>
    </row>
    <row r="281" customFormat="1" s="220">
      <c r="A281" s="1051" t="n"/>
      <c r="B281" s="674" t="n"/>
      <c r="C281" s="1052" t="n"/>
      <c r="D281" s="1052" t="n"/>
      <c r="E281" s="674" t="n"/>
      <c r="F281" s="1052" t="n"/>
      <c r="G281" s="1052" t="n"/>
      <c r="H281" s="674" t="n"/>
      <c r="I281" s="1052" t="n"/>
      <c r="J281" s="1052" t="n"/>
      <c r="K281" s="674" t="n"/>
      <c r="L281" s="1052" t="n"/>
      <c r="M281" s="1052" t="n"/>
      <c r="N281" s="674" t="n"/>
      <c r="O281" s="1052" t="n"/>
      <c r="P281" s="1052" t="n"/>
      <c r="Q281" s="674" t="n"/>
      <c r="R281" s="1052" t="n"/>
      <c r="S281" s="1052" t="n"/>
      <c r="T281" s="674" t="n"/>
      <c r="U281" s="1052" t="n"/>
      <c r="V281" s="1052" t="n"/>
      <c r="W281" s="674" t="n"/>
      <c r="X281" s="1052" t="n"/>
      <c r="Y281" s="1052" t="n"/>
      <c r="Z281" s="674" t="n"/>
      <c r="AA281" s="1052" t="n"/>
      <c r="AB281" s="1052" t="n"/>
    </row>
    <row r="282" customFormat="1" s="220">
      <c r="A282" s="1051" t="n"/>
      <c r="B282" s="674" t="n"/>
      <c r="C282" s="1052" t="n"/>
      <c r="D282" s="1052" t="n"/>
      <c r="E282" s="674" t="n"/>
      <c r="F282" s="1052" t="n"/>
      <c r="G282" s="1052" t="n"/>
      <c r="H282" s="674" t="n"/>
      <c r="I282" s="1052" t="n"/>
      <c r="J282" s="1052" t="n"/>
      <c r="K282" s="674" t="n"/>
      <c r="L282" s="1052" t="n"/>
      <c r="M282" s="1052" t="n"/>
      <c r="N282" s="674" t="n"/>
      <c r="O282" s="1052" t="n"/>
      <c r="P282" s="1052" t="n"/>
      <c r="Q282" s="674" t="n"/>
      <c r="R282" s="1052" t="n"/>
      <c r="S282" s="1052" t="n"/>
      <c r="T282" s="674" t="n"/>
      <c r="U282" s="1052" t="n"/>
      <c r="V282" s="1052" t="n"/>
      <c r="W282" s="674" t="n"/>
      <c r="X282" s="1052" t="n"/>
      <c r="Y282" s="1052" t="n"/>
      <c r="Z282" s="674" t="n"/>
      <c r="AA282" s="1052" t="n"/>
      <c r="AB282" s="1052" t="n"/>
    </row>
    <row r="283" customFormat="1" s="220">
      <c r="A283" s="1051" t="n"/>
      <c r="B283" s="674" t="n"/>
      <c r="C283" s="1052" t="n"/>
      <c r="D283" s="1052" t="n"/>
      <c r="E283" s="674" t="n"/>
      <c r="F283" s="1052" t="n"/>
      <c r="G283" s="1052" t="n"/>
      <c r="H283" s="674" t="n"/>
      <c r="I283" s="1052" t="n"/>
      <c r="J283" s="1052" t="n"/>
      <c r="K283" s="674" t="n"/>
      <c r="L283" s="1052" t="n"/>
      <c r="M283" s="1052" t="n"/>
      <c r="N283" s="674" t="n"/>
      <c r="O283" s="1052" t="n"/>
      <c r="P283" s="1052" t="n"/>
      <c r="Q283" s="674" t="n"/>
      <c r="R283" s="1052" t="n"/>
      <c r="S283" s="1052" t="n"/>
      <c r="T283" s="674" t="n"/>
      <c r="U283" s="1052" t="n"/>
      <c r="V283" s="1052" t="n"/>
      <c r="W283" s="674" t="n"/>
      <c r="X283" s="1052" t="n"/>
      <c r="Y283" s="1052" t="n"/>
      <c r="Z283" s="674" t="n"/>
      <c r="AA283" s="1052" t="n"/>
      <c r="AB283" s="1052" t="n"/>
    </row>
    <row r="284" customFormat="1" s="220">
      <c r="A284" s="1051" t="n"/>
      <c r="B284" s="674" t="n"/>
      <c r="C284" s="1052" t="n"/>
      <c r="D284" s="1052" t="n"/>
      <c r="E284" s="674" t="n"/>
      <c r="F284" s="1052" t="n"/>
      <c r="G284" s="1052" t="n"/>
      <c r="H284" s="674" t="n"/>
      <c r="I284" s="1052" t="n"/>
      <c r="J284" s="1052" t="n"/>
      <c r="K284" s="674" t="n"/>
      <c r="L284" s="1052" t="n"/>
      <c r="M284" s="1052" t="n"/>
      <c r="N284" s="674" t="n"/>
      <c r="O284" s="1052" t="n"/>
      <c r="P284" s="1052" t="n"/>
      <c r="Q284" s="674" t="n"/>
      <c r="R284" s="1052" t="n"/>
      <c r="S284" s="1052" t="n"/>
      <c r="T284" s="674" t="n"/>
      <c r="U284" s="1052" t="n"/>
      <c r="V284" s="1052" t="n"/>
      <c r="W284" s="674" t="n"/>
      <c r="X284" s="1052" t="n"/>
      <c r="Y284" s="1052" t="n"/>
      <c r="Z284" s="674" t="n"/>
      <c r="AA284" s="1052" t="n"/>
      <c r="AB284" s="1052" t="n"/>
    </row>
    <row r="285" customFormat="1" s="220">
      <c r="A285" s="1051" t="n"/>
      <c r="B285" s="674" t="n"/>
      <c r="C285" s="1052" t="n"/>
      <c r="D285" s="1052" t="n"/>
      <c r="E285" s="674" t="n"/>
      <c r="F285" s="1052" t="n"/>
      <c r="G285" s="1052" t="n"/>
      <c r="H285" s="674" t="n"/>
      <c r="I285" s="1052" t="n"/>
      <c r="J285" s="1052" t="n"/>
      <c r="K285" s="674" t="n"/>
      <c r="L285" s="1052" t="n"/>
      <c r="M285" s="1052" t="n"/>
      <c r="N285" s="674" t="n"/>
      <c r="O285" s="1052" t="n"/>
      <c r="P285" s="1052" t="n"/>
      <c r="Q285" s="674" t="n"/>
      <c r="R285" s="1052" t="n"/>
      <c r="S285" s="1052" t="n"/>
      <c r="T285" s="674" t="n"/>
      <c r="U285" s="1052" t="n"/>
      <c r="V285" s="1052" t="n"/>
      <c r="W285" s="674" t="n"/>
      <c r="X285" s="1052" t="n"/>
      <c r="Y285" s="1052" t="n"/>
      <c r="Z285" s="674" t="n"/>
      <c r="AA285" s="1052" t="n"/>
      <c r="AB285" s="1052" t="n"/>
    </row>
    <row r="286" customFormat="1" s="220">
      <c r="A286" s="1051" t="n"/>
      <c r="B286" s="674" t="n"/>
      <c r="C286" s="1052" t="n"/>
      <c r="D286" s="1052" t="n"/>
      <c r="E286" s="674" t="n"/>
      <c r="F286" s="1052" t="n"/>
      <c r="G286" s="1052" t="n"/>
      <c r="H286" s="674" t="n"/>
      <c r="I286" s="1052" t="n"/>
      <c r="J286" s="1052" t="n"/>
      <c r="K286" s="674" t="n"/>
      <c r="L286" s="1052" t="n"/>
      <c r="M286" s="1052" t="n"/>
      <c r="N286" s="674" t="n"/>
      <c r="O286" s="1052" t="n"/>
      <c r="P286" s="1052" t="n"/>
      <c r="Q286" s="674" t="n"/>
      <c r="R286" s="1052" t="n"/>
      <c r="S286" s="1052" t="n"/>
      <c r="T286" s="674" t="n"/>
      <c r="U286" s="1052" t="n"/>
      <c r="V286" s="1052" t="n"/>
      <c r="W286" s="674" t="n"/>
      <c r="X286" s="1052" t="n"/>
      <c r="Y286" s="1052" t="n"/>
      <c r="Z286" s="674" t="n"/>
      <c r="AA286" s="1052" t="n"/>
      <c r="AB286" s="1052" t="n"/>
    </row>
    <row r="287" customFormat="1" s="220">
      <c r="A287" s="1051" t="n"/>
      <c r="B287" s="674" t="n"/>
      <c r="C287" s="1052" t="n"/>
      <c r="D287" s="1052" t="n"/>
      <c r="E287" s="674" t="n"/>
      <c r="F287" s="1052" t="n"/>
      <c r="G287" s="1052" t="n"/>
      <c r="H287" s="674" t="n"/>
      <c r="I287" s="1052" t="n"/>
      <c r="J287" s="1052" t="n"/>
      <c r="K287" s="674" t="n"/>
      <c r="L287" s="1052" t="n"/>
      <c r="M287" s="1052" t="n"/>
      <c r="N287" s="674" t="n"/>
      <c r="O287" s="1052" t="n"/>
      <c r="P287" s="1052" t="n"/>
      <c r="Q287" s="674" t="n"/>
      <c r="R287" s="1052" t="n"/>
      <c r="S287" s="1052" t="n"/>
      <c r="T287" s="674" t="n"/>
      <c r="U287" s="1052" t="n"/>
      <c r="V287" s="1052" t="n"/>
      <c r="W287" s="674" t="n"/>
      <c r="X287" s="1052" t="n"/>
      <c r="Y287" s="1052" t="n"/>
      <c r="Z287" s="674" t="n"/>
      <c r="AA287" s="1052" t="n"/>
      <c r="AB287" s="1052" t="n"/>
    </row>
    <row r="288" customFormat="1" s="220">
      <c r="A288" s="1051" t="n"/>
      <c r="B288" s="674" t="n"/>
      <c r="C288" s="1052" t="n"/>
      <c r="D288" s="1052" t="n"/>
      <c r="E288" s="674" t="n"/>
      <c r="F288" s="1052" t="n"/>
      <c r="G288" s="1052" t="n"/>
      <c r="H288" s="674" t="n"/>
      <c r="I288" s="1052" t="n"/>
      <c r="J288" s="1052" t="n"/>
      <c r="K288" s="674" t="n"/>
      <c r="L288" s="1052" t="n"/>
      <c r="M288" s="1052" t="n"/>
      <c r="N288" s="674" t="n"/>
      <c r="O288" s="1052" t="n"/>
      <c r="P288" s="1052" t="n"/>
      <c r="Q288" s="674" t="n"/>
      <c r="R288" s="1052" t="n"/>
      <c r="S288" s="1052" t="n"/>
      <c r="T288" s="674" t="n"/>
      <c r="U288" s="1052" t="n"/>
      <c r="V288" s="1052" t="n"/>
      <c r="W288" s="674" t="n"/>
      <c r="X288" s="1052" t="n"/>
      <c r="Y288" s="1052" t="n"/>
      <c r="Z288" s="674" t="n"/>
      <c r="AA288" s="1052" t="n"/>
      <c r="AB288" s="1052" t="n"/>
    </row>
    <row r="289" customFormat="1" s="220">
      <c r="A289" s="1051" t="n"/>
      <c r="B289" s="674" t="n"/>
      <c r="C289" s="1052" t="n"/>
      <c r="D289" s="1052" t="n"/>
      <c r="E289" s="674" t="n"/>
      <c r="F289" s="1052" t="n"/>
      <c r="G289" s="1052" t="n"/>
      <c r="H289" s="674" t="n"/>
      <c r="I289" s="1052" t="n"/>
      <c r="J289" s="1052" t="n"/>
      <c r="K289" s="674" t="n"/>
      <c r="L289" s="1052" t="n"/>
      <c r="M289" s="1052" t="n"/>
      <c r="N289" s="674" t="n"/>
      <c r="O289" s="1052" t="n"/>
      <c r="P289" s="1052" t="n"/>
      <c r="Q289" s="674" t="n"/>
      <c r="R289" s="1052" t="n"/>
      <c r="S289" s="1052" t="n"/>
      <c r="T289" s="674" t="n"/>
      <c r="U289" s="1052" t="n"/>
      <c r="V289" s="1052" t="n"/>
      <c r="W289" s="674" t="n"/>
      <c r="X289" s="1052" t="n"/>
      <c r="Y289" s="1052" t="n"/>
      <c r="Z289" s="674" t="n"/>
      <c r="AA289" s="1052" t="n"/>
      <c r="AB289" s="1052" t="n"/>
    </row>
    <row r="290" customFormat="1" s="220">
      <c r="A290" s="1051" t="n"/>
      <c r="B290" s="674" t="n"/>
      <c r="C290" s="1052" t="n"/>
      <c r="D290" s="1052" t="n"/>
      <c r="E290" s="674" t="n"/>
      <c r="F290" s="1052" t="n"/>
      <c r="G290" s="1052" t="n"/>
      <c r="H290" s="674" t="n"/>
      <c r="I290" s="1052" t="n"/>
      <c r="J290" s="1052" t="n"/>
      <c r="K290" s="674" t="n"/>
      <c r="L290" s="1052" t="n"/>
      <c r="M290" s="1052" t="n"/>
      <c r="N290" s="674" t="n"/>
      <c r="O290" s="1052" t="n"/>
      <c r="P290" s="1052" t="n"/>
      <c r="Q290" s="674" t="n"/>
      <c r="R290" s="1052" t="n"/>
      <c r="S290" s="1052" t="n"/>
      <c r="T290" s="674" t="n"/>
      <c r="U290" s="1052" t="n"/>
      <c r="V290" s="1052" t="n"/>
      <c r="W290" s="674" t="n"/>
      <c r="X290" s="1052" t="n"/>
      <c r="Y290" s="1052" t="n"/>
      <c r="Z290" s="674" t="n"/>
      <c r="AA290" s="1052" t="n"/>
      <c r="AB290" s="1052" t="n"/>
    </row>
    <row r="291" customFormat="1" s="220">
      <c r="A291" s="1051" t="n"/>
      <c r="B291" s="674" t="n"/>
      <c r="C291" s="1052" t="n"/>
      <c r="D291" s="1052" t="n"/>
      <c r="E291" s="674" t="n"/>
      <c r="F291" s="1052" t="n"/>
      <c r="G291" s="1052" t="n"/>
      <c r="H291" s="674" t="n"/>
      <c r="I291" s="1052" t="n"/>
      <c r="J291" s="1052" t="n"/>
      <c r="K291" s="674" t="n"/>
      <c r="L291" s="1052" t="n"/>
      <c r="M291" s="1052" t="n"/>
      <c r="N291" s="674" t="n"/>
      <c r="O291" s="1052" t="n"/>
      <c r="P291" s="1052" t="n"/>
      <c r="Q291" s="674" t="n"/>
      <c r="R291" s="1052" t="n"/>
      <c r="S291" s="1052" t="n"/>
      <c r="T291" s="674" t="n"/>
      <c r="U291" s="1052" t="n"/>
      <c r="V291" s="1052" t="n"/>
      <c r="W291" s="674" t="n"/>
      <c r="X291" s="1052" t="n"/>
      <c r="Y291" s="1052" t="n"/>
      <c r="Z291" s="674" t="n"/>
      <c r="AA291" s="1052" t="n"/>
      <c r="AB291" s="1052" t="n"/>
    </row>
    <row r="292" customFormat="1" s="220">
      <c r="A292" s="1051" t="n"/>
      <c r="B292" s="674" t="n"/>
      <c r="C292" s="1052" t="n"/>
      <c r="D292" s="1052" t="n"/>
      <c r="E292" s="674" t="n"/>
      <c r="F292" s="1052" t="n"/>
      <c r="G292" s="1052" t="n"/>
      <c r="H292" s="674" t="n"/>
      <c r="I292" s="1052" t="n"/>
      <c r="J292" s="1052" t="n"/>
      <c r="K292" s="674" t="n"/>
      <c r="L292" s="1052" t="n"/>
      <c r="M292" s="1052" t="n"/>
      <c r="N292" s="674" t="n"/>
      <c r="O292" s="1052" t="n"/>
      <c r="P292" s="1052" t="n"/>
      <c r="Q292" s="674" t="n"/>
      <c r="R292" s="1052" t="n"/>
      <c r="S292" s="1052" t="n"/>
      <c r="T292" s="674" t="n"/>
      <c r="U292" s="1052" t="n"/>
      <c r="V292" s="1052" t="n"/>
      <c r="W292" s="674" t="n"/>
      <c r="X292" s="1052" t="n"/>
      <c r="Y292" s="1052" t="n"/>
      <c r="Z292" s="674" t="n"/>
      <c r="AA292" s="1052" t="n"/>
      <c r="AB292" s="1052" t="n"/>
    </row>
    <row r="293" customFormat="1" s="220">
      <c r="A293" s="1051" t="n"/>
      <c r="B293" s="674" t="n"/>
      <c r="C293" s="1052" t="n"/>
      <c r="D293" s="1052" t="n"/>
      <c r="E293" s="674" t="n"/>
      <c r="F293" s="1052" t="n"/>
      <c r="G293" s="1052" t="n"/>
      <c r="H293" s="674" t="n"/>
      <c r="I293" s="1052" t="n"/>
      <c r="J293" s="1052" t="n"/>
      <c r="K293" s="674" t="n"/>
      <c r="L293" s="1052" t="n"/>
      <c r="M293" s="1052" t="n"/>
      <c r="N293" s="674" t="n"/>
      <c r="O293" s="1052" t="n"/>
      <c r="P293" s="1052" t="n"/>
      <c r="Q293" s="674" t="n"/>
      <c r="R293" s="1052" t="n"/>
      <c r="S293" s="1052" t="n"/>
      <c r="T293" s="674" t="n"/>
      <c r="U293" s="1052" t="n"/>
      <c r="V293" s="1052" t="n"/>
      <c r="W293" s="674" t="n"/>
      <c r="X293" s="1052" t="n"/>
      <c r="Y293" s="1052" t="n"/>
      <c r="Z293" s="674" t="n"/>
      <c r="AA293" s="1052" t="n"/>
      <c r="AB293" s="1052" t="n"/>
    </row>
    <row r="294" customFormat="1" s="220">
      <c r="A294" s="1051" t="n"/>
      <c r="B294" s="674" t="n"/>
      <c r="C294" s="1052" t="n"/>
      <c r="D294" s="1052" t="n"/>
      <c r="E294" s="674" t="n"/>
      <c r="F294" s="1052" t="n"/>
      <c r="G294" s="1052" t="n"/>
      <c r="H294" s="674" t="n"/>
      <c r="I294" s="1052" t="n"/>
      <c r="J294" s="1052" t="n"/>
      <c r="K294" s="674" t="n"/>
      <c r="L294" s="1052" t="n"/>
      <c r="M294" s="1052" t="n"/>
      <c r="N294" s="674" t="n"/>
      <c r="O294" s="1052" t="n"/>
      <c r="P294" s="1052" t="n"/>
      <c r="Q294" s="674" t="n"/>
      <c r="R294" s="1052" t="n"/>
      <c r="S294" s="1052" t="n"/>
      <c r="T294" s="674" t="n"/>
      <c r="U294" s="1052" t="n"/>
      <c r="V294" s="1052" t="n"/>
      <c r="W294" s="674" t="n"/>
      <c r="X294" s="1052" t="n"/>
      <c r="Y294" s="1052" t="n"/>
      <c r="Z294" s="674" t="n"/>
      <c r="AA294" s="1052" t="n"/>
      <c r="AB294" s="1052" t="n"/>
    </row>
    <row r="295" customFormat="1" s="220">
      <c r="A295" s="1051" t="n"/>
      <c r="B295" s="674" t="n"/>
      <c r="C295" s="1052" t="n"/>
      <c r="D295" s="1052" t="n"/>
      <c r="E295" s="674" t="n"/>
      <c r="F295" s="1052" t="n"/>
      <c r="G295" s="1052" t="n"/>
      <c r="H295" s="674" t="n"/>
      <c r="I295" s="1052" t="n"/>
      <c r="J295" s="1052" t="n"/>
      <c r="K295" s="674" t="n"/>
      <c r="L295" s="1052" t="n"/>
      <c r="M295" s="1052" t="n"/>
      <c r="N295" s="674" t="n"/>
      <c r="O295" s="1052" t="n"/>
      <c r="P295" s="1052" t="n"/>
      <c r="Q295" s="674" t="n"/>
      <c r="R295" s="1052" t="n"/>
      <c r="S295" s="1052" t="n"/>
      <c r="T295" s="674" t="n"/>
      <c r="U295" s="1052" t="n"/>
      <c r="V295" s="1052" t="n"/>
      <c r="W295" s="674" t="n"/>
      <c r="X295" s="1052" t="n"/>
      <c r="Y295" s="1052" t="n"/>
      <c r="Z295" s="674" t="n"/>
      <c r="AA295" s="1052" t="n"/>
      <c r="AB295" s="1052" t="n"/>
    </row>
    <row r="296" customFormat="1" s="220">
      <c r="A296" s="1051" t="n"/>
      <c r="B296" s="674" t="n"/>
      <c r="C296" s="1052" t="n"/>
      <c r="D296" s="1052" t="n"/>
      <c r="E296" s="674" t="n"/>
      <c r="F296" s="1052" t="n"/>
      <c r="G296" s="1052" t="n"/>
      <c r="H296" s="674" t="n"/>
      <c r="I296" s="1052" t="n"/>
      <c r="J296" s="1052" t="n"/>
      <c r="K296" s="674" t="n"/>
      <c r="L296" s="1052" t="n"/>
      <c r="M296" s="1052" t="n"/>
      <c r="N296" s="674" t="n"/>
      <c r="O296" s="1052" t="n"/>
      <c r="P296" s="1052" t="n"/>
      <c r="Q296" s="674" t="n"/>
      <c r="R296" s="1052" t="n"/>
      <c r="S296" s="1052" t="n"/>
      <c r="T296" s="674" t="n"/>
      <c r="U296" s="1052" t="n"/>
      <c r="V296" s="1052" t="n"/>
      <c r="W296" s="674" t="n"/>
      <c r="X296" s="1052" t="n"/>
      <c r="Y296" s="1052" t="n"/>
      <c r="Z296" s="674" t="n"/>
      <c r="AA296" s="1052" t="n"/>
      <c r="AB296" s="1052" t="n"/>
    </row>
    <row r="297" customFormat="1" s="220">
      <c r="A297" s="1051" t="n"/>
      <c r="B297" s="674" t="n"/>
      <c r="C297" s="1052" t="n"/>
      <c r="D297" s="1052" t="n"/>
      <c r="E297" s="674" t="n"/>
      <c r="F297" s="1052" t="n"/>
      <c r="G297" s="1052" t="n"/>
      <c r="H297" s="674" t="n"/>
      <c r="I297" s="1052" t="n"/>
      <c r="J297" s="1052" t="n"/>
      <c r="K297" s="674" t="n"/>
      <c r="L297" s="1052" t="n"/>
      <c r="M297" s="1052" t="n"/>
      <c r="N297" s="674" t="n"/>
      <c r="O297" s="1052" t="n"/>
      <c r="P297" s="1052" t="n"/>
      <c r="Q297" s="674" t="n"/>
      <c r="R297" s="1052" t="n"/>
      <c r="S297" s="1052" t="n"/>
      <c r="T297" s="674" t="n"/>
      <c r="U297" s="1052" t="n"/>
      <c r="V297" s="1052" t="n"/>
      <c r="W297" s="674" t="n"/>
      <c r="X297" s="1052" t="n"/>
      <c r="Y297" s="1052" t="n"/>
      <c r="Z297" s="674" t="n"/>
      <c r="AA297" s="1052" t="n"/>
      <c r="AB297" s="1052" t="n"/>
    </row>
    <row r="298" customFormat="1" s="220">
      <c r="A298" s="1051" t="n"/>
      <c r="B298" s="674" t="n"/>
      <c r="C298" s="1052" t="n"/>
      <c r="D298" s="1052" t="n"/>
      <c r="E298" s="674" t="n"/>
      <c r="F298" s="1052" t="n"/>
      <c r="G298" s="1052" t="n"/>
      <c r="H298" s="674" t="n"/>
      <c r="I298" s="1052" t="n"/>
      <c r="J298" s="1052" t="n"/>
      <c r="K298" s="674" t="n"/>
      <c r="L298" s="1052" t="n"/>
      <c r="M298" s="1052" t="n"/>
      <c r="N298" s="674" t="n"/>
      <c r="O298" s="1052" t="n"/>
      <c r="P298" s="1052" t="n"/>
      <c r="Q298" s="674" t="n"/>
      <c r="R298" s="1052" t="n"/>
      <c r="S298" s="1052" t="n"/>
      <c r="T298" s="674" t="n"/>
      <c r="U298" s="1052" t="n"/>
      <c r="V298" s="1052" t="n"/>
      <c r="W298" s="674" t="n"/>
      <c r="X298" s="1052" t="n"/>
      <c r="Y298" s="1052" t="n"/>
      <c r="Z298" s="674" t="n"/>
      <c r="AA298" s="1052" t="n"/>
      <c r="AB298" s="1052" t="n"/>
    </row>
    <row r="299" customFormat="1" s="220">
      <c r="A299" s="1051" t="n"/>
      <c r="B299" s="674" t="n"/>
      <c r="C299" s="1052" t="n"/>
      <c r="D299" s="1052" t="n"/>
      <c r="E299" s="674" t="n"/>
      <c r="F299" s="1052" t="n"/>
      <c r="G299" s="1052" t="n"/>
      <c r="H299" s="674" t="n"/>
      <c r="I299" s="1052" t="n"/>
      <c r="J299" s="1052" t="n"/>
      <c r="K299" s="674" t="n"/>
      <c r="L299" s="1052" t="n"/>
      <c r="M299" s="1052" t="n"/>
      <c r="N299" s="674" t="n"/>
      <c r="O299" s="1052" t="n"/>
      <c r="P299" s="1052" t="n"/>
      <c r="Q299" s="674" t="n"/>
      <c r="R299" s="1052" t="n"/>
      <c r="S299" s="1052" t="n"/>
      <c r="T299" s="674" t="n"/>
      <c r="U299" s="1052" t="n"/>
      <c r="V299" s="1052" t="n"/>
      <c r="W299" s="674" t="n"/>
      <c r="X299" s="1052" t="n"/>
      <c r="Y299" s="1052" t="n"/>
      <c r="Z299" s="674" t="n"/>
      <c r="AA299" s="1052" t="n"/>
      <c r="AB299" s="1052" t="n"/>
    </row>
    <row r="300" ht="13" customFormat="1" customHeight="1" s="225">
      <c r="A300" s="672" t="n"/>
      <c r="B300" s="672" t="n"/>
      <c r="C300" s="672" t="n"/>
      <c r="D300" s="672" t="n"/>
      <c r="E300" s="672" t="n"/>
      <c r="F300" s="672" t="n"/>
      <c r="G300" s="672" t="n"/>
      <c r="H300" s="672" t="n"/>
      <c r="I300" s="672" t="n"/>
      <c r="J300" s="672" t="n"/>
      <c r="K300" s="672" t="n"/>
      <c r="L300" s="672" t="n"/>
      <c r="M300" s="672" t="n"/>
      <c r="N300" s="672" t="n"/>
      <c r="O300" s="672" t="n"/>
      <c r="P300" s="672" t="n"/>
      <c r="Q300" s="672" t="n"/>
      <c r="R300" s="672" t="n"/>
      <c r="S300" s="672" t="n"/>
      <c r="T300" s="672" t="n"/>
      <c r="U300" s="672" t="n"/>
      <c r="V300" s="672" t="n"/>
      <c r="W300" s="672" t="n"/>
      <c r="X300" s="672" t="n"/>
      <c r="Y300" s="672" t="n"/>
      <c r="Z300" s="672" t="n"/>
      <c r="AA300" s="672" t="n"/>
      <c r="AB300" s="672" t="n"/>
    </row>
    <row r="301" customFormat="1" s="220">
      <c r="A301" s="1051" t="n"/>
      <c r="B301" s="674" t="n"/>
      <c r="C301" s="1052" t="n"/>
      <c r="D301" s="1052" t="n"/>
      <c r="E301" s="674" t="n"/>
      <c r="F301" s="1052" t="n"/>
      <c r="G301" s="1052" t="n"/>
      <c r="H301" s="674" t="n"/>
      <c r="I301" s="1052" t="n"/>
      <c r="J301" s="1052" t="n"/>
      <c r="K301" s="674" t="n"/>
      <c r="L301" s="1052" t="n"/>
      <c r="M301" s="1052" t="n"/>
      <c r="N301" s="674" t="n"/>
      <c r="O301" s="1052" t="n"/>
      <c r="P301" s="1052" t="n"/>
      <c r="Q301" s="674" t="n"/>
      <c r="R301" s="1052" t="n"/>
      <c r="S301" s="1052" t="n"/>
      <c r="T301" s="674" t="n"/>
      <c r="U301" s="1052" t="n"/>
      <c r="V301" s="1052" t="n"/>
      <c r="W301" s="674" t="n"/>
      <c r="X301" s="1052" t="n"/>
      <c r="Y301" s="1052" t="n"/>
      <c r="Z301" s="674" t="n"/>
      <c r="AA301" s="1052" t="n"/>
      <c r="AB301" s="1052" t="n"/>
    </row>
    <row r="302" customFormat="1" s="220">
      <c r="A302" s="1051" t="n"/>
      <c r="B302" s="674" t="n"/>
      <c r="C302" s="1052" t="n"/>
      <c r="D302" s="1052" t="n"/>
      <c r="E302" s="674" t="n"/>
      <c r="F302" s="1052" t="n"/>
      <c r="G302" s="1052" t="n"/>
      <c r="H302" s="674" t="n"/>
      <c r="I302" s="1052" t="n"/>
      <c r="J302" s="1052" t="n"/>
      <c r="K302" s="674" t="n"/>
      <c r="L302" s="1052" t="n"/>
      <c r="M302" s="1052" t="n"/>
      <c r="N302" s="674" t="n"/>
      <c r="O302" s="1052" t="n"/>
      <c r="P302" s="1052" t="n"/>
      <c r="Q302" s="674" t="n"/>
      <c r="R302" s="1052" t="n"/>
      <c r="S302" s="1052" t="n"/>
      <c r="T302" s="674" t="n"/>
      <c r="U302" s="1052" t="n"/>
      <c r="V302" s="1052" t="n"/>
      <c r="W302" s="674" t="n"/>
      <c r="X302" s="1052" t="n"/>
      <c r="Y302" s="1052" t="n"/>
      <c r="Z302" s="674" t="n"/>
      <c r="AA302" s="1052" t="n"/>
      <c r="AB302" s="1052" t="n"/>
    </row>
    <row r="303" customFormat="1" s="220">
      <c r="A303" s="1051" t="n"/>
      <c r="B303" s="674" t="n"/>
      <c r="C303" s="1052" t="n"/>
      <c r="D303" s="1052" t="n"/>
      <c r="E303" s="674" t="n"/>
      <c r="F303" s="1052" t="n"/>
      <c r="G303" s="1052" t="n"/>
      <c r="H303" s="674" t="n"/>
      <c r="I303" s="1052" t="n"/>
      <c r="J303" s="1052" t="n"/>
      <c r="K303" s="674" t="n"/>
      <c r="L303" s="1052" t="n"/>
      <c r="M303" s="1052" t="n"/>
      <c r="N303" s="674" t="n"/>
      <c r="O303" s="1052" t="n"/>
      <c r="P303" s="1052" t="n"/>
      <c r="Q303" s="674" t="n"/>
      <c r="R303" s="1052" t="n"/>
      <c r="S303" s="1052" t="n"/>
      <c r="T303" s="674" t="n"/>
      <c r="U303" s="1052" t="n"/>
      <c r="V303" s="1052" t="n"/>
      <c r="W303" s="674" t="n"/>
      <c r="X303" s="1052" t="n"/>
      <c r="Y303" s="1052" t="n"/>
      <c r="Z303" s="674" t="n"/>
      <c r="AA303" s="1052" t="n"/>
      <c r="AB303" s="1052" t="n"/>
    </row>
    <row r="304" ht="13" customFormat="1" customHeight="1" s="225">
      <c r="A304" s="672" t="n"/>
      <c r="B304" s="672" t="n"/>
      <c r="C304" s="672" t="n"/>
      <c r="D304" s="672" t="n"/>
      <c r="E304" s="672" t="n"/>
      <c r="F304" s="672" t="n"/>
      <c r="G304" s="672" t="n"/>
      <c r="H304" s="672" t="n"/>
      <c r="I304" s="672" t="n"/>
      <c r="J304" s="672" t="n"/>
      <c r="K304" s="672" t="n"/>
      <c r="L304" s="672" t="n"/>
      <c r="M304" s="672" t="n"/>
      <c r="N304" s="672" t="n"/>
      <c r="O304" s="672" t="n"/>
      <c r="P304" s="672" t="n"/>
      <c r="Q304" s="672" t="n"/>
      <c r="R304" s="672" t="n"/>
      <c r="S304" s="672" t="n"/>
      <c r="T304" s="672" t="n"/>
      <c r="U304" s="672" t="n"/>
      <c r="V304" s="672" t="n"/>
      <c r="W304" s="672" t="n"/>
      <c r="X304" s="672" t="n"/>
      <c r="Y304" s="672" t="n"/>
      <c r="Z304" s="672" t="n"/>
      <c r="AA304" s="672" t="n"/>
      <c r="AB304" s="672" t="n"/>
    </row>
    <row r="305" ht="13" customFormat="1" customHeight="1" s="225">
      <c r="A305" s="672" t="n"/>
      <c r="B305" s="672" t="n"/>
      <c r="C305" s="672" t="n"/>
      <c r="D305" s="672" t="n"/>
      <c r="E305" s="672" t="n"/>
      <c r="F305" s="672" t="n"/>
      <c r="G305" s="672" t="n"/>
      <c r="H305" s="672" t="n"/>
      <c r="I305" s="672" t="n"/>
      <c r="J305" s="672" t="n"/>
      <c r="K305" s="672" t="n"/>
      <c r="L305" s="672" t="n"/>
      <c r="M305" s="672" t="n"/>
      <c r="N305" s="672" t="n"/>
      <c r="O305" s="672" t="n"/>
      <c r="P305" s="672" t="n"/>
      <c r="Q305" s="672" t="n"/>
      <c r="R305" s="672" t="n"/>
      <c r="S305" s="672" t="n"/>
      <c r="T305" s="672" t="n"/>
      <c r="U305" s="672" t="n"/>
      <c r="V305" s="672" t="n"/>
      <c r="W305" s="672" t="n"/>
      <c r="X305" s="672" t="n"/>
      <c r="Y305" s="672" t="n"/>
      <c r="Z305" s="672" t="n"/>
      <c r="AA305" s="672" t="n"/>
      <c r="AB305" s="672" t="n"/>
    </row>
    <row r="306" ht="13" customFormat="1" customHeight="1" s="225">
      <c r="A306" s="672" t="n"/>
      <c r="B306" s="672" t="n"/>
      <c r="C306" s="672" t="n"/>
      <c r="D306" s="672" t="n"/>
      <c r="E306" s="672" t="n"/>
      <c r="F306" s="672" t="n"/>
      <c r="G306" s="672" t="n"/>
      <c r="H306" s="672" t="n"/>
      <c r="I306" s="672" t="n"/>
      <c r="J306" s="672" t="n"/>
      <c r="K306" s="672" t="n"/>
      <c r="L306" s="672" t="n"/>
      <c r="M306" s="672" t="n"/>
      <c r="N306" s="672" t="n"/>
      <c r="O306" s="672" t="n"/>
      <c r="P306" s="672" t="n"/>
      <c r="Q306" s="672" t="n"/>
      <c r="R306" s="672" t="n"/>
      <c r="S306" s="672" t="n"/>
      <c r="T306" s="672" t="n"/>
      <c r="U306" s="672" t="n"/>
      <c r="V306" s="672" t="n"/>
      <c r="W306" s="672" t="n"/>
      <c r="X306" s="672" t="n"/>
      <c r="Y306" s="672" t="n"/>
      <c r="Z306" s="672" t="n"/>
      <c r="AA306" s="672" t="n"/>
      <c r="AB306" s="672" t="n"/>
    </row>
    <row r="307" ht="13" customFormat="1" customHeight="1" s="225">
      <c r="A307" s="672" t="n"/>
      <c r="B307" s="672" t="n"/>
      <c r="C307" s="672" t="n"/>
      <c r="D307" s="672" t="n"/>
      <c r="E307" s="672" t="n"/>
      <c r="F307" s="672" t="n"/>
      <c r="G307" s="672" t="n"/>
      <c r="H307" s="672" t="n"/>
      <c r="I307" s="672" t="n"/>
      <c r="J307" s="672" t="n"/>
      <c r="K307" s="672" t="n"/>
      <c r="L307" s="672" t="n"/>
      <c r="M307" s="672" t="n"/>
      <c r="N307" s="672" t="n"/>
      <c r="O307" s="672" t="n"/>
      <c r="P307" s="672" t="n"/>
      <c r="Q307" s="672" t="n"/>
      <c r="R307" s="672" t="n"/>
      <c r="S307" s="672" t="n"/>
      <c r="T307" s="672" t="n"/>
      <c r="U307" s="672" t="n"/>
      <c r="V307" s="672" t="n"/>
      <c r="W307" s="672" t="n"/>
      <c r="X307" s="672" t="n"/>
      <c r="Y307" s="672" t="n"/>
      <c r="Z307" s="672" t="n"/>
      <c r="AA307" s="672" t="n"/>
      <c r="AB307" s="672" t="n"/>
    </row>
    <row r="308" ht="13" customFormat="1" customHeight="1" s="225">
      <c r="A308" s="672" t="n"/>
      <c r="B308" s="672" t="n"/>
      <c r="C308" s="672" t="n"/>
      <c r="D308" s="672" t="n"/>
      <c r="E308" s="672" t="n"/>
      <c r="F308" s="672" t="n"/>
      <c r="G308" s="672" t="n"/>
      <c r="H308" s="672" t="n"/>
      <c r="I308" s="672" t="n"/>
      <c r="J308" s="672" t="n"/>
      <c r="K308" s="672" t="n"/>
      <c r="L308" s="672" t="n"/>
      <c r="M308" s="672" t="n"/>
      <c r="N308" s="672" t="n"/>
      <c r="O308" s="672" t="n"/>
      <c r="P308" s="672" t="n"/>
      <c r="Q308" s="672" t="n"/>
      <c r="R308" s="672" t="n"/>
      <c r="S308" s="672" t="n"/>
      <c r="T308" s="672" t="n"/>
      <c r="U308" s="672" t="n"/>
      <c r="V308" s="672" t="n"/>
      <c r="W308" s="672" t="n"/>
      <c r="X308" s="672" t="n"/>
      <c r="Y308" s="672" t="n"/>
      <c r="Z308" s="672" t="n"/>
      <c r="AA308" s="672" t="n"/>
      <c r="AB308" s="672" t="n"/>
    </row>
    <row r="309" ht="13" customFormat="1" customHeight="1" s="225">
      <c r="A309" s="672" t="n"/>
      <c r="B309" s="672" t="n"/>
      <c r="C309" s="672" t="n"/>
      <c r="D309" s="672" t="n"/>
      <c r="E309" s="672" t="n"/>
      <c r="F309" s="672" t="n"/>
      <c r="G309" s="672" t="n"/>
      <c r="H309" s="672" t="n"/>
      <c r="I309" s="672" t="n"/>
      <c r="J309" s="672" t="n"/>
      <c r="K309" s="672" t="n"/>
      <c r="L309" s="672" t="n"/>
      <c r="M309" s="672" t="n"/>
      <c r="N309" s="672" t="n"/>
      <c r="O309" s="672" t="n"/>
      <c r="P309" s="672" t="n"/>
      <c r="Q309" s="672" t="n"/>
      <c r="R309" s="672" t="n"/>
      <c r="S309" s="672" t="n"/>
      <c r="T309" s="672" t="n"/>
      <c r="U309" s="672" t="n"/>
      <c r="V309" s="672" t="n"/>
      <c r="W309" s="672" t="n"/>
      <c r="X309" s="672" t="n"/>
      <c r="Y309" s="672" t="n"/>
      <c r="Z309" s="672" t="n"/>
      <c r="AA309" s="672" t="n"/>
      <c r="AB309" s="672" t="n"/>
    </row>
    <row r="310" ht="13" customFormat="1" customHeight="1" s="225">
      <c r="A310" s="672" t="n"/>
      <c r="B310" s="672" t="n"/>
      <c r="C310" s="672" t="n"/>
      <c r="D310" s="672" t="n"/>
      <c r="E310" s="672" t="n"/>
      <c r="F310" s="672" t="n"/>
      <c r="G310" s="672" t="n"/>
      <c r="H310" s="672" t="n"/>
      <c r="I310" s="672" t="n"/>
      <c r="J310" s="672" t="n"/>
      <c r="K310" s="672" t="n"/>
      <c r="L310" s="672" t="n"/>
      <c r="M310" s="672" t="n"/>
      <c r="N310" s="672" t="n"/>
      <c r="O310" s="672" t="n"/>
      <c r="P310" s="672" t="n"/>
      <c r="Q310" s="672" t="n"/>
      <c r="R310" s="672" t="n"/>
      <c r="S310" s="672" t="n"/>
      <c r="T310" s="672" t="n"/>
      <c r="U310" s="672" t="n"/>
      <c r="V310" s="672" t="n"/>
      <c r="W310" s="672" t="n"/>
      <c r="X310" s="672" t="n"/>
      <c r="Y310" s="672" t="n"/>
      <c r="Z310" s="672" t="n"/>
      <c r="AA310" s="672" t="n"/>
      <c r="AB310" s="672" t="n"/>
    </row>
    <row r="311" ht="13" customFormat="1" customHeight="1" s="225">
      <c r="A311" s="672" t="n"/>
      <c r="B311" s="672" t="n"/>
      <c r="C311" s="672" t="n"/>
      <c r="D311" s="672" t="n"/>
      <c r="E311" s="672" t="n"/>
      <c r="F311" s="672" t="n"/>
      <c r="G311" s="672" t="n"/>
      <c r="H311" s="672" t="n"/>
      <c r="I311" s="672" t="n"/>
      <c r="J311" s="672" t="n"/>
      <c r="K311" s="672" t="n"/>
      <c r="L311" s="672" t="n"/>
      <c r="M311" s="672" t="n"/>
      <c r="N311" s="672" t="n"/>
      <c r="O311" s="672" t="n"/>
      <c r="P311" s="672" t="n"/>
      <c r="Q311" s="672" t="n"/>
      <c r="R311" s="672" t="n"/>
      <c r="S311" s="672" t="n"/>
      <c r="T311" s="672" t="n"/>
      <c r="U311" s="672" t="n"/>
      <c r="V311" s="672" t="n"/>
      <c r="W311" s="672" t="n"/>
      <c r="X311" s="672" t="n"/>
      <c r="Y311" s="672" t="n"/>
      <c r="Z311" s="672" t="n"/>
      <c r="AA311" s="672" t="n"/>
      <c r="AB311" s="672" t="n"/>
    </row>
    <row r="312" ht="13" customFormat="1" customHeight="1" s="225">
      <c r="A312" s="672" t="n"/>
      <c r="B312" s="672" t="n"/>
      <c r="C312" s="672" t="n"/>
      <c r="D312" s="672" t="n"/>
      <c r="E312" s="672" t="n"/>
      <c r="F312" s="672" t="n"/>
      <c r="G312" s="672" t="n"/>
      <c r="H312" s="672" t="n"/>
      <c r="I312" s="672" t="n"/>
      <c r="J312" s="672" t="n"/>
      <c r="K312" s="672" t="n"/>
      <c r="L312" s="672" t="n"/>
      <c r="M312" s="672" t="n"/>
      <c r="N312" s="672" t="n"/>
      <c r="O312" s="672" t="n"/>
      <c r="P312" s="672" t="n"/>
      <c r="Q312" s="672" t="n"/>
      <c r="R312" s="672" t="n"/>
      <c r="S312" s="672" t="n"/>
      <c r="T312" s="672" t="n"/>
      <c r="U312" s="672" t="n"/>
      <c r="V312" s="672" t="n"/>
      <c r="W312" s="672" t="n"/>
      <c r="X312" s="672" t="n"/>
      <c r="Y312" s="672" t="n"/>
      <c r="Z312" s="672" t="n"/>
      <c r="AA312" s="672" t="n"/>
      <c r="AB312" s="672" t="n"/>
    </row>
    <row r="313" ht="13" customFormat="1" customHeight="1" s="225">
      <c r="A313" s="672" t="n"/>
      <c r="B313" s="672" t="n"/>
      <c r="C313" s="672" t="n"/>
      <c r="D313" s="672" t="n"/>
      <c r="E313" s="672" t="n"/>
      <c r="F313" s="672" t="n"/>
      <c r="G313" s="672" t="n"/>
      <c r="H313" s="672" t="n"/>
      <c r="I313" s="672" t="n"/>
      <c r="J313" s="672" t="n"/>
      <c r="K313" s="672" t="n"/>
      <c r="L313" s="672" t="n"/>
      <c r="M313" s="672" t="n"/>
      <c r="N313" s="672" t="n"/>
      <c r="O313" s="672" t="n"/>
      <c r="P313" s="672" t="n"/>
      <c r="Q313" s="672" t="n"/>
      <c r="R313" s="672" t="n"/>
      <c r="S313" s="672" t="n"/>
      <c r="T313" s="672" t="n"/>
      <c r="U313" s="672" t="n"/>
      <c r="V313" s="672" t="n"/>
      <c r="W313" s="672" t="n"/>
      <c r="X313" s="672" t="n"/>
      <c r="Y313" s="672" t="n"/>
      <c r="Z313" s="672" t="n"/>
      <c r="AA313" s="672" t="n"/>
      <c r="AB313" s="672" t="n"/>
    </row>
    <row r="314" ht="13" customFormat="1" customHeight="1" s="225">
      <c r="A314" s="672" t="n"/>
      <c r="B314" s="672" t="n"/>
      <c r="C314" s="672" t="n"/>
      <c r="D314" s="672" t="n"/>
      <c r="E314" s="672" t="n"/>
      <c r="F314" s="672" t="n"/>
      <c r="G314" s="672" t="n"/>
      <c r="H314" s="672" t="n"/>
      <c r="I314" s="672" t="n"/>
      <c r="J314" s="672" t="n"/>
      <c r="K314" s="672" t="n"/>
      <c r="L314" s="672" t="n"/>
      <c r="M314" s="672" t="n"/>
      <c r="N314" s="672" t="n"/>
      <c r="O314" s="672" t="n"/>
      <c r="P314" s="672" t="n"/>
      <c r="Q314" s="672" t="n"/>
      <c r="R314" s="672" t="n"/>
      <c r="S314" s="672" t="n"/>
      <c r="T314" s="672" t="n"/>
      <c r="U314" s="672" t="n"/>
      <c r="V314" s="672" t="n"/>
      <c r="W314" s="672" t="n"/>
      <c r="X314" s="672" t="n"/>
      <c r="Y314" s="672" t="n"/>
      <c r="Z314" s="672" t="n"/>
      <c r="AA314" s="672" t="n"/>
      <c r="AB314" s="672" t="n"/>
    </row>
    <row r="315" ht="13" customFormat="1" customHeight="1" s="220">
      <c r="A315" s="672" t="n"/>
      <c r="B315" s="672" t="n"/>
      <c r="C315" s="672" t="n"/>
      <c r="D315" s="672" t="n"/>
      <c r="E315" s="672" t="n"/>
      <c r="F315" s="672" t="n"/>
      <c r="G315" s="672" t="n"/>
      <c r="H315" s="672" t="n"/>
      <c r="I315" s="672" t="n"/>
      <c r="J315" s="672" t="n"/>
      <c r="K315" s="672" t="n"/>
      <c r="L315" s="672" t="n"/>
      <c r="M315" s="672" t="n"/>
      <c r="N315" s="672" t="n"/>
      <c r="O315" s="672" t="n"/>
      <c r="P315" s="672" t="n"/>
      <c r="Q315" s="672" t="n"/>
      <c r="R315" s="672" t="n"/>
      <c r="S315" s="672" t="n"/>
      <c r="T315" s="672" t="n"/>
      <c r="U315" s="672" t="n"/>
      <c r="V315" s="672" t="n"/>
      <c r="W315" s="672" t="n"/>
      <c r="X315" s="672" t="n"/>
      <c r="Y315" s="672" t="n"/>
      <c r="Z315" s="672" t="n"/>
      <c r="AA315" s="672" t="n"/>
      <c r="AB315" s="672" t="n"/>
    </row>
    <row r="316" ht="13" customFormat="1" customHeight="1" s="225">
      <c r="A316" s="672" t="n"/>
      <c r="B316" s="672" t="n"/>
      <c r="C316" s="672" t="n"/>
      <c r="D316" s="672" t="n"/>
      <c r="E316" s="672" t="n"/>
      <c r="F316" s="672" t="n"/>
      <c r="G316" s="672" t="n"/>
      <c r="H316" s="672" t="n"/>
      <c r="I316" s="672" t="n"/>
      <c r="J316" s="672" t="n"/>
      <c r="K316" s="672" t="n"/>
      <c r="L316" s="672" t="n"/>
      <c r="M316" s="672" t="n"/>
      <c r="N316" s="672" t="n"/>
      <c r="O316" s="672" t="n"/>
      <c r="P316" s="672" t="n"/>
      <c r="Q316" s="672" t="n"/>
      <c r="R316" s="672" t="n"/>
      <c r="S316" s="672" t="n"/>
      <c r="T316" s="672" t="n"/>
      <c r="U316" s="672" t="n"/>
      <c r="V316" s="672" t="n"/>
      <c r="W316" s="672" t="n"/>
      <c r="X316" s="672" t="n"/>
      <c r="Y316" s="672" t="n"/>
      <c r="Z316" s="672" t="n"/>
      <c r="AA316" s="672" t="n"/>
      <c r="AB316" s="672" t="n"/>
    </row>
    <row r="317" ht="13" customFormat="1" customHeight="1" s="225">
      <c r="A317" s="672" t="n"/>
      <c r="B317" s="672" t="n"/>
      <c r="C317" s="672" t="n"/>
      <c r="D317" s="672" t="n"/>
      <c r="E317" s="672" t="n"/>
      <c r="F317" s="672" t="n"/>
      <c r="G317" s="672" t="n"/>
      <c r="H317" s="672" t="n"/>
      <c r="I317" s="672" t="n"/>
      <c r="J317" s="672" t="n"/>
      <c r="K317" s="672" t="n"/>
      <c r="L317" s="672" t="n"/>
      <c r="M317" s="672" t="n"/>
      <c r="N317" s="672" t="n"/>
      <c r="O317" s="672" t="n"/>
      <c r="P317" s="672" t="n"/>
      <c r="Q317" s="672" t="n"/>
      <c r="R317" s="672" t="n"/>
      <c r="S317" s="672" t="n"/>
      <c r="T317" s="672" t="n"/>
      <c r="U317" s="672" t="n"/>
      <c r="V317" s="672" t="n"/>
      <c r="W317" s="672" t="n"/>
      <c r="X317" s="672" t="n"/>
      <c r="Y317" s="672" t="n"/>
      <c r="Z317" s="672" t="n"/>
      <c r="AA317" s="672" t="n"/>
      <c r="AB317" s="672" t="n"/>
    </row>
    <row r="318" ht="13" customFormat="1" customHeight="1" s="225">
      <c r="A318" s="1051" t="n"/>
      <c r="B318" s="674" t="n"/>
      <c r="C318" s="1052" t="n"/>
      <c r="D318" s="1052" t="n"/>
      <c r="E318" s="674" t="n"/>
      <c r="F318" s="1052" t="n"/>
      <c r="G318" s="1052" t="n"/>
      <c r="H318" s="674" t="n"/>
      <c r="I318" s="1052" t="n"/>
      <c r="J318" s="1052" t="n"/>
      <c r="K318" s="674" t="n"/>
      <c r="L318" s="1052" t="n"/>
      <c r="M318" s="1052" t="n"/>
      <c r="N318" s="674" t="n"/>
      <c r="O318" s="1052" t="n"/>
      <c r="P318" s="1052" t="n"/>
      <c r="Q318" s="674" t="n"/>
      <c r="R318" s="1052" t="n"/>
      <c r="S318" s="1052" t="n"/>
      <c r="T318" s="674" t="n"/>
      <c r="U318" s="1052" t="n"/>
      <c r="V318" s="1052" t="n"/>
      <c r="W318" s="674" t="n"/>
      <c r="X318" s="1052" t="n"/>
      <c r="Y318" s="1052" t="n"/>
      <c r="Z318" s="674" t="n"/>
      <c r="AA318" s="1052" t="n"/>
      <c r="AB318" s="1052" t="n"/>
    </row>
    <row r="319" ht="13" customFormat="1" customHeight="1" s="225">
      <c r="A319" s="1051" t="n"/>
      <c r="B319" s="674" t="n"/>
      <c r="C319" s="1052" t="n"/>
      <c r="D319" s="1052" t="n"/>
      <c r="E319" s="674" t="n"/>
      <c r="F319" s="1052" t="n"/>
      <c r="G319" s="1052" t="n"/>
      <c r="H319" s="674" t="n"/>
      <c r="I319" s="1052" t="n"/>
      <c r="J319" s="1052" t="n"/>
      <c r="K319" s="674" t="n"/>
      <c r="L319" s="1052" t="n"/>
      <c r="M319" s="1052" t="n"/>
      <c r="N319" s="674" t="n"/>
      <c r="O319" s="1052" t="n"/>
      <c r="P319" s="1052" t="n"/>
      <c r="Q319" s="674" t="n"/>
      <c r="R319" s="1052" t="n"/>
      <c r="S319" s="1052" t="n"/>
      <c r="T319" s="674" t="n"/>
      <c r="U319" s="1052" t="n"/>
      <c r="V319" s="1052" t="n"/>
      <c r="W319" s="674" t="n"/>
      <c r="X319" s="1052" t="n"/>
      <c r="Y319" s="1052" t="n"/>
      <c r="Z319" s="674" t="n"/>
      <c r="AA319" s="1052" t="n"/>
      <c r="AB319" s="1052" t="n"/>
    </row>
    <row r="320" ht="13" customFormat="1" customHeight="1" s="225">
      <c r="A320" s="1051" t="n"/>
      <c r="B320" s="674" t="n"/>
      <c r="C320" s="1052" t="n"/>
      <c r="D320" s="1052" t="n"/>
      <c r="E320" s="674" t="n"/>
      <c r="F320" s="1052" t="n"/>
      <c r="G320" s="1052" t="n"/>
      <c r="H320" s="674" t="n"/>
      <c r="I320" s="1052" t="n"/>
      <c r="J320" s="1052" t="n"/>
      <c r="K320" s="674" t="n"/>
      <c r="L320" s="1052" t="n"/>
      <c r="M320" s="1052" t="n"/>
      <c r="N320" s="674" t="n"/>
      <c r="O320" s="1052" t="n"/>
      <c r="P320" s="1052" t="n"/>
      <c r="Q320" s="674" t="n"/>
      <c r="R320" s="1052" t="n"/>
      <c r="S320" s="1052" t="n"/>
      <c r="T320" s="674" t="n"/>
      <c r="U320" s="1052" t="n"/>
      <c r="V320" s="1052" t="n"/>
      <c r="W320" s="674" t="n"/>
      <c r="X320" s="1052" t="n"/>
      <c r="Y320" s="1052" t="n"/>
      <c r="Z320" s="674" t="n"/>
      <c r="AA320" s="1052" t="n"/>
      <c r="AB320" s="1052" t="n"/>
    </row>
    <row r="321" ht="13" customFormat="1" customHeight="1" s="225">
      <c r="A321" s="1051" t="n"/>
      <c r="B321" s="674" t="n"/>
      <c r="C321" s="1052" t="n"/>
      <c r="D321" s="1052" t="n"/>
      <c r="E321" s="674" t="n"/>
      <c r="F321" s="1052" t="n"/>
      <c r="G321" s="1052" t="n"/>
      <c r="H321" s="674" t="n"/>
      <c r="I321" s="1052" t="n"/>
      <c r="J321" s="1052" t="n"/>
      <c r="K321" s="674" t="n"/>
      <c r="L321" s="1052" t="n"/>
      <c r="M321" s="1052" t="n"/>
      <c r="N321" s="674" t="n"/>
      <c r="O321" s="1052" t="n"/>
      <c r="P321" s="1052" t="n"/>
      <c r="Q321" s="674" t="n"/>
      <c r="R321" s="1052" t="n"/>
      <c r="S321" s="1052" t="n"/>
      <c r="T321" s="674" t="n"/>
      <c r="U321" s="1052" t="n"/>
      <c r="V321" s="1052" t="n"/>
      <c r="W321" s="674" t="n"/>
      <c r="X321" s="1052" t="n"/>
      <c r="Y321" s="1052" t="n"/>
      <c r="Z321" s="674" t="n"/>
      <c r="AA321" s="1052" t="n"/>
      <c r="AB321" s="1052" t="n"/>
    </row>
    <row r="322" ht="13" customFormat="1" customHeight="1" s="225">
      <c r="A322" s="1051" t="n"/>
      <c r="B322" s="674" t="n"/>
      <c r="C322" s="1052" t="n"/>
      <c r="D322" s="1052" t="n"/>
      <c r="E322" s="674" t="n"/>
      <c r="F322" s="1052" t="n"/>
      <c r="G322" s="1052" t="n"/>
      <c r="H322" s="674" t="n"/>
      <c r="I322" s="1052" t="n"/>
      <c r="J322" s="1052" t="n"/>
      <c r="K322" s="674" t="n"/>
      <c r="L322" s="1052" t="n"/>
      <c r="M322" s="1052" t="n"/>
      <c r="N322" s="674" t="n"/>
      <c r="O322" s="1052" t="n"/>
      <c r="P322" s="1052" t="n"/>
      <c r="Q322" s="674" t="n"/>
      <c r="R322" s="1052" t="n"/>
      <c r="S322" s="1052" t="n"/>
      <c r="T322" s="674" t="n"/>
      <c r="U322" s="1052" t="n"/>
      <c r="V322" s="1052" t="n"/>
      <c r="W322" s="674" t="n"/>
      <c r="X322" s="1052" t="n"/>
      <c r="Y322" s="1052" t="n"/>
      <c r="Z322" s="674" t="n"/>
      <c r="AA322" s="1052" t="n"/>
      <c r="AB322" s="1052" t="n"/>
    </row>
    <row r="323" ht="14.5" customHeight="1" s="828">
      <c r="A323" s="1051" t="n"/>
      <c r="B323" s="674" t="n"/>
      <c r="C323" s="1052" t="n"/>
      <c r="D323" s="1052" t="n"/>
      <c r="E323" s="674" t="n"/>
      <c r="F323" s="1052" t="n"/>
      <c r="G323" s="1052" t="n"/>
      <c r="H323" s="674" t="n"/>
      <c r="I323" s="1052" t="n"/>
      <c r="J323" s="1052" t="n"/>
      <c r="K323" s="674" t="n"/>
      <c r="L323" s="1052" t="n"/>
      <c r="M323" s="1052" t="n"/>
      <c r="N323" s="674" t="n"/>
      <c r="O323" s="1052" t="n"/>
      <c r="P323" s="1052" t="n"/>
      <c r="Q323" s="674" t="n"/>
      <c r="R323" s="1052" t="n"/>
      <c r="S323" s="1052" t="n"/>
      <c r="T323" s="674" t="n"/>
      <c r="U323" s="1052" t="n"/>
      <c r="V323" s="1052" t="n"/>
      <c r="W323" s="674" t="n"/>
      <c r="X323" s="1052" t="n"/>
      <c r="Y323" s="1052" t="n"/>
      <c r="Z323" s="674" t="n"/>
      <c r="AA323" s="1052" t="n"/>
      <c r="AB323" s="1052" t="n"/>
    </row>
    <row r="324" ht="14.5" customFormat="1" customHeight="1" s="922">
      <c r="A324" s="1051" t="n"/>
      <c r="B324" s="674" t="n"/>
      <c r="C324" s="1052" t="n"/>
      <c r="D324" s="1052" t="n"/>
      <c r="E324" s="674" t="n"/>
      <c r="F324" s="1052" t="n"/>
      <c r="G324" s="1052" t="n"/>
      <c r="H324" s="674" t="n"/>
      <c r="I324" s="1052" t="n"/>
      <c r="J324" s="1052" t="n"/>
      <c r="K324" s="674" t="n"/>
      <c r="L324" s="1052" t="n"/>
      <c r="M324" s="1052" t="n"/>
      <c r="N324" s="674" t="n"/>
      <c r="O324" s="1052" t="n"/>
      <c r="P324" s="1052" t="n"/>
      <c r="Q324" s="674" t="n"/>
      <c r="R324" s="1052" t="n"/>
      <c r="S324" s="1052" t="n"/>
      <c r="T324" s="674" t="n"/>
      <c r="U324" s="1052" t="n"/>
      <c r="V324" s="1052" t="n"/>
      <c r="W324" s="674" t="n"/>
      <c r="X324" s="1052" t="n"/>
      <c r="Y324" s="1052" t="n"/>
      <c r="Z324" s="674" t="n"/>
      <c r="AA324" s="1052" t="n"/>
      <c r="AB324" s="1052" t="n"/>
    </row>
    <row r="325" ht="14.5" customHeight="1" s="828">
      <c r="A325" s="1051" t="n"/>
      <c r="B325" s="674" t="n"/>
      <c r="C325" s="1052" t="n"/>
      <c r="D325" s="1052" t="n"/>
      <c r="E325" s="674" t="n"/>
      <c r="F325" s="1052" t="n"/>
      <c r="G325" s="1052" t="n"/>
      <c r="H325" s="674" t="n"/>
      <c r="I325" s="1052" t="n"/>
      <c r="J325" s="1052" t="n"/>
      <c r="K325" s="674" t="n"/>
      <c r="L325" s="1052" t="n"/>
      <c r="M325" s="1052" t="n"/>
      <c r="N325" s="674" t="n"/>
      <c r="O325" s="1052" t="n"/>
      <c r="P325" s="1052" t="n"/>
      <c r="Q325" s="674" t="n"/>
      <c r="R325" s="1052" t="n"/>
      <c r="S325" s="1052" t="n"/>
      <c r="T325" s="674" t="n"/>
      <c r="U325" s="1052" t="n"/>
      <c r="V325" s="1052" t="n"/>
      <c r="W325" s="674" t="n"/>
      <c r="X325" s="1052" t="n"/>
      <c r="Y325" s="1052" t="n"/>
      <c r="Z325" s="674" t="n"/>
      <c r="AA325" s="1052" t="n"/>
      <c r="AB325" s="1052" t="n"/>
    </row>
    <row r="326">
      <c r="A326" s="1051" t="n"/>
      <c r="B326" s="674" t="n"/>
      <c r="C326" s="1052" t="n"/>
      <c r="D326" s="1052" t="n"/>
      <c r="E326" s="674" t="n"/>
      <c r="F326" s="1052" t="n"/>
      <c r="G326" s="1052" t="n"/>
      <c r="H326" s="674" t="n"/>
      <c r="I326" s="1052" t="n"/>
      <c r="J326" s="1052" t="n"/>
      <c r="K326" s="674" t="n"/>
      <c r="L326" s="1052" t="n"/>
      <c r="M326" s="1052" t="n"/>
      <c r="N326" s="674" t="n"/>
      <c r="O326" s="1052" t="n"/>
      <c r="P326" s="1052" t="n"/>
      <c r="Q326" s="674" t="n"/>
      <c r="R326" s="1052" t="n"/>
      <c r="S326" s="1052" t="n"/>
      <c r="T326" s="674" t="n"/>
      <c r="U326" s="1052" t="n"/>
      <c r="V326" s="1052" t="n"/>
      <c r="W326" s="674" t="n"/>
      <c r="X326" s="1052" t="n"/>
      <c r="Y326" s="1052" t="n"/>
      <c r="Z326" s="674" t="n"/>
      <c r="AA326" s="1052" t="n"/>
      <c r="AB326" s="1052" t="n"/>
    </row>
    <row r="327" ht="13" customHeight="1" s="828">
      <c r="A327" s="1053" t="n"/>
      <c r="B327" s="670" t="n"/>
      <c r="C327" s="1054" t="n"/>
      <c r="D327" s="1054" t="n"/>
      <c r="E327" s="670" t="n"/>
      <c r="F327" s="1054" t="n"/>
      <c r="G327" s="1054" t="n"/>
      <c r="H327" s="670" t="n"/>
      <c r="I327" s="1054" t="n"/>
      <c r="J327" s="1054" t="n"/>
      <c r="K327" s="670" t="n"/>
      <c r="L327" s="1054" t="n"/>
      <c r="M327" s="1054" t="n"/>
      <c r="N327" s="670" t="n"/>
      <c r="O327" s="1054" t="n"/>
      <c r="P327" s="1054" t="n"/>
      <c r="Q327" s="670" t="n"/>
      <c r="R327" s="1054" t="n"/>
      <c r="S327" s="1054" t="n"/>
      <c r="T327" s="670" t="n"/>
      <c r="U327" s="1054" t="n"/>
      <c r="V327" s="1054" t="n"/>
      <c r="W327" s="670" t="n"/>
      <c r="X327" s="1054" t="n"/>
      <c r="Y327" s="1054" t="n"/>
      <c r="Z327" s="670" t="n"/>
      <c r="AA327" s="1054" t="n"/>
      <c r="AB327" s="1054" t="n"/>
    </row>
    <row r="328" ht="14.5" customHeight="1" s="828">
      <c r="A328" s="60" t="n"/>
      <c r="B328" s="61" t="n"/>
      <c r="C328" s="59" t="n"/>
      <c r="D328" s="59" t="n"/>
      <c r="E328" s="59" t="n"/>
      <c r="F328" s="59" t="n"/>
      <c r="G328" s="922" t="n"/>
      <c r="I328" s="922" t="n"/>
      <c r="J328" s="922" t="n"/>
      <c r="L328" s="922" t="n"/>
      <c r="M328" s="922" t="n"/>
      <c r="O328" s="922" t="n"/>
      <c r="P328" s="922" t="n"/>
      <c r="R328" s="922" t="n"/>
      <c r="S328" s="922" t="n"/>
      <c r="U328" s="922" t="n"/>
      <c r="V328" s="922" t="n"/>
      <c r="X328" s="922" t="n"/>
      <c r="Y328" s="922" t="n"/>
      <c r="AA328" s="922" t="n"/>
      <c r="AB328" s="922" t="n"/>
    </row>
    <row r="329" ht="14.5" customHeight="1" s="828">
      <c r="A329" s="60" t="n"/>
      <c r="B329" s="58" t="n"/>
      <c r="C329" s="60" t="n"/>
      <c r="D329" s="60" t="n"/>
      <c r="E329" s="60" t="n"/>
      <c r="F329" s="60" t="n"/>
      <c r="G329" s="922" t="n"/>
      <c r="I329" s="922" t="n"/>
      <c r="J329" s="922" t="n"/>
      <c r="L329" s="922" t="n"/>
      <c r="M329" s="922" t="n"/>
      <c r="O329" s="922" t="n"/>
      <c r="P329" s="922" t="n"/>
      <c r="R329" s="922" t="n"/>
      <c r="S329" s="922" t="n"/>
      <c r="U329" s="922" t="n"/>
      <c r="V329" s="922" t="n"/>
      <c r="X329" s="922" t="n"/>
      <c r="Y329" s="922" t="n"/>
      <c r="AA329" s="922" t="n"/>
      <c r="AB329" s="922" t="n"/>
    </row>
    <row r="330" ht="14.5" customHeight="1" s="828">
      <c r="A330" s="60" t="n"/>
      <c r="B330" s="58" t="n"/>
      <c r="C330" s="61" t="n"/>
      <c r="D330" s="61" t="n"/>
      <c r="E330" s="61" t="n"/>
      <c r="F330" s="61" t="n"/>
      <c r="G330" s="922" t="n"/>
      <c r="I330" s="922" t="n"/>
      <c r="J330" s="922" t="n"/>
      <c r="L330" s="922" t="n"/>
      <c r="M330" s="922" t="n"/>
      <c r="O330" s="922" t="n"/>
      <c r="P330" s="922" t="n"/>
      <c r="R330" s="922" t="n"/>
      <c r="S330" s="922" t="n"/>
      <c r="U330" s="922" t="n"/>
      <c r="V330" s="922" t="n"/>
      <c r="X330" s="922" t="n"/>
      <c r="Y330" s="922" t="n"/>
      <c r="AA330" s="922" t="n"/>
      <c r="AB330" s="922" t="n"/>
    </row>
    <row r="331" ht="14.5" customHeight="1" s="828">
      <c r="B331" s="59" t="n"/>
      <c r="C331" s="922" t="n"/>
      <c r="D331" s="62" t="n"/>
      <c r="E331" s="62" t="n"/>
      <c r="F331" s="922" t="n"/>
      <c r="G331" s="922" t="n"/>
      <c r="I331" s="922" t="n"/>
      <c r="J331" s="922" t="n"/>
      <c r="L331" s="922" t="n"/>
      <c r="M331" s="922" t="n"/>
      <c r="O331" s="922" t="n"/>
      <c r="P331" s="922" t="n"/>
      <c r="R331" s="922" t="n"/>
      <c r="S331" s="922" t="n"/>
      <c r="U331" s="922" t="n"/>
      <c r="V331" s="922" t="n"/>
      <c r="X331" s="922" t="n"/>
      <c r="Y331" s="922" t="n"/>
      <c r="AA331" s="922" t="n"/>
      <c r="AB331" s="922" t="n"/>
    </row>
    <row r="332" ht="14.5" customHeight="1" s="828">
      <c r="B332" s="60" t="n"/>
      <c r="C332" s="922" t="n"/>
      <c r="D332" s="58" t="n"/>
      <c r="E332" s="58" t="n"/>
      <c r="F332" s="922" t="n"/>
      <c r="G332" s="922" t="n"/>
      <c r="I332" s="922" t="n"/>
      <c r="J332" s="922" t="n"/>
      <c r="L332" s="922" t="n"/>
      <c r="M332" s="922" t="n"/>
      <c r="O332" s="922" t="n"/>
      <c r="P332" s="922" t="n"/>
      <c r="R332" s="922" t="n"/>
      <c r="S332" s="922" t="n"/>
      <c r="U332" s="922" t="n"/>
      <c r="V332" s="922" t="n"/>
      <c r="X332" s="922" t="n"/>
      <c r="Y332" s="922" t="n"/>
      <c r="AA332" s="922" t="n"/>
      <c r="AB332" s="922" t="n"/>
    </row>
    <row r="333" ht="14.5" customHeight="1" s="828">
      <c r="B333" s="61" t="n"/>
      <c r="C333" s="922" t="n"/>
      <c r="D333" s="922" t="n"/>
      <c r="F333" s="922" t="n"/>
      <c r="G333" s="922" t="n"/>
      <c r="I333" s="922" t="n"/>
      <c r="J333" s="922" t="n"/>
      <c r="L333" s="922" t="n"/>
      <c r="M333" s="922" t="n"/>
      <c r="O333" s="922" t="n"/>
      <c r="P333" s="922" t="n"/>
      <c r="R333" s="922" t="n"/>
      <c r="S333" s="922" t="n"/>
      <c r="U333" s="922" t="n"/>
      <c r="V333" s="922" t="n"/>
      <c r="X333" s="922" t="n"/>
      <c r="Y333" s="922" t="n"/>
      <c r="AA333" s="922" t="n"/>
      <c r="AB333" s="922" t="n"/>
    </row>
    <row r="334" ht="14.5" customHeight="1" s="828">
      <c r="C334" s="922" t="n"/>
      <c r="D334" s="922" t="n"/>
      <c r="F334" s="922" t="n"/>
      <c r="G334" s="922" t="n"/>
      <c r="I334" s="922" t="n"/>
      <c r="J334" s="922" t="n"/>
      <c r="L334" s="922" t="n"/>
      <c r="M334" s="922" t="n"/>
      <c r="O334" s="922" t="n"/>
      <c r="P334" s="922" t="n"/>
      <c r="R334" s="922" t="n"/>
      <c r="S334" s="922" t="n"/>
      <c r="U334" s="922" t="n"/>
      <c r="V334" s="922" t="n"/>
      <c r="X334" s="922" t="n"/>
      <c r="Y334" s="922" t="n"/>
      <c r="AA334" s="922" t="n"/>
      <c r="AB334" s="922" t="n"/>
    </row>
    <row r="335" ht="14.5" customHeight="1" s="828">
      <c r="C335" s="922" t="n"/>
      <c r="D335" s="922" t="n"/>
      <c r="F335" s="922" t="n"/>
      <c r="G335" s="922" t="n"/>
      <c r="I335" s="922" t="n"/>
      <c r="J335" s="922" t="n"/>
      <c r="L335" s="922" t="n"/>
      <c r="M335" s="922" t="n"/>
      <c r="O335" s="922" t="n"/>
      <c r="P335" s="922" t="n"/>
      <c r="R335" s="922" t="n"/>
      <c r="S335" s="922" t="n"/>
      <c r="U335" s="922" t="n"/>
      <c r="V335" s="922" t="n"/>
      <c r="X335" s="922" t="n"/>
      <c r="Y335" s="922" t="n"/>
      <c r="AA335" s="922" t="n"/>
      <c r="AB335" s="922" t="n"/>
    </row>
    <row r="336" ht="14.5" customHeight="1" s="828">
      <c r="C336" s="922" t="n"/>
      <c r="D336" s="922" t="n"/>
      <c r="F336" s="922" t="n"/>
      <c r="G336" s="922" t="n"/>
      <c r="I336" s="922" t="n"/>
      <c r="J336" s="922" t="n"/>
      <c r="L336" s="922" t="n"/>
      <c r="M336" s="922" t="n"/>
      <c r="O336" s="922" t="n"/>
      <c r="P336" s="922" t="n"/>
      <c r="R336" s="922" t="n"/>
      <c r="S336" s="922" t="n"/>
      <c r="U336" s="922" t="n"/>
      <c r="V336" s="922" t="n"/>
      <c r="X336" s="922" t="n"/>
      <c r="Y336" s="922" t="n"/>
      <c r="AA336" s="922" t="n"/>
      <c r="AB336" s="922" t="n"/>
    </row>
    <row r="337" ht="14.5" customHeight="1" s="828">
      <c r="C337" s="922" t="n"/>
      <c r="D337" s="922" t="n"/>
      <c r="F337" s="922" t="n"/>
      <c r="G337" s="922" t="n"/>
      <c r="I337" s="922" t="n"/>
      <c r="J337" s="922" t="n"/>
      <c r="L337" s="922" t="n"/>
      <c r="M337" s="922" t="n"/>
      <c r="O337" s="922" t="n"/>
      <c r="P337" s="922" t="n"/>
      <c r="R337" s="922" t="n"/>
      <c r="S337" s="922" t="n"/>
      <c r="U337" s="922" t="n"/>
      <c r="V337" s="922" t="n"/>
      <c r="X337" s="922" t="n"/>
      <c r="Y337" s="922" t="n"/>
      <c r="AA337" s="922" t="n"/>
      <c r="AB337" s="922" t="n"/>
    </row>
    <row r="338" ht="14.5" customHeight="1" s="828">
      <c r="C338" s="922" t="n"/>
      <c r="D338" s="922" t="n"/>
      <c r="F338" s="922" t="n"/>
      <c r="G338" s="922" t="n"/>
      <c r="I338" s="922" t="n"/>
      <c r="J338" s="922" t="n"/>
      <c r="L338" s="922" t="n"/>
      <c r="M338" s="922" t="n"/>
      <c r="O338" s="922" t="n"/>
      <c r="P338" s="922" t="n"/>
      <c r="R338" s="922" t="n"/>
      <c r="S338" s="922" t="n"/>
      <c r="U338" s="922" t="n"/>
      <c r="V338" s="922" t="n"/>
      <c r="X338" s="922" t="n"/>
      <c r="Y338" s="922" t="n"/>
      <c r="AA338" s="922" t="n"/>
      <c r="AB338" s="922" t="n"/>
    </row>
    <row r="339" ht="14.5" customHeight="1" s="828">
      <c r="C339" s="922" t="n"/>
      <c r="D339" s="922" t="n"/>
      <c r="F339" s="922" t="n"/>
      <c r="G339" s="922" t="n"/>
      <c r="I339" s="922" t="n"/>
      <c r="J339" s="922" t="n"/>
      <c r="L339" s="922" t="n"/>
      <c r="M339" s="922" t="n"/>
      <c r="O339" s="922" t="n"/>
      <c r="P339" s="922" t="n"/>
      <c r="R339" s="922" t="n"/>
      <c r="S339" s="922" t="n"/>
      <c r="U339" s="922" t="n"/>
      <c r="V339" s="922" t="n"/>
      <c r="X339" s="922" t="n"/>
      <c r="Y339" s="922" t="n"/>
      <c r="AA339" s="922" t="n"/>
      <c r="AB339" s="922" t="n"/>
    </row>
    <row r="340" ht="14.5" customHeight="1" s="828">
      <c r="C340" s="922" t="n"/>
      <c r="D340" s="922" t="n"/>
      <c r="F340" s="922" t="n"/>
      <c r="G340" s="922" t="n"/>
      <c r="I340" s="922" t="n"/>
      <c r="J340" s="922" t="n"/>
      <c r="L340" s="922" t="n"/>
      <c r="M340" s="922" t="n"/>
      <c r="O340" s="922" t="n"/>
      <c r="P340" s="922" t="n"/>
      <c r="R340" s="922" t="n"/>
      <c r="S340" s="922" t="n"/>
      <c r="U340" s="922" t="n"/>
      <c r="V340" s="922" t="n"/>
      <c r="X340" s="922" t="n"/>
      <c r="Y340" s="922" t="n"/>
      <c r="AA340" s="922" t="n"/>
      <c r="AB340" s="922" t="n"/>
    </row>
    <row r="341" ht="14.5" customHeight="1" s="828">
      <c r="C341" s="922" t="n"/>
      <c r="D341" s="922" t="n"/>
      <c r="F341" s="922" t="n"/>
      <c r="G341" s="922" t="n"/>
      <c r="I341" s="922" t="n"/>
      <c r="J341" s="922" t="n"/>
      <c r="L341" s="922" t="n"/>
      <c r="M341" s="922" t="n"/>
      <c r="O341" s="922" t="n"/>
      <c r="P341" s="922" t="n"/>
      <c r="R341" s="922" t="n"/>
      <c r="S341" s="922" t="n"/>
      <c r="U341" s="922" t="n"/>
      <c r="V341" s="922" t="n"/>
      <c r="X341" s="922" t="n"/>
      <c r="Y341" s="922" t="n"/>
      <c r="AA341" s="922" t="n"/>
      <c r="AB341" s="922" t="n"/>
    </row>
    <row r="342" ht="14.5" customHeight="1" s="828">
      <c r="C342" s="922" t="n"/>
      <c r="D342" s="922" t="n"/>
      <c r="F342" s="922" t="n"/>
      <c r="G342" s="922" t="n"/>
      <c r="I342" s="922" t="n"/>
      <c r="J342" s="922" t="n"/>
      <c r="L342" s="922" t="n"/>
      <c r="M342" s="922" t="n"/>
      <c r="O342" s="922" t="n"/>
      <c r="P342" s="922" t="n"/>
      <c r="R342" s="922" t="n"/>
      <c r="S342" s="922" t="n"/>
      <c r="U342" s="922" t="n"/>
      <c r="V342" s="922" t="n"/>
      <c r="X342" s="922" t="n"/>
      <c r="Y342" s="922" t="n"/>
      <c r="AA342" s="922" t="n"/>
      <c r="AB342" s="922" t="n"/>
    </row>
    <row r="343" ht="14.5" customHeight="1" s="828">
      <c r="C343" s="922" t="n"/>
      <c r="D343" s="922" t="n"/>
      <c r="F343" s="922" t="n"/>
      <c r="G343" s="922" t="n"/>
      <c r="I343" s="922" t="n"/>
      <c r="J343" s="922" t="n"/>
      <c r="L343" s="922" t="n"/>
      <c r="M343" s="922" t="n"/>
      <c r="O343" s="922" t="n"/>
      <c r="P343" s="922" t="n"/>
      <c r="R343" s="922" t="n"/>
      <c r="S343" s="922" t="n"/>
      <c r="U343" s="922" t="n"/>
      <c r="V343" s="922" t="n"/>
      <c r="X343" s="922" t="n"/>
      <c r="Y343" s="922" t="n"/>
      <c r="AA343" s="922" t="n"/>
      <c r="AB343" s="922" t="n"/>
    </row>
    <row r="344" ht="14.5" customHeight="1" s="828">
      <c r="C344" s="922" t="n"/>
      <c r="D344" s="922" t="n"/>
      <c r="F344" s="922" t="n"/>
      <c r="G344" s="922" t="n"/>
      <c r="I344" s="922" t="n"/>
      <c r="J344" s="922" t="n"/>
      <c r="L344" s="922" t="n"/>
      <c r="M344" s="922" t="n"/>
      <c r="O344" s="922" t="n"/>
      <c r="P344" s="922" t="n"/>
      <c r="R344" s="922" t="n"/>
      <c r="S344" s="922" t="n"/>
      <c r="U344" s="922" t="n"/>
      <c r="V344" s="922" t="n"/>
      <c r="X344" s="922" t="n"/>
      <c r="Y344" s="922" t="n"/>
      <c r="AA344" s="922" t="n"/>
      <c r="AB344" s="922" t="n"/>
    </row>
    <row r="345" ht="14.5" customHeight="1" s="828">
      <c r="C345" s="922" t="n"/>
      <c r="D345" s="922" t="n"/>
      <c r="F345" s="922" t="n"/>
      <c r="G345" s="922" t="n"/>
      <c r="I345" s="922" t="n"/>
      <c r="J345" s="922" t="n"/>
      <c r="L345" s="922" t="n"/>
      <c r="M345" s="922" t="n"/>
      <c r="O345" s="922" t="n"/>
      <c r="P345" s="922" t="n"/>
      <c r="R345" s="922" t="n"/>
      <c r="S345" s="922" t="n"/>
      <c r="U345" s="922" t="n"/>
      <c r="V345" s="922" t="n"/>
      <c r="X345" s="922" t="n"/>
      <c r="Y345" s="922" t="n"/>
      <c r="AA345" s="922" t="n"/>
      <c r="AB345" s="922" t="n"/>
    </row>
    <row r="346" ht="14.5" customHeight="1" s="828">
      <c r="C346" s="922" t="n"/>
      <c r="D346" s="922" t="n"/>
      <c r="F346" s="922" t="n"/>
      <c r="G346" s="922" t="n"/>
      <c r="I346" s="922" t="n"/>
      <c r="J346" s="922" t="n"/>
      <c r="L346" s="922" t="n"/>
      <c r="M346" s="922" t="n"/>
      <c r="O346" s="922" t="n"/>
      <c r="P346" s="922" t="n"/>
      <c r="R346" s="922" t="n"/>
      <c r="S346" s="922" t="n"/>
      <c r="U346" s="922" t="n"/>
      <c r="V346" s="922" t="n"/>
      <c r="X346" s="922" t="n"/>
      <c r="Y346" s="922" t="n"/>
      <c r="AA346" s="922" t="n"/>
      <c r="AB346" s="922" t="n"/>
    </row>
    <row r="347" ht="14.5" customHeight="1" s="828">
      <c r="C347" s="922" t="n"/>
      <c r="D347" s="922" t="n"/>
      <c r="F347" s="922" t="n"/>
      <c r="G347" s="922" t="n"/>
      <c r="I347" s="922" t="n"/>
      <c r="J347" s="922" t="n"/>
      <c r="L347" s="922" t="n"/>
      <c r="M347" s="922" t="n"/>
      <c r="O347" s="922" t="n"/>
      <c r="P347" s="922" t="n"/>
      <c r="R347" s="922" t="n"/>
      <c r="S347" s="922" t="n"/>
      <c r="U347" s="922" t="n"/>
      <c r="V347" s="922" t="n"/>
      <c r="X347" s="922" t="n"/>
      <c r="Y347" s="922" t="n"/>
      <c r="AA347" s="922" t="n"/>
      <c r="AB347" s="922" t="n"/>
    </row>
    <row r="348" ht="14.5" customHeight="1" s="828">
      <c r="C348" s="922" t="n"/>
      <c r="D348" s="922" t="n"/>
      <c r="F348" s="922" t="n"/>
      <c r="G348" s="922" t="n"/>
      <c r="I348" s="922" t="n"/>
      <c r="J348" s="922" t="n"/>
      <c r="L348" s="922" t="n"/>
      <c r="M348" s="922" t="n"/>
      <c r="O348" s="922" t="n"/>
      <c r="P348" s="922" t="n"/>
      <c r="R348" s="922" t="n"/>
      <c r="S348" s="922" t="n"/>
      <c r="U348" s="922" t="n"/>
      <c r="V348" s="922" t="n"/>
      <c r="X348" s="922" t="n"/>
      <c r="Y348" s="922" t="n"/>
      <c r="AA348" s="922" t="n"/>
      <c r="AB348" s="922" t="n"/>
    </row>
    <row r="349" ht="14.5" customHeight="1" s="828">
      <c r="C349" s="922" t="n"/>
      <c r="D349" s="922" t="n"/>
      <c r="F349" s="922" t="n"/>
      <c r="G349" s="922" t="n"/>
      <c r="I349" s="922" t="n"/>
      <c r="J349" s="922" t="n"/>
      <c r="L349" s="922" t="n"/>
      <c r="M349" s="922" t="n"/>
      <c r="O349" s="922" t="n"/>
      <c r="P349" s="922" t="n"/>
      <c r="R349" s="922" t="n"/>
      <c r="S349" s="922" t="n"/>
      <c r="U349" s="922" t="n"/>
      <c r="V349" s="922" t="n"/>
      <c r="X349" s="922" t="n"/>
      <c r="Y349" s="922" t="n"/>
      <c r="AA349" s="922" t="n"/>
      <c r="AB349" s="922" t="n"/>
    </row>
    <row r="350" ht="14.5" customHeight="1" s="828">
      <c r="C350" s="922" t="n"/>
      <c r="D350" s="922" t="n"/>
      <c r="F350" s="922" t="n"/>
      <c r="G350" s="922" t="n"/>
      <c r="I350" s="922" t="n"/>
      <c r="J350" s="922" t="n"/>
      <c r="L350" s="922" t="n"/>
      <c r="M350" s="922" t="n"/>
      <c r="O350" s="922" t="n"/>
      <c r="P350" s="922" t="n"/>
      <c r="R350" s="922" t="n"/>
      <c r="S350" s="922" t="n"/>
      <c r="U350" s="922" t="n"/>
      <c r="V350" s="922" t="n"/>
      <c r="X350" s="922" t="n"/>
      <c r="Y350" s="922" t="n"/>
      <c r="AA350" s="922" t="n"/>
      <c r="AB350" s="922" t="n"/>
    </row>
    <row r="351" ht="14.5" customHeight="1" s="828">
      <c r="C351" s="922" t="n"/>
      <c r="D351" s="922" t="n"/>
      <c r="F351" s="922" t="n"/>
      <c r="G351" s="922" t="n"/>
      <c r="I351" s="922" t="n"/>
      <c r="J351" s="922" t="n"/>
      <c r="L351" s="922" t="n"/>
      <c r="M351" s="922" t="n"/>
      <c r="O351" s="922" t="n"/>
      <c r="P351" s="922" t="n"/>
      <c r="R351" s="922" t="n"/>
      <c r="S351" s="922" t="n"/>
      <c r="U351" s="922" t="n"/>
      <c r="V351" s="922" t="n"/>
      <c r="X351" s="922" t="n"/>
      <c r="Y351" s="922" t="n"/>
      <c r="AA351" s="922" t="n"/>
      <c r="AB351" s="922" t="n"/>
    </row>
    <row r="352" ht="14.5" customHeight="1" s="828">
      <c r="C352" s="922" t="n"/>
      <c r="D352" s="922" t="n"/>
      <c r="F352" s="922" t="n"/>
      <c r="G352" s="922" t="n"/>
      <c r="I352" s="922" t="n"/>
      <c r="J352" s="922" t="n"/>
      <c r="L352" s="922" t="n"/>
      <c r="M352" s="922" t="n"/>
      <c r="O352" s="922" t="n"/>
      <c r="P352" s="922" t="n"/>
      <c r="R352" s="922" t="n"/>
      <c r="S352" s="922" t="n"/>
      <c r="U352" s="922" t="n"/>
      <c r="V352" s="922" t="n"/>
      <c r="X352" s="922" t="n"/>
      <c r="Y352" s="922" t="n"/>
      <c r="AA352" s="922" t="n"/>
      <c r="AB352" s="922" t="n"/>
    </row>
    <row r="353" ht="14.5" customHeight="1" s="828">
      <c r="C353" s="922" t="n"/>
      <c r="D353" s="922" t="n"/>
      <c r="F353" s="922" t="n"/>
      <c r="G353" s="922" t="n"/>
      <c r="I353" s="922" t="n"/>
      <c r="J353" s="922" t="n"/>
      <c r="L353" s="922" t="n"/>
      <c r="M353" s="922" t="n"/>
      <c r="O353" s="922" t="n"/>
      <c r="P353" s="922" t="n"/>
      <c r="R353" s="922" t="n"/>
      <c r="S353" s="922" t="n"/>
      <c r="U353" s="922" t="n"/>
      <c r="V353" s="922" t="n"/>
      <c r="X353" s="922" t="n"/>
      <c r="Y353" s="922" t="n"/>
      <c r="AA353" s="922" t="n"/>
      <c r="AB353" s="922" t="n"/>
    </row>
    <row r="354" ht="14.5" customHeight="1" s="828">
      <c r="C354" s="922" t="n"/>
      <c r="D354" s="922" t="n"/>
      <c r="F354" s="922" t="n"/>
      <c r="G354" s="922" t="n"/>
      <c r="I354" s="922" t="n"/>
      <c r="J354" s="922" t="n"/>
      <c r="L354" s="922" t="n"/>
      <c r="M354" s="922" t="n"/>
      <c r="O354" s="922" t="n"/>
      <c r="P354" s="922" t="n"/>
      <c r="R354" s="922" t="n"/>
      <c r="S354" s="922" t="n"/>
      <c r="U354" s="922" t="n"/>
      <c r="V354" s="922" t="n"/>
      <c r="X354" s="922" t="n"/>
      <c r="Y354" s="922" t="n"/>
      <c r="AA354" s="922" t="n"/>
      <c r="AB354" s="922" t="n"/>
    </row>
    <row r="355" ht="14.5" customHeight="1" s="828">
      <c r="C355" s="922" t="n"/>
      <c r="D355" s="922" t="n"/>
      <c r="F355" s="922" t="n"/>
      <c r="G355" s="922" t="n"/>
      <c r="I355" s="922" t="n"/>
      <c r="J355" s="922" t="n"/>
      <c r="L355" s="922" t="n"/>
      <c r="M355" s="922" t="n"/>
      <c r="O355" s="922" t="n"/>
      <c r="P355" s="922" t="n"/>
      <c r="R355" s="922" t="n"/>
      <c r="S355" s="922" t="n"/>
      <c r="U355" s="922" t="n"/>
      <c r="V355" s="922" t="n"/>
      <c r="X355" s="922" t="n"/>
      <c r="Y355" s="922" t="n"/>
      <c r="AA355" s="922" t="n"/>
      <c r="AB355" s="922" t="n"/>
    </row>
    <row r="356" ht="14.5" customHeight="1" s="828">
      <c r="C356" s="922" t="n"/>
      <c r="D356" s="922" t="n"/>
      <c r="F356" s="922" t="n"/>
      <c r="G356" s="922" t="n"/>
      <c r="I356" s="922" t="n"/>
      <c r="J356" s="922" t="n"/>
      <c r="L356" s="922" t="n"/>
      <c r="M356" s="922" t="n"/>
      <c r="O356" s="922" t="n"/>
      <c r="P356" s="922" t="n"/>
      <c r="R356" s="922" t="n"/>
      <c r="S356" s="922" t="n"/>
      <c r="U356" s="922" t="n"/>
      <c r="V356" s="922" t="n"/>
      <c r="X356" s="922" t="n"/>
      <c r="Y356" s="922" t="n"/>
      <c r="AA356" s="922" t="n"/>
      <c r="AB356" s="922" t="n"/>
    </row>
    <row r="357" ht="14.5" customHeight="1" s="828">
      <c r="C357" s="922" t="n"/>
      <c r="D357" s="922" t="n"/>
      <c r="F357" s="922" t="n"/>
      <c r="G357" s="922" t="n"/>
      <c r="I357" s="922" t="n"/>
      <c r="J357" s="922" t="n"/>
      <c r="L357" s="922" t="n"/>
      <c r="M357" s="922" t="n"/>
      <c r="O357" s="922" t="n"/>
      <c r="P357" s="922" t="n"/>
      <c r="R357" s="922" t="n"/>
      <c r="S357" s="922" t="n"/>
      <c r="U357" s="922" t="n"/>
      <c r="V357" s="922" t="n"/>
      <c r="X357" s="922" t="n"/>
      <c r="Y357" s="922" t="n"/>
      <c r="AA357" s="922" t="n"/>
      <c r="AB357" s="922" t="n"/>
    </row>
    <row r="358" ht="14.5" customHeight="1" s="828">
      <c r="C358" s="922" t="n"/>
      <c r="D358" s="922" t="n"/>
      <c r="F358" s="922" t="n"/>
      <c r="G358" s="922" t="n"/>
      <c r="I358" s="922" t="n"/>
      <c r="J358" s="922" t="n"/>
      <c r="L358" s="922" t="n"/>
      <c r="M358" s="922" t="n"/>
      <c r="O358" s="922" t="n"/>
      <c r="P358" s="922" t="n"/>
      <c r="R358" s="922" t="n"/>
      <c r="S358" s="922" t="n"/>
      <c r="U358" s="922" t="n"/>
      <c r="V358" s="922" t="n"/>
      <c r="X358" s="922" t="n"/>
      <c r="Y358" s="922" t="n"/>
      <c r="AA358" s="922" t="n"/>
      <c r="AB358" s="922" t="n"/>
    </row>
    <row r="359" ht="14.5" customHeight="1" s="828">
      <c r="C359" s="922" t="n"/>
      <c r="D359" s="922" t="n"/>
      <c r="F359" s="922" t="n"/>
      <c r="G359" s="922" t="n"/>
      <c r="I359" s="922" t="n"/>
      <c r="J359" s="922" t="n"/>
      <c r="L359" s="922" t="n"/>
      <c r="M359" s="922" t="n"/>
      <c r="O359" s="922" t="n"/>
      <c r="P359" s="922" t="n"/>
      <c r="R359" s="922" t="n"/>
      <c r="S359" s="922" t="n"/>
      <c r="U359" s="922" t="n"/>
      <c r="V359" s="922" t="n"/>
      <c r="X359" s="922" t="n"/>
      <c r="Y359" s="922" t="n"/>
      <c r="AA359" s="922" t="n"/>
      <c r="AB359" s="922" t="n"/>
    </row>
    <row r="360" ht="14.5" customHeight="1" s="828">
      <c r="C360" s="922" t="n"/>
      <c r="D360" s="922" t="n"/>
      <c r="F360" s="922" t="n"/>
      <c r="G360" s="922" t="n"/>
      <c r="I360" s="922" t="n"/>
      <c r="J360" s="922" t="n"/>
      <c r="L360" s="922" t="n"/>
      <c r="M360" s="922" t="n"/>
      <c r="O360" s="922" t="n"/>
      <c r="P360" s="922" t="n"/>
      <c r="R360" s="922" t="n"/>
      <c r="S360" s="922" t="n"/>
      <c r="U360" s="922" t="n"/>
      <c r="V360" s="922" t="n"/>
      <c r="X360" s="922" t="n"/>
      <c r="Y360" s="922" t="n"/>
      <c r="AA360" s="922" t="n"/>
      <c r="AB360" s="922" t="n"/>
    </row>
    <row r="361" ht="14.5" customHeight="1" s="828">
      <c r="C361" s="922" t="n"/>
      <c r="D361" s="922" t="n"/>
      <c r="F361" s="922" t="n"/>
      <c r="G361" s="922" t="n"/>
      <c r="I361" s="922" t="n"/>
      <c r="J361" s="922" t="n"/>
      <c r="L361" s="922" t="n"/>
      <c r="M361" s="922" t="n"/>
      <c r="O361" s="922" t="n"/>
      <c r="P361" s="922" t="n"/>
      <c r="R361" s="922" t="n"/>
      <c r="S361" s="922" t="n"/>
      <c r="U361" s="922" t="n"/>
      <c r="V361" s="922" t="n"/>
      <c r="X361" s="922" t="n"/>
      <c r="Y361" s="922" t="n"/>
      <c r="AA361" s="922" t="n"/>
      <c r="AB361" s="922" t="n"/>
    </row>
    <row r="362" ht="14.5" customHeight="1" s="828">
      <c r="C362" s="922" t="n"/>
      <c r="D362" s="922" t="n"/>
      <c r="F362" s="922" t="n"/>
      <c r="G362" s="922" t="n"/>
      <c r="I362" s="922" t="n"/>
      <c r="J362" s="922" t="n"/>
      <c r="L362" s="922" t="n"/>
      <c r="M362" s="922" t="n"/>
      <c r="O362" s="922" t="n"/>
      <c r="P362" s="922" t="n"/>
      <c r="R362" s="922" t="n"/>
      <c r="S362" s="922" t="n"/>
      <c r="U362" s="922" t="n"/>
      <c r="V362" s="922" t="n"/>
      <c r="X362" s="922" t="n"/>
      <c r="Y362" s="922" t="n"/>
      <c r="AA362" s="922" t="n"/>
      <c r="AB362" s="922" t="n"/>
    </row>
    <row r="363" ht="14.5" customHeight="1" s="828">
      <c r="C363" s="922" t="n"/>
      <c r="D363" s="922" t="n"/>
      <c r="F363" s="922" t="n"/>
      <c r="G363" s="922" t="n"/>
      <c r="I363" s="922" t="n"/>
      <c r="J363" s="922" t="n"/>
      <c r="L363" s="922" t="n"/>
      <c r="M363" s="922" t="n"/>
      <c r="O363" s="922" t="n"/>
      <c r="P363" s="922" t="n"/>
      <c r="R363" s="922" t="n"/>
      <c r="S363" s="922" t="n"/>
      <c r="U363" s="922" t="n"/>
      <c r="V363" s="922" t="n"/>
      <c r="X363" s="922" t="n"/>
      <c r="Y363" s="922" t="n"/>
      <c r="AA363" s="922" t="n"/>
      <c r="AB363" s="922" t="n"/>
    </row>
    <row r="364" ht="14.5" customHeight="1" s="828">
      <c r="C364" s="922" t="n"/>
      <c r="D364" s="922" t="n"/>
      <c r="F364" s="922" t="n"/>
      <c r="G364" s="922" t="n"/>
      <c r="I364" s="922" t="n"/>
      <c r="J364" s="922" t="n"/>
      <c r="L364" s="922" t="n"/>
      <c r="M364" s="922" t="n"/>
      <c r="O364" s="922" t="n"/>
      <c r="P364" s="922" t="n"/>
      <c r="R364" s="922" t="n"/>
      <c r="S364" s="922" t="n"/>
      <c r="U364" s="922" t="n"/>
      <c r="V364" s="922" t="n"/>
      <c r="X364" s="922" t="n"/>
      <c r="Y364" s="922" t="n"/>
      <c r="AA364" s="922" t="n"/>
      <c r="AB364" s="922" t="n"/>
    </row>
    <row r="365" ht="14.5" customHeight="1" s="828">
      <c r="C365" s="922" t="n"/>
      <c r="D365" s="922" t="n"/>
      <c r="F365" s="922" t="n"/>
      <c r="G365" s="922" t="n"/>
      <c r="I365" s="922" t="n"/>
      <c r="J365" s="922" t="n"/>
      <c r="L365" s="922" t="n"/>
      <c r="M365" s="922" t="n"/>
      <c r="O365" s="922" t="n"/>
      <c r="P365" s="922" t="n"/>
      <c r="R365" s="922" t="n"/>
      <c r="S365" s="922" t="n"/>
      <c r="U365" s="922" t="n"/>
      <c r="V365" s="922" t="n"/>
      <c r="X365" s="922" t="n"/>
      <c r="Y365" s="922" t="n"/>
      <c r="AA365" s="922" t="n"/>
      <c r="AB365" s="922" t="n"/>
    </row>
    <row r="366" ht="14.5" customHeight="1" s="828">
      <c r="C366" s="922" t="n"/>
      <c r="D366" s="922" t="n"/>
      <c r="F366" s="922" t="n"/>
      <c r="G366" s="922" t="n"/>
      <c r="I366" s="922" t="n"/>
      <c r="J366" s="922" t="n"/>
      <c r="L366" s="922" t="n"/>
      <c r="M366" s="922" t="n"/>
      <c r="O366" s="922" t="n"/>
      <c r="P366" s="922" t="n"/>
      <c r="R366" s="922" t="n"/>
      <c r="S366" s="922" t="n"/>
      <c r="U366" s="922" t="n"/>
      <c r="V366" s="922" t="n"/>
      <c r="X366" s="922" t="n"/>
      <c r="Y366" s="922" t="n"/>
      <c r="AA366" s="922" t="n"/>
      <c r="AB366" s="922" t="n"/>
    </row>
    <row r="367" ht="14.5" customHeight="1" s="828">
      <c r="C367" s="922" t="n"/>
      <c r="D367" s="922" t="n"/>
      <c r="F367" s="922" t="n"/>
      <c r="G367" s="922" t="n"/>
      <c r="I367" s="922" t="n"/>
      <c r="J367" s="922" t="n"/>
      <c r="L367" s="922" t="n"/>
      <c r="M367" s="922" t="n"/>
      <c r="O367" s="922" t="n"/>
      <c r="P367" s="922" t="n"/>
      <c r="R367" s="922" t="n"/>
      <c r="S367" s="922" t="n"/>
      <c r="U367" s="922" t="n"/>
      <c r="V367" s="922" t="n"/>
      <c r="X367" s="922" t="n"/>
      <c r="Y367" s="922" t="n"/>
      <c r="AA367" s="922" t="n"/>
      <c r="AB367" s="922" t="n"/>
    </row>
    <row r="368" ht="14.5" customHeight="1" s="828">
      <c r="C368" s="922" t="n"/>
      <c r="D368" s="922" t="n"/>
      <c r="F368" s="922" t="n"/>
      <c r="G368" s="922" t="n"/>
      <c r="I368" s="922" t="n"/>
      <c r="J368" s="922" t="n"/>
      <c r="L368" s="922" t="n"/>
      <c r="M368" s="922" t="n"/>
      <c r="O368" s="922" t="n"/>
      <c r="P368" s="922" t="n"/>
      <c r="R368" s="922" t="n"/>
      <c r="S368" s="922" t="n"/>
      <c r="U368" s="922" t="n"/>
      <c r="V368" s="922" t="n"/>
      <c r="X368" s="922" t="n"/>
      <c r="Y368" s="922" t="n"/>
      <c r="AA368" s="922" t="n"/>
      <c r="AB368" s="922" t="n"/>
    </row>
    <row r="369" ht="14.5" customHeight="1" s="828">
      <c r="C369" s="922" t="n"/>
      <c r="D369" s="922" t="n"/>
      <c r="F369" s="922" t="n"/>
      <c r="G369" s="922" t="n"/>
      <c r="I369" s="922" t="n"/>
      <c r="J369" s="922" t="n"/>
      <c r="L369" s="922" t="n"/>
      <c r="M369" s="922" t="n"/>
      <c r="O369" s="922" t="n"/>
      <c r="P369" s="922" t="n"/>
      <c r="R369" s="922" t="n"/>
      <c r="S369" s="922" t="n"/>
      <c r="U369" s="922" t="n"/>
      <c r="V369" s="922" t="n"/>
      <c r="X369" s="922" t="n"/>
      <c r="Y369" s="922" t="n"/>
      <c r="AA369" s="922" t="n"/>
      <c r="AB369" s="922" t="n"/>
    </row>
    <row r="370" ht="14.5" customHeight="1" s="828">
      <c r="C370" s="922" t="n"/>
      <c r="D370" s="922" t="n"/>
      <c r="F370" s="922" t="n"/>
      <c r="G370" s="922" t="n"/>
      <c r="I370" s="922" t="n"/>
      <c r="J370" s="922" t="n"/>
      <c r="L370" s="922" t="n"/>
      <c r="M370" s="922" t="n"/>
      <c r="O370" s="922" t="n"/>
      <c r="P370" s="922" t="n"/>
      <c r="R370" s="922" t="n"/>
      <c r="S370" s="922" t="n"/>
      <c r="U370" s="922" t="n"/>
      <c r="V370" s="922" t="n"/>
      <c r="X370" s="922" t="n"/>
      <c r="Y370" s="922" t="n"/>
      <c r="AA370" s="922" t="n"/>
      <c r="AB370" s="922" t="n"/>
    </row>
    <row r="371" ht="14.5" customHeight="1" s="828">
      <c r="C371" s="922" t="n"/>
      <c r="D371" s="922" t="n"/>
      <c r="F371" s="922" t="n"/>
      <c r="G371" s="922" t="n"/>
      <c r="I371" s="922" t="n"/>
      <c r="J371" s="922" t="n"/>
      <c r="L371" s="922" t="n"/>
      <c r="M371" s="922" t="n"/>
      <c r="O371" s="922" t="n"/>
      <c r="P371" s="922" t="n"/>
      <c r="R371" s="922" t="n"/>
      <c r="S371" s="922" t="n"/>
      <c r="U371" s="922" t="n"/>
      <c r="V371" s="922" t="n"/>
      <c r="X371" s="922" t="n"/>
      <c r="Y371" s="922" t="n"/>
      <c r="AA371" s="922" t="n"/>
      <c r="AB371" s="922" t="n"/>
    </row>
    <row r="372" ht="14.5" customHeight="1" s="828">
      <c r="C372" s="922" t="n"/>
      <c r="D372" s="922" t="n"/>
      <c r="F372" s="922" t="n"/>
      <c r="G372" s="922" t="n"/>
      <c r="I372" s="922" t="n"/>
      <c r="J372" s="922" t="n"/>
      <c r="L372" s="922" t="n"/>
      <c r="M372" s="922" t="n"/>
      <c r="O372" s="922" t="n"/>
      <c r="P372" s="922" t="n"/>
      <c r="R372" s="922" t="n"/>
      <c r="S372" s="922" t="n"/>
      <c r="U372" s="922" t="n"/>
      <c r="V372" s="922" t="n"/>
      <c r="X372" s="922" t="n"/>
      <c r="Y372" s="922" t="n"/>
      <c r="AA372" s="922" t="n"/>
      <c r="AB372" s="922" t="n"/>
    </row>
    <row r="373" ht="14.5" customHeight="1" s="828">
      <c r="C373" s="922" t="n"/>
      <c r="D373" s="922" t="n"/>
      <c r="F373" s="922" t="n"/>
      <c r="G373" s="922" t="n"/>
      <c r="I373" s="922" t="n"/>
      <c r="J373" s="922" t="n"/>
      <c r="L373" s="922" t="n"/>
      <c r="M373" s="922" t="n"/>
      <c r="O373" s="922" t="n"/>
      <c r="P373" s="922" t="n"/>
      <c r="R373" s="922" t="n"/>
      <c r="S373" s="922" t="n"/>
      <c r="U373" s="922" t="n"/>
      <c r="V373" s="922" t="n"/>
      <c r="X373" s="922" t="n"/>
      <c r="Y373" s="922" t="n"/>
      <c r="AA373" s="922" t="n"/>
      <c r="AB373" s="922" t="n"/>
    </row>
    <row r="374" ht="14.5" customHeight="1" s="828">
      <c r="C374" s="922" t="n"/>
      <c r="D374" s="922" t="n"/>
      <c r="F374" s="922" t="n"/>
      <c r="G374" s="922" t="n"/>
      <c r="I374" s="922" t="n"/>
      <c r="J374" s="922" t="n"/>
      <c r="L374" s="922" t="n"/>
      <c r="M374" s="922" t="n"/>
      <c r="O374" s="922" t="n"/>
      <c r="P374" s="922" t="n"/>
      <c r="R374" s="922" t="n"/>
      <c r="S374" s="922" t="n"/>
      <c r="U374" s="922" t="n"/>
      <c r="V374" s="922" t="n"/>
      <c r="X374" s="922" t="n"/>
      <c r="Y374" s="922" t="n"/>
      <c r="AA374" s="922" t="n"/>
      <c r="AB374" s="922" t="n"/>
    </row>
    <row r="375" ht="14.5" customHeight="1" s="828">
      <c r="C375" s="922" t="n"/>
      <c r="D375" s="922" t="n"/>
      <c r="F375" s="922" t="n"/>
      <c r="G375" s="922" t="n"/>
      <c r="I375" s="922" t="n"/>
      <c r="J375" s="922" t="n"/>
      <c r="L375" s="922" t="n"/>
      <c r="M375" s="922" t="n"/>
      <c r="O375" s="922" t="n"/>
      <c r="P375" s="922" t="n"/>
      <c r="R375" s="922" t="n"/>
      <c r="S375" s="922" t="n"/>
      <c r="U375" s="922" t="n"/>
      <c r="V375" s="922" t="n"/>
      <c r="X375" s="922" t="n"/>
      <c r="Y375" s="922" t="n"/>
      <c r="AA375" s="922" t="n"/>
      <c r="AB375" s="922" t="n"/>
    </row>
    <row r="376" ht="14.5" customHeight="1" s="828">
      <c r="C376" s="922" t="n"/>
      <c r="D376" s="922" t="n"/>
      <c r="F376" s="922" t="n"/>
      <c r="G376" s="922" t="n"/>
      <c r="I376" s="922" t="n"/>
      <c r="J376" s="922" t="n"/>
      <c r="L376" s="922" t="n"/>
      <c r="M376" s="922" t="n"/>
      <c r="O376" s="922" t="n"/>
      <c r="P376" s="922" t="n"/>
      <c r="R376" s="922" t="n"/>
      <c r="S376" s="922" t="n"/>
      <c r="U376" s="922" t="n"/>
      <c r="V376" s="922" t="n"/>
      <c r="X376" s="922" t="n"/>
      <c r="Y376" s="922" t="n"/>
      <c r="AA376" s="922" t="n"/>
      <c r="AB376" s="922" t="n"/>
    </row>
    <row r="377" ht="14.5" customHeight="1" s="828">
      <c r="C377" s="922" t="n"/>
      <c r="D377" s="922" t="n"/>
      <c r="F377" s="922" t="n"/>
      <c r="G377" s="922" t="n"/>
      <c r="I377" s="922" t="n"/>
      <c r="J377" s="922" t="n"/>
      <c r="L377" s="922" t="n"/>
      <c r="M377" s="922" t="n"/>
      <c r="O377" s="922" t="n"/>
      <c r="P377" s="922" t="n"/>
      <c r="R377" s="922" t="n"/>
      <c r="S377" s="922" t="n"/>
      <c r="U377" s="922" t="n"/>
      <c r="V377" s="922" t="n"/>
      <c r="X377" s="922" t="n"/>
      <c r="Y377" s="922" t="n"/>
      <c r="AA377" s="922" t="n"/>
      <c r="AB377" s="922" t="n"/>
    </row>
    <row r="378" ht="14.5" customHeight="1" s="828">
      <c r="C378" s="922" t="n"/>
      <c r="D378" s="922" t="n"/>
      <c r="F378" s="922" t="n"/>
      <c r="G378" s="922" t="n"/>
      <c r="I378" s="922" t="n"/>
      <c r="J378" s="922" t="n"/>
      <c r="L378" s="922" t="n"/>
      <c r="M378" s="922" t="n"/>
      <c r="O378" s="922" t="n"/>
      <c r="P378" s="922" t="n"/>
      <c r="R378" s="922" t="n"/>
      <c r="S378" s="922" t="n"/>
      <c r="U378" s="922" t="n"/>
      <c r="V378" s="922" t="n"/>
      <c r="X378" s="922" t="n"/>
      <c r="Y378" s="922" t="n"/>
      <c r="AA378" s="922" t="n"/>
      <c r="AB378" s="922" t="n"/>
    </row>
    <row r="379" ht="14.5" customHeight="1" s="828">
      <c r="C379" s="922" t="n"/>
      <c r="D379" s="922" t="n"/>
      <c r="F379" s="922" t="n"/>
      <c r="G379" s="922" t="n"/>
      <c r="I379" s="922" t="n"/>
      <c r="J379" s="922" t="n"/>
      <c r="L379" s="922" t="n"/>
      <c r="M379" s="922" t="n"/>
      <c r="O379" s="922" t="n"/>
      <c r="P379" s="922" t="n"/>
      <c r="R379" s="922" t="n"/>
      <c r="S379" s="922" t="n"/>
      <c r="U379" s="922" t="n"/>
      <c r="V379" s="922" t="n"/>
      <c r="X379" s="922" t="n"/>
      <c r="Y379" s="922" t="n"/>
      <c r="AA379" s="922" t="n"/>
      <c r="AB379" s="922" t="n"/>
    </row>
    <row r="380" ht="14.5" customHeight="1" s="828">
      <c r="C380" s="922" t="n"/>
      <c r="D380" s="922" t="n"/>
      <c r="F380" s="922" t="n"/>
      <c r="G380" s="922" t="n"/>
      <c r="I380" s="922" t="n"/>
      <c r="J380" s="922" t="n"/>
      <c r="L380" s="922" t="n"/>
      <c r="M380" s="922" t="n"/>
      <c r="O380" s="922" t="n"/>
      <c r="P380" s="922" t="n"/>
      <c r="R380" s="922" t="n"/>
      <c r="S380" s="922" t="n"/>
      <c r="U380" s="922" t="n"/>
      <c r="V380" s="922" t="n"/>
      <c r="X380" s="922" t="n"/>
      <c r="Y380" s="922" t="n"/>
      <c r="AA380" s="922" t="n"/>
      <c r="AB380" s="922" t="n"/>
    </row>
    <row r="381" ht="14.5" customHeight="1" s="828">
      <c r="C381" s="922" t="n"/>
      <c r="D381" s="922" t="n"/>
      <c r="F381" s="922" t="n"/>
      <c r="G381" s="922" t="n"/>
      <c r="I381" s="922" t="n"/>
      <c r="J381" s="922" t="n"/>
      <c r="L381" s="922" t="n"/>
      <c r="M381" s="922" t="n"/>
      <c r="O381" s="922" t="n"/>
      <c r="P381" s="922" t="n"/>
      <c r="R381" s="922" t="n"/>
      <c r="S381" s="922" t="n"/>
      <c r="U381" s="922" t="n"/>
      <c r="V381" s="922" t="n"/>
      <c r="X381" s="922" t="n"/>
      <c r="Y381" s="922" t="n"/>
      <c r="AA381" s="922" t="n"/>
      <c r="AB381" s="922" t="n"/>
    </row>
    <row r="382" ht="14.5" customHeight="1" s="828">
      <c r="C382" s="922" t="n"/>
      <c r="D382" s="922" t="n"/>
      <c r="F382" s="922" t="n"/>
      <c r="G382" s="922" t="n"/>
      <c r="I382" s="922" t="n"/>
      <c r="J382" s="922" t="n"/>
      <c r="L382" s="922" t="n"/>
      <c r="M382" s="922" t="n"/>
      <c r="O382" s="922" t="n"/>
      <c r="P382" s="922" t="n"/>
      <c r="R382" s="922" t="n"/>
      <c r="S382" s="922" t="n"/>
      <c r="U382" s="922" t="n"/>
      <c r="V382" s="922" t="n"/>
      <c r="X382" s="922" t="n"/>
      <c r="Y382" s="922" t="n"/>
      <c r="AA382" s="922" t="n"/>
      <c r="AB382" s="922" t="n"/>
    </row>
    <row r="383" ht="14.5" customHeight="1" s="828">
      <c r="C383" s="922" t="n"/>
      <c r="D383" s="922" t="n"/>
      <c r="F383" s="922" t="n"/>
      <c r="G383" s="922" t="n"/>
      <c r="I383" s="922" t="n"/>
      <c r="J383" s="922" t="n"/>
      <c r="L383" s="922" t="n"/>
      <c r="M383" s="922" t="n"/>
      <c r="O383" s="922" t="n"/>
      <c r="P383" s="922" t="n"/>
      <c r="R383" s="922" t="n"/>
      <c r="S383" s="922" t="n"/>
      <c r="U383" s="922" t="n"/>
      <c r="V383" s="922" t="n"/>
      <c r="X383" s="922" t="n"/>
      <c r="Y383" s="922" t="n"/>
      <c r="AA383" s="922" t="n"/>
      <c r="AB383" s="922" t="n"/>
    </row>
    <row r="384" ht="14.5" customHeight="1" s="828">
      <c r="C384" s="922" t="n"/>
      <c r="D384" s="922" t="n"/>
      <c r="F384" s="922" t="n"/>
      <c r="G384" s="922" t="n"/>
      <c r="I384" s="922" t="n"/>
      <c r="J384" s="922" t="n"/>
      <c r="L384" s="922" t="n"/>
      <c r="M384" s="922" t="n"/>
      <c r="O384" s="922" t="n"/>
      <c r="P384" s="922" t="n"/>
      <c r="R384" s="922" t="n"/>
      <c r="S384" s="922" t="n"/>
      <c r="U384" s="922" t="n"/>
      <c r="V384" s="922" t="n"/>
      <c r="X384" s="922" t="n"/>
      <c r="Y384" s="922" t="n"/>
      <c r="AA384" s="922" t="n"/>
      <c r="AB384" s="922" t="n"/>
    </row>
    <row r="385" ht="14.5" customHeight="1" s="828">
      <c r="C385" s="922" t="n"/>
      <c r="D385" s="922" t="n"/>
      <c r="F385" s="922" t="n"/>
      <c r="G385" s="922" t="n"/>
      <c r="I385" s="922" t="n"/>
      <c r="J385" s="922" t="n"/>
      <c r="L385" s="922" t="n"/>
      <c r="M385" s="922" t="n"/>
      <c r="O385" s="922" t="n"/>
      <c r="P385" s="922" t="n"/>
      <c r="R385" s="922" t="n"/>
      <c r="S385" s="922" t="n"/>
      <c r="U385" s="922" t="n"/>
      <c r="V385" s="922" t="n"/>
      <c r="X385" s="922" t="n"/>
      <c r="Y385" s="922" t="n"/>
      <c r="AA385" s="922" t="n"/>
      <c r="AB385" s="922" t="n"/>
    </row>
    <row r="386" ht="14.5" customHeight="1" s="828">
      <c r="C386" s="922" t="n"/>
      <c r="D386" s="922" t="n"/>
      <c r="F386" s="922" t="n"/>
      <c r="G386" s="922" t="n"/>
      <c r="I386" s="922" t="n"/>
      <c r="J386" s="922" t="n"/>
      <c r="L386" s="922" t="n"/>
      <c r="M386" s="922" t="n"/>
      <c r="O386" s="922" t="n"/>
      <c r="P386" s="922" t="n"/>
      <c r="R386" s="922" t="n"/>
      <c r="S386" s="922" t="n"/>
      <c r="U386" s="922" t="n"/>
      <c r="V386" s="922" t="n"/>
      <c r="X386" s="922" t="n"/>
      <c r="Y386" s="922" t="n"/>
      <c r="AA386" s="922" t="n"/>
      <c r="AB386" s="922" t="n"/>
    </row>
    <row r="387" ht="14.5" customHeight="1" s="828">
      <c r="C387" s="922" t="n"/>
      <c r="D387" s="922" t="n"/>
      <c r="F387" s="922" t="n"/>
      <c r="G387" s="922" t="n"/>
      <c r="I387" s="922" t="n"/>
      <c r="J387" s="922" t="n"/>
      <c r="L387" s="922" t="n"/>
      <c r="M387" s="922" t="n"/>
      <c r="O387" s="922" t="n"/>
      <c r="P387" s="922" t="n"/>
      <c r="R387" s="922" t="n"/>
      <c r="S387" s="922" t="n"/>
      <c r="U387" s="922" t="n"/>
      <c r="V387" s="922" t="n"/>
      <c r="X387" s="922" t="n"/>
      <c r="Y387" s="922" t="n"/>
      <c r="AA387" s="922" t="n"/>
      <c r="AB387" s="922" t="n"/>
    </row>
    <row r="388" ht="14.5" customHeight="1" s="828">
      <c r="C388" s="922" t="n"/>
      <c r="D388" s="922" t="n"/>
      <c r="F388" s="922" t="n"/>
      <c r="G388" s="922" t="n"/>
      <c r="I388" s="922" t="n"/>
      <c r="J388" s="922" t="n"/>
      <c r="L388" s="922" t="n"/>
      <c r="M388" s="922" t="n"/>
      <c r="O388" s="922" t="n"/>
      <c r="P388" s="922" t="n"/>
      <c r="R388" s="922" t="n"/>
      <c r="S388" s="922" t="n"/>
      <c r="U388" s="922" t="n"/>
      <c r="V388" s="922" t="n"/>
      <c r="X388" s="922" t="n"/>
      <c r="Y388" s="922" t="n"/>
      <c r="AA388" s="922" t="n"/>
      <c r="AB388" s="922" t="n"/>
    </row>
    <row r="389" ht="14.5" customHeight="1" s="828">
      <c r="C389" s="922" t="n"/>
      <c r="D389" s="922" t="n"/>
      <c r="F389" s="922" t="n"/>
      <c r="G389" s="922" t="n"/>
      <c r="I389" s="922" t="n"/>
      <c r="J389" s="922" t="n"/>
      <c r="L389" s="922" t="n"/>
      <c r="M389" s="922" t="n"/>
      <c r="O389" s="922" t="n"/>
      <c r="P389" s="922" t="n"/>
      <c r="R389" s="922" t="n"/>
      <c r="S389" s="922" t="n"/>
      <c r="U389" s="922" t="n"/>
      <c r="V389" s="922" t="n"/>
      <c r="X389" s="922" t="n"/>
      <c r="Y389" s="922" t="n"/>
      <c r="AA389" s="922" t="n"/>
      <c r="AB389" s="922" t="n"/>
    </row>
    <row r="390" ht="14.5" customHeight="1" s="828">
      <c r="C390" s="922" t="n"/>
      <c r="D390" s="922" t="n"/>
      <c r="F390" s="922" t="n"/>
      <c r="G390" s="922" t="n"/>
      <c r="I390" s="922" t="n"/>
      <c r="J390" s="922" t="n"/>
      <c r="L390" s="922" t="n"/>
      <c r="M390" s="922" t="n"/>
      <c r="O390" s="922" t="n"/>
      <c r="P390" s="922" t="n"/>
      <c r="R390" s="922" t="n"/>
      <c r="S390" s="922" t="n"/>
      <c r="U390" s="922" t="n"/>
      <c r="V390" s="922" t="n"/>
      <c r="X390" s="922" t="n"/>
      <c r="Y390" s="922" t="n"/>
      <c r="AA390" s="922" t="n"/>
      <c r="AB390" s="922" t="n"/>
    </row>
    <row r="391" ht="14.5" customHeight="1" s="828">
      <c r="C391" s="922" t="n"/>
      <c r="D391" s="922" t="n"/>
      <c r="F391" s="922" t="n"/>
      <c r="G391" s="922" t="n"/>
      <c r="I391" s="922" t="n"/>
      <c r="J391" s="922" t="n"/>
      <c r="L391" s="922" t="n"/>
      <c r="M391" s="922" t="n"/>
      <c r="O391" s="922" t="n"/>
      <c r="P391" s="922" t="n"/>
      <c r="R391" s="922" t="n"/>
      <c r="S391" s="922" t="n"/>
      <c r="U391" s="922" t="n"/>
      <c r="V391" s="922" t="n"/>
      <c r="X391" s="922" t="n"/>
      <c r="Y391" s="922" t="n"/>
      <c r="AA391" s="922" t="n"/>
      <c r="AB391" s="922" t="n"/>
    </row>
    <row r="392" ht="14.5" customHeight="1" s="828">
      <c r="C392" s="922" t="n"/>
      <c r="D392" s="922" t="n"/>
      <c r="F392" s="922" t="n"/>
      <c r="G392" s="922" t="n"/>
      <c r="I392" s="922" t="n"/>
      <c r="J392" s="922" t="n"/>
      <c r="L392" s="922" t="n"/>
      <c r="M392" s="922" t="n"/>
      <c r="O392" s="922" t="n"/>
      <c r="P392" s="922" t="n"/>
      <c r="R392" s="922" t="n"/>
      <c r="S392" s="922" t="n"/>
      <c r="U392" s="922" t="n"/>
      <c r="V392" s="922" t="n"/>
      <c r="X392" s="922" t="n"/>
      <c r="Y392" s="922" t="n"/>
      <c r="AA392" s="922" t="n"/>
      <c r="AB392" s="922" t="n"/>
    </row>
    <row r="393" ht="14.5" customHeight="1" s="828">
      <c r="C393" s="922" t="n"/>
      <c r="D393" s="922" t="n"/>
      <c r="F393" s="922" t="n"/>
      <c r="G393" s="922" t="n"/>
      <c r="I393" s="922" t="n"/>
      <c r="J393" s="922" t="n"/>
      <c r="L393" s="922" t="n"/>
      <c r="M393" s="922" t="n"/>
      <c r="O393" s="922" t="n"/>
      <c r="P393" s="922" t="n"/>
      <c r="R393" s="922" t="n"/>
      <c r="S393" s="922" t="n"/>
      <c r="U393" s="922" t="n"/>
      <c r="V393" s="922" t="n"/>
      <c r="X393" s="922" t="n"/>
      <c r="Y393" s="922" t="n"/>
      <c r="AA393" s="922" t="n"/>
      <c r="AB393" s="922" t="n"/>
    </row>
    <row r="394" ht="14.5" customHeight="1" s="828">
      <c r="C394" s="922" t="n"/>
      <c r="D394" s="922" t="n"/>
      <c r="F394" s="922" t="n"/>
      <c r="G394" s="922" t="n"/>
      <c r="I394" s="922" t="n"/>
      <c r="J394" s="922" t="n"/>
      <c r="L394" s="922" t="n"/>
      <c r="M394" s="922" t="n"/>
      <c r="O394" s="922" t="n"/>
      <c r="P394" s="922" t="n"/>
      <c r="R394" s="922" t="n"/>
      <c r="S394" s="922" t="n"/>
      <c r="U394" s="922" t="n"/>
      <c r="V394" s="922" t="n"/>
      <c r="X394" s="922" t="n"/>
      <c r="Y394" s="922" t="n"/>
      <c r="AA394" s="922" t="n"/>
      <c r="AB394" s="922" t="n"/>
    </row>
    <row r="395" ht="14.5" customHeight="1" s="828">
      <c r="C395" s="922" t="n"/>
      <c r="D395" s="922" t="n"/>
      <c r="F395" s="922" t="n"/>
      <c r="G395" s="922" t="n"/>
      <c r="I395" s="922" t="n"/>
      <c r="J395" s="922" t="n"/>
      <c r="L395" s="922" t="n"/>
      <c r="M395" s="922" t="n"/>
      <c r="O395" s="922" t="n"/>
      <c r="P395" s="922" t="n"/>
      <c r="R395" s="922" t="n"/>
      <c r="S395" s="922" t="n"/>
      <c r="U395" s="922" t="n"/>
      <c r="V395" s="922" t="n"/>
      <c r="X395" s="922" t="n"/>
      <c r="Y395" s="922" t="n"/>
      <c r="AA395" s="922" t="n"/>
      <c r="AB395" s="922" t="n"/>
    </row>
    <row r="396" ht="14.5" customHeight="1" s="828">
      <c r="C396" s="922" t="n"/>
      <c r="D396" s="922" t="n"/>
      <c r="F396" s="922" t="n"/>
      <c r="G396" s="922" t="n"/>
      <c r="I396" s="922" t="n"/>
      <c r="J396" s="922" t="n"/>
      <c r="L396" s="922" t="n"/>
      <c r="M396" s="922" t="n"/>
      <c r="O396" s="922" t="n"/>
      <c r="P396" s="922" t="n"/>
      <c r="R396" s="922" t="n"/>
      <c r="S396" s="922" t="n"/>
      <c r="U396" s="922" t="n"/>
      <c r="V396" s="922" t="n"/>
      <c r="X396" s="922" t="n"/>
      <c r="Y396" s="922" t="n"/>
      <c r="AA396" s="922" t="n"/>
      <c r="AB396" s="922" t="n"/>
    </row>
    <row r="397" ht="14.5" customHeight="1" s="828">
      <c r="C397" s="922" t="n"/>
      <c r="D397" s="922" t="n"/>
      <c r="F397" s="922" t="n"/>
      <c r="G397" s="922" t="n"/>
      <c r="I397" s="922" t="n"/>
      <c r="J397" s="922" t="n"/>
      <c r="L397" s="922" t="n"/>
      <c r="M397" s="922" t="n"/>
      <c r="O397" s="922" t="n"/>
      <c r="P397" s="922" t="n"/>
      <c r="R397" s="922" t="n"/>
      <c r="S397" s="922" t="n"/>
      <c r="U397" s="922" t="n"/>
      <c r="V397" s="922" t="n"/>
      <c r="X397" s="922" t="n"/>
      <c r="Y397" s="922" t="n"/>
      <c r="AA397" s="922" t="n"/>
      <c r="AB397" s="922" t="n"/>
    </row>
    <row r="398" ht="14.5" customHeight="1" s="828">
      <c r="C398" s="922" t="n"/>
      <c r="D398" s="922" t="n"/>
      <c r="F398" s="922" t="n"/>
      <c r="G398" s="922" t="n"/>
      <c r="I398" s="922" t="n"/>
      <c r="J398" s="922" t="n"/>
      <c r="L398" s="922" t="n"/>
      <c r="M398" s="922" t="n"/>
      <c r="O398" s="922" t="n"/>
      <c r="P398" s="922" t="n"/>
      <c r="R398" s="922" t="n"/>
      <c r="S398" s="922" t="n"/>
      <c r="U398" s="922" t="n"/>
      <c r="V398" s="922" t="n"/>
      <c r="X398" s="922" t="n"/>
      <c r="Y398" s="922" t="n"/>
      <c r="AA398" s="922" t="n"/>
      <c r="AB398" s="922" t="n"/>
    </row>
    <row r="399" ht="14.5" customHeight="1" s="828">
      <c r="C399" s="922" t="n"/>
      <c r="D399" s="922" t="n"/>
      <c r="F399" s="922" t="n"/>
      <c r="G399" s="922" t="n"/>
      <c r="I399" s="922" t="n"/>
      <c r="J399" s="922" t="n"/>
      <c r="L399" s="922" t="n"/>
      <c r="M399" s="922" t="n"/>
      <c r="O399" s="922" t="n"/>
      <c r="P399" s="922" t="n"/>
      <c r="R399" s="922" t="n"/>
      <c r="S399" s="922" t="n"/>
      <c r="U399" s="922" t="n"/>
      <c r="V399" s="922" t="n"/>
      <c r="X399" s="922" t="n"/>
      <c r="Y399" s="922" t="n"/>
      <c r="AA399" s="922" t="n"/>
      <c r="AB399" s="922" t="n"/>
    </row>
    <row r="400" ht="14.5" customHeight="1" s="828">
      <c r="C400" s="922" t="n"/>
      <c r="D400" s="922" t="n"/>
      <c r="F400" s="922" t="n"/>
      <c r="G400" s="922" t="n"/>
      <c r="I400" s="922" t="n"/>
      <c r="J400" s="922" t="n"/>
      <c r="L400" s="922" t="n"/>
      <c r="M400" s="922" t="n"/>
      <c r="O400" s="922" t="n"/>
      <c r="P400" s="922" t="n"/>
      <c r="R400" s="922" t="n"/>
      <c r="S400" s="922" t="n"/>
      <c r="U400" s="922" t="n"/>
      <c r="V400" s="922" t="n"/>
      <c r="X400" s="922" t="n"/>
      <c r="Y400" s="922" t="n"/>
      <c r="AA400" s="922" t="n"/>
      <c r="AB400" s="922" t="n"/>
    </row>
    <row r="401" ht="14.5" customHeight="1" s="828">
      <c r="C401" s="922" t="n"/>
      <c r="D401" s="922" t="n"/>
      <c r="F401" s="922" t="n"/>
      <c r="G401" s="922" t="n"/>
      <c r="I401" s="922" t="n"/>
      <c r="J401" s="922" t="n"/>
      <c r="L401" s="922" t="n"/>
      <c r="M401" s="922" t="n"/>
      <c r="O401" s="922" t="n"/>
      <c r="P401" s="922" t="n"/>
      <c r="R401" s="922" t="n"/>
      <c r="S401" s="922" t="n"/>
      <c r="U401" s="922" t="n"/>
      <c r="V401" s="922" t="n"/>
      <c r="X401" s="922" t="n"/>
      <c r="Y401" s="922" t="n"/>
      <c r="AA401" s="922" t="n"/>
      <c r="AB401" s="922" t="n"/>
    </row>
    <row r="402" ht="14.5" customHeight="1" s="828">
      <c r="C402" s="922" t="n"/>
      <c r="D402" s="922" t="n"/>
      <c r="F402" s="922" t="n"/>
      <c r="G402" s="922" t="n"/>
      <c r="I402" s="922" t="n"/>
      <c r="J402" s="922" t="n"/>
      <c r="L402" s="922" t="n"/>
      <c r="M402" s="922" t="n"/>
      <c r="O402" s="922" t="n"/>
      <c r="P402" s="922" t="n"/>
      <c r="R402" s="922" t="n"/>
      <c r="S402" s="922" t="n"/>
      <c r="U402" s="922" t="n"/>
      <c r="V402" s="922" t="n"/>
      <c r="X402" s="922" t="n"/>
      <c r="Y402" s="922" t="n"/>
      <c r="AA402" s="922" t="n"/>
      <c r="AB402" s="922" t="n"/>
    </row>
    <row r="403" ht="14.5" customHeight="1" s="828">
      <c r="C403" s="922" t="n"/>
      <c r="D403" s="922" t="n"/>
      <c r="F403" s="922" t="n"/>
      <c r="G403" s="922" t="n"/>
      <c r="I403" s="922" t="n"/>
      <c r="J403" s="922" t="n"/>
      <c r="L403" s="922" t="n"/>
      <c r="M403" s="922" t="n"/>
      <c r="O403" s="922" t="n"/>
      <c r="P403" s="922" t="n"/>
      <c r="R403" s="922" t="n"/>
      <c r="S403" s="922" t="n"/>
      <c r="U403" s="922" t="n"/>
      <c r="V403" s="922" t="n"/>
      <c r="X403" s="922" t="n"/>
      <c r="Y403" s="922" t="n"/>
      <c r="AA403" s="922" t="n"/>
      <c r="AB403" s="922" t="n"/>
    </row>
    <row r="404" ht="14.5" customHeight="1" s="828">
      <c r="C404" s="922" t="n"/>
      <c r="D404" s="922" t="n"/>
      <c r="F404" s="922" t="n"/>
      <c r="G404" s="922" t="n"/>
      <c r="I404" s="922" t="n"/>
      <c r="J404" s="922" t="n"/>
      <c r="L404" s="922" t="n"/>
      <c r="M404" s="922" t="n"/>
      <c r="O404" s="922" t="n"/>
      <c r="P404" s="922" t="n"/>
      <c r="R404" s="922" t="n"/>
      <c r="S404" s="922" t="n"/>
      <c r="U404" s="922" t="n"/>
      <c r="V404" s="922" t="n"/>
      <c r="X404" s="922" t="n"/>
      <c r="Y404" s="922" t="n"/>
      <c r="AA404" s="922" t="n"/>
      <c r="AB404" s="922" t="n"/>
    </row>
    <row r="405" ht="14.5" customHeight="1" s="828">
      <c r="C405" s="922" t="n"/>
      <c r="D405" s="922" t="n"/>
      <c r="F405" s="922" t="n"/>
      <c r="G405" s="922" t="n"/>
      <c r="I405" s="922" t="n"/>
      <c r="J405" s="922" t="n"/>
      <c r="L405" s="922" t="n"/>
      <c r="M405" s="922" t="n"/>
      <c r="O405" s="922" t="n"/>
      <c r="P405" s="922" t="n"/>
      <c r="R405" s="922" t="n"/>
      <c r="S405" s="922" t="n"/>
      <c r="U405" s="922" t="n"/>
      <c r="V405" s="922" t="n"/>
      <c r="X405" s="922" t="n"/>
      <c r="Y405" s="922" t="n"/>
      <c r="AA405" s="922" t="n"/>
      <c r="AB405" s="922" t="n"/>
    </row>
    <row r="406" ht="14.5" customHeight="1" s="828">
      <c r="C406" s="922" t="n"/>
      <c r="D406" s="922" t="n"/>
      <c r="F406" s="922" t="n"/>
      <c r="G406" s="922" t="n"/>
      <c r="I406" s="922" t="n"/>
      <c r="J406" s="922" t="n"/>
      <c r="L406" s="922" t="n"/>
      <c r="M406" s="922" t="n"/>
      <c r="O406" s="922" t="n"/>
      <c r="P406" s="922" t="n"/>
      <c r="R406" s="922" t="n"/>
      <c r="S406" s="922" t="n"/>
      <c r="U406" s="922" t="n"/>
      <c r="V406" s="922" t="n"/>
      <c r="X406" s="922" t="n"/>
      <c r="Y406" s="922" t="n"/>
      <c r="AA406" s="922" t="n"/>
      <c r="AB406" s="922" t="n"/>
    </row>
    <row r="407" ht="14.5" customHeight="1" s="828">
      <c r="C407" s="922" t="n"/>
      <c r="D407" s="922" t="n"/>
      <c r="F407" s="922" t="n"/>
      <c r="G407" s="922" t="n"/>
      <c r="I407" s="922" t="n"/>
      <c r="J407" s="922" t="n"/>
      <c r="L407" s="922" t="n"/>
      <c r="M407" s="922" t="n"/>
      <c r="O407" s="922" t="n"/>
      <c r="P407" s="922" t="n"/>
      <c r="R407" s="922" t="n"/>
      <c r="S407" s="922" t="n"/>
      <c r="U407" s="922" t="n"/>
      <c r="V407" s="922" t="n"/>
      <c r="X407" s="922" t="n"/>
      <c r="Y407" s="922" t="n"/>
      <c r="AA407" s="922" t="n"/>
      <c r="AB407" s="922" t="n"/>
    </row>
    <row r="408" ht="14.5" customHeight="1" s="828">
      <c r="C408" s="922" t="n"/>
      <c r="D408" s="922" t="n"/>
      <c r="F408" s="922" t="n"/>
      <c r="G408" s="922" t="n"/>
      <c r="I408" s="922" t="n"/>
      <c r="J408" s="922" t="n"/>
      <c r="L408" s="922" t="n"/>
      <c r="M408" s="922" t="n"/>
      <c r="O408" s="922" t="n"/>
      <c r="P408" s="922" t="n"/>
      <c r="R408" s="922" t="n"/>
      <c r="S408" s="922" t="n"/>
      <c r="U408" s="922" t="n"/>
      <c r="V408" s="922" t="n"/>
      <c r="X408" s="922" t="n"/>
      <c r="Y408" s="922" t="n"/>
      <c r="AA408" s="922" t="n"/>
      <c r="AB408" s="922" t="n"/>
    </row>
    <row r="409" ht="14.5" customHeight="1" s="828">
      <c r="C409" s="922" t="n"/>
      <c r="D409" s="922" t="n"/>
      <c r="F409" s="922" t="n"/>
      <c r="G409" s="922" t="n"/>
      <c r="I409" s="922" t="n"/>
      <c r="J409" s="922" t="n"/>
      <c r="L409" s="922" t="n"/>
      <c r="M409" s="922" t="n"/>
      <c r="O409" s="922" t="n"/>
      <c r="P409" s="922" t="n"/>
      <c r="R409" s="922" t="n"/>
      <c r="S409" s="922" t="n"/>
      <c r="U409" s="922" t="n"/>
      <c r="V409" s="922" t="n"/>
      <c r="X409" s="922" t="n"/>
      <c r="Y409" s="922" t="n"/>
      <c r="AA409" s="922" t="n"/>
      <c r="AB409" s="922" t="n"/>
    </row>
    <row r="410" ht="14.5" customHeight="1" s="828">
      <c r="C410" s="922" t="n"/>
      <c r="D410" s="922" t="n"/>
      <c r="F410" s="922" t="n"/>
      <c r="G410" s="922" t="n"/>
      <c r="I410" s="922" t="n"/>
      <c r="J410" s="922" t="n"/>
      <c r="L410" s="922" t="n"/>
      <c r="M410" s="922" t="n"/>
      <c r="O410" s="922" t="n"/>
      <c r="P410" s="922" t="n"/>
      <c r="R410" s="922" t="n"/>
      <c r="S410" s="922" t="n"/>
      <c r="U410" s="922" t="n"/>
      <c r="V410" s="922" t="n"/>
      <c r="X410" s="922" t="n"/>
      <c r="Y410" s="922" t="n"/>
      <c r="AA410" s="922" t="n"/>
      <c r="AB410" s="922" t="n"/>
    </row>
    <row r="411" ht="14.5" customHeight="1" s="828">
      <c r="C411" s="922" t="n"/>
      <c r="D411" s="922" t="n"/>
      <c r="F411" s="922" t="n"/>
      <c r="G411" s="922" t="n"/>
      <c r="I411" s="922" t="n"/>
      <c r="J411" s="922" t="n"/>
      <c r="L411" s="922" t="n"/>
      <c r="M411" s="922" t="n"/>
      <c r="O411" s="922" t="n"/>
      <c r="P411" s="922" t="n"/>
      <c r="R411" s="922" t="n"/>
      <c r="S411" s="922" t="n"/>
      <c r="U411" s="922" t="n"/>
      <c r="V411" s="922" t="n"/>
      <c r="X411" s="922" t="n"/>
      <c r="Y411" s="922" t="n"/>
      <c r="AA411" s="922" t="n"/>
      <c r="AB411" s="922" t="n"/>
    </row>
    <row r="412" ht="14.5" customFormat="1" customHeight="1" s="978">
      <c r="C412" s="922" t="n"/>
      <c r="D412" s="922" t="n"/>
      <c r="F412" s="922" t="n"/>
      <c r="G412" s="922" t="n"/>
      <c r="I412" s="922" t="n"/>
      <c r="J412" s="922" t="n"/>
      <c r="L412" s="922" t="n"/>
      <c r="M412" s="922" t="n"/>
      <c r="O412" s="922" t="n"/>
      <c r="P412" s="922" t="n"/>
      <c r="R412" s="922" t="n"/>
      <c r="S412" s="922" t="n"/>
      <c r="U412" s="922" t="n"/>
      <c r="V412" s="922" t="n"/>
      <c r="X412" s="922" t="n"/>
      <c r="Y412" s="922" t="n"/>
      <c r="AA412" s="922" t="n"/>
      <c r="AB412" s="922" t="n"/>
      <c r="AC412" s="20" t="n"/>
    </row>
    <row r="413" ht="14.5" customFormat="1" customHeight="1" s="978">
      <c r="E413" s="20" t="n"/>
      <c r="H413" s="20" t="n"/>
      <c r="K413" s="20" t="n"/>
      <c r="N413" s="20" t="n"/>
      <c r="Q413" s="20" t="n"/>
      <c r="T413" s="20" t="n"/>
      <c r="W413" s="20" t="n"/>
      <c r="Z413" s="20" t="n"/>
      <c r="AC413" s="20" t="n"/>
    </row>
    <row r="414" ht="14.5" customFormat="1" customHeight="1" s="978">
      <c r="E414" s="20" t="n"/>
      <c r="H414" s="20" t="n"/>
      <c r="K414" s="20" t="n"/>
      <c r="N414" s="20" t="n"/>
      <c r="Q414" s="20" t="n"/>
      <c r="T414" s="20" t="n"/>
      <c r="W414" s="20" t="n"/>
      <c r="Z414" s="20" t="n"/>
      <c r="AC414" s="20" t="n"/>
    </row>
    <row r="415" ht="14.5" customHeight="1" s="828"/>
  </sheetData>
  <mergeCells count="58">
    <mergeCell ref="L2:M2"/>
    <mergeCell ref="E13:G13"/>
    <mergeCell ref="W1:Y1"/>
    <mergeCell ref="X2:Y2"/>
    <mergeCell ref="Q14:Q15"/>
    <mergeCell ref="B1:D1"/>
    <mergeCell ref="I2:J2"/>
    <mergeCell ref="T14:T15"/>
    <mergeCell ref="C14:D14"/>
    <mergeCell ref="B13:D13"/>
    <mergeCell ref="N1:P1"/>
    <mergeCell ref="B2:B3"/>
    <mergeCell ref="N2:N3"/>
    <mergeCell ref="Q1:S1"/>
    <mergeCell ref="H2:H3"/>
    <mergeCell ref="B14:B15"/>
    <mergeCell ref="N14:N15"/>
    <mergeCell ref="T1:V1"/>
    <mergeCell ref="U2:V2"/>
    <mergeCell ref="E10:F10"/>
    <mergeCell ref="H13:J13"/>
    <mergeCell ref="N13:P13"/>
    <mergeCell ref="Z2:Z3"/>
    <mergeCell ref="T13:V13"/>
    <mergeCell ref="Z13:AB13"/>
    <mergeCell ref="T2:T3"/>
    <mergeCell ref="L14:M14"/>
    <mergeCell ref="E2:E3"/>
    <mergeCell ref="K2:K3"/>
    <mergeCell ref="W2:W3"/>
    <mergeCell ref="E14:E15"/>
    <mergeCell ref="Z1:AB1"/>
    <mergeCell ref="Z14:Z15"/>
    <mergeCell ref="F2:G2"/>
    <mergeCell ref="K14:K15"/>
    <mergeCell ref="C2:D2"/>
    <mergeCell ref="K13:M13"/>
    <mergeCell ref="W14:W15"/>
    <mergeCell ref="L10:M10"/>
    <mergeCell ref="Q13:S13"/>
    <mergeCell ref="X14:Y14"/>
    <mergeCell ref="W13:Y13"/>
    <mergeCell ref="Q2:Q3"/>
    <mergeCell ref="I14:J14"/>
    <mergeCell ref="H1:J1"/>
    <mergeCell ref="H14:H15"/>
    <mergeCell ref="O2:P2"/>
    <mergeCell ref="H10:J10"/>
    <mergeCell ref="AA2:AB2"/>
    <mergeCell ref="R2:S2"/>
    <mergeCell ref="O14:P14"/>
    <mergeCell ref="U14:V14"/>
    <mergeCell ref="L11:M11"/>
    <mergeCell ref="F14:G14"/>
    <mergeCell ref="R14:S14"/>
    <mergeCell ref="AA14:AB14"/>
    <mergeCell ref="E1:G1"/>
    <mergeCell ref="K1:M1"/>
  </mergeCells>
  <conditionalFormatting sqref="B4:B7 E4:E7 H4:H7 K4:K7 N4:N7 Q4:Q7 T4:T7 W4:W7 Z4:Z7">
    <cfRule type="cellIs" priority="1" operator="lessThan" dxfId="1">
      <formula>0</formula>
    </cfRule>
    <cfRule type="cellIs" priority="2" operator="greaterThan" dxfId="0">
      <formula>0</formula>
    </cfRule>
  </conditionalFormatting>
  <hyperlinks>
    <hyperlink xmlns:r="http://schemas.openxmlformats.org/officeDocument/2006/relationships" ref="C11" r:id="rId1"/>
  </hyperlinks>
  <pageMargins left="0.75" right="0.75" top="1" bottom="1" header="0.5" footer="0.5"/>
  <pageSetup orientation="portrait" paperSize="9"/>
</worksheet>
</file>

<file path=xl/worksheets/sheet11.xml><?xml version="1.0" encoding="utf-8"?>
<worksheet xmlns="http://schemas.openxmlformats.org/spreadsheetml/2006/main">
  <sheetPr codeName="Sheet17">
    <tabColor rgb="FF00B0F0"/>
    <outlinePr summaryBelow="1" summaryRight="1"/>
    <pageSetUpPr/>
  </sheetPr>
  <dimension ref="A1:AB532"/>
  <sheetViews>
    <sheetView workbookViewId="0">
      <selection activeCell="J7" sqref="J7"/>
    </sheetView>
  </sheetViews>
  <sheetFormatPr baseColWidth="8" defaultColWidth="8.54296875" defaultRowHeight="12.5"/>
  <cols>
    <col width="20.81640625" customWidth="1" style="20" min="1" max="1"/>
    <col width="8.54296875" customWidth="1" style="20" min="2" max="2"/>
    <col width="8.1796875" customWidth="1" style="978" min="3" max="3"/>
    <col width="8.54296875" customWidth="1" style="978" min="4" max="4"/>
    <col width="9.54296875" customWidth="1" style="20" min="5" max="5"/>
    <col width="11.453125" customWidth="1" style="978" min="6" max="6"/>
    <col width="8.54296875" customWidth="1" style="978" min="7" max="7"/>
    <col width="8.54296875" customWidth="1" style="20" min="8" max="8"/>
    <col width="8.54296875" customWidth="1" style="978" min="9" max="9"/>
    <col width="9.54296875" bestFit="1" customWidth="1" style="978" min="10" max="10"/>
    <col width="8.54296875" customWidth="1" style="20" min="11" max="11"/>
    <col width="8.54296875" customWidth="1" style="978" min="12" max="12"/>
    <col width="14" customWidth="1" style="978" min="13" max="13"/>
    <col width="8.54296875" customWidth="1" style="20" min="14" max="14"/>
    <col width="8.54296875" customWidth="1" style="978" min="15" max="16"/>
    <col width="8.54296875" customWidth="1" style="20" min="17" max="17"/>
    <col width="8.54296875" customWidth="1" style="978" min="18" max="19"/>
    <col width="8.54296875" customWidth="1" style="20" min="20" max="20"/>
    <col width="8.54296875" customWidth="1" style="978" min="21" max="22"/>
    <col width="8.54296875" customWidth="1" style="20" min="23" max="23"/>
    <col width="8.54296875" customWidth="1" style="978" min="24" max="25"/>
    <col width="8.54296875" customWidth="1" style="20" min="26" max="26"/>
    <col width="8.54296875" customWidth="1" style="978" min="27" max="28"/>
    <col width="8.54296875" customWidth="1" style="20" min="29" max="16384"/>
  </cols>
  <sheetData>
    <row r="1" ht="12.65" customHeight="1" s="828">
      <c r="B1" s="849" t="inlineStr">
        <is>
          <t>Whole Economy</t>
        </is>
      </c>
      <c r="C1" s="1004" t="n"/>
      <c r="D1" s="489" t="n"/>
      <c r="E1" s="849" t="inlineStr">
        <is>
          <t>Private sector 3 4 5</t>
        </is>
      </c>
      <c r="F1" s="1004" t="n"/>
      <c r="G1" s="489" t="n"/>
      <c r="H1" s="849" t="inlineStr">
        <is>
          <t>Public sector 3 4 5</t>
        </is>
      </c>
      <c r="I1" s="1004" t="n"/>
      <c r="J1" s="489" t="n"/>
      <c r="K1" s="849" t="inlineStr">
        <is>
          <t xml:space="preserve">Services, SIC 2007 sections G-S </t>
        </is>
      </c>
      <c r="L1" s="1004" t="n"/>
      <c r="M1" s="489" t="n"/>
      <c r="N1" s="849" t="inlineStr">
        <is>
          <t>Finance and business services,
SIC 2007 sections K-N</t>
        </is>
      </c>
      <c r="O1" s="1004" t="n"/>
      <c r="P1" s="489" t="n"/>
      <c r="Q1" s="849" t="inlineStr">
        <is>
          <t xml:space="preserve">Public sector excluding financial services 4 5
</t>
        </is>
      </c>
      <c r="R1" s="1004" t="n"/>
      <c r="S1" s="489" t="n"/>
      <c r="T1" s="849" t="inlineStr">
        <is>
          <t xml:space="preserve">Manufacturing, SIC 2007 section C </t>
        </is>
      </c>
      <c r="U1" s="1004" t="n"/>
      <c r="V1" s="489" t="n"/>
      <c r="W1" s="849" t="inlineStr">
        <is>
          <t xml:space="preserve">Construction, SIC 2007 section F </t>
        </is>
      </c>
      <c r="X1" s="1004" t="n"/>
      <c r="Y1" s="489" t="n"/>
      <c r="Z1" s="849" t="inlineStr">
        <is>
          <t xml:space="preserve">Wholesaling, retailing, hotels &amp; restaurants, SIC 2007 sections G &amp; I </t>
        </is>
      </c>
      <c r="AA1" s="1004" t="n"/>
      <c r="AB1" s="489" t="n"/>
    </row>
    <row r="2" ht="12.65" customHeight="1" s="828">
      <c r="B2" s="848" t="inlineStr">
        <is>
          <t>Weekly Earnings     (£)</t>
        </is>
      </c>
      <c r="C2" s="847" t="inlineStr">
        <is>
          <t>% changes year on year</t>
        </is>
      </c>
      <c r="D2" s="489" t="n"/>
      <c r="E2" s="848" t="inlineStr">
        <is>
          <t>Weekly Earnings     (£)</t>
        </is>
      </c>
      <c r="F2" s="847" t="inlineStr">
        <is>
          <t>% changes year on year</t>
        </is>
      </c>
      <c r="G2" s="489" t="n"/>
      <c r="H2" s="848" t="inlineStr">
        <is>
          <t>Weekly Earnings     (£)</t>
        </is>
      </c>
      <c r="I2" s="847" t="inlineStr">
        <is>
          <t>% changes year on year</t>
        </is>
      </c>
      <c r="J2" s="489" t="n"/>
      <c r="K2" s="848" t="inlineStr">
        <is>
          <t>Weekly Earnings     (£)</t>
        </is>
      </c>
      <c r="L2" s="847" t="inlineStr">
        <is>
          <t>% changes year on year</t>
        </is>
      </c>
      <c r="M2" s="489" t="n"/>
      <c r="N2" s="848" t="inlineStr">
        <is>
          <t>Weekly Earnings     (£)</t>
        </is>
      </c>
      <c r="O2" s="847" t="inlineStr">
        <is>
          <t>% changes year on year</t>
        </is>
      </c>
      <c r="P2" s="489" t="n"/>
      <c r="Q2" s="848" t="inlineStr">
        <is>
          <t>Weekly Earnings     (£)</t>
        </is>
      </c>
      <c r="R2" s="847" t="inlineStr">
        <is>
          <t>% changes year on year</t>
        </is>
      </c>
      <c r="S2" s="489" t="n"/>
      <c r="T2" s="848" t="inlineStr">
        <is>
          <t>Weekly Earnings     (£)</t>
        </is>
      </c>
      <c r="U2" s="847" t="inlineStr">
        <is>
          <t>% changes year on year</t>
        </is>
      </c>
      <c r="V2" s="489" t="n"/>
      <c r="W2" s="848" t="inlineStr">
        <is>
          <t>Weekly Earnings     (£)</t>
        </is>
      </c>
      <c r="X2" s="847" t="inlineStr">
        <is>
          <t>% changes year on year</t>
        </is>
      </c>
      <c r="Y2" s="489" t="n"/>
      <c r="Z2" s="848" t="inlineStr">
        <is>
          <t>Weekly Earnings     (£)</t>
        </is>
      </c>
      <c r="AA2" s="847" t="inlineStr">
        <is>
          <t>% changes year on year</t>
        </is>
      </c>
      <c r="AB2" s="489" t="n"/>
    </row>
    <row r="3" ht="20" customHeight="1" s="828" thickBot="1">
      <c r="B3" s="876" t="n"/>
      <c r="C3" s="420" t="inlineStr">
        <is>
          <t>Single month</t>
        </is>
      </c>
      <c r="D3" s="451" t="inlineStr">
        <is>
          <t>3 month average 2</t>
        </is>
      </c>
      <c r="E3" s="876" t="n"/>
      <c r="F3" s="420" t="inlineStr">
        <is>
          <t>Single month</t>
        </is>
      </c>
      <c r="G3" s="420" t="inlineStr">
        <is>
          <t>3 month average 2</t>
        </is>
      </c>
      <c r="H3" s="876" t="n"/>
      <c r="I3" s="420" t="inlineStr">
        <is>
          <t>Single month</t>
        </is>
      </c>
      <c r="J3" s="420" t="inlineStr">
        <is>
          <t>3 month average 2</t>
        </is>
      </c>
      <c r="K3" s="876" t="n"/>
      <c r="L3" s="420" t="inlineStr">
        <is>
          <t>Single month</t>
        </is>
      </c>
      <c r="M3" s="420" t="inlineStr">
        <is>
          <t>3 month average 2</t>
        </is>
      </c>
      <c r="N3" s="876" t="n"/>
      <c r="O3" s="420" t="inlineStr">
        <is>
          <t>Single month</t>
        </is>
      </c>
      <c r="P3" s="420" t="inlineStr">
        <is>
          <t>3 month average 2</t>
        </is>
      </c>
      <c r="Q3" s="876" t="n"/>
      <c r="R3" s="420" t="inlineStr">
        <is>
          <t>Single month</t>
        </is>
      </c>
      <c r="S3" s="420" t="inlineStr">
        <is>
          <t>3 month average 2</t>
        </is>
      </c>
      <c r="T3" s="876" t="n"/>
      <c r="U3" s="420" t="inlineStr">
        <is>
          <t>Single month</t>
        </is>
      </c>
      <c r="V3" s="420" t="inlineStr">
        <is>
          <t>3 month average 2</t>
        </is>
      </c>
      <c r="W3" s="876" t="n"/>
      <c r="X3" s="420" t="inlineStr">
        <is>
          <t>Single month</t>
        </is>
      </c>
      <c r="Y3" s="420" t="inlineStr">
        <is>
          <t>3 month average 2</t>
        </is>
      </c>
      <c r="Z3" s="876" t="n"/>
      <c r="AA3" s="420" t="inlineStr">
        <is>
          <t>Single month</t>
        </is>
      </c>
      <c r="AB3" s="420" t="inlineStr">
        <is>
          <t>3 month average 2</t>
        </is>
      </c>
    </row>
    <row r="4" ht="13.5" customHeight="1" s="828" thickBot="1">
      <c r="A4" s="419" t="inlineStr">
        <is>
          <t>Current</t>
        </is>
      </c>
      <c r="B4" s="1055">
        <f t="array" ref="B4">INDEX(B$19:B$1048576,COUNTA(B$19:B$1048576))</f>
        <v/>
      </c>
      <c r="C4" s="1032">
        <f t="array" ref="C4">INDEX(C$31:C$1048576,COUNTA(C$31:C$1048576))</f>
        <v/>
      </c>
      <c r="D4" s="1056">
        <f t="array" ref="D4">INDEX(D$33:D$1048576,COUNTA(D$33:D$1048576))</f>
        <v/>
      </c>
      <c r="E4" s="1031">
        <f t="array" ref="E4">INDEX(E$19:E$1048576,COUNTA(E$19:E$1048576))</f>
        <v/>
      </c>
      <c r="F4" s="1006">
        <f t="array" ref="F4">INDEX(F$31:F$1048576,COUNTA(F$31:F$1048576))</f>
        <v/>
      </c>
      <c r="G4" s="1006">
        <f t="array" ref="G4">INDEX(G$33:G$1048576,COUNTA(G$33:G$1048576))</f>
        <v/>
      </c>
      <c r="H4" s="1031">
        <f t="array" ref="H4">INDEX(H$19:H$1048576,COUNTA(H$19:H$1048576))</f>
        <v/>
      </c>
      <c r="I4" s="1006">
        <f t="array" ref="I4">INDEX(I$31:I$1048576,COUNTA(I$31:I$1048576))</f>
        <v/>
      </c>
      <c r="J4" s="1006">
        <f t="array" ref="J4">INDEX(J$33:J$1048576,COUNTA(J$33:J$1048576))</f>
        <v/>
      </c>
      <c r="K4" s="1031">
        <f t="array" ref="K4">INDEX(K$19:K$1048576,COUNTA(K$19:K$1048576))</f>
        <v/>
      </c>
      <c r="L4" s="1006">
        <f t="array" ref="L4">INDEX(L$31:L$1048576,COUNTA(L$31:L$1048576))</f>
        <v/>
      </c>
      <c r="M4" s="1006">
        <f t="array" ref="M4">INDEX(M$33:M$1048576,COUNTA(M$33:M$1048576))</f>
        <v/>
      </c>
      <c r="N4" s="1031">
        <f t="array" ref="N4">INDEX(N$19:N$1048576,COUNTA(N$19:N$1048576))</f>
        <v/>
      </c>
      <c r="O4" s="1006">
        <f t="array" ref="O4">INDEX(O$31:O$1048576,COUNTA(O$31:O$1048576))</f>
        <v/>
      </c>
      <c r="P4" s="1006">
        <f t="array" ref="P4">INDEX(P$33:P$1048576,COUNTA(P$33:P$1048576))</f>
        <v/>
      </c>
      <c r="Q4" s="1031">
        <f t="array" ref="Q4">INDEX(Q$19:Q$1048576,COUNTA(Q$19:Q$1048576))</f>
        <v/>
      </c>
      <c r="R4" s="1006">
        <f t="array" ref="R4">INDEX(R$31:R$1048576,COUNTA(R$31:R$1048576))</f>
        <v/>
      </c>
      <c r="S4" s="1006">
        <f t="array" ref="S4">INDEX(S$33:S$1048576,COUNTA(S$33:S$1048576))</f>
        <v/>
      </c>
      <c r="T4" s="1031">
        <f t="array" ref="T4">INDEX(T$19:T$1048576,COUNTA(T$19:T$1048576))</f>
        <v/>
      </c>
      <c r="U4" s="1006">
        <f t="array" ref="U4">INDEX(U$31:U$1048576,COUNTA(U$31:U$1048576))</f>
        <v/>
      </c>
      <c r="V4" s="1006">
        <f t="array" ref="V4">INDEX(V$33:V$1048576,COUNTA(V$33:V$1048576))</f>
        <v/>
      </c>
      <c r="W4" s="1031">
        <f t="array" ref="W4">INDEX(W$19:W$1048576,COUNTA(W$19:W$1048576))</f>
        <v/>
      </c>
      <c r="X4" s="1006">
        <f t="array" ref="X4">INDEX(X$31:X$1048576,COUNTA(X$31:X$1048576))</f>
        <v/>
      </c>
      <c r="Y4" s="1006">
        <f t="array" ref="Y4">INDEX(Y$33:Y$1048576,COUNTA(Y$33:Y$1048576))</f>
        <v/>
      </c>
      <c r="Z4" s="1031">
        <f t="array" ref="Z4">INDEX(Z$19:Z$1048576,COUNTA(Z$19:Z$1048576))</f>
        <v/>
      </c>
      <c r="AA4" s="1006">
        <f t="array" ref="AA4">INDEX(AA$31:AA$1048576,COUNTA(AA$31:AA$1048576))</f>
        <v/>
      </c>
      <c r="AB4" s="1006">
        <f t="array" ref="AB4">INDEX(AB$33:AB$1048576,COUNTA(AB$33:AB$1048576))</f>
        <v/>
      </c>
    </row>
    <row r="5" ht="13" customHeight="1" s="828">
      <c r="A5" s="419" t="inlineStr">
        <is>
          <t>Quarterly change</t>
        </is>
      </c>
      <c r="B5" s="1031">
        <f t="array" ref="B5">INDEX(B$19:B$1048576,COUNTA(B$19:B$1048576))-INDEX(B$19:B$1048576,COUNTA(B$19:B$1048576)-3)</f>
        <v/>
      </c>
      <c r="C5" s="1006">
        <f t="array" ref="C5">INDEX(C$31:C$1048576,COUNTA(C$31:C$1048576))-INDEX(C$31:C$1048576,COUNTA(C$31:C$1048576)-3)</f>
        <v/>
      </c>
      <c r="D5" s="1035">
        <f t="array" ref="D5">INDEX(D$33:D$1048576,COUNTA(D$33:D$1048576))-INDEX(D$33:D$1048576,COUNTA(D$33:D$1048576)-3)</f>
        <v/>
      </c>
      <c r="E5" s="1031">
        <f t="array" ref="E5">INDEX(E$19:E$1048576,COUNTA(E$19:E$1048576))-INDEX(E$19:E$1048576,COUNTA(E$19:E$1048576)-3)</f>
        <v/>
      </c>
      <c r="F5" s="1006">
        <f t="array" ref="F5">INDEX(F$31:F$1048576,COUNTA(F$31:F$1048576))-INDEX(F$31:F$1048576,COUNTA(F$31:F$1048576)-3)</f>
        <v/>
      </c>
      <c r="G5" s="1006">
        <f t="array" ref="G5">INDEX(G$33:G$1048576,COUNTA(G$33:G$1048576))-INDEX(G$33:G$1048576,COUNTA(G$33:G$1048576)-3)</f>
        <v/>
      </c>
      <c r="H5" s="1031">
        <f t="array" ref="H5">INDEX(H$19:H$1048576,COUNTA(H$19:H$1048576))-INDEX(H$19:H$1048576,COUNTA(H$19:H$1048576)-3)</f>
        <v/>
      </c>
      <c r="I5" s="1006">
        <f t="array" ref="I5">INDEX(I$31:I$1048576,COUNTA(I$31:I$1048576))-INDEX(I$31:I$1048576,COUNTA(I$31:I$1048576)-3)</f>
        <v/>
      </c>
      <c r="J5" s="1006">
        <f t="array" ref="J5">INDEX(J$33:J$1048576,COUNTA(J$33:J$1048576))-INDEX(J$33:J$1048576,COUNTA(J$33:J$1048576)-3)</f>
        <v/>
      </c>
      <c r="K5" s="1031">
        <f t="array" ref="K5">INDEX(K$19:K$1048576,COUNTA(K$19:K$1048576))-INDEX(K$19:K$1048576,COUNTA(K$19:K$1048576)-3)</f>
        <v/>
      </c>
      <c r="L5" s="1006">
        <f t="array" ref="L5">INDEX(L$31:L$1048576,COUNTA(L$31:L$1048576))-INDEX(L$31:L$1048576,COUNTA(L$31:L$1048576)-3)</f>
        <v/>
      </c>
      <c r="M5" s="1006">
        <f t="array" ref="M5">INDEX(M$33:M$1048576,COUNTA(M$33:M$1048576))-INDEX(M$33:M$1048576,COUNTA(M$33:M$1048576)-3)</f>
        <v/>
      </c>
      <c r="N5" s="1031">
        <f t="array" ref="N5">INDEX(N$19:N$1048576,COUNTA(N$19:N$1048576))-INDEX(N$19:N$1048576,COUNTA(N$19:N$1048576)-3)</f>
        <v/>
      </c>
      <c r="O5" s="1006">
        <f t="array" ref="O5">INDEX(O$31:O$1048576,COUNTA(O$31:O$1048576))-INDEX(O$31:O$1048576,COUNTA(O$31:O$1048576)-3)</f>
        <v/>
      </c>
      <c r="P5" s="1006">
        <f t="array" ref="P5">INDEX(P$33:P$1048576,COUNTA(P$33:P$1048576))-INDEX(P$33:P$1048576,COUNTA(P$33:P$1048576)-3)</f>
        <v/>
      </c>
      <c r="Q5" s="1031">
        <f t="array" ref="Q5">INDEX(Q$19:Q$1048576,COUNTA(Q$19:Q$1048576))-INDEX(Q$19:Q$1048576,COUNTA(Q$19:Q$1048576)-3)</f>
        <v/>
      </c>
      <c r="R5" s="1006">
        <f t="array" ref="R5">INDEX(R$31:R$1048576,COUNTA(R$31:R$1048576))-INDEX(R$31:R$1048576,COUNTA(R$31:R$1048576)-3)</f>
        <v/>
      </c>
      <c r="S5" s="1006">
        <f t="array" ref="S5">INDEX(S$33:S$1048576,COUNTA(S$33:S$1048576))-INDEX(S$33:S$1048576,COUNTA(S$33:S$1048576)-3)</f>
        <v/>
      </c>
      <c r="T5" s="1031">
        <f t="array" ref="T5">INDEX(T$19:T$1048576,COUNTA(T$19:T$1048576))-INDEX(T$19:T$1048576,COUNTA(T$19:T$1048576)-3)</f>
        <v/>
      </c>
      <c r="U5" s="1006">
        <f t="array" ref="U5">INDEX(U$31:U$1048576,COUNTA(U$31:U$1048576))-INDEX(U$31:U$1048576,COUNTA(U$31:U$1048576)-3)</f>
        <v/>
      </c>
      <c r="V5" s="1006">
        <f t="array" ref="V5">INDEX(V$33:V$1048576,COUNTA(V$33:V$1048576))-INDEX(V$33:V$1048576,COUNTA(V$33:V$1048576)-3)</f>
        <v/>
      </c>
      <c r="W5" s="1031">
        <f t="array" ref="W5">INDEX(W$19:W$1048576,COUNTA(W$19:W$1048576))-INDEX(W$19:W$1048576,COUNTA(W$19:W$1048576)-3)</f>
        <v/>
      </c>
      <c r="X5" s="1006">
        <f t="array" ref="X5">INDEX(X$31:X$1048576,COUNTA(X$31:X$1048576))-INDEX(X$31:X$1048576,COUNTA(X$31:X$1048576)-3)</f>
        <v/>
      </c>
      <c r="Y5" s="1006">
        <f t="array" ref="Y5">INDEX(Y$33:Y$1048576,COUNTA(Y$33:Y$1048576))-INDEX(Y$33:Y$1048576,COUNTA(Y$33:Y$1048576)-3)</f>
        <v/>
      </c>
      <c r="Z5" s="1031">
        <f t="array" ref="Z5">INDEX(Z$19:Z$1048576,COUNTA(Z$19:Z$1048576))-INDEX(Z$19:Z$1048576,COUNTA(Z$19:Z$1048576)-3)</f>
        <v/>
      </c>
      <c r="AA5" s="1006">
        <f t="array" ref="AA5">INDEX(AA$31:AA$1048576,COUNTA(AA$31:AA$1048576))-INDEX(AA$31:AA$1048576,COUNTA(AA$31:AA$1048576)-3)</f>
        <v/>
      </c>
      <c r="AB5" s="1006">
        <f t="array" ref="AB5">INDEX(AB$33:AB$1048576,COUNTA(AB$33:AB$1048576))-INDEX(AB$33:AB$1048576,COUNTA(AB$33:AB$1048576)-3)</f>
        <v/>
      </c>
    </row>
    <row r="6" ht="13" customHeight="1" s="828">
      <c r="A6" s="419" t="inlineStr">
        <is>
          <t>year on year change</t>
        </is>
      </c>
      <c r="B6" s="1031">
        <f t="array" ref="B6">INDEX(B$19:B$1048576,COUNTA(B$19:B$1048576))-INDEX(B$19:B$1048576,COUNTA(B$19:B$1048576)-12)</f>
        <v/>
      </c>
      <c r="C6" s="1006">
        <f t="array" ref="C6">INDEX(C$31:C$1048576,COUNTA(C$31:C$1048576))-INDEX(C$31:C$1048576,COUNTA(C$31:C$1048576)-12)</f>
        <v/>
      </c>
      <c r="D6" s="1006">
        <f t="array" ref="D6">INDEX(D$33:D$1048576,COUNTA(D$33:D$1048576))-INDEX(D$33:D$1048576,COUNTA(D$33:D$1048576)-12)</f>
        <v/>
      </c>
      <c r="E6" s="1031">
        <f t="array" ref="E6">INDEX(E$19:E$1048576,COUNTA(E$19:E$1048576))-INDEX(E$19:E$1048576,COUNTA(E$19:E$1048576)-12)</f>
        <v/>
      </c>
      <c r="F6" s="1006">
        <f t="array" ref="F6">INDEX(F$31:F$1048576,COUNTA(F$31:F$1048576))-INDEX(F$31:F$1048576,COUNTA(F$31:F$1048576)-12)</f>
        <v/>
      </c>
      <c r="G6" s="1006">
        <f t="array" ref="G6">INDEX(G$33:G$1048576,COUNTA(G$33:G$1048576))-INDEX(G$33:G$1048576,COUNTA(G$33:G$1048576)-12)</f>
        <v/>
      </c>
      <c r="H6" s="1031">
        <f t="array" ref="H6">INDEX(H$19:H$1048576,COUNTA(H$19:H$1048576))-INDEX(H$19:H$1048576,COUNTA(H$19:H$1048576)-12)</f>
        <v/>
      </c>
      <c r="I6" s="1006">
        <f t="array" ref="I6">INDEX(I$31:I$1048576,COUNTA(I$31:I$1048576))-INDEX(I$31:I$1048576,COUNTA(I$31:I$1048576)-12)</f>
        <v/>
      </c>
      <c r="J6" s="1006">
        <f t="array" ref="J6">INDEX(J$33:J$1048576,COUNTA(J$33:J$1048576))-INDEX(J$33:J$1048576,COUNTA(J$33:J$1048576)-12)</f>
        <v/>
      </c>
      <c r="K6" s="1031">
        <f t="array" ref="K6">INDEX(K$19:K$1048576,COUNTA(K$19:K$1048576))-INDEX(K$19:K$1048576,COUNTA(K$19:K$1048576)-12)</f>
        <v/>
      </c>
      <c r="L6" s="1006">
        <f t="array" ref="L6">INDEX(L$31:L$1048576,COUNTA(L$31:L$1048576))-INDEX(L$31:L$1048576,COUNTA(L$31:L$1048576)-12)</f>
        <v/>
      </c>
      <c r="M6" s="1006">
        <f t="array" ref="M6">INDEX(M$33:M$1048576,COUNTA(M$33:M$1048576))-INDEX(M$33:M$1048576,COUNTA(M$33:M$1048576)-12)</f>
        <v/>
      </c>
      <c r="N6" s="1031">
        <f t="array" ref="N6">INDEX(N$19:N$1048576,COUNTA(N$19:N$1048576))-INDEX(N$19:N$1048576,COUNTA(N$19:N$1048576)-12)</f>
        <v/>
      </c>
      <c r="O6" s="1006">
        <f t="array" ref="O6">INDEX(O$31:O$1048576,COUNTA(O$31:O$1048576))-INDEX(O$31:O$1048576,COUNTA(O$31:O$1048576)-12)</f>
        <v/>
      </c>
      <c r="P6" s="1006">
        <f t="array" ref="P6">INDEX(P$33:P$1048576,COUNTA(P$33:P$1048576))-INDEX(P$33:P$1048576,COUNTA(P$33:P$1048576)-12)</f>
        <v/>
      </c>
      <c r="Q6" s="1031">
        <f t="array" ref="Q6">INDEX(Q$19:Q$1048576,COUNTA(Q$19:Q$1048576))-INDEX(Q$19:Q$1048576,COUNTA(Q$19:Q$1048576)-12)</f>
        <v/>
      </c>
      <c r="R6" s="1006">
        <f t="array" ref="R6">INDEX(R$31:R$1048576,COUNTA(R$31:R$1048576))-INDEX(R$31:R$1048576,COUNTA(R$31:R$1048576)-12)</f>
        <v/>
      </c>
      <c r="S6" s="1006">
        <f t="array" ref="S6">INDEX(S$33:S$1048576,COUNTA(S$33:S$1048576))-INDEX(S$33:S$1048576,COUNTA(S$33:S$1048576)-12)</f>
        <v/>
      </c>
      <c r="T6" s="1031">
        <f t="array" ref="T6">INDEX(T$19:T$1048576,COUNTA(T$19:T$1048576))-INDEX(T$19:T$1048576,COUNTA(T$19:T$1048576)-12)</f>
        <v/>
      </c>
      <c r="U6" s="1006">
        <f t="array" ref="U6">INDEX(U$31:U$1048576,COUNTA(U$31:U$1048576))-INDEX(U$31:U$1048576,COUNTA(U$31:U$1048576)-12)</f>
        <v/>
      </c>
      <c r="V6" s="1006">
        <f t="array" ref="V6">INDEX(V$33:V$1048576,COUNTA(V$33:V$1048576))-INDEX(V$33:V$1048576,COUNTA(V$33:V$1048576)-12)</f>
        <v/>
      </c>
      <c r="W6" s="1031">
        <f t="array" ref="W6">INDEX(W$19:W$1048576,COUNTA(W$19:W$1048576))-INDEX(W$19:W$1048576,COUNTA(W$19:W$1048576)-12)</f>
        <v/>
      </c>
      <c r="X6" s="1006">
        <f t="array" ref="X6">INDEX(X$31:X$1048576,COUNTA(X$31:X$1048576))-INDEX(X$31:X$1048576,COUNTA(X$31:X$1048576)-12)</f>
        <v/>
      </c>
      <c r="Y6" s="1006">
        <f t="array" ref="Y6">INDEX(Y$33:Y$1048576,COUNTA(Y$33:Y$1048576))-INDEX(Y$33:Y$1048576,COUNTA(Y$33:Y$1048576)-12)</f>
        <v/>
      </c>
      <c r="Z6" s="1031">
        <f t="array" ref="Z6">INDEX(Z$19:Z$1048576,COUNTA(Z$19:Z$1048576))-INDEX(Z$19:Z$1048576,COUNTA(Z$19:Z$1048576)-12)</f>
        <v/>
      </c>
      <c r="AA6" s="1006">
        <f t="array" ref="AA6">INDEX(AA$31:AA$1048576,COUNTA(AA$31:AA$1048576))-INDEX(AA$31:AA$1048576,COUNTA(AA$31:AA$1048576)-12)</f>
        <v/>
      </c>
      <c r="AB6" s="1006">
        <f t="array" ref="AB6">INDEX(AB$33:AB$1048576,COUNTA(AB$33:AB$1048576))-INDEX(AB$33:AB$1048576,COUNTA(AB$33:AB$1048576)-12)</f>
        <v/>
      </c>
    </row>
    <row r="7" ht="13" customHeight="1" s="828">
      <c r="A7" s="419" t="inlineStr">
        <is>
          <t>Since pandemic</t>
        </is>
      </c>
      <c r="B7" s="1031">
        <f t="array" ref="B7">INDEX(B$19:B$1048576,COUNTA(B$19:B$1048576))-B$260</f>
        <v/>
      </c>
      <c r="C7" s="1006">
        <f t="array" ref="C7">INDEX(C$31:C$1048576,COUNTA(C$31:C$1048576))-C$260</f>
        <v/>
      </c>
      <c r="D7" s="1006">
        <f t="array" ref="D7">INDEX(D$31:D$1048576,COUNTA(D$31:D$1048576))-D$260</f>
        <v/>
      </c>
      <c r="E7" s="1031">
        <f t="array" ref="E7">INDEX(E$19:E$1048576,COUNTA(E$19:E$1048576))-E$260</f>
        <v/>
      </c>
      <c r="F7" s="1006">
        <f t="array" ref="F7">INDEX(F$31:F$1048576,COUNTA(F$31:F$1048576))-F$260</f>
        <v/>
      </c>
      <c r="G7" s="1006">
        <f t="array" ref="G7">INDEX(G$31:G$1048576,COUNTA(G$31:G$1048576))-G$260</f>
        <v/>
      </c>
      <c r="H7" s="1031">
        <f t="array" ref="H7">INDEX(H$19:H$1048576,COUNTA(H$19:H$1048576))-H$260</f>
        <v/>
      </c>
      <c r="I7" s="1006">
        <f t="array" ref="I7">INDEX(I$31:I$1048576,COUNTA(I$31:I$1048576))-I$260</f>
        <v/>
      </c>
      <c r="J7" s="1006">
        <f t="array" ref="J7">INDEX(J$31:J$1048576,COUNTA(J$31:J$1048576))-J$260</f>
        <v/>
      </c>
      <c r="K7" s="1031">
        <f t="array" ref="K7">INDEX(K$19:K$1048576,COUNTA(K$19:K$1048576))-K$260</f>
        <v/>
      </c>
      <c r="L7" s="1006">
        <f t="array" ref="L7">INDEX(L$31:L$1048576,COUNTA(L$31:L$1048576))-L$260</f>
        <v/>
      </c>
      <c r="M7" s="1006">
        <f t="array" ref="M7">INDEX(M$31:M$1048576,COUNTA(M$31:M$1048576))-M$260</f>
        <v/>
      </c>
      <c r="N7" s="1031">
        <f t="array" ref="N7">INDEX(N$19:N$1048576,COUNTA(N$19:N$1048576))-N$260</f>
        <v/>
      </c>
      <c r="O7" s="1006">
        <f t="array" ref="O7">INDEX(O$31:O$1048576,COUNTA(O$31:O$1048576))-O$260</f>
        <v/>
      </c>
      <c r="P7" s="1006">
        <f t="array" ref="P7">INDEX(P$31:P$1048576,COUNTA(P$31:P$1048576))-P$260</f>
        <v/>
      </c>
      <c r="Q7" s="1031">
        <f t="array" ref="Q7">INDEX(Q$19:Q$1048576,COUNTA(Q$19:Q$1048576))-Q$260</f>
        <v/>
      </c>
      <c r="R7" s="1006">
        <f t="array" ref="R7">INDEX(R$31:R$1048576,COUNTA(R$31:R$1048576))-R$260</f>
        <v/>
      </c>
      <c r="S7" s="1006">
        <f t="array" ref="S7">INDEX(S$31:S$1048576,COUNTA(S$31:S$1048576))-S$260</f>
        <v/>
      </c>
      <c r="T7" s="1031">
        <f t="array" ref="T7">INDEX(T$19:T$1048576,COUNTA(T$19:T$1048576))-T$260</f>
        <v/>
      </c>
      <c r="U7" s="1006">
        <f t="array" ref="U7">INDEX(U$31:U$1048576,COUNTA(U$31:U$1048576))-U$260</f>
        <v/>
      </c>
      <c r="V7" s="1006">
        <f t="array" ref="V7">INDEX(V$31:V$1048576,COUNTA(V$31:V$1048576))-V$260</f>
        <v/>
      </c>
      <c r="W7" s="1031">
        <f t="array" ref="W7">INDEX(W$19:W$1048576,COUNTA(W$19:W$1048576))-W$260</f>
        <v/>
      </c>
      <c r="X7" s="1006">
        <f t="array" ref="X7">INDEX(X$31:X$1048576,COUNTA(X$31:X$1048576))-X$260</f>
        <v/>
      </c>
      <c r="Y7" s="1006">
        <f t="array" ref="Y7">INDEX(Y$31:Y$1048576,COUNTA(Y$31:Y$1048576))-Y$260</f>
        <v/>
      </c>
      <c r="Z7" s="1031">
        <f t="array" ref="Z7">INDEX(Z$19:Z$1048576,COUNTA(Z$19:Z$1048576))-Z$260</f>
        <v/>
      </c>
      <c r="AA7" s="1006">
        <f t="array" ref="AA7">INDEX(AA$31:AA$1048576,COUNTA(AA$31:AA$1048576))-AA$260</f>
        <v/>
      </c>
      <c r="AB7" s="1006">
        <f t="array" ref="AB7">INDEX(AB$31:AB$1048576,COUNTA(AB$31:AB$1048576))-AB$260</f>
        <v/>
      </c>
    </row>
    <row r="8" ht="13" customHeight="1" s="828">
      <c r="A8" s="419" t="inlineStr">
        <is>
          <t>Since 2010 election</t>
        </is>
      </c>
      <c r="B8" s="1031">
        <f t="array" ref="B8">INDEX(B$19:B$1048576,COUNTA(B$19:B$1048576))-B$142</f>
        <v/>
      </c>
      <c r="C8" s="1006">
        <f t="array" ref="C8">INDEX(C$31:C$1048576,COUNTA(C$31:C$1048576))-C$142</f>
        <v/>
      </c>
      <c r="D8" s="1006">
        <f t="array" ref="D8">INDEX(D$31:D$1048576,COUNTA(D$31:D$1048576))-D$142</f>
        <v/>
      </c>
      <c r="E8" s="1031">
        <f t="array" ref="E8">INDEX(E$19:E$1048576,COUNTA(E$19:E$1048576))-E$142</f>
        <v/>
      </c>
      <c r="F8" s="1006">
        <f t="array" ref="F8">INDEX(F$31:F$1048576,COUNTA(F$31:F$1048576))-F$142</f>
        <v/>
      </c>
      <c r="G8" s="1006">
        <f t="array" ref="G8">INDEX(G$31:G$1048576,COUNTA(G$31:G$1048576))-G$142</f>
        <v/>
      </c>
      <c r="H8" s="1031">
        <f t="array" ref="H8">INDEX(H$19:H$1048576,COUNTA(H$19:H$1048576))-H$142</f>
        <v/>
      </c>
      <c r="I8" s="1006">
        <f t="array" ref="I8">INDEX(I$31:I$1048576,COUNTA(I$31:I$1048576))-I$142</f>
        <v/>
      </c>
      <c r="J8" s="1006">
        <f t="array" ref="J8">INDEX(J$31:J$1048576,COUNTA(J$31:J$1048576))-J$142</f>
        <v/>
      </c>
      <c r="K8" s="1031">
        <f t="array" ref="K8">INDEX(K$19:K$1048576,COUNTA(K$19:K$1048576))-K$142</f>
        <v/>
      </c>
      <c r="L8" s="1006">
        <f t="array" ref="L8">INDEX(L$31:L$1048576,COUNTA(L$31:L$1048576))-L$142</f>
        <v/>
      </c>
      <c r="M8" s="1006">
        <f t="array" ref="M8">INDEX(M$31:M$1048576,COUNTA(M$31:M$1048576))-M$142</f>
        <v/>
      </c>
      <c r="N8" s="1031">
        <f t="array" ref="N8">INDEX(N$19:N$1048576,COUNTA(N$19:N$1048576))-N$142</f>
        <v/>
      </c>
      <c r="O8" s="1006">
        <f t="array" ref="O8">INDEX(O$31:O$1048576,COUNTA(O$31:O$1048576))-O$142</f>
        <v/>
      </c>
      <c r="P8" s="1006">
        <f t="array" ref="P8">INDEX(P$31:P$1048576,COUNTA(P$31:P$1048576))-P$142</f>
        <v/>
      </c>
      <c r="Q8" s="1031">
        <f t="array" ref="Q8">INDEX(Q$19:Q$1048576,COUNTA(Q$19:Q$1048576))-Q$142</f>
        <v/>
      </c>
      <c r="R8" s="1006">
        <f t="array" ref="R8">INDEX(R$31:R$1048576,COUNTA(R$31:R$1048576))-R$142</f>
        <v/>
      </c>
      <c r="S8" s="1006">
        <f t="array" ref="S8">INDEX(S$31:S$1048576,COUNTA(S$31:S$1048576))-S$142</f>
        <v/>
      </c>
      <c r="T8" s="1031">
        <f t="array" ref="T8">INDEX(T$19:T$1048576,COUNTA(T$19:T$1048576))-T$142</f>
        <v/>
      </c>
      <c r="U8" s="1006">
        <f t="array" ref="U8">INDEX(U$31:U$1048576,COUNTA(U$31:U$1048576))-U$142</f>
        <v/>
      </c>
      <c r="V8" s="1006">
        <f t="array" ref="V8">INDEX(V$31:V$1048576,COUNTA(V$31:V$1048576))-V$142</f>
        <v/>
      </c>
      <c r="W8" s="1031">
        <f t="array" ref="W8">INDEX(W$19:W$1048576,COUNTA(W$19:W$1048576))-W$142</f>
        <v/>
      </c>
      <c r="X8" s="1006">
        <f t="array" ref="X8">INDEX(X$31:X$1048576,COUNTA(X$31:X$1048576))-X$142</f>
        <v/>
      </c>
      <c r="Y8" s="1006">
        <f t="array" ref="Y8">INDEX(Y$31:Y$1048576,COUNTA(Y$31:Y$1048576))-Y$142</f>
        <v/>
      </c>
      <c r="Z8" s="1031">
        <f t="array" ref="Z8">INDEX(Z$19:Z$1048576,COUNTA(Z$19:Z$1048576))-Z$142</f>
        <v/>
      </c>
      <c r="AA8" s="1006">
        <f t="array" ref="AA8">INDEX(AA$31:AA$1048576,COUNTA(AA$31:AA$1048576))-AA$142</f>
        <v/>
      </c>
      <c r="AB8" s="1006">
        <f t="array" ref="AB8">INDEX(AB$31:AB$1048576,COUNTA(AB$31:AB$1048576))-AB$142</f>
        <v/>
      </c>
    </row>
    <row r="10" ht="19.5" customFormat="1" customHeight="1" s="64">
      <c r="A10" s="11" t="inlineStr">
        <is>
          <t>Table 15:  Average Weekly Earnings (nominal) - Regular Pay (Great Britain, seasonally adjusted)1</t>
        </is>
      </c>
      <c r="B10" s="11" t="n"/>
      <c r="C10" s="11" t="n"/>
      <c r="D10" s="11" t="n"/>
      <c r="E10" s="1036" t="n"/>
      <c r="F10" s="1036" t="n"/>
      <c r="G10" s="1036" t="n"/>
      <c r="H10" s="28" t="n"/>
      <c r="I10" s="1037" t="n"/>
      <c r="J10" s="1038" t="n"/>
      <c r="K10" s="31" t="n"/>
      <c r="L10" s="1037" t="n"/>
      <c r="M10" s="1037" t="inlineStr">
        <is>
          <t xml:space="preserve">Source: Monthly Wages &amp; Salaries Survey </t>
        </is>
      </c>
      <c r="O10" s="1057" t="n"/>
      <c r="P10" s="1057" t="n"/>
      <c r="R10" s="1057" t="n"/>
      <c r="S10" s="1057" t="n"/>
      <c r="T10" s="66" t="n"/>
      <c r="U10" s="1057" t="n"/>
      <c r="V10" s="1057" t="n"/>
      <c r="X10" s="1057" t="n"/>
      <c r="Y10" s="1057" t="n"/>
      <c r="Z10" s="66" t="n"/>
      <c r="AA10" s="1058" t="n"/>
      <c r="AB10" s="1058" t="n"/>
    </row>
    <row r="11" ht="19.5" customFormat="1" customHeight="1" s="37">
      <c r="A11" s="853" t="inlineStr">
        <is>
          <t>Date of publication:</t>
        </is>
      </c>
      <c r="B11" s="28" t="n"/>
      <c r="C11" s="28" t="n"/>
      <c r="D11" s="28" t="n"/>
      <c r="E11" s="969" t="n">
        <v>45643</v>
      </c>
      <c r="G11" s="853" t="n"/>
      <c r="H11" s="853" t="inlineStr">
        <is>
          <t>Date of next publication:</t>
        </is>
      </c>
      <c r="K11" s="853" t="n"/>
      <c r="L11" s="969" t="n">
        <v>45678</v>
      </c>
      <c r="O11" s="1042" t="n"/>
      <c r="P11" s="1042" t="n"/>
      <c r="R11" s="1042" t="n"/>
      <c r="S11" s="1040" t="n"/>
      <c r="T11" s="40" t="n"/>
      <c r="U11" s="1042" t="n"/>
      <c r="V11" s="1042" t="n"/>
      <c r="X11" s="1042" t="n"/>
      <c r="Y11" s="1042" t="n"/>
      <c r="Z11" s="40" t="n"/>
      <c r="AA11" s="1059" t="n"/>
      <c r="AB11" s="1059" t="n"/>
    </row>
    <row r="12" ht="19.5" customFormat="1" customHeight="1" s="42">
      <c r="A12" s="15" t="inlineStr">
        <is>
          <t xml:space="preserve">Inquiries: Email: </t>
        </is>
      </c>
      <c r="B12" s="28" t="n"/>
      <c r="C12" s="19" t="inlineStr">
        <is>
          <t xml:space="preserve">labour.market@ons.gov.uk </t>
        </is>
      </c>
      <c r="D12" s="28" t="n"/>
      <c r="E12" s="28" t="n"/>
      <c r="F12" s="1043" t="n"/>
      <c r="G12" s="1043" t="n"/>
      <c r="I12" s="853" t="n"/>
      <c r="J12" s="17" t="inlineStr">
        <is>
          <t>Tel: 01633 455400</t>
        </is>
      </c>
      <c r="K12" s="28" t="n"/>
      <c r="L12" s="28" t="n"/>
      <c r="M12" s="1037" t="n"/>
      <c r="O12" s="1045" t="n"/>
      <c r="P12" s="1045" t="n"/>
      <c r="R12" s="1045" t="n"/>
      <c r="S12" s="1045" t="n"/>
      <c r="U12" s="1045" t="n"/>
      <c r="V12" s="1045" t="n"/>
      <c r="X12" s="1045" t="n"/>
      <c r="Y12" s="1045" t="n"/>
      <c r="AA12" s="1045" t="n"/>
      <c r="AB12" s="1045" t="n"/>
    </row>
    <row r="13" ht="12.75" customFormat="1" customHeight="1" s="37" thickBot="1">
      <c r="A13" s="44" t="inlineStr">
        <is>
          <t>Standard Industrial Classification (2007)</t>
        </is>
      </c>
      <c r="B13" s="45" t="n"/>
      <c r="C13" s="1046" t="n"/>
      <c r="D13" s="1046" t="n"/>
      <c r="E13" s="45" t="n"/>
      <c r="F13" s="1046" t="n"/>
      <c r="G13" s="1046" t="n"/>
      <c r="H13" s="45" t="n"/>
      <c r="I13" s="1046" t="n"/>
      <c r="J13" s="1046" t="n"/>
      <c r="K13" s="45" t="n"/>
      <c r="L13" s="1046" t="n"/>
      <c r="M13" s="1046" t="n"/>
      <c r="N13" s="45" t="n"/>
      <c r="O13" s="1046" t="n"/>
      <c r="P13" s="1046" t="n"/>
      <c r="Q13" s="45" t="n"/>
      <c r="R13" s="1046" t="n"/>
      <c r="S13" s="1046" t="n"/>
      <c r="T13" s="45" t="n"/>
      <c r="U13" s="1046" t="n"/>
      <c r="V13" s="1046" t="n"/>
      <c r="W13" s="45" t="n"/>
      <c r="X13" s="1046" t="n"/>
      <c r="Y13" s="1046" t="n"/>
      <c r="Z13" s="45" t="n"/>
      <c r="AA13" s="1046" t="n"/>
      <c r="AB13" s="1046" t="n"/>
    </row>
    <row r="14" ht="35.5" customFormat="1" customHeight="1" s="48">
      <c r="A14" s="47" t="n"/>
      <c r="B14" s="856" t="inlineStr">
        <is>
          <t>Whole Economy</t>
        </is>
      </c>
      <c r="C14" s="925" t="n"/>
      <c r="D14" s="925" t="n"/>
      <c r="E14" s="856" t="inlineStr">
        <is>
          <t>Private sector 3 4 5</t>
        </is>
      </c>
      <c r="F14" s="925" t="n"/>
      <c r="G14" s="925" t="n"/>
      <c r="H14" s="856" t="inlineStr">
        <is>
          <t>Public sector 3 4 5</t>
        </is>
      </c>
      <c r="I14" s="925" t="n"/>
      <c r="J14" s="925" t="n"/>
      <c r="K14" s="858" t="inlineStr">
        <is>
          <t xml:space="preserve">Services, SIC 2007 sections G-S </t>
        </is>
      </c>
      <c r="L14" s="1047" t="n"/>
      <c r="M14" s="1047" t="n"/>
      <c r="N14" s="858" t="inlineStr">
        <is>
          <t>Finance and business services,
SIC 2007 sections K-N</t>
        </is>
      </c>
      <c r="O14" s="1047" t="n"/>
      <c r="P14" s="1047" t="n"/>
      <c r="Q14" s="858" t="inlineStr">
        <is>
          <t xml:space="preserve">Public sector excluding financial services 4 5
</t>
        </is>
      </c>
      <c r="R14" s="1047" t="n"/>
      <c r="S14" s="1047" t="n"/>
      <c r="T14" s="858" t="inlineStr">
        <is>
          <t xml:space="preserve">Manufacturing, SIC 2007 section C </t>
        </is>
      </c>
      <c r="U14" s="1047" t="n"/>
      <c r="V14" s="1047" t="n"/>
      <c r="W14" s="858" t="inlineStr">
        <is>
          <t xml:space="preserve">Construction, SIC 2007 section F </t>
        </is>
      </c>
      <c r="X14" s="1047" t="n"/>
      <c r="Y14" s="1047" t="n"/>
      <c r="Z14" s="858" t="inlineStr">
        <is>
          <t xml:space="preserve">Wholesaling, retailing, hotels &amp; restaurants, SIC 2007 sections G &amp; I </t>
        </is>
      </c>
      <c r="AA14" s="1047" t="n"/>
      <c r="AB14" s="1047" t="n"/>
    </row>
    <row r="15" ht="12.75" customFormat="1" customHeight="1" s="52">
      <c r="A15" s="50" t="n"/>
      <c r="B15" s="1048" t="inlineStr">
        <is>
          <t>Weekly Earnings     (£)</t>
        </is>
      </c>
      <c r="C15" s="862" t="inlineStr">
        <is>
          <t>% changes year on year</t>
        </is>
      </c>
      <c r="D15" s="1004" t="n"/>
      <c r="E15" s="1048" t="inlineStr">
        <is>
          <t>Weekly Earnings     (£)</t>
        </is>
      </c>
      <c r="F15" s="862" t="inlineStr">
        <is>
          <t>% changes year on year</t>
        </is>
      </c>
      <c r="G15" s="1004" t="n"/>
      <c r="H15" s="1048" t="inlineStr">
        <is>
          <t>Weekly Earnings     (£)</t>
        </is>
      </c>
      <c r="I15" s="862" t="inlineStr">
        <is>
          <t>% changes year on year</t>
        </is>
      </c>
      <c r="J15" s="1004" t="n"/>
      <c r="K15" s="1048" t="inlineStr">
        <is>
          <t>Weekly Earnings     (£)</t>
        </is>
      </c>
      <c r="L15" s="862" t="inlineStr">
        <is>
          <t>% changes year on year</t>
        </is>
      </c>
      <c r="M15" s="1004" t="n"/>
      <c r="N15" s="1048" t="inlineStr">
        <is>
          <t>Weekly Earnings     (£)</t>
        </is>
      </c>
      <c r="O15" s="862" t="inlineStr">
        <is>
          <t>% changes year on year</t>
        </is>
      </c>
      <c r="P15" s="1004" t="n"/>
      <c r="Q15" s="1048" t="inlineStr">
        <is>
          <t>Weekly Earnings     (£)</t>
        </is>
      </c>
      <c r="R15" s="862" t="inlineStr">
        <is>
          <t>% changes year on year</t>
        </is>
      </c>
      <c r="S15" s="1004" t="n"/>
      <c r="T15" s="1048" t="inlineStr">
        <is>
          <t>Weekly Earnings     (£)</t>
        </is>
      </c>
      <c r="U15" s="862" t="inlineStr">
        <is>
          <t>% changes year on year</t>
        </is>
      </c>
      <c r="V15" s="1004" t="n"/>
      <c r="W15" s="1048" t="inlineStr">
        <is>
          <t>Weekly Earnings     (£)</t>
        </is>
      </c>
      <c r="X15" s="862" t="inlineStr">
        <is>
          <t>% changes year on year</t>
        </is>
      </c>
      <c r="Y15" s="1004" t="n"/>
      <c r="Z15" s="1048" t="inlineStr">
        <is>
          <t>Weekly Earnings     (£)</t>
        </is>
      </c>
      <c r="AA15" s="862" t="inlineStr">
        <is>
          <t>% changes year on year</t>
        </is>
      </c>
      <c r="AB15" s="1004" t="n"/>
    </row>
    <row r="16" ht="18.75" customFormat="1" customHeight="1" s="52">
      <c r="A16" s="50" t="n"/>
      <c r="B16" s="1047" t="n"/>
      <c r="C16" s="51" t="inlineStr">
        <is>
          <t>Single month</t>
        </is>
      </c>
      <c r="D16" s="51" t="inlineStr">
        <is>
          <t>3 month average 2</t>
        </is>
      </c>
      <c r="E16" s="1047" t="n"/>
      <c r="F16" s="51" t="inlineStr">
        <is>
          <t>Single month</t>
        </is>
      </c>
      <c r="G16" s="51" t="inlineStr">
        <is>
          <t>3 month average 2</t>
        </is>
      </c>
      <c r="H16" s="1047" t="n"/>
      <c r="I16" s="51" t="inlineStr">
        <is>
          <t>Single month</t>
        </is>
      </c>
      <c r="J16" s="51" t="inlineStr">
        <is>
          <t>3 month average 2</t>
        </is>
      </c>
      <c r="K16" s="1047" t="n"/>
      <c r="L16" s="51" t="inlineStr">
        <is>
          <t>Single month</t>
        </is>
      </c>
      <c r="M16" s="51" t="inlineStr">
        <is>
          <t>3 month average 2</t>
        </is>
      </c>
      <c r="N16" s="1047" t="n"/>
      <c r="O16" s="51" t="inlineStr">
        <is>
          <t>Single month</t>
        </is>
      </c>
      <c r="P16" s="51" t="inlineStr">
        <is>
          <t>3 month average 2</t>
        </is>
      </c>
      <c r="Q16" s="1047" t="n"/>
      <c r="R16" s="51" t="inlineStr">
        <is>
          <t>Single month</t>
        </is>
      </c>
      <c r="S16" s="51" t="inlineStr">
        <is>
          <t>3 month average 2</t>
        </is>
      </c>
      <c r="T16" s="1047" t="n"/>
      <c r="U16" s="51" t="inlineStr">
        <is>
          <t>Single month</t>
        </is>
      </c>
      <c r="V16" s="51" t="inlineStr">
        <is>
          <t>3 month average 2</t>
        </is>
      </c>
      <c r="W16" s="1047" t="n"/>
      <c r="X16" s="51" t="inlineStr">
        <is>
          <t>Single month</t>
        </is>
      </c>
      <c r="Y16" s="51" t="inlineStr">
        <is>
          <t>3 month average 2</t>
        </is>
      </c>
      <c r="Z16" s="1047" t="n"/>
      <c r="AA16" s="51" t="inlineStr">
        <is>
          <t>Single month</t>
        </is>
      </c>
      <c r="AB16" s="51" t="inlineStr">
        <is>
          <t>3 month average 2</t>
        </is>
      </c>
    </row>
    <row r="17" ht="12.75" customFormat="1" customHeight="1" s="54">
      <c r="A17" s="50" t="n"/>
      <c r="B17" s="69" t="inlineStr">
        <is>
          <t>KAI7</t>
        </is>
      </c>
      <c r="C17" s="69" t="inlineStr">
        <is>
          <t>KAI8</t>
        </is>
      </c>
      <c r="D17" s="69" t="inlineStr">
        <is>
          <t>KAI9</t>
        </is>
      </c>
      <c r="E17" s="69" t="inlineStr">
        <is>
          <t>KAJ2</t>
        </is>
      </c>
      <c r="F17" s="69" t="inlineStr">
        <is>
          <t>KAJ3</t>
        </is>
      </c>
      <c r="G17" s="69" t="inlineStr">
        <is>
          <t>KAJ4</t>
        </is>
      </c>
      <c r="H17" s="69" t="inlineStr">
        <is>
          <t>KAJ5</t>
        </is>
      </c>
      <c r="I17" s="69" t="inlineStr">
        <is>
          <t>KAJ6</t>
        </is>
      </c>
      <c r="J17" s="69" t="inlineStr">
        <is>
          <t>KAJ7</t>
        </is>
      </c>
      <c r="K17" s="69" t="inlineStr">
        <is>
          <t>K5DL</t>
        </is>
      </c>
      <c r="L17" s="69" t="inlineStr">
        <is>
          <t>K5DM</t>
        </is>
      </c>
      <c r="M17" s="69" t="inlineStr">
        <is>
          <t>K5DN</t>
        </is>
      </c>
      <c r="N17" s="69" t="inlineStr">
        <is>
          <t>K5DO</t>
        </is>
      </c>
      <c r="O17" s="69" t="inlineStr">
        <is>
          <t>K5DP</t>
        </is>
      </c>
      <c r="P17" s="69" t="inlineStr">
        <is>
          <t>K5DQ</t>
        </is>
      </c>
      <c r="Q17" s="69" t="inlineStr">
        <is>
          <t>KAK6</t>
        </is>
      </c>
      <c r="R17" s="69" t="inlineStr">
        <is>
          <t>KAK7</t>
        </is>
      </c>
      <c r="S17" s="69" t="inlineStr">
        <is>
          <t>KAK8</t>
        </is>
      </c>
      <c r="T17" s="69" t="inlineStr">
        <is>
          <t>K5DU</t>
        </is>
      </c>
      <c r="U17" s="69" t="inlineStr">
        <is>
          <t>K5DV</t>
        </is>
      </c>
      <c r="V17" s="69" t="inlineStr">
        <is>
          <t>K5DW</t>
        </is>
      </c>
      <c r="W17" s="69" t="inlineStr">
        <is>
          <t>K5DX</t>
        </is>
      </c>
      <c r="X17" s="69" t="inlineStr">
        <is>
          <t>K5DY</t>
        </is>
      </c>
      <c r="Y17" s="69" t="inlineStr">
        <is>
          <t>K5DZ</t>
        </is>
      </c>
      <c r="Z17" s="69" t="inlineStr">
        <is>
          <t>K5E2</t>
        </is>
      </c>
      <c r="AA17" s="69" t="inlineStr">
        <is>
          <t>K5E3</t>
        </is>
      </c>
      <c r="AB17" s="69" t="inlineStr">
        <is>
          <t>K5E4</t>
        </is>
      </c>
    </row>
    <row r="18" ht="12.75" customFormat="1" customHeight="1" s="52">
      <c r="A18" s="50" t="n"/>
      <c r="B18" s="69" t="n"/>
      <c r="C18" s="69" t="n"/>
      <c r="D18" s="69" t="n"/>
      <c r="E18" s="69" t="n"/>
      <c r="F18" s="69" t="n"/>
      <c r="G18" s="69" t="n"/>
      <c r="H18" s="69" t="n"/>
      <c r="I18" s="69" t="n"/>
      <c r="J18" s="69" t="n"/>
      <c r="K18" s="69" t="n"/>
      <c r="L18" s="69" t="n"/>
      <c r="M18" s="69" t="n"/>
      <c r="N18" s="69" t="n"/>
      <c r="O18" s="69" t="n"/>
      <c r="P18" s="69" t="n"/>
      <c r="Q18" s="69" t="n"/>
      <c r="R18" s="69" t="n"/>
      <c r="S18" s="69" t="n"/>
      <c r="T18" s="69" t="n"/>
      <c r="U18" s="69" t="n"/>
      <c r="V18" s="69" t="n"/>
      <c r="W18" s="69" t="n"/>
      <c r="X18" s="69" t="n"/>
      <c r="Y18" s="69" t="n"/>
      <c r="Z18" s="69" t="n"/>
      <c r="AA18" s="69" t="n"/>
      <c r="AB18" s="69" t="n"/>
    </row>
    <row r="19" ht="13" customHeight="1" s="828">
      <c r="A19" s="1049" t="n"/>
      <c r="B19" s="731" t="n"/>
      <c r="C19" s="1050" t="n"/>
      <c r="D19" s="1050" t="n"/>
      <c r="E19" s="731" t="n"/>
      <c r="F19" s="1050" t="n"/>
      <c r="G19" s="1050" t="n"/>
      <c r="H19" s="731" t="n"/>
      <c r="I19" s="1050" t="n"/>
      <c r="J19" s="1050" t="n"/>
      <c r="K19" s="731" t="n"/>
      <c r="L19" s="1050" t="n"/>
      <c r="M19" s="1050" t="n"/>
      <c r="N19" s="731" t="n"/>
      <c r="O19" s="1050" t="n"/>
      <c r="P19" s="1050" t="n"/>
      <c r="Q19" s="731" t="n"/>
      <c r="R19" s="1050" t="n"/>
      <c r="S19" s="1050" t="n"/>
      <c r="T19" s="731" t="n"/>
      <c r="U19" s="1050" t="n"/>
      <c r="V19" s="1050" t="n"/>
      <c r="W19" s="731" t="n"/>
      <c r="X19" s="1050" t="n"/>
      <c r="Y19" s="1050" t="n"/>
      <c r="Z19" s="731" t="n"/>
      <c r="AA19" s="1050" t="n"/>
      <c r="AB19" s="1050" t="n"/>
    </row>
    <row r="20" ht="13" customHeight="1" s="828">
      <c r="A20" s="1049" t="n"/>
      <c r="B20" s="731" t="n"/>
      <c r="C20" s="1050" t="n"/>
      <c r="D20" s="1050" t="n"/>
      <c r="E20" s="731" t="n"/>
      <c r="F20" s="1050" t="n"/>
      <c r="G20" s="1050" t="n"/>
      <c r="H20" s="731" t="n"/>
      <c r="I20" s="1050" t="n"/>
      <c r="J20" s="1050" t="n"/>
      <c r="K20" s="731" t="n"/>
      <c r="L20" s="1050" t="n"/>
      <c r="M20" s="1050" t="n"/>
      <c r="N20" s="731" t="n"/>
      <c r="O20" s="1050" t="n"/>
      <c r="P20" s="1050" t="n"/>
      <c r="Q20" s="731" t="n"/>
      <c r="R20" s="1050" t="n"/>
      <c r="S20" s="1050" t="n"/>
      <c r="T20" s="731" t="n"/>
      <c r="U20" s="1050" t="n"/>
      <c r="V20" s="1050" t="n"/>
      <c r="W20" s="731" t="n"/>
      <c r="X20" s="1050" t="n"/>
      <c r="Y20" s="1050" t="n"/>
      <c r="Z20" s="731" t="n"/>
      <c r="AA20" s="1050" t="n"/>
      <c r="AB20" s="1050" t="n"/>
    </row>
    <row r="21" ht="13" customHeight="1" s="828">
      <c r="A21" s="1049" t="n"/>
      <c r="B21" s="731" t="n"/>
      <c r="C21" s="1050" t="n"/>
      <c r="D21" s="1050" t="n"/>
      <c r="E21" s="731" t="n"/>
      <c r="F21" s="1050" t="n"/>
      <c r="G21" s="1050" t="n"/>
      <c r="H21" s="731" t="n"/>
      <c r="I21" s="1050" t="n"/>
      <c r="J21" s="1050" t="n"/>
      <c r="K21" s="731" t="n"/>
      <c r="L21" s="1050" t="n"/>
      <c r="M21" s="1050" t="n"/>
      <c r="N21" s="731" t="n"/>
      <c r="O21" s="1050" t="n"/>
      <c r="P21" s="1050" t="n"/>
      <c r="Q21" s="731" t="n"/>
      <c r="R21" s="1050" t="n"/>
      <c r="S21" s="1050" t="n"/>
      <c r="T21" s="731" t="n"/>
      <c r="U21" s="1050" t="n"/>
      <c r="V21" s="1050" t="n"/>
      <c r="W21" s="731" t="n"/>
      <c r="X21" s="1050" t="n"/>
      <c r="Y21" s="1050" t="n"/>
      <c r="Z21" s="731" t="n"/>
      <c r="AA21" s="1050" t="n"/>
      <c r="AB21" s="1050" t="n"/>
    </row>
    <row r="22" ht="13" customHeight="1" s="828">
      <c r="A22" s="1049" t="n"/>
      <c r="B22" s="731" t="n"/>
      <c r="C22" s="1050" t="n"/>
      <c r="D22" s="1050" t="n"/>
      <c r="E22" s="731" t="n"/>
      <c r="F22" s="1050" t="n"/>
      <c r="G22" s="1050" t="n"/>
      <c r="H22" s="731" t="n"/>
      <c r="I22" s="1050" t="n"/>
      <c r="J22" s="1050" t="n"/>
      <c r="K22" s="731" t="n"/>
      <c r="L22" s="1050" t="n"/>
      <c r="M22" s="1050" t="n"/>
      <c r="N22" s="731" t="n"/>
      <c r="O22" s="1050" t="n"/>
      <c r="P22" s="1050" t="n"/>
      <c r="Q22" s="731" t="n"/>
      <c r="R22" s="1050" t="n"/>
      <c r="S22" s="1050" t="n"/>
      <c r="T22" s="731" t="n"/>
      <c r="U22" s="1050" t="n"/>
      <c r="V22" s="1050" t="n"/>
      <c r="W22" s="731" t="n"/>
      <c r="X22" s="1050" t="n"/>
      <c r="Y22" s="1050" t="n"/>
      <c r="Z22" s="731" t="n"/>
      <c r="AA22" s="1050" t="n"/>
      <c r="AB22" s="1050" t="n"/>
    </row>
    <row r="23" ht="13" customHeight="1" s="828">
      <c r="A23" s="1049" t="n"/>
      <c r="B23" s="731" t="n"/>
      <c r="C23" s="1050" t="n"/>
      <c r="D23" s="1050" t="n"/>
      <c r="E23" s="731" t="n"/>
      <c r="F23" s="1050" t="n"/>
      <c r="G23" s="1050" t="n"/>
      <c r="H23" s="731" t="n"/>
      <c r="I23" s="1050" t="n"/>
      <c r="J23" s="1050" t="n"/>
      <c r="K23" s="731" t="n"/>
      <c r="L23" s="1050" t="n"/>
      <c r="M23" s="1050" t="n"/>
      <c r="N23" s="731" t="n"/>
      <c r="O23" s="1050" t="n"/>
      <c r="P23" s="1050" t="n"/>
      <c r="Q23" s="731" t="n"/>
      <c r="R23" s="1050" t="n"/>
      <c r="S23" s="1050" t="n"/>
      <c r="T23" s="731" t="n"/>
      <c r="U23" s="1050" t="n"/>
      <c r="V23" s="1050" t="n"/>
      <c r="W23" s="731" t="n"/>
      <c r="X23" s="1050" t="n"/>
      <c r="Y23" s="1050" t="n"/>
      <c r="Z23" s="731" t="n"/>
      <c r="AA23" s="1050" t="n"/>
      <c r="AB23" s="1050" t="n"/>
    </row>
    <row r="24" ht="13" customHeight="1" s="828">
      <c r="A24" s="1049" t="n"/>
      <c r="B24" s="731" t="n"/>
      <c r="C24" s="1050" t="n"/>
      <c r="D24" s="1050" t="n"/>
      <c r="E24" s="731" t="n"/>
      <c r="F24" s="1050" t="n"/>
      <c r="G24" s="1050" t="n"/>
      <c r="H24" s="731" t="n"/>
      <c r="I24" s="1050" t="n"/>
      <c r="J24" s="1050" t="n"/>
      <c r="K24" s="731" t="n"/>
      <c r="L24" s="1050" t="n"/>
      <c r="M24" s="1050" t="n"/>
      <c r="N24" s="731" t="n"/>
      <c r="O24" s="1050" t="n"/>
      <c r="P24" s="1050" t="n"/>
      <c r="Q24" s="731" t="n"/>
      <c r="R24" s="1050" t="n"/>
      <c r="S24" s="1050" t="n"/>
      <c r="T24" s="731" t="n"/>
      <c r="U24" s="1050" t="n"/>
      <c r="V24" s="1050" t="n"/>
      <c r="W24" s="731" t="n"/>
      <c r="X24" s="1050" t="n"/>
      <c r="Y24" s="1050" t="n"/>
      <c r="Z24" s="731" t="n"/>
      <c r="AA24" s="1050" t="n"/>
      <c r="AB24" s="1050" t="n"/>
    </row>
    <row r="25" ht="13" customHeight="1" s="828">
      <c r="A25" s="1049" t="n"/>
      <c r="B25" s="731" t="n"/>
      <c r="C25" s="1050" t="n"/>
      <c r="D25" s="1050" t="n"/>
      <c r="E25" s="731" t="n"/>
      <c r="F25" s="1050" t="n"/>
      <c r="G25" s="1050" t="n"/>
      <c r="H25" s="731" t="n"/>
      <c r="I25" s="1050" t="n"/>
      <c r="J25" s="1050" t="n"/>
      <c r="K25" s="731" t="n"/>
      <c r="L25" s="1050" t="n"/>
      <c r="M25" s="1050" t="n"/>
      <c r="N25" s="731" t="n"/>
      <c r="O25" s="1050" t="n"/>
      <c r="P25" s="1050" t="n"/>
      <c r="Q25" s="731" t="n"/>
      <c r="R25" s="1050" t="n"/>
      <c r="S25" s="1050" t="n"/>
      <c r="T25" s="731" t="n"/>
      <c r="U25" s="1050" t="n"/>
      <c r="V25" s="1050" t="n"/>
      <c r="W25" s="731" t="n"/>
      <c r="X25" s="1050" t="n"/>
      <c r="Y25" s="1050" t="n"/>
      <c r="Z25" s="731" t="n"/>
      <c r="AA25" s="1050" t="n"/>
      <c r="AB25" s="1050" t="n"/>
    </row>
    <row r="26" ht="13" customHeight="1" s="828">
      <c r="A26" s="1049" t="n"/>
      <c r="B26" s="731" t="n"/>
      <c r="C26" s="1050" t="n"/>
      <c r="D26" s="1050" t="n"/>
      <c r="E26" s="731" t="n"/>
      <c r="F26" s="1050" t="n"/>
      <c r="G26" s="1050" t="n"/>
      <c r="H26" s="731" t="n"/>
      <c r="I26" s="1050" t="n"/>
      <c r="J26" s="1050" t="n"/>
      <c r="K26" s="731" t="n"/>
      <c r="L26" s="1050" t="n"/>
      <c r="M26" s="1050" t="n"/>
      <c r="N26" s="731" t="n"/>
      <c r="O26" s="1050" t="n"/>
      <c r="P26" s="1050" t="n"/>
      <c r="Q26" s="731" t="n"/>
      <c r="R26" s="1050" t="n"/>
      <c r="S26" s="1050" t="n"/>
      <c r="T26" s="731" t="n"/>
      <c r="U26" s="1050" t="n"/>
      <c r="V26" s="1050" t="n"/>
      <c r="W26" s="731" t="n"/>
      <c r="X26" s="1050" t="n"/>
      <c r="Y26" s="1050" t="n"/>
      <c r="Z26" s="731" t="n"/>
      <c r="AA26" s="1050" t="n"/>
      <c r="AB26" s="1050" t="n"/>
    </row>
    <row r="27" ht="13" customHeight="1" s="828">
      <c r="A27" s="1049" t="n"/>
      <c r="B27" s="731" t="n"/>
      <c r="C27" s="1050" t="n"/>
      <c r="D27" s="1050" t="n"/>
      <c r="E27" s="731" t="n"/>
      <c r="F27" s="1050" t="n"/>
      <c r="G27" s="1050" t="n"/>
      <c r="H27" s="731" t="n"/>
      <c r="I27" s="1050" t="n"/>
      <c r="J27" s="1050" t="n"/>
      <c r="K27" s="731" t="n"/>
      <c r="L27" s="1050" t="n"/>
      <c r="M27" s="1050" t="n"/>
      <c r="N27" s="731" t="n"/>
      <c r="O27" s="1050" t="n"/>
      <c r="P27" s="1050" t="n"/>
      <c r="Q27" s="731" t="n"/>
      <c r="R27" s="1050" t="n"/>
      <c r="S27" s="1050" t="n"/>
      <c r="T27" s="731" t="n"/>
      <c r="U27" s="1050" t="n"/>
      <c r="V27" s="1050" t="n"/>
      <c r="W27" s="731" t="n"/>
      <c r="X27" s="1050" t="n"/>
      <c r="Y27" s="1050" t="n"/>
      <c r="Z27" s="731" t="n"/>
      <c r="AA27" s="1050" t="n"/>
      <c r="AB27" s="1050" t="n"/>
    </row>
    <row r="28" ht="13" customHeight="1" s="828">
      <c r="A28" s="1049" t="n"/>
      <c r="B28" s="731" t="n"/>
      <c r="C28" s="1050" t="n"/>
      <c r="D28" s="1050" t="n"/>
      <c r="E28" s="731" t="n"/>
      <c r="F28" s="1050" t="n"/>
      <c r="G28" s="1050" t="n"/>
      <c r="H28" s="731" t="n"/>
      <c r="I28" s="1050" t="n"/>
      <c r="J28" s="1050" t="n"/>
      <c r="K28" s="731" t="n"/>
      <c r="L28" s="1050" t="n"/>
      <c r="M28" s="1050" t="n"/>
      <c r="N28" s="731" t="n"/>
      <c r="O28" s="1050" t="n"/>
      <c r="P28" s="1050" t="n"/>
      <c r="Q28" s="731" t="n"/>
      <c r="R28" s="1050" t="n"/>
      <c r="S28" s="1050" t="n"/>
      <c r="T28" s="731" t="n"/>
      <c r="U28" s="1050" t="n"/>
      <c r="V28" s="1050" t="n"/>
      <c r="W28" s="731" t="n"/>
      <c r="X28" s="1050" t="n"/>
      <c r="Y28" s="1050" t="n"/>
      <c r="Z28" s="731" t="n"/>
      <c r="AA28" s="1050" t="n"/>
      <c r="AB28" s="1050" t="n"/>
    </row>
    <row r="29" ht="13" customHeight="1" s="828">
      <c r="A29" s="1049" t="n"/>
      <c r="B29" s="731" t="n"/>
      <c r="C29" s="1050" t="n"/>
      <c r="D29" s="1050" t="n"/>
      <c r="E29" s="731" t="n"/>
      <c r="F29" s="1050" t="n"/>
      <c r="G29" s="1050" t="n"/>
      <c r="H29" s="731" t="n"/>
      <c r="I29" s="1050" t="n"/>
      <c r="J29" s="1050" t="n"/>
      <c r="K29" s="731" t="n"/>
      <c r="L29" s="1050" t="n"/>
      <c r="M29" s="1050" t="n"/>
      <c r="N29" s="731" t="n"/>
      <c r="O29" s="1050" t="n"/>
      <c r="P29" s="1050" t="n"/>
      <c r="Q29" s="731" t="n"/>
      <c r="R29" s="1050" t="n"/>
      <c r="S29" s="1050" t="n"/>
      <c r="T29" s="731" t="n"/>
      <c r="U29" s="1050" t="n"/>
      <c r="V29" s="1050" t="n"/>
      <c r="W29" s="731" t="n"/>
      <c r="X29" s="1050" t="n"/>
      <c r="Y29" s="1050" t="n"/>
      <c r="Z29" s="731" t="n"/>
      <c r="AA29" s="1050" t="n"/>
      <c r="AB29" s="1050" t="n"/>
    </row>
    <row r="30" ht="13" customHeight="1" s="828">
      <c r="A30" s="1051" t="n"/>
      <c r="B30" s="731" t="n"/>
      <c r="C30" s="1050" t="n"/>
      <c r="D30" s="1050" t="n"/>
      <c r="E30" s="731" t="n"/>
      <c r="F30" s="1050" t="n"/>
      <c r="G30" s="1050" t="n"/>
      <c r="H30" s="731" t="n"/>
      <c r="I30" s="1050" t="n"/>
      <c r="J30" s="1050" t="n"/>
      <c r="K30" s="731" t="n"/>
      <c r="L30" s="1050" t="n"/>
      <c r="M30" s="1050" t="n"/>
      <c r="N30" s="731" t="n"/>
      <c r="O30" s="1050" t="n"/>
      <c r="P30" s="1050" t="n"/>
      <c r="Q30" s="731" t="n"/>
      <c r="R30" s="1050" t="n"/>
      <c r="S30" s="1050" t="n"/>
      <c r="T30" s="731" t="n"/>
      <c r="U30" s="1050" t="n"/>
      <c r="V30" s="1050" t="n"/>
      <c r="W30" s="731" t="n"/>
      <c r="X30" s="1050" t="n"/>
      <c r="Y30" s="1050" t="n"/>
      <c r="Z30" s="731" t="n"/>
      <c r="AA30" s="1050" t="n"/>
      <c r="AB30" s="1050" t="n"/>
    </row>
    <row r="31" ht="13" customHeight="1" s="828">
      <c r="A31" s="1051" t="n"/>
      <c r="B31" s="731" t="n"/>
      <c r="C31" s="1050" t="n"/>
      <c r="D31" s="1050" t="n"/>
      <c r="E31" s="731" t="n"/>
      <c r="F31" s="1050" t="n"/>
      <c r="G31" s="1050" t="n"/>
      <c r="H31" s="731" t="n"/>
      <c r="I31" s="1050" t="n"/>
      <c r="J31" s="1050" t="n"/>
      <c r="K31" s="731" t="n"/>
      <c r="L31" s="1050" t="n"/>
      <c r="M31" s="1050" t="n"/>
      <c r="N31" s="731" t="n"/>
      <c r="O31" s="1050" t="n"/>
      <c r="P31" s="1050" t="n"/>
      <c r="Q31" s="731" t="n"/>
      <c r="R31" s="1050" t="n"/>
      <c r="S31" s="1050" t="n"/>
      <c r="T31" s="731" t="n"/>
      <c r="U31" s="1050" t="n"/>
      <c r="V31" s="1050" t="n"/>
      <c r="W31" s="731" t="n"/>
      <c r="X31" s="1050" t="n"/>
      <c r="Y31" s="1050" t="n"/>
      <c r="Z31" s="731" t="n"/>
      <c r="AA31" s="1050" t="n"/>
      <c r="AB31" s="1050" t="n"/>
    </row>
    <row r="32" ht="13" customHeight="1" s="828">
      <c r="A32" s="1049" t="n"/>
      <c r="B32" s="731" t="n"/>
      <c r="C32" s="1050" t="n"/>
      <c r="D32" s="1050" t="n"/>
      <c r="E32" s="731" t="n"/>
      <c r="F32" s="1050" t="n"/>
      <c r="G32" s="1050" t="n"/>
      <c r="H32" s="731" t="n"/>
      <c r="I32" s="1050" t="n"/>
      <c r="J32" s="1050" t="n"/>
      <c r="K32" s="731" t="n"/>
      <c r="L32" s="1050" t="n"/>
      <c r="M32" s="1050" t="n"/>
      <c r="N32" s="731" t="n"/>
      <c r="O32" s="1050" t="n"/>
      <c r="P32" s="1050" t="n"/>
      <c r="Q32" s="731" t="n"/>
      <c r="R32" s="1050" t="n"/>
      <c r="S32" s="1050" t="n"/>
      <c r="T32" s="731" t="n"/>
      <c r="U32" s="1050" t="n"/>
      <c r="V32" s="1050" t="n"/>
      <c r="W32" s="731" t="n"/>
      <c r="X32" s="1050" t="n"/>
      <c r="Y32" s="1050" t="n"/>
      <c r="Z32" s="731" t="n"/>
      <c r="AA32" s="1050" t="n"/>
      <c r="AB32" s="1050" t="n"/>
    </row>
    <row r="33" ht="13" customHeight="1" s="828">
      <c r="A33" s="1051" t="n"/>
      <c r="B33" s="731" t="n"/>
      <c r="C33" s="1050" t="n"/>
      <c r="D33" s="1050" t="n"/>
      <c r="E33" s="731" t="n"/>
      <c r="F33" s="1050" t="n"/>
      <c r="G33" s="1050" t="n"/>
      <c r="H33" s="731" t="n"/>
      <c r="I33" s="1050" t="n"/>
      <c r="J33" s="1050" t="n"/>
      <c r="K33" s="731" t="n"/>
      <c r="L33" s="1050" t="n"/>
      <c r="M33" s="1050" t="n"/>
      <c r="N33" s="731" t="n"/>
      <c r="O33" s="1050" t="n"/>
      <c r="P33" s="1050" t="n"/>
      <c r="Q33" s="731" t="n"/>
      <c r="R33" s="1050" t="n"/>
      <c r="S33" s="1050" t="n"/>
      <c r="T33" s="731" t="n"/>
      <c r="U33" s="1050" t="n"/>
      <c r="V33" s="1050" t="n"/>
      <c r="W33" s="731" t="n"/>
      <c r="X33" s="1050" t="n"/>
      <c r="Y33" s="1050" t="n"/>
      <c r="Z33" s="731" t="n"/>
      <c r="AA33" s="1050" t="n"/>
      <c r="AB33" s="1050" t="n"/>
    </row>
    <row r="34" ht="13" customHeight="1" s="828">
      <c r="A34" s="1051" t="n"/>
      <c r="B34" s="731" t="n"/>
      <c r="C34" s="1050" t="n"/>
      <c r="D34" s="1050" t="n"/>
      <c r="E34" s="731" t="n"/>
      <c r="F34" s="1050" t="n"/>
      <c r="G34" s="1050" t="n"/>
      <c r="H34" s="731" t="n"/>
      <c r="I34" s="1050" t="n"/>
      <c r="J34" s="1050" t="n"/>
      <c r="K34" s="731" t="n"/>
      <c r="L34" s="1050" t="n"/>
      <c r="M34" s="1050" t="n"/>
      <c r="N34" s="731" t="n"/>
      <c r="O34" s="1050" t="n"/>
      <c r="P34" s="1050" t="n"/>
      <c r="Q34" s="731" t="n"/>
      <c r="R34" s="1050" t="n"/>
      <c r="S34" s="1050" t="n"/>
      <c r="T34" s="731" t="n"/>
      <c r="U34" s="1050" t="n"/>
      <c r="V34" s="1050" t="n"/>
      <c r="W34" s="731" t="n"/>
      <c r="X34" s="1050" t="n"/>
      <c r="Y34" s="1050" t="n"/>
      <c r="Z34" s="731" t="n"/>
      <c r="AA34" s="1050" t="n"/>
      <c r="AB34" s="1050" t="n"/>
    </row>
    <row r="35" ht="13" customHeight="1" s="828">
      <c r="A35" s="1051" t="n"/>
      <c r="B35" s="731" t="n"/>
      <c r="C35" s="1050" t="n"/>
      <c r="D35" s="1050" t="n"/>
      <c r="E35" s="731" t="n"/>
      <c r="F35" s="1050" t="n"/>
      <c r="G35" s="1050" t="n"/>
      <c r="H35" s="731" t="n"/>
      <c r="I35" s="1050" t="n"/>
      <c r="J35" s="1050" t="n"/>
      <c r="K35" s="731" t="n"/>
      <c r="L35" s="1050" t="n"/>
      <c r="M35" s="1050" t="n"/>
      <c r="N35" s="731" t="n"/>
      <c r="O35" s="1050" t="n"/>
      <c r="P35" s="1050" t="n"/>
      <c r="Q35" s="731" t="n"/>
      <c r="R35" s="1050" t="n"/>
      <c r="S35" s="1050" t="n"/>
      <c r="T35" s="731" t="n"/>
      <c r="U35" s="1050" t="n"/>
      <c r="V35" s="1050" t="n"/>
      <c r="W35" s="731" t="n"/>
      <c r="X35" s="1050" t="n"/>
      <c r="Y35" s="1050" t="n"/>
      <c r="Z35" s="731" t="n"/>
      <c r="AA35" s="1050" t="n"/>
      <c r="AB35" s="1050" t="n"/>
    </row>
    <row r="36" ht="13" customHeight="1" s="828">
      <c r="A36" s="1051" t="n"/>
      <c r="B36" s="731" t="n"/>
      <c r="C36" s="1050" t="n"/>
      <c r="D36" s="1050" t="n"/>
      <c r="E36" s="731" t="n"/>
      <c r="F36" s="1050" t="n"/>
      <c r="G36" s="1050" t="n"/>
      <c r="H36" s="731" t="n"/>
      <c r="I36" s="1050" t="n"/>
      <c r="J36" s="1050" t="n"/>
      <c r="K36" s="731" t="n"/>
      <c r="L36" s="1050" t="n"/>
      <c r="M36" s="1050" t="n"/>
      <c r="N36" s="731" t="n"/>
      <c r="O36" s="1050" t="n"/>
      <c r="P36" s="1050" t="n"/>
      <c r="Q36" s="731" t="n"/>
      <c r="R36" s="1050" t="n"/>
      <c r="S36" s="1050" t="n"/>
      <c r="T36" s="731" t="n"/>
      <c r="U36" s="1050" t="n"/>
      <c r="V36" s="1050" t="n"/>
      <c r="W36" s="731" t="n"/>
      <c r="X36" s="1050" t="n"/>
      <c r="Y36" s="1050" t="n"/>
      <c r="Z36" s="731" t="n"/>
      <c r="AA36" s="1050" t="n"/>
      <c r="AB36" s="1050" t="n"/>
    </row>
    <row r="37" ht="13" customHeight="1" s="828">
      <c r="A37" s="1051" t="n"/>
      <c r="B37" s="731" t="n"/>
      <c r="C37" s="1050" t="n"/>
      <c r="D37" s="1050" t="n"/>
      <c r="E37" s="731" t="n"/>
      <c r="F37" s="1050" t="n"/>
      <c r="G37" s="1050" t="n"/>
      <c r="H37" s="731" t="n"/>
      <c r="I37" s="1050" t="n"/>
      <c r="J37" s="1050" t="n"/>
      <c r="K37" s="731" t="n"/>
      <c r="L37" s="1050" t="n"/>
      <c r="M37" s="1050" t="n"/>
      <c r="N37" s="731" t="n"/>
      <c r="O37" s="1050" t="n"/>
      <c r="P37" s="1050" t="n"/>
      <c r="Q37" s="731" t="n"/>
      <c r="R37" s="1050" t="n"/>
      <c r="S37" s="1050" t="n"/>
      <c r="T37" s="731" t="n"/>
      <c r="U37" s="1050" t="n"/>
      <c r="V37" s="1050" t="n"/>
      <c r="W37" s="731" t="n"/>
      <c r="X37" s="1050" t="n"/>
      <c r="Y37" s="1050" t="n"/>
      <c r="Z37" s="731" t="n"/>
      <c r="AA37" s="1050" t="n"/>
      <c r="AB37" s="1050" t="n"/>
    </row>
    <row r="38" ht="13" customHeight="1" s="828">
      <c r="A38" s="1051" t="n"/>
      <c r="B38" s="731" t="n"/>
      <c r="C38" s="1050" t="n"/>
      <c r="D38" s="1050" t="n"/>
      <c r="E38" s="731" t="n"/>
      <c r="F38" s="1050" t="n"/>
      <c r="G38" s="1050" t="n"/>
      <c r="H38" s="731" t="n"/>
      <c r="I38" s="1050" t="n"/>
      <c r="J38" s="1050" t="n"/>
      <c r="K38" s="731" t="n"/>
      <c r="L38" s="1050" t="n"/>
      <c r="M38" s="1050" t="n"/>
      <c r="N38" s="731" t="n"/>
      <c r="O38" s="1050" t="n"/>
      <c r="P38" s="1050" t="n"/>
      <c r="Q38" s="731" t="n"/>
      <c r="R38" s="1050" t="n"/>
      <c r="S38" s="1050" t="n"/>
      <c r="T38" s="731" t="n"/>
      <c r="U38" s="1050" t="n"/>
      <c r="V38" s="1050" t="n"/>
      <c r="W38" s="731" t="n"/>
      <c r="X38" s="1050" t="n"/>
      <c r="Y38" s="1050" t="n"/>
      <c r="Z38" s="731" t="n"/>
      <c r="AA38" s="1050" t="n"/>
      <c r="AB38" s="1050" t="n"/>
    </row>
    <row r="39" ht="13" customHeight="1" s="828">
      <c r="A39" s="1051" t="n"/>
      <c r="B39" s="731" t="n"/>
      <c r="C39" s="1050" t="n"/>
      <c r="D39" s="1050" t="n"/>
      <c r="E39" s="731" t="n"/>
      <c r="F39" s="1050" t="n"/>
      <c r="G39" s="1050" t="n"/>
      <c r="H39" s="731" t="n"/>
      <c r="I39" s="1050" t="n"/>
      <c r="J39" s="1050" t="n"/>
      <c r="K39" s="731" t="n"/>
      <c r="L39" s="1050" t="n"/>
      <c r="M39" s="1050" t="n"/>
      <c r="N39" s="731" t="n"/>
      <c r="O39" s="1050" t="n"/>
      <c r="P39" s="1050" t="n"/>
      <c r="Q39" s="731" t="n"/>
      <c r="R39" s="1050" t="n"/>
      <c r="S39" s="1050" t="n"/>
      <c r="T39" s="731" t="n"/>
      <c r="U39" s="1050" t="n"/>
      <c r="V39" s="1050" t="n"/>
      <c r="W39" s="731" t="n"/>
      <c r="X39" s="1050" t="n"/>
      <c r="Y39" s="1050" t="n"/>
      <c r="Z39" s="731" t="n"/>
      <c r="AA39" s="1050" t="n"/>
      <c r="AB39" s="1050" t="n"/>
    </row>
    <row r="40" ht="13" customHeight="1" s="828">
      <c r="A40" s="1051" t="n"/>
      <c r="B40" s="731" t="n"/>
      <c r="C40" s="1050" t="n"/>
      <c r="D40" s="1050" t="n"/>
      <c r="E40" s="731" t="n"/>
      <c r="F40" s="1050" t="n"/>
      <c r="G40" s="1050" t="n"/>
      <c r="H40" s="731" t="n"/>
      <c r="I40" s="1050" t="n"/>
      <c r="J40" s="1050" t="n"/>
      <c r="K40" s="731" t="n"/>
      <c r="L40" s="1050" t="n"/>
      <c r="M40" s="1050" t="n"/>
      <c r="N40" s="731" t="n"/>
      <c r="O40" s="1050" t="n"/>
      <c r="P40" s="1050" t="n"/>
      <c r="Q40" s="731" t="n"/>
      <c r="R40" s="1050" t="n"/>
      <c r="S40" s="1050" t="n"/>
      <c r="T40" s="731" t="n"/>
      <c r="U40" s="1050" t="n"/>
      <c r="V40" s="1050" t="n"/>
      <c r="W40" s="731" t="n"/>
      <c r="X40" s="1050" t="n"/>
      <c r="Y40" s="1050" t="n"/>
      <c r="Z40" s="731" t="n"/>
      <c r="AA40" s="1050" t="n"/>
      <c r="AB40" s="1050" t="n"/>
    </row>
    <row r="41" ht="13" customHeight="1" s="828">
      <c r="A41" s="1051" t="n"/>
      <c r="B41" s="731" t="n"/>
      <c r="C41" s="1050" t="n"/>
      <c r="D41" s="1050" t="n"/>
      <c r="E41" s="731" t="n"/>
      <c r="F41" s="1050" t="n"/>
      <c r="G41" s="1050" t="n"/>
      <c r="H41" s="731" t="n"/>
      <c r="I41" s="1050" t="n"/>
      <c r="J41" s="1050" t="n"/>
      <c r="K41" s="731" t="n"/>
      <c r="L41" s="1050" t="n"/>
      <c r="M41" s="1050" t="n"/>
      <c r="N41" s="731" t="n"/>
      <c r="O41" s="1050" t="n"/>
      <c r="P41" s="1050" t="n"/>
      <c r="Q41" s="731" t="n"/>
      <c r="R41" s="1050" t="n"/>
      <c r="S41" s="1050" t="n"/>
      <c r="T41" s="731" t="n"/>
      <c r="U41" s="1050" t="n"/>
      <c r="V41" s="1050" t="n"/>
      <c r="W41" s="731" t="n"/>
      <c r="X41" s="1050" t="n"/>
      <c r="Y41" s="1050" t="n"/>
      <c r="Z41" s="731" t="n"/>
      <c r="AA41" s="1050" t="n"/>
      <c r="AB41" s="1050" t="n"/>
    </row>
    <row r="42" ht="13" customHeight="1" s="828">
      <c r="A42" s="1051" t="n"/>
      <c r="B42" s="731" t="n"/>
      <c r="C42" s="1050" t="n"/>
      <c r="D42" s="1050" t="n"/>
      <c r="E42" s="731" t="n"/>
      <c r="F42" s="1050" t="n"/>
      <c r="G42" s="1050" t="n"/>
      <c r="H42" s="731" t="n"/>
      <c r="I42" s="1050" t="n"/>
      <c r="J42" s="1050" t="n"/>
      <c r="K42" s="731" t="n"/>
      <c r="L42" s="1050" t="n"/>
      <c r="M42" s="1050" t="n"/>
      <c r="N42" s="731" t="n"/>
      <c r="O42" s="1050" t="n"/>
      <c r="P42" s="1050" t="n"/>
      <c r="Q42" s="731" t="n"/>
      <c r="R42" s="1050" t="n"/>
      <c r="S42" s="1050" t="n"/>
      <c r="T42" s="731" t="n"/>
      <c r="U42" s="1050" t="n"/>
      <c r="V42" s="1050" t="n"/>
      <c r="W42" s="731" t="n"/>
      <c r="X42" s="1050" t="n"/>
      <c r="Y42" s="1050" t="n"/>
      <c r="Z42" s="731" t="n"/>
      <c r="AA42" s="1050" t="n"/>
      <c r="AB42" s="1050" t="n"/>
    </row>
    <row r="43" ht="13" customHeight="1" s="828">
      <c r="A43" s="1051" t="n"/>
      <c r="B43" s="731" t="n"/>
      <c r="C43" s="1050" t="n"/>
      <c r="D43" s="1050" t="n"/>
      <c r="E43" s="731" t="n"/>
      <c r="F43" s="1050" t="n"/>
      <c r="G43" s="1050" t="n"/>
      <c r="H43" s="731" t="n"/>
      <c r="I43" s="1050" t="n"/>
      <c r="J43" s="1050" t="n"/>
      <c r="K43" s="731" t="n"/>
      <c r="L43" s="1050" t="n"/>
      <c r="M43" s="1050" t="n"/>
      <c r="N43" s="731" t="n"/>
      <c r="O43" s="1050" t="n"/>
      <c r="P43" s="1050" t="n"/>
      <c r="Q43" s="731" t="n"/>
      <c r="R43" s="1050" t="n"/>
      <c r="S43" s="1050" t="n"/>
      <c r="T43" s="731" t="n"/>
      <c r="U43" s="1050" t="n"/>
      <c r="V43" s="1050" t="n"/>
      <c r="W43" s="731" t="n"/>
      <c r="X43" s="1050" t="n"/>
      <c r="Y43" s="1050" t="n"/>
      <c r="Z43" s="731" t="n"/>
      <c r="AA43" s="1050" t="n"/>
      <c r="AB43" s="1050" t="n"/>
    </row>
    <row r="44" ht="13" customHeight="1" s="828">
      <c r="A44" s="1049" t="n"/>
      <c r="B44" s="731" t="n"/>
      <c r="C44" s="1050" t="n"/>
      <c r="D44" s="1050" t="n"/>
      <c r="E44" s="731" t="n"/>
      <c r="F44" s="1050" t="n"/>
      <c r="G44" s="1050" t="n"/>
      <c r="H44" s="731" t="n"/>
      <c r="I44" s="1050" t="n"/>
      <c r="J44" s="1050" t="n"/>
      <c r="K44" s="731" t="n"/>
      <c r="L44" s="1050" t="n"/>
      <c r="M44" s="1050" t="n"/>
      <c r="N44" s="731" t="n"/>
      <c r="O44" s="1050" t="n"/>
      <c r="P44" s="1050" t="n"/>
      <c r="Q44" s="731" t="n"/>
      <c r="R44" s="1050" t="n"/>
      <c r="S44" s="1050" t="n"/>
      <c r="T44" s="731" t="n"/>
      <c r="U44" s="1050" t="n"/>
      <c r="V44" s="1050" t="n"/>
      <c r="W44" s="731" t="n"/>
      <c r="X44" s="1050" t="n"/>
      <c r="Y44" s="1050" t="n"/>
      <c r="Z44" s="731" t="n"/>
      <c r="AA44" s="1050" t="n"/>
      <c r="AB44" s="1050" t="n"/>
    </row>
    <row r="45" ht="13" customHeight="1" s="828">
      <c r="A45" s="1051" t="n"/>
      <c r="B45" s="731" t="n"/>
      <c r="C45" s="1050" t="n"/>
      <c r="D45" s="1050" t="n"/>
      <c r="E45" s="731" t="n"/>
      <c r="F45" s="1050" t="n"/>
      <c r="G45" s="1050" t="n"/>
      <c r="H45" s="731" t="n"/>
      <c r="I45" s="1050" t="n"/>
      <c r="J45" s="1050" t="n"/>
      <c r="K45" s="731" t="n"/>
      <c r="L45" s="1050" t="n"/>
      <c r="M45" s="1050" t="n"/>
      <c r="N45" s="731" t="n"/>
      <c r="O45" s="1050" t="n"/>
      <c r="P45" s="1050" t="n"/>
      <c r="Q45" s="731" t="n"/>
      <c r="R45" s="1050" t="n"/>
      <c r="S45" s="1050" t="n"/>
      <c r="T45" s="731" t="n"/>
      <c r="U45" s="1050" t="n"/>
      <c r="V45" s="1050" t="n"/>
      <c r="W45" s="731" t="n"/>
      <c r="X45" s="1050" t="n"/>
      <c r="Y45" s="1050" t="n"/>
      <c r="Z45" s="731" t="n"/>
      <c r="AA45" s="1050" t="n"/>
      <c r="AB45" s="1050" t="n"/>
    </row>
    <row r="46" ht="13" customHeight="1" s="828">
      <c r="A46" s="1051" t="n"/>
      <c r="B46" s="731" t="n"/>
      <c r="C46" s="1050" t="n"/>
      <c r="D46" s="1050" t="n"/>
      <c r="E46" s="731" t="n"/>
      <c r="F46" s="1050" t="n"/>
      <c r="G46" s="1050" t="n"/>
      <c r="H46" s="731" t="n"/>
      <c r="I46" s="1050" t="n"/>
      <c r="J46" s="1050" t="n"/>
      <c r="K46" s="731" t="n"/>
      <c r="L46" s="1050" t="n"/>
      <c r="M46" s="1050" t="n"/>
      <c r="N46" s="731" t="n"/>
      <c r="O46" s="1050" t="n"/>
      <c r="P46" s="1050" t="n"/>
      <c r="Q46" s="731" t="n"/>
      <c r="R46" s="1050" t="n"/>
      <c r="S46" s="1050" t="n"/>
      <c r="T46" s="731" t="n"/>
      <c r="U46" s="1050" t="n"/>
      <c r="V46" s="1050" t="n"/>
      <c r="W46" s="731" t="n"/>
      <c r="X46" s="1050" t="n"/>
      <c r="Y46" s="1050" t="n"/>
      <c r="Z46" s="731" t="n"/>
      <c r="AA46" s="1050" t="n"/>
      <c r="AB46" s="1050" t="n"/>
    </row>
    <row r="47" ht="13" customHeight="1" s="828">
      <c r="A47" s="1051" t="n"/>
      <c r="B47" s="731" t="n"/>
      <c r="C47" s="1050" t="n"/>
      <c r="D47" s="1050" t="n"/>
      <c r="E47" s="731" t="n"/>
      <c r="F47" s="1050" t="n"/>
      <c r="G47" s="1050" t="n"/>
      <c r="H47" s="731" t="n"/>
      <c r="I47" s="1050" t="n"/>
      <c r="J47" s="1050" t="n"/>
      <c r="K47" s="731" t="n"/>
      <c r="L47" s="1050" t="n"/>
      <c r="M47" s="1050" t="n"/>
      <c r="N47" s="731" t="n"/>
      <c r="O47" s="1050" t="n"/>
      <c r="P47" s="1050" t="n"/>
      <c r="Q47" s="731" t="n"/>
      <c r="R47" s="1050" t="n"/>
      <c r="S47" s="1050" t="n"/>
      <c r="T47" s="731" t="n"/>
      <c r="U47" s="1050" t="n"/>
      <c r="V47" s="1050" t="n"/>
      <c r="W47" s="731" t="n"/>
      <c r="X47" s="1050" t="n"/>
      <c r="Y47" s="1050" t="n"/>
      <c r="Z47" s="731" t="n"/>
      <c r="AA47" s="1050" t="n"/>
      <c r="AB47" s="1050" t="n"/>
    </row>
    <row r="48" ht="13" customHeight="1" s="828">
      <c r="A48" s="1051" t="n"/>
      <c r="B48" s="731" t="n"/>
      <c r="C48" s="1050" t="n"/>
      <c r="D48" s="1050" t="n"/>
      <c r="E48" s="731" t="n"/>
      <c r="F48" s="1050" t="n"/>
      <c r="G48" s="1050" t="n"/>
      <c r="H48" s="731" t="n"/>
      <c r="I48" s="1050" t="n"/>
      <c r="J48" s="1050" t="n"/>
      <c r="K48" s="731" t="n"/>
      <c r="L48" s="1050" t="n"/>
      <c r="M48" s="1050" t="n"/>
      <c r="N48" s="731" t="n"/>
      <c r="O48" s="1050" t="n"/>
      <c r="P48" s="1050" t="n"/>
      <c r="Q48" s="731" t="n"/>
      <c r="R48" s="1050" t="n"/>
      <c r="S48" s="1050" t="n"/>
      <c r="T48" s="731" t="n"/>
      <c r="U48" s="1050" t="n"/>
      <c r="V48" s="1050" t="n"/>
      <c r="W48" s="731" t="n"/>
      <c r="X48" s="1050" t="n"/>
      <c r="Y48" s="1050" t="n"/>
      <c r="Z48" s="731" t="n"/>
      <c r="AA48" s="1050" t="n"/>
      <c r="AB48" s="1050" t="n"/>
    </row>
    <row r="49" ht="13" customHeight="1" s="828">
      <c r="A49" s="1051" t="n"/>
      <c r="B49" s="731" t="n"/>
      <c r="C49" s="1050" t="n"/>
      <c r="D49" s="1050" t="n"/>
      <c r="E49" s="731" t="n"/>
      <c r="F49" s="1050" t="n"/>
      <c r="G49" s="1050" t="n"/>
      <c r="H49" s="731" t="n"/>
      <c r="I49" s="1050" t="n"/>
      <c r="J49" s="1050" t="n"/>
      <c r="K49" s="731" t="n"/>
      <c r="L49" s="1050" t="n"/>
      <c r="M49" s="1050" t="n"/>
      <c r="N49" s="731" t="n"/>
      <c r="O49" s="1050" t="n"/>
      <c r="P49" s="1050" t="n"/>
      <c r="Q49" s="731" t="n"/>
      <c r="R49" s="1050" t="n"/>
      <c r="S49" s="1050" t="n"/>
      <c r="T49" s="731" t="n"/>
      <c r="U49" s="1050" t="n"/>
      <c r="V49" s="1050" t="n"/>
      <c r="W49" s="731" t="n"/>
      <c r="X49" s="1050" t="n"/>
      <c r="Y49" s="1050" t="n"/>
      <c r="Z49" s="731" t="n"/>
      <c r="AA49" s="1050" t="n"/>
      <c r="AB49" s="1050" t="n"/>
    </row>
    <row r="50" ht="13" customHeight="1" s="828">
      <c r="A50" s="1051" t="n"/>
      <c r="B50" s="731" t="n"/>
      <c r="C50" s="1050" t="n"/>
      <c r="D50" s="1050" t="n"/>
      <c r="E50" s="731" t="n"/>
      <c r="F50" s="1050" t="n"/>
      <c r="G50" s="1050" t="n"/>
      <c r="H50" s="731" t="n"/>
      <c r="I50" s="1050" t="n"/>
      <c r="J50" s="1050" t="n"/>
      <c r="K50" s="731" t="n"/>
      <c r="L50" s="1050" t="n"/>
      <c r="M50" s="1050" t="n"/>
      <c r="N50" s="731" t="n"/>
      <c r="O50" s="1050" t="n"/>
      <c r="P50" s="1050" t="n"/>
      <c r="Q50" s="731" t="n"/>
      <c r="R50" s="1050" t="n"/>
      <c r="S50" s="1050" t="n"/>
      <c r="T50" s="731" t="n"/>
      <c r="U50" s="1050" t="n"/>
      <c r="V50" s="1050" t="n"/>
      <c r="W50" s="731" t="n"/>
      <c r="X50" s="1050" t="n"/>
      <c r="Y50" s="1050" t="n"/>
      <c r="Z50" s="731" t="n"/>
      <c r="AA50" s="1050" t="n"/>
      <c r="AB50" s="1050" t="n"/>
    </row>
    <row r="51" ht="13" customHeight="1" s="828">
      <c r="A51" s="1051" t="n"/>
      <c r="B51" s="731" t="n"/>
      <c r="C51" s="1050" t="n"/>
      <c r="D51" s="1050" t="n"/>
      <c r="E51" s="731" t="n"/>
      <c r="F51" s="1050" t="n"/>
      <c r="G51" s="1050" t="n"/>
      <c r="H51" s="731" t="n"/>
      <c r="I51" s="1050" t="n"/>
      <c r="J51" s="1050" t="n"/>
      <c r="K51" s="731" t="n"/>
      <c r="L51" s="1050" t="n"/>
      <c r="M51" s="1050" t="n"/>
      <c r="N51" s="731" t="n"/>
      <c r="O51" s="1050" t="n"/>
      <c r="P51" s="1050" t="n"/>
      <c r="Q51" s="731" t="n"/>
      <c r="R51" s="1050" t="n"/>
      <c r="S51" s="1050" t="n"/>
      <c r="T51" s="731" t="n"/>
      <c r="U51" s="1050" t="n"/>
      <c r="V51" s="1050" t="n"/>
      <c r="W51" s="731" t="n"/>
      <c r="X51" s="1050" t="n"/>
      <c r="Y51" s="1050" t="n"/>
      <c r="Z51" s="731" t="n"/>
      <c r="AA51" s="1050" t="n"/>
      <c r="AB51" s="1050" t="n"/>
    </row>
    <row r="52" ht="13" customHeight="1" s="828">
      <c r="A52" s="1051" t="n"/>
      <c r="B52" s="731" t="n"/>
      <c r="C52" s="1050" t="n"/>
      <c r="D52" s="1050" t="n"/>
      <c r="E52" s="731" t="n"/>
      <c r="F52" s="1050" t="n"/>
      <c r="G52" s="1050" t="n"/>
      <c r="H52" s="731" t="n"/>
      <c r="I52" s="1050" t="n"/>
      <c r="J52" s="1050" t="n"/>
      <c r="K52" s="731" t="n"/>
      <c r="L52" s="1050" t="n"/>
      <c r="M52" s="1050" t="n"/>
      <c r="N52" s="731" t="n"/>
      <c r="O52" s="1050" t="n"/>
      <c r="P52" s="1050" t="n"/>
      <c r="Q52" s="731" t="n"/>
      <c r="R52" s="1050" t="n"/>
      <c r="S52" s="1050" t="n"/>
      <c r="T52" s="731" t="n"/>
      <c r="U52" s="1050" t="n"/>
      <c r="V52" s="1050" t="n"/>
      <c r="W52" s="731" t="n"/>
      <c r="X52" s="1050" t="n"/>
      <c r="Y52" s="1050" t="n"/>
      <c r="Z52" s="731" t="n"/>
      <c r="AA52" s="1050" t="n"/>
      <c r="AB52" s="1050" t="n"/>
    </row>
    <row r="53" ht="13" customHeight="1" s="828">
      <c r="A53" s="1051" t="n"/>
      <c r="B53" s="731" t="n"/>
      <c r="C53" s="1050" t="n"/>
      <c r="D53" s="1050" t="n"/>
      <c r="E53" s="731" t="n"/>
      <c r="F53" s="1050" t="n"/>
      <c r="G53" s="1050" t="n"/>
      <c r="H53" s="731" t="n"/>
      <c r="I53" s="1050" t="n"/>
      <c r="J53" s="1050" t="n"/>
      <c r="K53" s="731" t="n"/>
      <c r="L53" s="1050" t="n"/>
      <c r="M53" s="1050" t="n"/>
      <c r="N53" s="731" t="n"/>
      <c r="O53" s="1050" t="n"/>
      <c r="P53" s="1050" t="n"/>
      <c r="Q53" s="731" t="n"/>
      <c r="R53" s="1050" t="n"/>
      <c r="S53" s="1050" t="n"/>
      <c r="T53" s="731" t="n"/>
      <c r="U53" s="1050" t="n"/>
      <c r="V53" s="1050" t="n"/>
      <c r="W53" s="731" t="n"/>
      <c r="X53" s="1050" t="n"/>
      <c r="Y53" s="1050" t="n"/>
      <c r="Z53" s="731" t="n"/>
      <c r="AA53" s="1050" t="n"/>
      <c r="AB53" s="1050" t="n"/>
    </row>
    <row r="54" ht="13" customHeight="1" s="828">
      <c r="A54" s="1051" t="n"/>
      <c r="B54" s="731" t="n"/>
      <c r="C54" s="1050" t="n"/>
      <c r="D54" s="1050" t="n"/>
      <c r="E54" s="731" t="n"/>
      <c r="F54" s="1050" t="n"/>
      <c r="G54" s="1050" t="n"/>
      <c r="H54" s="731" t="n"/>
      <c r="I54" s="1050" t="n"/>
      <c r="J54" s="1050" t="n"/>
      <c r="K54" s="731" t="n"/>
      <c r="L54" s="1050" t="n"/>
      <c r="M54" s="1050" t="n"/>
      <c r="N54" s="731" t="n"/>
      <c r="O54" s="1050" t="n"/>
      <c r="P54" s="1050" t="n"/>
      <c r="Q54" s="731" t="n"/>
      <c r="R54" s="1050" t="n"/>
      <c r="S54" s="1050" t="n"/>
      <c r="T54" s="731" t="n"/>
      <c r="U54" s="1050" t="n"/>
      <c r="V54" s="1050" t="n"/>
      <c r="W54" s="731" t="n"/>
      <c r="X54" s="1050" t="n"/>
      <c r="Y54" s="1050" t="n"/>
      <c r="Z54" s="731" t="n"/>
      <c r="AA54" s="1050" t="n"/>
      <c r="AB54" s="1050" t="n"/>
    </row>
    <row r="55" ht="13" customHeight="1" s="828">
      <c r="A55" s="1051" t="n"/>
      <c r="B55" s="731" t="n"/>
      <c r="C55" s="1050" t="n"/>
      <c r="D55" s="1050" t="n"/>
      <c r="E55" s="731" t="n"/>
      <c r="F55" s="1050" t="n"/>
      <c r="G55" s="1050" t="n"/>
      <c r="H55" s="731" t="n"/>
      <c r="I55" s="1050" t="n"/>
      <c r="J55" s="1050" t="n"/>
      <c r="K55" s="731" t="n"/>
      <c r="L55" s="1050" t="n"/>
      <c r="M55" s="1050" t="n"/>
      <c r="N55" s="731" t="n"/>
      <c r="O55" s="1050" t="n"/>
      <c r="P55" s="1050" t="n"/>
      <c r="Q55" s="731" t="n"/>
      <c r="R55" s="1050" t="n"/>
      <c r="S55" s="1050" t="n"/>
      <c r="T55" s="731" t="n"/>
      <c r="U55" s="1050" t="n"/>
      <c r="V55" s="1050" t="n"/>
      <c r="W55" s="731" t="n"/>
      <c r="X55" s="1050" t="n"/>
      <c r="Y55" s="1050" t="n"/>
      <c r="Z55" s="731" t="n"/>
      <c r="AA55" s="1050" t="n"/>
      <c r="AB55" s="1050" t="n"/>
    </row>
    <row r="56" ht="13" customHeight="1" s="828">
      <c r="A56" s="1049" t="n"/>
      <c r="B56" s="731" t="n"/>
      <c r="C56" s="1050" t="n"/>
      <c r="D56" s="1050" t="n"/>
      <c r="E56" s="731" t="n"/>
      <c r="F56" s="1050" t="n"/>
      <c r="G56" s="1050" t="n"/>
      <c r="H56" s="731" t="n"/>
      <c r="I56" s="1050" t="n"/>
      <c r="J56" s="1050" t="n"/>
      <c r="K56" s="731" t="n"/>
      <c r="L56" s="1050" t="n"/>
      <c r="M56" s="1050" t="n"/>
      <c r="N56" s="731" t="n"/>
      <c r="O56" s="1050" t="n"/>
      <c r="P56" s="1050" t="n"/>
      <c r="Q56" s="731" t="n"/>
      <c r="R56" s="1050" t="n"/>
      <c r="S56" s="1050" t="n"/>
      <c r="T56" s="731" t="n"/>
      <c r="U56" s="1050" t="n"/>
      <c r="V56" s="1050" t="n"/>
      <c r="W56" s="731" t="n"/>
      <c r="X56" s="1050" t="n"/>
      <c r="Y56" s="1050" t="n"/>
      <c r="Z56" s="731" t="n"/>
      <c r="AA56" s="1050" t="n"/>
      <c r="AB56" s="1050" t="n"/>
    </row>
    <row r="57" ht="13" customHeight="1" s="828">
      <c r="A57" s="1051" t="n"/>
      <c r="B57" s="731" t="n"/>
      <c r="C57" s="1050" t="n"/>
      <c r="D57" s="1050" t="n"/>
      <c r="E57" s="731" t="n"/>
      <c r="F57" s="1050" t="n"/>
      <c r="G57" s="1050" t="n"/>
      <c r="H57" s="731" t="n"/>
      <c r="I57" s="1050" t="n"/>
      <c r="J57" s="1050" t="n"/>
      <c r="K57" s="731" t="n"/>
      <c r="L57" s="1050" t="n"/>
      <c r="M57" s="1050" t="n"/>
      <c r="N57" s="731" t="n"/>
      <c r="O57" s="1050" t="n"/>
      <c r="P57" s="1050" t="n"/>
      <c r="Q57" s="731" t="n"/>
      <c r="R57" s="1050" t="n"/>
      <c r="S57" s="1050" t="n"/>
      <c r="T57" s="731" t="n"/>
      <c r="U57" s="1050" t="n"/>
      <c r="V57" s="1050" t="n"/>
      <c r="W57" s="731" t="n"/>
      <c r="X57" s="1050" t="n"/>
      <c r="Y57" s="1050" t="n"/>
      <c r="Z57" s="731" t="n"/>
      <c r="AA57" s="1050" t="n"/>
      <c r="AB57" s="1050" t="n"/>
    </row>
    <row r="58" ht="13" customHeight="1" s="828">
      <c r="A58" s="1051" t="n"/>
      <c r="B58" s="731" t="n"/>
      <c r="C58" s="1050" t="n"/>
      <c r="D58" s="1050" t="n"/>
      <c r="E58" s="731" t="n"/>
      <c r="F58" s="1050" t="n"/>
      <c r="G58" s="1050" t="n"/>
      <c r="H58" s="731" t="n"/>
      <c r="I58" s="1050" t="n"/>
      <c r="J58" s="1050" t="n"/>
      <c r="K58" s="731" t="n"/>
      <c r="L58" s="1050" t="n"/>
      <c r="M58" s="1050" t="n"/>
      <c r="N58" s="731" t="n"/>
      <c r="O58" s="1050" t="n"/>
      <c r="P58" s="1050" t="n"/>
      <c r="Q58" s="731" t="n"/>
      <c r="R58" s="1050" t="n"/>
      <c r="S58" s="1050" t="n"/>
      <c r="T58" s="731" t="n"/>
      <c r="U58" s="1050" t="n"/>
      <c r="V58" s="1050" t="n"/>
      <c r="W58" s="731" t="n"/>
      <c r="X58" s="1050" t="n"/>
      <c r="Y58" s="1050" t="n"/>
      <c r="Z58" s="731" t="n"/>
      <c r="AA58" s="1050" t="n"/>
      <c r="AB58" s="1050" t="n"/>
    </row>
    <row r="59" ht="13" customHeight="1" s="828">
      <c r="A59" s="1051" t="n"/>
      <c r="B59" s="731" t="n"/>
      <c r="C59" s="1050" t="n"/>
      <c r="D59" s="1050" t="n"/>
      <c r="E59" s="731" t="n"/>
      <c r="F59" s="1050" t="n"/>
      <c r="G59" s="1050" t="n"/>
      <c r="H59" s="731" t="n"/>
      <c r="I59" s="1050" t="n"/>
      <c r="J59" s="1050" t="n"/>
      <c r="K59" s="731" t="n"/>
      <c r="L59" s="1050" t="n"/>
      <c r="M59" s="1050" t="n"/>
      <c r="N59" s="731" t="n"/>
      <c r="O59" s="1050" t="n"/>
      <c r="P59" s="1050" t="n"/>
      <c r="Q59" s="731" t="n"/>
      <c r="R59" s="1050" t="n"/>
      <c r="S59" s="1050" t="n"/>
      <c r="T59" s="731" t="n"/>
      <c r="U59" s="1050" t="n"/>
      <c r="V59" s="1050" t="n"/>
      <c r="W59" s="731" t="n"/>
      <c r="X59" s="1050" t="n"/>
      <c r="Y59" s="1050" t="n"/>
      <c r="Z59" s="731" t="n"/>
      <c r="AA59" s="1050" t="n"/>
      <c r="AB59" s="1050" t="n"/>
    </row>
    <row r="60" ht="13" customHeight="1" s="828">
      <c r="A60" s="1051" t="n"/>
      <c r="B60" s="731" t="n"/>
      <c r="C60" s="1050" t="n"/>
      <c r="D60" s="1050" t="n"/>
      <c r="E60" s="731" t="n"/>
      <c r="F60" s="1050" t="n"/>
      <c r="G60" s="1050" t="n"/>
      <c r="H60" s="731" t="n"/>
      <c r="I60" s="1050" t="n"/>
      <c r="J60" s="1050" t="n"/>
      <c r="K60" s="731" t="n"/>
      <c r="L60" s="1050" t="n"/>
      <c r="M60" s="1050" t="n"/>
      <c r="N60" s="731" t="n"/>
      <c r="O60" s="1050" t="n"/>
      <c r="P60" s="1050" t="n"/>
      <c r="Q60" s="731" t="n"/>
      <c r="R60" s="1050" t="n"/>
      <c r="S60" s="1050" t="n"/>
      <c r="T60" s="731" t="n"/>
      <c r="U60" s="1050" t="n"/>
      <c r="V60" s="1050" t="n"/>
      <c r="W60" s="731" t="n"/>
      <c r="X60" s="1050" t="n"/>
      <c r="Y60" s="1050" t="n"/>
      <c r="Z60" s="731" t="n"/>
      <c r="AA60" s="1050" t="n"/>
      <c r="AB60" s="1050" t="n"/>
    </row>
    <row r="61" ht="13" customHeight="1" s="828">
      <c r="A61" s="1051" t="n"/>
      <c r="B61" s="731" t="n"/>
      <c r="C61" s="1050" t="n"/>
      <c r="D61" s="1050" t="n"/>
      <c r="E61" s="731" t="n"/>
      <c r="F61" s="1050" t="n"/>
      <c r="G61" s="1050" t="n"/>
      <c r="H61" s="731" t="n"/>
      <c r="I61" s="1050" t="n"/>
      <c r="J61" s="1050" t="n"/>
      <c r="K61" s="731" t="n"/>
      <c r="L61" s="1050" t="n"/>
      <c r="M61" s="1050" t="n"/>
      <c r="N61" s="731" t="n"/>
      <c r="O61" s="1050" t="n"/>
      <c r="P61" s="1050" t="n"/>
      <c r="Q61" s="731" t="n"/>
      <c r="R61" s="1050" t="n"/>
      <c r="S61" s="1050" t="n"/>
      <c r="T61" s="731" t="n"/>
      <c r="U61" s="1050" t="n"/>
      <c r="V61" s="1050" t="n"/>
      <c r="W61" s="731" t="n"/>
      <c r="X61" s="1050" t="n"/>
      <c r="Y61" s="1050" t="n"/>
      <c r="Z61" s="731" t="n"/>
      <c r="AA61" s="1050" t="n"/>
      <c r="AB61" s="1050" t="n"/>
    </row>
    <row r="62" ht="13" customHeight="1" s="828">
      <c r="A62" s="1051" t="n"/>
      <c r="B62" s="731" t="n"/>
      <c r="C62" s="1050" t="n"/>
      <c r="D62" s="1050" t="n"/>
      <c r="E62" s="731" t="n"/>
      <c r="F62" s="1050" t="n"/>
      <c r="G62" s="1050" t="n"/>
      <c r="H62" s="731" t="n"/>
      <c r="I62" s="1050" t="n"/>
      <c r="J62" s="1050" t="n"/>
      <c r="K62" s="731" t="n"/>
      <c r="L62" s="1050" t="n"/>
      <c r="M62" s="1050" t="n"/>
      <c r="N62" s="731" t="n"/>
      <c r="O62" s="1050" t="n"/>
      <c r="P62" s="1050" t="n"/>
      <c r="Q62" s="731" t="n"/>
      <c r="R62" s="1050" t="n"/>
      <c r="S62" s="1050" t="n"/>
      <c r="T62" s="731" t="n"/>
      <c r="U62" s="1050" t="n"/>
      <c r="V62" s="1050" t="n"/>
      <c r="W62" s="731" t="n"/>
      <c r="X62" s="1050" t="n"/>
      <c r="Y62" s="1050" t="n"/>
      <c r="Z62" s="731" t="n"/>
      <c r="AA62" s="1050" t="n"/>
      <c r="AB62" s="1050" t="n"/>
    </row>
    <row r="63" ht="13" customHeight="1" s="828">
      <c r="A63" s="1051" t="n"/>
      <c r="B63" s="731" t="n"/>
      <c r="C63" s="1050" t="n"/>
      <c r="D63" s="1050" t="n"/>
      <c r="E63" s="731" t="n"/>
      <c r="F63" s="1050" t="n"/>
      <c r="G63" s="1050" t="n"/>
      <c r="H63" s="731" t="n"/>
      <c r="I63" s="1050" t="n"/>
      <c r="J63" s="1050" t="n"/>
      <c r="K63" s="731" t="n"/>
      <c r="L63" s="1050" t="n"/>
      <c r="M63" s="1050" t="n"/>
      <c r="N63" s="731" t="n"/>
      <c r="O63" s="1050" t="n"/>
      <c r="P63" s="1050" t="n"/>
      <c r="Q63" s="731" t="n"/>
      <c r="R63" s="1050" t="n"/>
      <c r="S63" s="1050" t="n"/>
      <c r="T63" s="731" t="n"/>
      <c r="U63" s="1050" t="n"/>
      <c r="V63" s="1050" t="n"/>
      <c r="W63" s="731" t="n"/>
      <c r="X63" s="1050" t="n"/>
      <c r="Y63" s="1050" t="n"/>
      <c r="Z63" s="731" t="n"/>
      <c r="AA63" s="1050" t="n"/>
      <c r="AB63" s="1050" t="n"/>
    </row>
    <row r="64" ht="13" customHeight="1" s="828">
      <c r="A64" s="1051" t="n"/>
      <c r="B64" s="731" t="n"/>
      <c r="C64" s="1050" t="n"/>
      <c r="D64" s="1050" t="n"/>
      <c r="E64" s="731" t="n"/>
      <c r="F64" s="1050" t="n"/>
      <c r="G64" s="1050" t="n"/>
      <c r="H64" s="731" t="n"/>
      <c r="I64" s="1050" t="n"/>
      <c r="J64" s="1050" t="n"/>
      <c r="K64" s="731" t="n"/>
      <c r="L64" s="1050" t="n"/>
      <c r="M64" s="1050" t="n"/>
      <c r="N64" s="731" t="n"/>
      <c r="O64" s="1050" t="n"/>
      <c r="P64" s="1050" t="n"/>
      <c r="Q64" s="731" t="n"/>
      <c r="R64" s="1050" t="n"/>
      <c r="S64" s="1050" t="n"/>
      <c r="T64" s="731" t="n"/>
      <c r="U64" s="1050" t="n"/>
      <c r="V64" s="1050" t="n"/>
      <c r="W64" s="731" t="n"/>
      <c r="X64" s="1050" t="n"/>
      <c r="Y64" s="1050" t="n"/>
      <c r="Z64" s="731" t="n"/>
      <c r="AA64" s="1050" t="n"/>
      <c r="AB64" s="1050" t="n"/>
    </row>
    <row r="65" ht="13" customHeight="1" s="828">
      <c r="A65" s="1051" t="n"/>
      <c r="B65" s="731" t="n"/>
      <c r="C65" s="1050" t="n"/>
      <c r="D65" s="1050" t="n"/>
      <c r="E65" s="731" t="n"/>
      <c r="F65" s="1050" t="n"/>
      <c r="G65" s="1050" t="n"/>
      <c r="H65" s="731" t="n"/>
      <c r="I65" s="1050" t="n"/>
      <c r="J65" s="1050" t="n"/>
      <c r="K65" s="731" t="n"/>
      <c r="L65" s="1050" t="n"/>
      <c r="M65" s="1050" t="n"/>
      <c r="N65" s="731" t="n"/>
      <c r="O65" s="1050" t="n"/>
      <c r="P65" s="1050" t="n"/>
      <c r="Q65" s="731" t="n"/>
      <c r="R65" s="1050" t="n"/>
      <c r="S65" s="1050" t="n"/>
      <c r="T65" s="731" t="n"/>
      <c r="U65" s="1050" t="n"/>
      <c r="V65" s="1050" t="n"/>
      <c r="W65" s="731" t="n"/>
      <c r="X65" s="1050" t="n"/>
      <c r="Y65" s="1050" t="n"/>
      <c r="Z65" s="731" t="n"/>
      <c r="AA65" s="1050" t="n"/>
      <c r="AB65" s="1050" t="n"/>
    </row>
    <row r="66" ht="13" customHeight="1" s="828">
      <c r="A66" s="1051" t="n"/>
      <c r="B66" s="731" t="n"/>
      <c r="C66" s="1050" t="n"/>
      <c r="D66" s="1050" t="n"/>
      <c r="E66" s="731" t="n"/>
      <c r="F66" s="1050" t="n"/>
      <c r="G66" s="1050" t="n"/>
      <c r="H66" s="731" t="n"/>
      <c r="I66" s="1050" t="n"/>
      <c r="J66" s="1050" t="n"/>
      <c r="K66" s="731" t="n"/>
      <c r="L66" s="1050" t="n"/>
      <c r="M66" s="1050" t="n"/>
      <c r="N66" s="731" t="n"/>
      <c r="O66" s="1050" t="n"/>
      <c r="P66" s="1050" t="n"/>
      <c r="Q66" s="731" t="n"/>
      <c r="R66" s="1050" t="n"/>
      <c r="S66" s="1050" t="n"/>
      <c r="T66" s="731" t="n"/>
      <c r="U66" s="1050" t="n"/>
      <c r="V66" s="1050" t="n"/>
      <c r="W66" s="731" t="n"/>
      <c r="X66" s="1050" t="n"/>
      <c r="Y66" s="1050" t="n"/>
      <c r="Z66" s="731" t="n"/>
      <c r="AA66" s="1050" t="n"/>
      <c r="AB66" s="1050" t="n"/>
    </row>
    <row r="67" ht="13" customHeight="1" s="828">
      <c r="A67" s="1051" t="n"/>
      <c r="B67" s="731" t="n"/>
      <c r="C67" s="1050" t="n"/>
      <c r="D67" s="1050" t="n"/>
      <c r="E67" s="731" t="n"/>
      <c r="F67" s="1050" t="n"/>
      <c r="G67" s="1050" t="n"/>
      <c r="H67" s="731" t="n"/>
      <c r="I67" s="1050" t="n"/>
      <c r="J67" s="1050" t="n"/>
      <c r="K67" s="731" t="n"/>
      <c r="L67" s="1050" t="n"/>
      <c r="M67" s="1050" t="n"/>
      <c r="N67" s="731" t="n"/>
      <c r="O67" s="1050" t="n"/>
      <c r="P67" s="1050" t="n"/>
      <c r="Q67" s="731" t="n"/>
      <c r="R67" s="1050" t="n"/>
      <c r="S67" s="1050" t="n"/>
      <c r="T67" s="731" t="n"/>
      <c r="U67" s="1050" t="n"/>
      <c r="V67" s="1050" t="n"/>
      <c r="W67" s="731" t="n"/>
      <c r="X67" s="1050" t="n"/>
      <c r="Y67" s="1050" t="n"/>
      <c r="Z67" s="731" t="n"/>
      <c r="AA67" s="1050" t="n"/>
      <c r="AB67" s="1050" t="n"/>
    </row>
    <row r="68" ht="13" customHeight="1" s="828">
      <c r="A68" s="1049" t="n"/>
      <c r="B68" s="731" t="n"/>
      <c r="C68" s="1050" t="n"/>
      <c r="D68" s="1050" t="n"/>
      <c r="E68" s="731" t="n"/>
      <c r="F68" s="1050" t="n"/>
      <c r="G68" s="1050" t="n"/>
      <c r="H68" s="731" t="n"/>
      <c r="I68" s="1050" t="n"/>
      <c r="J68" s="1050" t="n"/>
      <c r="K68" s="731" t="n"/>
      <c r="L68" s="1050" t="n"/>
      <c r="M68" s="1050" t="n"/>
      <c r="N68" s="731" t="n"/>
      <c r="O68" s="1050" t="n"/>
      <c r="P68" s="1050" t="n"/>
      <c r="Q68" s="731" t="n"/>
      <c r="R68" s="1050" t="n"/>
      <c r="S68" s="1050" t="n"/>
      <c r="T68" s="731" t="n"/>
      <c r="U68" s="1050" t="n"/>
      <c r="V68" s="1050" t="n"/>
      <c r="W68" s="731" t="n"/>
      <c r="X68" s="1050" t="n"/>
      <c r="Y68" s="1050" t="n"/>
      <c r="Z68" s="731" t="n"/>
      <c r="AA68" s="1050" t="n"/>
      <c r="AB68" s="1050" t="n"/>
    </row>
    <row r="69" ht="13" customHeight="1" s="828">
      <c r="A69" s="1051" t="n"/>
      <c r="B69" s="731" t="n"/>
      <c r="C69" s="1050" t="n"/>
      <c r="D69" s="1050" t="n"/>
      <c r="E69" s="731" t="n"/>
      <c r="F69" s="1050" t="n"/>
      <c r="G69" s="1050" t="n"/>
      <c r="H69" s="731" t="n"/>
      <c r="I69" s="1050" t="n"/>
      <c r="J69" s="1050" t="n"/>
      <c r="K69" s="731" t="n"/>
      <c r="L69" s="1050" t="n"/>
      <c r="M69" s="1050" t="n"/>
      <c r="N69" s="731" t="n"/>
      <c r="O69" s="1050" t="n"/>
      <c r="P69" s="1050" t="n"/>
      <c r="Q69" s="731" t="n"/>
      <c r="R69" s="1050" t="n"/>
      <c r="S69" s="1050" t="n"/>
      <c r="T69" s="731" t="n"/>
      <c r="U69" s="1050" t="n"/>
      <c r="V69" s="1050" t="n"/>
      <c r="W69" s="731" t="n"/>
      <c r="X69" s="1050" t="n"/>
      <c r="Y69" s="1050" t="n"/>
      <c r="Z69" s="731" t="n"/>
      <c r="AA69" s="1050" t="n"/>
      <c r="AB69" s="1050" t="n"/>
    </row>
    <row r="70" ht="13" customHeight="1" s="828">
      <c r="A70" s="1051" t="n"/>
      <c r="B70" s="731" t="n"/>
      <c r="C70" s="1050" t="n"/>
      <c r="D70" s="1050" t="n"/>
      <c r="E70" s="731" t="n"/>
      <c r="F70" s="1050" t="n"/>
      <c r="G70" s="1050" t="n"/>
      <c r="H70" s="731" t="n"/>
      <c r="I70" s="1050" t="n"/>
      <c r="J70" s="1050" t="n"/>
      <c r="K70" s="731" t="n"/>
      <c r="L70" s="1050" t="n"/>
      <c r="M70" s="1050" t="n"/>
      <c r="N70" s="731" t="n"/>
      <c r="O70" s="1050" t="n"/>
      <c r="P70" s="1050" t="n"/>
      <c r="Q70" s="731" t="n"/>
      <c r="R70" s="1050" t="n"/>
      <c r="S70" s="1050" t="n"/>
      <c r="T70" s="731" t="n"/>
      <c r="U70" s="1050" t="n"/>
      <c r="V70" s="1050" t="n"/>
      <c r="W70" s="731" t="n"/>
      <c r="X70" s="1050" t="n"/>
      <c r="Y70" s="1050" t="n"/>
      <c r="Z70" s="731" t="n"/>
      <c r="AA70" s="1050" t="n"/>
      <c r="AB70" s="1050" t="n"/>
    </row>
    <row r="71" ht="13" customHeight="1" s="828">
      <c r="A71" s="1051" t="n"/>
      <c r="B71" s="731" t="n"/>
      <c r="C71" s="1050" t="n"/>
      <c r="D71" s="1050" t="n"/>
      <c r="E71" s="731" t="n"/>
      <c r="F71" s="1050" t="n"/>
      <c r="G71" s="1050" t="n"/>
      <c r="H71" s="731" t="n"/>
      <c r="I71" s="1050" t="n"/>
      <c r="J71" s="1050" t="n"/>
      <c r="K71" s="731" t="n"/>
      <c r="L71" s="1050" t="n"/>
      <c r="M71" s="1050" t="n"/>
      <c r="N71" s="731" t="n"/>
      <c r="O71" s="1050" t="n"/>
      <c r="P71" s="1050" t="n"/>
      <c r="Q71" s="731" t="n"/>
      <c r="R71" s="1050" t="n"/>
      <c r="S71" s="1050" t="n"/>
      <c r="T71" s="731" t="n"/>
      <c r="U71" s="1050" t="n"/>
      <c r="V71" s="1050" t="n"/>
      <c r="W71" s="731" t="n"/>
      <c r="X71" s="1050" t="n"/>
      <c r="Y71" s="1050" t="n"/>
      <c r="Z71" s="731" t="n"/>
      <c r="AA71" s="1050" t="n"/>
      <c r="AB71" s="1050" t="n"/>
    </row>
    <row r="72" ht="13" customHeight="1" s="828">
      <c r="A72" s="1051" t="n"/>
      <c r="B72" s="731" t="n"/>
      <c r="C72" s="1050" t="n"/>
      <c r="D72" s="1050" t="n"/>
      <c r="E72" s="731" t="n"/>
      <c r="F72" s="1050" t="n"/>
      <c r="G72" s="1050" t="n"/>
      <c r="H72" s="731" t="n"/>
      <c r="I72" s="1050" t="n"/>
      <c r="J72" s="1050" t="n"/>
      <c r="K72" s="731" t="n"/>
      <c r="L72" s="1050" t="n"/>
      <c r="M72" s="1050" t="n"/>
      <c r="N72" s="731" t="n"/>
      <c r="O72" s="1050" t="n"/>
      <c r="P72" s="1050" t="n"/>
      <c r="Q72" s="731" t="n"/>
      <c r="R72" s="1050" t="n"/>
      <c r="S72" s="1050" t="n"/>
      <c r="T72" s="731" t="n"/>
      <c r="U72" s="1050" t="n"/>
      <c r="V72" s="1050" t="n"/>
      <c r="W72" s="731" t="n"/>
      <c r="X72" s="1050" t="n"/>
      <c r="Y72" s="1050" t="n"/>
      <c r="Z72" s="731" t="n"/>
      <c r="AA72" s="1050" t="n"/>
      <c r="AB72" s="1050" t="n"/>
    </row>
    <row r="73" ht="13" customHeight="1" s="828">
      <c r="A73" s="1051" t="n"/>
      <c r="B73" s="731" t="n"/>
      <c r="C73" s="1050" t="n"/>
      <c r="D73" s="1050" t="n"/>
      <c r="E73" s="731" t="n"/>
      <c r="F73" s="1050" t="n"/>
      <c r="G73" s="1050" t="n"/>
      <c r="H73" s="731" t="n"/>
      <c r="I73" s="1050" t="n"/>
      <c r="J73" s="1050" t="n"/>
      <c r="K73" s="731" t="n"/>
      <c r="L73" s="1050" t="n"/>
      <c r="M73" s="1050" t="n"/>
      <c r="N73" s="731" t="n"/>
      <c r="O73" s="1050" t="n"/>
      <c r="P73" s="1050" t="n"/>
      <c r="Q73" s="731" t="n"/>
      <c r="R73" s="1050" t="n"/>
      <c r="S73" s="1050" t="n"/>
      <c r="T73" s="731" t="n"/>
      <c r="U73" s="1050" t="n"/>
      <c r="V73" s="1050" t="n"/>
      <c r="W73" s="731" t="n"/>
      <c r="X73" s="1050" t="n"/>
      <c r="Y73" s="1050" t="n"/>
      <c r="Z73" s="731" t="n"/>
      <c r="AA73" s="1050" t="n"/>
      <c r="AB73" s="1050" t="n"/>
    </row>
    <row r="74" ht="13" customHeight="1" s="828">
      <c r="A74" s="1051" t="n"/>
      <c r="B74" s="731" t="n"/>
      <c r="C74" s="1050" t="n"/>
      <c r="D74" s="1050" t="n"/>
      <c r="E74" s="731" t="n"/>
      <c r="F74" s="1050" t="n"/>
      <c r="G74" s="1050" t="n"/>
      <c r="H74" s="731" t="n"/>
      <c r="I74" s="1050" t="n"/>
      <c r="J74" s="1050" t="n"/>
      <c r="K74" s="731" t="n"/>
      <c r="L74" s="1050" t="n"/>
      <c r="M74" s="1050" t="n"/>
      <c r="N74" s="731" t="n"/>
      <c r="O74" s="1050" t="n"/>
      <c r="P74" s="1050" t="n"/>
      <c r="Q74" s="731" t="n"/>
      <c r="R74" s="1050" t="n"/>
      <c r="S74" s="1050" t="n"/>
      <c r="T74" s="731" t="n"/>
      <c r="U74" s="1050" t="n"/>
      <c r="V74" s="1050" t="n"/>
      <c r="W74" s="731" t="n"/>
      <c r="X74" s="1050" t="n"/>
      <c r="Y74" s="1050" t="n"/>
      <c r="Z74" s="731" t="n"/>
      <c r="AA74" s="1050" t="n"/>
      <c r="AB74" s="1050" t="n"/>
    </row>
    <row r="75" ht="13" customHeight="1" s="828">
      <c r="A75" s="1051" t="n"/>
      <c r="B75" s="731" t="n"/>
      <c r="C75" s="1050" t="n"/>
      <c r="D75" s="1050" t="n"/>
      <c r="E75" s="731" t="n"/>
      <c r="F75" s="1050" t="n"/>
      <c r="G75" s="1050" t="n"/>
      <c r="H75" s="731" t="n"/>
      <c r="I75" s="1050" t="n"/>
      <c r="J75" s="1050" t="n"/>
      <c r="K75" s="731" t="n"/>
      <c r="L75" s="1050" t="n"/>
      <c r="M75" s="1050" t="n"/>
      <c r="N75" s="731" t="n"/>
      <c r="O75" s="1050" t="n"/>
      <c r="P75" s="1050" t="n"/>
      <c r="Q75" s="731" t="n"/>
      <c r="R75" s="1050" t="n"/>
      <c r="S75" s="1050" t="n"/>
      <c r="T75" s="731" t="n"/>
      <c r="U75" s="1050" t="n"/>
      <c r="V75" s="1050" t="n"/>
      <c r="W75" s="731" t="n"/>
      <c r="X75" s="1050" t="n"/>
      <c r="Y75" s="1050" t="n"/>
      <c r="Z75" s="731" t="n"/>
      <c r="AA75" s="1050" t="n"/>
      <c r="AB75" s="1050" t="n"/>
    </row>
    <row r="76" ht="13" customHeight="1" s="828">
      <c r="A76" s="1051" t="n"/>
      <c r="B76" s="731" t="n"/>
      <c r="C76" s="1050" t="n"/>
      <c r="D76" s="1050" t="n"/>
      <c r="E76" s="731" t="n"/>
      <c r="F76" s="1050" t="n"/>
      <c r="G76" s="1050" t="n"/>
      <c r="H76" s="731" t="n"/>
      <c r="I76" s="1050" t="n"/>
      <c r="J76" s="1050" t="n"/>
      <c r="K76" s="731" t="n"/>
      <c r="L76" s="1050" t="n"/>
      <c r="M76" s="1050" t="n"/>
      <c r="N76" s="731" t="n"/>
      <c r="O76" s="1050" t="n"/>
      <c r="P76" s="1050" t="n"/>
      <c r="Q76" s="731" t="n"/>
      <c r="R76" s="1050" t="n"/>
      <c r="S76" s="1050" t="n"/>
      <c r="T76" s="731" t="n"/>
      <c r="U76" s="1050" t="n"/>
      <c r="V76" s="1050" t="n"/>
      <c r="W76" s="731" t="n"/>
      <c r="X76" s="1050" t="n"/>
      <c r="Y76" s="1050" t="n"/>
      <c r="Z76" s="731" t="n"/>
      <c r="AA76" s="1050" t="n"/>
      <c r="AB76" s="1050" t="n"/>
    </row>
    <row r="77" ht="13" customHeight="1" s="828">
      <c r="A77" s="1051" t="n"/>
      <c r="B77" s="731" t="n"/>
      <c r="C77" s="1050" t="n"/>
      <c r="D77" s="1050" t="n"/>
      <c r="E77" s="731" t="n"/>
      <c r="F77" s="1050" t="n"/>
      <c r="G77" s="1050" t="n"/>
      <c r="H77" s="731" t="n"/>
      <c r="I77" s="1050" t="n"/>
      <c r="J77" s="1050" t="n"/>
      <c r="K77" s="731" t="n"/>
      <c r="L77" s="1050" t="n"/>
      <c r="M77" s="1050" t="n"/>
      <c r="N77" s="731" t="n"/>
      <c r="O77" s="1050" t="n"/>
      <c r="P77" s="1050" t="n"/>
      <c r="Q77" s="731" t="n"/>
      <c r="R77" s="1050" t="n"/>
      <c r="S77" s="1050" t="n"/>
      <c r="T77" s="731" t="n"/>
      <c r="U77" s="1050" t="n"/>
      <c r="V77" s="1050" t="n"/>
      <c r="W77" s="731" t="n"/>
      <c r="X77" s="1050" t="n"/>
      <c r="Y77" s="1050" t="n"/>
      <c r="Z77" s="731" t="n"/>
      <c r="AA77" s="1050" t="n"/>
      <c r="AB77" s="1050" t="n"/>
    </row>
    <row r="78" ht="13" customHeight="1" s="828">
      <c r="A78" s="1051" t="n"/>
      <c r="B78" s="731" t="n"/>
      <c r="C78" s="1050" t="n"/>
      <c r="D78" s="1050" t="n"/>
      <c r="E78" s="731" t="n"/>
      <c r="F78" s="1050" t="n"/>
      <c r="G78" s="1050" t="n"/>
      <c r="H78" s="731" t="n"/>
      <c r="I78" s="1050" t="n"/>
      <c r="J78" s="1050" t="n"/>
      <c r="K78" s="731" t="n"/>
      <c r="L78" s="1050" t="n"/>
      <c r="M78" s="1050" t="n"/>
      <c r="N78" s="731" t="n"/>
      <c r="O78" s="1050" t="n"/>
      <c r="P78" s="1050" t="n"/>
      <c r="Q78" s="731" t="n"/>
      <c r="R78" s="1050" t="n"/>
      <c r="S78" s="1050" t="n"/>
      <c r="T78" s="731" t="n"/>
      <c r="U78" s="1050" t="n"/>
      <c r="V78" s="1050" t="n"/>
      <c r="W78" s="731" t="n"/>
      <c r="X78" s="1050" t="n"/>
      <c r="Y78" s="1050" t="n"/>
      <c r="Z78" s="731" t="n"/>
      <c r="AA78" s="1050" t="n"/>
      <c r="AB78" s="1050" t="n"/>
    </row>
    <row r="79" ht="13" customHeight="1" s="828">
      <c r="A79" s="1051" t="n"/>
      <c r="B79" s="731" t="n"/>
      <c r="C79" s="1050" t="n"/>
      <c r="D79" s="1050" t="n"/>
      <c r="E79" s="731" t="n"/>
      <c r="F79" s="1050" t="n"/>
      <c r="G79" s="1050" t="n"/>
      <c r="H79" s="731" t="n"/>
      <c r="I79" s="1050" t="n"/>
      <c r="J79" s="1050" t="n"/>
      <c r="K79" s="731" t="n"/>
      <c r="L79" s="1050" t="n"/>
      <c r="M79" s="1050" t="n"/>
      <c r="N79" s="731" t="n"/>
      <c r="O79" s="1050" t="n"/>
      <c r="P79" s="1050" t="n"/>
      <c r="Q79" s="731" t="n"/>
      <c r="R79" s="1050" t="n"/>
      <c r="S79" s="1050" t="n"/>
      <c r="T79" s="731" t="n"/>
      <c r="U79" s="1050" t="n"/>
      <c r="V79" s="1050" t="n"/>
      <c r="W79" s="731" t="n"/>
      <c r="X79" s="1050" t="n"/>
      <c r="Y79" s="1050" t="n"/>
      <c r="Z79" s="731" t="n"/>
      <c r="AA79" s="1050" t="n"/>
      <c r="AB79" s="1050" t="n"/>
    </row>
    <row r="80" ht="13" customHeight="1" s="828">
      <c r="A80" s="1049" t="n"/>
      <c r="B80" s="731" t="n"/>
      <c r="C80" s="1050" t="n"/>
      <c r="D80" s="1050" t="n"/>
      <c r="E80" s="731" t="n"/>
      <c r="F80" s="1050" t="n"/>
      <c r="G80" s="1050" t="n"/>
      <c r="H80" s="731" t="n"/>
      <c r="I80" s="1050" t="n"/>
      <c r="J80" s="1050" t="n"/>
      <c r="K80" s="731" t="n"/>
      <c r="L80" s="1050" t="n"/>
      <c r="M80" s="1050" t="n"/>
      <c r="N80" s="731" t="n"/>
      <c r="O80" s="1050" t="n"/>
      <c r="P80" s="1050" t="n"/>
      <c r="Q80" s="731" t="n"/>
      <c r="R80" s="1050" t="n"/>
      <c r="S80" s="1050" t="n"/>
      <c r="T80" s="731" t="n"/>
      <c r="U80" s="1050" t="n"/>
      <c r="V80" s="1050" t="n"/>
      <c r="W80" s="731" t="n"/>
      <c r="X80" s="1050" t="n"/>
      <c r="Y80" s="1050" t="n"/>
      <c r="Z80" s="731" t="n"/>
      <c r="AA80" s="1050" t="n"/>
      <c r="AB80" s="1050" t="n"/>
    </row>
    <row r="81" ht="13" customHeight="1" s="828">
      <c r="A81" s="1051" t="n"/>
      <c r="B81" s="731" t="n"/>
      <c r="C81" s="1050" t="n"/>
      <c r="D81" s="1050" t="n"/>
      <c r="E81" s="731" t="n"/>
      <c r="F81" s="1050" t="n"/>
      <c r="G81" s="1050" t="n"/>
      <c r="H81" s="731" t="n"/>
      <c r="I81" s="1050" t="n"/>
      <c r="J81" s="1050" t="n"/>
      <c r="K81" s="731" t="n"/>
      <c r="L81" s="1050" t="n"/>
      <c r="M81" s="1050" t="n"/>
      <c r="N81" s="731" t="n"/>
      <c r="O81" s="1050" t="n"/>
      <c r="P81" s="1050" t="n"/>
      <c r="Q81" s="731" t="n"/>
      <c r="R81" s="1050" t="n"/>
      <c r="S81" s="1050" t="n"/>
      <c r="T81" s="731" t="n"/>
      <c r="U81" s="1050" t="n"/>
      <c r="V81" s="1050" t="n"/>
      <c r="W81" s="731" t="n"/>
      <c r="X81" s="1050" t="n"/>
      <c r="Y81" s="1050" t="n"/>
      <c r="Z81" s="731" t="n"/>
      <c r="AA81" s="1050" t="n"/>
      <c r="AB81" s="1050" t="n"/>
    </row>
    <row r="82" ht="13" customHeight="1" s="828">
      <c r="A82" s="1051" t="n"/>
      <c r="B82" s="731" t="n"/>
      <c r="C82" s="1050" t="n"/>
      <c r="D82" s="1050" t="n"/>
      <c r="E82" s="731" t="n"/>
      <c r="F82" s="1050" t="n"/>
      <c r="G82" s="1050" t="n"/>
      <c r="H82" s="731" t="n"/>
      <c r="I82" s="1050" t="n"/>
      <c r="J82" s="1050" t="n"/>
      <c r="K82" s="731" t="n"/>
      <c r="L82" s="1050" t="n"/>
      <c r="M82" s="1050" t="n"/>
      <c r="N82" s="731" t="n"/>
      <c r="O82" s="1050" t="n"/>
      <c r="P82" s="1050" t="n"/>
      <c r="Q82" s="731" t="n"/>
      <c r="R82" s="1050" t="n"/>
      <c r="S82" s="1050" t="n"/>
      <c r="T82" s="731" t="n"/>
      <c r="U82" s="1050" t="n"/>
      <c r="V82" s="1050" t="n"/>
      <c r="W82" s="731" t="n"/>
      <c r="X82" s="1050" t="n"/>
      <c r="Y82" s="1050" t="n"/>
      <c r="Z82" s="731" t="n"/>
      <c r="AA82" s="1050" t="n"/>
      <c r="AB82" s="1050" t="n"/>
    </row>
    <row r="83" ht="13" customHeight="1" s="828">
      <c r="A83" s="1051" t="n"/>
      <c r="B83" s="731" t="n"/>
      <c r="C83" s="1050" t="n"/>
      <c r="D83" s="1050" t="n"/>
      <c r="E83" s="731" t="n"/>
      <c r="F83" s="1050" t="n"/>
      <c r="G83" s="1050" t="n"/>
      <c r="H83" s="731" t="n"/>
      <c r="I83" s="1050" t="n"/>
      <c r="J83" s="1050" t="n"/>
      <c r="K83" s="731" t="n"/>
      <c r="L83" s="1050" t="n"/>
      <c r="M83" s="1050" t="n"/>
      <c r="N83" s="731" t="n"/>
      <c r="O83" s="1050" t="n"/>
      <c r="P83" s="1050" t="n"/>
      <c r="Q83" s="731" t="n"/>
      <c r="R83" s="1050" t="n"/>
      <c r="S83" s="1050" t="n"/>
      <c r="T83" s="731" t="n"/>
      <c r="U83" s="1050" t="n"/>
      <c r="V83" s="1050" t="n"/>
      <c r="W83" s="731" t="n"/>
      <c r="X83" s="1050" t="n"/>
      <c r="Y83" s="1050" t="n"/>
      <c r="Z83" s="731" t="n"/>
      <c r="AA83" s="1050" t="n"/>
      <c r="AB83" s="1050" t="n"/>
    </row>
    <row r="84" ht="13" customHeight="1" s="828">
      <c r="A84" s="1051" t="n"/>
      <c r="B84" s="731" t="n"/>
      <c r="C84" s="1050" t="n"/>
      <c r="D84" s="1050" t="n"/>
      <c r="E84" s="731" t="n"/>
      <c r="F84" s="1050" t="n"/>
      <c r="G84" s="1050" t="n"/>
      <c r="H84" s="731" t="n"/>
      <c r="I84" s="1050" t="n"/>
      <c r="J84" s="1050" t="n"/>
      <c r="K84" s="731" t="n"/>
      <c r="L84" s="1050" t="n"/>
      <c r="M84" s="1050" t="n"/>
      <c r="N84" s="731" t="n"/>
      <c r="O84" s="1050" t="n"/>
      <c r="P84" s="1050" t="n"/>
      <c r="Q84" s="731" t="n"/>
      <c r="R84" s="1050" t="n"/>
      <c r="S84" s="1050" t="n"/>
      <c r="T84" s="731" t="n"/>
      <c r="U84" s="1050" t="n"/>
      <c r="V84" s="1050" t="n"/>
      <c r="W84" s="731" t="n"/>
      <c r="X84" s="1050" t="n"/>
      <c r="Y84" s="1050" t="n"/>
      <c r="Z84" s="731" t="n"/>
      <c r="AA84" s="1050" t="n"/>
      <c r="AB84" s="1050" t="n"/>
    </row>
    <row r="85" ht="13" customHeight="1" s="828">
      <c r="A85" s="1051" t="n"/>
      <c r="B85" s="731" t="n"/>
      <c r="C85" s="1050" t="n"/>
      <c r="D85" s="1050" t="n"/>
      <c r="E85" s="731" t="n"/>
      <c r="F85" s="1050" t="n"/>
      <c r="G85" s="1050" t="n"/>
      <c r="H85" s="731" t="n"/>
      <c r="I85" s="1050" t="n"/>
      <c r="J85" s="1050" t="n"/>
      <c r="K85" s="731" t="n"/>
      <c r="L85" s="1050" t="n"/>
      <c r="M85" s="1050" t="n"/>
      <c r="N85" s="731" t="n"/>
      <c r="O85" s="1050" t="n"/>
      <c r="P85" s="1050" t="n"/>
      <c r="Q85" s="731" t="n"/>
      <c r="R85" s="1050" t="n"/>
      <c r="S85" s="1050" t="n"/>
      <c r="T85" s="731" t="n"/>
      <c r="U85" s="1050" t="n"/>
      <c r="V85" s="1050" t="n"/>
      <c r="W85" s="731" t="n"/>
      <c r="X85" s="1050" t="n"/>
      <c r="Y85" s="1050" t="n"/>
      <c r="Z85" s="731" t="n"/>
      <c r="AA85" s="1050" t="n"/>
      <c r="AB85" s="1050" t="n"/>
    </row>
    <row r="86" ht="13" customHeight="1" s="828">
      <c r="A86" s="1051" t="n"/>
      <c r="B86" s="731" t="n"/>
      <c r="C86" s="1050" t="n"/>
      <c r="D86" s="1050" t="n"/>
      <c r="E86" s="731" t="n"/>
      <c r="F86" s="1050" t="n"/>
      <c r="G86" s="1050" t="n"/>
      <c r="H86" s="731" t="n"/>
      <c r="I86" s="1050" t="n"/>
      <c r="J86" s="1050" t="n"/>
      <c r="K86" s="731" t="n"/>
      <c r="L86" s="1050" t="n"/>
      <c r="M86" s="1050" t="n"/>
      <c r="N86" s="731" t="n"/>
      <c r="O86" s="1050" t="n"/>
      <c r="P86" s="1050" t="n"/>
      <c r="Q86" s="731" t="n"/>
      <c r="R86" s="1050" t="n"/>
      <c r="S86" s="1050" t="n"/>
      <c r="T86" s="731" t="n"/>
      <c r="U86" s="1050" t="n"/>
      <c r="V86" s="1050" t="n"/>
      <c r="W86" s="731" t="n"/>
      <c r="X86" s="1050" t="n"/>
      <c r="Y86" s="1050" t="n"/>
      <c r="Z86" s="731" t="n"/>
      <c r="AA86" s="1050" t="n"/>
      <c r="AB86" s="1050" t="n"/>
    </row>
    <row r="87" ht="13" customHeight="1" s="828">
      <c r="A87" s="1051" t="n"/>
      <c r="B87" s="731" t="n"/>
      <c r="C87" s="1050" t="n"/>
      <c r="D87" s="1050" t="n"/>
      <c r="E87" s="731" t="n"/>
      <c r="F87" s="1050" t="n"/>
      <c r="G87" s="1050" t="n"/>
      <c r="H87" s="731" t="n"/>
      <c r="I87" s="1050" t="n"/>
      <c r="J87" s="1050" t="n"/>
      <c r="K87" s="731" t="n"/>
      <c r="L87" s="1050" t="n"/>
      <c r="M87" s="1050" t="n"/>
      <c r="N87" s="731" t="n"/>
      <c r="O87" s="1050" t="n"/>
      <c r="P87" s="1050" t="n"/>
      <c r="Q87" s="731" t="n"/>
      <c r="R87" s="1050" t="n"/>
      <c r="S87" s="1050" t="n"/>
      <c r="T87" s="731" t="n"/>
      <c r="U87" s="1050" t="n"/>
      <c r="V87" s="1050" t="n"/>
      <c r="W87" s="731" t="n"/>
      <c r="X87" s="1050" t="n"/>
      <c r="Y87" s="1050" t="n"/>
      <c r="Z87" s="731" t="n"/>
      <c r="AA87" s="1050" t="n"/>
      <c r="AB87" s="1050" t="n"/>
    </row>
    <row r="88" ht="13" customHeight="1" s="828">
      <c r="A88" s="1051" t="n"/>
      <c r="B88" s="731" t="n"/>
      <c r="C88" s="1050" t="n"/>
      <c r="D88" s="1050" t="n"/>
      <c r="E88" s="731" t="n"/>
      <c r="F88" s="1050" t="n"/>
      <c r="G88" s="1050" t="n"/>
      <c r="H88" s="731" t="n"/>
      <c r="I88" s="1050" t="n"/>
      <c r="J88" s="1050" t="n"/>
      <c r="K88" s="731" t="n"/>
      <c r="L88" s="1050" t="n"/>
      <c r="M88" s="1050" t="n"/>
      <c r="N88" s="731" t="n"/>
      <c r="O88" s="1050" t="n"/>
      <c r="P88" s="1050" t="n"/>
      <c r="Q88" s="731" t="n"/>
      <c r="R88" s="1050" t="n"/>
      <c r="S88" s="1050" t="n"/>
      <c r="T88" s="731" t="n"/>
      <c r="U88" s="1050" t="n"/>
      <c r="V88" s="1050" t="n"/>
      <c r="W88" s="731" t="n"/>
      <c r="X88" s="1050" t="n"/>
      <c r="Y88" s="1050" t="n"/>
      <c r="Z88" s="731" t="n"/>
      <c r="AA88" s="1050" t="n"/>
      <c r="AB88" s="1050" t="n"/>
    </row>
    <row r="89" ht="13" customHeight="1" s="828">
      <c r="A89" s="1051" t="n"/>
      <c r="B89" s="731" t="n"/>
      <c r="C89" s="1050" t="n"/>
      <c r="D89" s="1050" t="n"/>
      <c r="E89" s="731" t="n"/>
      <c r="F89" s="1050" t="n"/>
      <c r="G89" s="1050" t="n"/>
      <c r="H89" s="731" t="n"/>
      <c r="I89" s="1050" t="n"/>
      <c r="J89" s="1050" t="n"/>
      <c r="K89" s="731" t="n"/>
      <c r="L89" s="1050" t="n"/>
      <c r="M89" s="1050" t="n"/>
      <c r="N89" s="731" t="n"/>
      <c r="O89" s="1050" t="n"/>
      <c r="P89" s="1050" t="n"/>
      <c r="Q89" s="731" t="n"/>
      <c r="R89" s="1050" t="n"/>
      <c r="S89" s="1050" t="n"/>
      <c r="T89" s="731" t="n"/>
      <c r="U89" s="1050" t="n"/>
      <c r="V89" s="1050" t="n"/>
      <c r="W89" s="731" t="n"/>
      <c r="X89" s="1050" t="n"/>
      <c r="Y89" s="1050" t="n"/>
      <c r="Z89" s="731" t="n"/>
      <c r="AA89" s="1050" t="n"/>
      <c r="AB89" s="1050" t="n"/>
    </row>
    <row r="90" ht="13" customHeight="1" s="828">
      <c r="A90" s="1051" t="n"/>
      <c r="B90" s="731" t="n"/>
      <c r="C90" s="1050" t="n"/>
      <c r="D90" s="1050" t="n"/>
      <c r="E90" s="731" t="n"/>
      <c r="F90" s="1050" t="n"/>
      <c r="G90" s="1050" t="n"/>
      <c r="H90" s="731" t="n"/>
      <c r="I90" s="1050" t="n"/>
      <c r="J90" s="1050" t="n"/>
      <c r="K90" s="731" t="n"/>
      <c r="L90" s="1050" t="n"/>
      <c r="M90" s="1050" t="n"/>
      <c r="N90" s="731" t="n"/>
      <c r="O90" s="1050" t="n"/>
      <c r="P90" s="1050" t="n"/>
      <c r="Q90" s="731" t="n"/>
      <c r="R90" s="1050" t="n"/>
      <c r="S90" s="1050" t="n"/>
      <c r="T90" s="731" t="n"/>
      <c r="U90" s="1050" t="n"/>
      <c r="V90" s="1050" t="n"/>
      <c r="W90" s="731" t="n"/>
      <c r="X90" s="1050" t="n"/>
      <c r="Y90" s="1050" t="n"/>
      <c r="Z90" s="731" t="n"/>
      <c r="AA90" s="1050" t="n"/>
      <c r="AB90" s="1050" t="n"/>
    </row>
    <row r="91" ht="13" customHeight="1" s="828">
      <c r="A91" s="1051" t="n"/>
      <c r="B91" s="731" t="n"/>
      <c r="C91" s="1050" t="n"/>
      <c r="D91" s="1050" t="n"/>
      <c r="E91" s="731" t="n"/>
      <c r="F91" s="1050" t="n"/>
      <c r="G91" s="1050" t="n"/>
      <c r="H91" s="731" t="n"/>
      <c r="I91" s="1050" t="n"/>
      <c r="J91" s="1050" t="n"/>
      <c r="K91" s="731" t="n"/>
      <c r="L91" s="1050" t="n"/>
      <c r="M91" s="1050" t="n"/>
      <c r="N91" s="731" t="n"/>
      <c r="O91" s="1050" t="n"/>
      <c r="P91" s="1050" t="n"/>
      <c r="Q91" s="731" t="n"/>
      <c r="R91" s="1050" t="n"/>
      <c r="S91" s="1050" t="n"/>
      <c r="T91" s="731" t="n"/>
      <c r="U91" s="1050" t="n"/>
      <c r="V91" s="1050" t="n"/>
      <c r="W91" s="731" t="n"/>
      <c r="X91" s="1050" t="n"/>
      <c r="Y91" s="1050" t="n"/>
      <c r="Z91" s="731" t="n"/>
      <c r="AA91" s="1050" t="n"/>
      <c r="AB91" s="1050" t="n"/>
    </row>
    <row r="92" ht="13" customHeight="1" s="828">
      <c r="A92" s="1049" t="n"/>
      <c r="B92" s="731" t="n"/>
      <c r="C92" s="1050" t="n"/>
      <c r="D92" s="1050" t="n"/>
      <c r="E92" s="731" t="n"/>
      <c r="F92" s="1050" t="n"/>
      <c r="G92" s="1050" t="n"/>
      <c r="H92" s="731" t="n"/>
      <c r="I92" s="1050" t="n"/>
      <c r="J92" s="1050" t="n"/>
      <c r="K92" s="731" t="n"/>
      <c r="L92" s="1050" t="n"/>
      <c r="M92" s="1050" t="n"/>
      <c r="N92" s="731" t="n"/>
      <c r="O92" s="1050" t="n"/>
      <c r="P92" s="1050" t="n"/>
      <c r="Q92" s="731" t="n"/>
      <c r="R92" s="1050" t="n"/>
      <c r="S92" s="1050" t="n"/>
      <c r="T92" s="731" t="n"/>
      <c r="U92" s="1050" t="n"/>
      <c r="V92" s="1050" t="n"/>
      <c r="W92" s="731" t="n"/>
      <c r="X92" s="1050" t="n"/>
      <c r="Y92" s="1050" t="n"/>
      <c r="Z92" s="731" t="n"/>
      <c r="AA92" s="1050" t="n"/>
      <c r="AB92" s="1050" t="n"/>
    </row>
    <row r="93" ht="13" customHeight="1" s="828">
      <c r="A93" s="1051" t="n"/>
      <c r="B93" s="731" t="n"/>
      <c r="C93" s="1050" t="n"/>
      <c r="D93" s="1050" t="n"/>
      <c r="E93" s="731" t="n"/>
      <c r="F93" s="1050" t="n"/>
      <c r="G93" s="1050" t="n"/>
      <c r="H93" s="731" t="n"/>
      <c r="I93" s="1050" t="n"/>
      <c r="J93" s="1050" t="n"/>
      <c r="K93" s="731" t="n"/>
      <c r="L93" s="1050" t="n"/>
      <c r="M93" s="1050" t="n"/>
      <c r="N93" s="731" t="n"/>
      <c r="O93" s="1050" t="n"/>
      <c r="P93" s="1050" t="n"/>
      <c r="Q93" s="731" t="n"/>
      <c r="R93" s="1050" t="n"/>
      <c r="S93" s="1050" t="n"/>
      <c r="T93" s="731" t="n"/>
      <c r="U93" s="1050" t="n"/>
      <c r="V93" s="1050" t="n"/>
      <c r="W93" s="731" t="n"/>
      <c r="X93" s="1050" t="n"/>
      <c r="Y93" s="1050" t="n"/>
      <c r="Z93" s="731" t="n"/>
      <c r="AA93" s="1050" t="n"/>
      <c r="AB93" s="1050" t="n"/>
    </row>
    <row r="94" ht="13" customHeight="1" s="828">
      <c r="A94" s="1051" t="n"/>
      <c r="B94" s="731" t="n"/>
      <c r="C94" s="1050" t="n"/>
      <c r="D94" s="1050" t="n"/>
      <c r="E94" s="731" t="n"/>
      <c r="F94" s="1050" t="n"/>
      <c r="G94" s="1050" t="n"/>
      <c r="H94" s="731" t="n"/>
      <c r="I94" s="1050" t="n"/>
      <c r="J94" s="1050" t="n"/>
      <c r="K94" s="731" t="n"/>
      <c r="L94" s="1050" t="n"/>
      <c r="M94" s="1050" t="n"/>
      <c r="N94" s="731" t="n"/>
      <c r="O94" s="1050" t="n"/>
      <c r="P94" s="1050" t="n"/>
      <c r="Q94" s="731" t="n"/>
      <c r="R94" s="1050" t="n"/>
      <c r="S94" s="1050" t="n"/>
      <c r="T94" s="731" t="n"/>
      <c r="U94" s="1050" t="n"/>
      <c r="V94" s="1050" t="n"/>
      <c r="W94" s="731" t="n"/>
      <c r="X94" s="1050" t="n"/>
      <c r="Y94" s="1050" t="n"/>
      <c r="Z94" s="731" t="n"/>
      <c r="AA94" s="1050" t="n"/>
      <c r="AB94" s="1050" t="n"/>
    </row>
    <row r="95" ht="13" customHeight="1" s="828">
      <c r="A95" s="1051" t="n"/>
      <c r="B95" s="731" t="n"/>
      <c r="C95" s="1050" t="n"/>
      <c r="D95" s="1050" t="n"/>
      <c r="E95" s="731" t="n"/>
      <c r="F95" s="1050" t="n"/>
      <c r="G95" s="1050" t="n"/>
      <c r="H95" s="731" t="n"/>
      <c r="I95" s="1050" t="n"/>
      <c r="J95" s="1050" t="n"/>
      <c r="K95" s="731" t="n"/>
      <c r="L95" s="1050" t="n"/>
      <c r="M95" s="1050" t="n"/>
      <c r="N95" s="731" t="n"/>
      <c r="O95" s="1050" t="n"/>
      <c r="P95" s="1050" t="n"/>
      <c r="Q95" s="731" t="n"/>
      <c r="R95" s="1050" t="n"/>
      <c r="S95" s="1050" t="n"/>
      <c r="T95" s="731" t="n"/>
      <c r="U95" s="1050" t="n"/>
      <c r="V95" s="1050" t="n"/>
      <c r="W95" s="731" t="n"/>
      <c r="X95" s="1050" t="n"/>
      <c r="Y95" s="1050" t="n"/>
      <c r="Z95" s="731" t="n"/>
      <c r="AA95" s="1050" t="n"/>
      <c r="AB95" s="1050" t="n"/>
    </row>
    <row r="96" ht="13" customHeight="1" s="828">
      <c r="A96" s="1051" t="n"/>
      <c r="B96" s="731" t="n"/>
      <c r="C96" s="1050" t="n"/>
      <c r="D96" s="1050" t="n"/>
      <c r="E96" s="731" t="n"/>
      <c r="F96" s="1050" t="n"/>
      <c r="G96" s="1050" t="n"/>
      <c r="H96" s="731" t="n"/>
      <c r="I96" s="1050" t="n"/>
      <c r="J96" s="1050" t="n"/>
      <c r="K96" s="731" t="n"/>
      <c r="L96" s="1050" t="n"/>
      <c r="M96" s="1050" t="n"/>
      <c r="N96" s="731" t="n"/>
      <c r="O96" s="1050" t="n"/>
      <c r="P96" s="1050" t="n"/>
      <c r="Q96" s="731" t="n"/>
      <c r="R96" s="1050" t="n"/>
      <c r="S96" s="1050" t="n"/>
      <c r="T96" s="731" t="n"/>
      <c r="U96" s="1050" t="n"/>
      <c r="V96" s="1050" t="n"/>
      <c r="W96" s="731" t="n"/>
      <c r="X96" s="1050" t="n"/>
      <c r="Y96" s="1050" t="n"/>
      <c r="Z96" s="731" t="n"/>
      <c r="AA96" s="1050" t="n"/>
      <c r="AB96" s="1050" t="n"/>
    </row>
    <row r="97" ht="13" customHeight="1" s="828">
      <c r="A97" s="1051" t="n"/>
      <c r="B97" s="731" t="n"/>
      <c r="C97" s="1050" t="n"/>
      <c r="D97" s="1050" t="n"/>
      <c r="E97" s="731" t="n"/>
      <c r="F97" s="1050" t="n"/>
      <c r="G97" s="1050" t="n"/>
      <c r="H97" s="731" t="n"/>
      <c r="I97" s="1050" t="n"/>
      <c r="J97" s="1050" t="n"/>
      <c r="K97" s="731" t="n"/>
      <c r="L97" s="1050" t="n"/>
      <c r="M97" s="1050" t="n"/>
      <c r="N97" s="731" t="n"/>
      <c r="O97" s="1050" t="n"/>
      <c r="P97" s="1050" t="n"/>
      <c r="Q97" s="731" t="n"/>
      <c r="R97" s="1050" t="n"/>
      <c r="S97" s="1050" t="n"/>
      <c r="T97" s="731" t="n"/>
      <c r="U97" s="1050" t="n"/>
      <c r="V97" s="1050" t="n"/>
      <c r="W97" s="731" t="n"/>
      <c r="X97" s="1050" t="n"/>
      <c r="Y97" s="1050" t="n"/>
      <c r="Z97" s="731" t="n"/>
      <c r="AA97" s="1050" t="n"/>
      <c r="AB97" s="1050" t="n"/>
    </row>
    <row r="98" ht="13" customHeight="1" s="828">
      <c r="A98" s="1051" t="n"/>
      <c r="B98" s="731" t="n"/>
      <c r="C98" s="1050" t="n"/>
      <c r="D98" s="1050" t="n"/>
      <c r="E98" s="731" t="n"/>
      <c r="F98" s="1050" t="n"/>
      <c r="G98" s="1050" t="n"/>
      <c r="H98" s="731" t="n"/>
      <c r="I98" s="1050" t="n"/>
      <c r="J98" s="1050" t="n"/>
      <c r="K98" s="731" t="n"/>
      <c r="L98" s="1050" t="n"/>
      <c r="M98" s="1050" t="n"/>
      <c r="N98" s="731" t="n"/>
      <c r="O98" s="1050" t="n"/>
      <c r="P98" s="1050" t="n"/>
      <c r="Q98" s="731" t="n"/>
      <c r="R98" s="1050" t="n"/>
      <c r="S98" s="1050" t="n"/>
      <c r="T98" s="731" t="n"/>
      <c r="U98" s="1050" t="n"/>
      <c r="V98" s="1050" t="n"/>
      <c r="W98" s="731" t="n"/>
      <c r="X98" s="1050" t="n"/>
      <c r="Y98" s="1050" t="n"/>
      <c r="Z98" s="731" t="n"/>
      <c r="AA98" s="1050" t="n"/>
      <c r="AB98" s="1050" t="n"/>
    </row>
    <row r="99" ht="13" customHeight="1" s="828">
      <c r="A99" s="1051" t="n"/>
      <c r="B99" s="731" t="n"/>
      <c r="C99" s="1050" t="n"/>
      <c r="D99" s="1050" t="n"/>
      <c r="E99" s="731" t="n"/>
      <c r="F99" s="1050" t="n"/>
      <c r="G99" s="1050" t="n"/>
      <c r="H99" s="731" t="n"/>
      <c r="I99" s="1050" t="n"/>
      <c r="J99" s="1050" t="n"/>
      <c r="K99" s="731" t="n"/>
      <c r="L99" s="1050" t="n"/>
      <c r="M99" s="1050" t="n"/>
      <c r="N99" s="731" t="n"/>
      <c r="O99" s="1050" t="n"/>
      <c r="P99" s="1050" t="n"/>
      <c r="Q99" s="731" t="n"/>
      <c r="R99" s="1050" t="n"/>
      <c r="S99" s="1050" t="n"/>
      <c r="T99" s="731" t="n"/>
      <c r="U99" s="1050" t="n"/>
      <c r="V99" s="1050" t="n"/>
      <c r="W99" s="731" t="n"/>
      <c r="X99" s="1050" t="n"/>
      <c r="Y99" s="1050" t="n"/>
      <c r="Z99" s="731" t="n"/>
      <c r="AA99" s="1050" t="n"/>
      <c r="AB99" s="1050" t="n"/>
    </row>
    <row r="100" ht="13" customHeight="1" s="828">
      <c r="A100" s="1051" t="n"/>
      <c r="B100" s="731" t="n"/>
      <c r="C100" s="1050" t="n"/>
      <c r="D100" s="1050" t="n"/>
      <c r="E100" s="731" t="n"/>
      <c r="F100" s="1050" t="n"/>
      <c r="G100" s="1050" t="n"/>
      <c r="H100" s="731" t="n"/>
      <c r="I100" s="1050" t="n"/>
      <c r="J100" s="1050" t="n"/>
      <c r="K100" s="731" t="n"/>
      <c r="L100" s="1050" t="n"/>
      <c r="M100" s="1050" t="n"/>
      <c r="N100" s="731" t="n"/>
      <c r="O100" s="1050" t="n"/>
      <c r="P100" s="1050" t="n"/>
      <c r="Q100" s="731" t="n"/>
      <c r="R100" s="1050" t="n"/>
      <c r="S100" s="1050" t="n"/>
      <c r="T100" s="731" t="n"/>
      <c r="U100" s="1050" t="n"/>
      <c r="V100" s="1050" t="n"/>
      <c r="W100" s="731" t="n"/>
      <c r="X100" s="1050" t="n"/>
      <c r="Y100" s="1050" t="n"/>
      <c r="Z100" s="731" t="n"/>
      <c r="AA100" s="1050" t="n"/>
      <c r="AB100" s="1050" t="n"/>
    </row>
    <row r="101" ht="13" customHeight="1" s="828">
      <c r="A101" s="1051" t="n"/>
      <c r="B101" s="731" t="n"/>
      <c r="C101" s="1050" t="n"/>
      <c r="D101" s="1050" t="n"/>
      <c r="E101" s="731" t="n"/>
      <c r="F101" s="1050" t="n"/>
      <c r="G101" s="1050" t="n"/>
      <c r="H101" s="731" t="n"/>
      <c r="I101" s="1050" t="n"/>
      <c r="J101" s="1050" t="n"/>
      <c r="K101" s="731" t="n"/>
      <c r="L101" s="1050" t="n"/>
      <c r="M101" s="1050" t="n"/>
      <c r="N101" s="731" t="n"/>
      <c r="O101" s="1050" t="n"/>
      <c r="P101" s="1050" t="n"/>
      <c r="Q101" s="731" t="n"/>
      <c r="R101" s="1050" t="n"/>
      <c r="S101" s="1050" t="n"/>
      <c r="T101" s="731" t="n"/>
      <c r="U101" s="1050" t="n"/>
      <c r="V101" s="1050" t="n"/>
      <c r="W101" s="731" t="n"/>
      <c r="X101" s="1050" t="n"/>
      <c r="Y101" s="1050" t="n"/>
      <c r="Z101" s="731" t="n"/>
      <c r="AA101" s="1050" t="n"/>
      <c r="AB101" s="1050" t="n"/>
    </row>
    <row r="102" ht="13" customHeight="1" s="828">
      <c r="A102" s="1051" t="n"/>
      <c r="B102" s="731" t="n"/>
      <c r="C102" s="1050" t="n"/>
      <c r="D102" s="1050" t="n"/>
      <c r="E102" s="731" t="n"/>
      <c r="F102" s="1050" t="n"/>
      <c r="G102" s="1050" t="n"/>
      <c r="H102" s="731" t="n"/>
      <c r="I102" s="1050" t="n"/>
      <c r="J102" s="1050" t="n"/>
      <c r="K102" s="731" t="n"/>
      <c r="L102" s="1050" t="n"/>
      <c r="M102" s="1050" t="n"/>
      <c r="N102" s="731" t="n"/>
      <c r="O102" s="1050" t="n"/>
      <c r="P102" s="1050" t="n"/>
      <c r="Q102" s="731" t="n"/>
      <c r="R102" s="1050" t="n"/>
      <c r="S102" s="1050" t="n"/>
      <c r="T102" s="731" t="n"/>
      <c r="U102" s="1050" t="n"/>
      <c r="V102" s="1050" t="n"/>
      <c r="W102" s="731" t="n"/>
      <c r="X102" s="1050" t="n"/>
      <c r="Y102" s="1050" t="n"/>
      <c r="Z102" s="731" t="n"/>
      <c r="AA102" s="1050" t="n"/>
      <c r="AB102" s="1050" t="n"/>
    </row>
    <row r="103" ht="13" customHeight="1" s="828">
      <c r="A103" s="1051" t="n"/>
      <c r="B103" s="731" t="n"/>
      <c r="C103" s="1050" t="n"/>
      <c r="D103" s="1050" t="n"/>
      <c r="E103" s="731" t="n"/>
      <c r="F103" s="1050" t="n"/>
      <c r="G103" s="1050" t="n"/>
      <c r="H103" s="731" t="n"/>
      <c r="I103" s="1050" t="n"/>
      <c r="J103" s="1050" t="n"/>
      <c r="K103" s="731" t="n"/>
      <c r="L103" s="1050" t="n"/>
      <c r="M103" s="1050" t="n"/>
      <c r="N103" s="731" t="n"/>
      <c r="O103" s="1050" t="n"/>
      <c r="P103" s="1050" t="n"/>
      <c r="Q103" s="731" t="n"/>
      <c r="R103" s="1050" t="n"/>
      <c r="S103" s="1050" t="n"/>
      <c r="T103" s="731" t="n"/>
      <c r="U103" s="1050" t="n"/>
      <c r="V103" s="1050" t="n"/>
      <c r="W103" s="731" t="n"/>
      <c r="X103" s="1050" t="n"/>
      <c r="Y103" s="1050" t="n"/>
      <c r="Z103" s="731" t="n"/>
      <c r="AA103" s="1050" t="n"/>
      <c r="AB103" s="1050" t="n"/>
    </row>
    <row r="104" ht="13" customHeight="1" s="828">
      <c r="A104" s="1049" t="n"/>
      <c r="B104" s="731" t="n"/>
      <c r="C104" s="1050" t="n"/>
      <c r="D104" s="1050" t="n"/>
      <c r="E104" s="731" t="n"/>
      <c r="F104" s="1050" t="n"/>
      <c r="G104" s="1050" t="n"/>
      <c r="H104" s="731" t="n"/>
      <c r="I104" s="1050" t="n"/>
      <c r="J104" s="1050" t="n"/>
      <c r="K104" s="731" t="n"/>
      <c r="L104" s="1050" t="n"/>
      <c r="M104" s="1050" t="n"/>
      <c r="N104" s="731" t="n"/>
      <c r="O104" s="1050" t="n"/>
      <c r="P104" s="1050" t="n"/>
      <c r="Q104" s="731" t="n"/>
      <c r="R104" s="1050" t="n"/>
      <c r="S104" s="1050" t="n"/>
      <c r="T104" s="731" t="n"/>
      <c r="U104" s="1050" t="n"/>
      <c r="V104" s="1050" t="n"/>
      <c r="W104" s="731" t="n"/>
      <c r="X104" s="1050" t="n"/>
      <c r="Y104" s="1050" t="n"/>
      <c r="Z104" s="731" t="n"/>
      <c r="AA104" s="1050" t="n"/>
      <c r="AB104" s="1050" t="n"/>
    </row>
    <row r="105" ht="13" customHeight="1" s="828">
      <c r="A105" s="1051" t="n"/>
      <c r="B105" s="731" t="n"/>
      <c r="C105" s="1050" t="n"/>
      <c r="D105" s="1050" t="n"/>
      <c r="E105" s="731" t="n"/>
      <c r="F105" s="1050" t="n"/>
      <c r="G105" s="1050" t="n"/>
      <c r="H105" s="731" t="n"/>
      <c r="I105" s="1050" t="n"/>
      <c r="J105" s="1050" t="n"/>
      <c r="K105" s="731" t="n"/>
      <c r="L105" s="1050" t="n"/>
      <c r="M105" s="1050" t="n"/>
      <c r="N105" s="731" t="n"/>
      <c r="O105" s="1050" t="n"/>
      <c r="P105" s="1050" t="n"/>
      <c r="Q105" s="731" t="n"/>
      <c r="R105" s="1050" t="n"/>
      <c r="S105" s="1050" t="n"/>
      <c r="T105" s="731" t="n"/>
      <c r="U105" s="1050" t="n"/>
      <c r="V105" s="1050" t="n"/>
      <c r="W105" s="731" t="n"/>
      <c r="X105" s="1050" t="n"/>
      <c r="Y105" s="1050" t="n"/>
      <c r="Z105" s="731" t="n"/>
      <c r="AA105" s="1050" t="n"/>
      <c r="AB105" s="1050" t="n"/>
    </row>
    <row r="106" ht="13" customHeight="1" s="828">
      <c r="A106" s="1051" t="n"/>
      <c r="B106" s="731" t="n"/>
      <c r="C106" s="1050" t="n"/>
      <c r="D106" s="1050" t="n"/>
      <c r="E106" s="731" t="n"/>
      <c r="F106" s="1050" t="n"/>
      <c r="G106" s="1050" t="n"/>
      <c r="H106" s="731" t="n"/>
      <c r="I106" s="1050" t="n"/>
      <c r="J106" s="1050" t="n"/>
      <c r="K106" s="731" t="n"/>
      <c r="L106" s="1050" t="n"/>
      <c r="M106" s="1050" t="n"/>
      <c r="N106" s="731" t="n"/>
      <c r="O106" s="1050" t="n"/>
      <c r="P106" s="1050" t="n"/>
      <c r="Q106" s="731" t="n"/>
      <c r="R106" s="1050" t="n"/>
      <c r="S106" s="1050" t="n"/>
      <c r="T106" s="731" t="n"/>
      <c r="U106" s="1050" t="n"/>
      <c r="V106" s="1050" t="n"/>
      <c r="W106" s="731" t="n"/>
      <c r="X106" s="1050" t="n"/>
      <c r="Y106" s="1050" t="n"/>
      <c r="Z106" s="731" t="n"/>
      <c r="AA106" s="1050" t="n"/>
      <c r="AB106" s="1050" t="n"/>
    </row>
    <row r="107" ht="13" customHeight="1" s="828">
      <c r="A107" s="1051" t="n"/>
      <c r="B107" s="731" t="n"/>
      <c r="C107" s="1050" t="n"/>
      <c r="D107" s="1050" t="n"/>
      <c r="E107" s="731" t="n"/>
      <c r="F107" s="1050" t="n"/>
      <c r="G107" s="1050" t="n"/>
      <c r="H107" s="731" t="n"/>
      <c r="I107" s="1050" t="n"/>
      <c r="J107" s="1050" t="n"/>
      <c r="K107" s="731" t="n"/>
      <c r="L107" s="1050" t="n"/>
      <c r="M107" s="1050" t="n"/>
      <c r="N107" s="731" t="n"/>
      <c r="O107" s="1050" t="n"/>
      <c r="P107" s="1050" t="n"/>
      <c r="Q107" s="731" t="n"/>
      <c r="R107" s="1050" t="n"/>
      <c r="S107" s="1050" t="n"/>
      <c r="T107" s="731" t="n"/>
      <c r="U107" s="1050" t="n"/>
      <c r="V107" s="1050" t="n"/>
      <c r="W107" s="731" t="n"/>
      <c r="X107" s="1050" t="n"/>
      <c r="Y107" s="1050" t="n"/>
      <c r="Z107" s="731" t="n"/>
      <c r="AA107" s="1050" t="n"/>
      <c r="AB107" s="1050" t="n"/>
    </row>
    <row r="108" ht="13" customHeight="1" s="828">
      <c r="A108" s="1051" t="n"/>
      <c r="B108" s="731" t="n"/>
      <c r="C108" s="1050" t="n"/>
      <c r="D108" s="1050" t="n"/>
      <c r="E108" s="731" t="n"/>
      <c r="F108" s="1050" t="n"/>
      <c r="G108" s="1050" t="n"/>
      <c r="H108" s="731" t="n"/>
      <c r="I108" s="1050" t="n"/>
      <c r="J108" s="1050" t="n"/>
      <c r="K108" s="731" t="n"/>
      <c r="L108" s="1050" t="n"/>
      <c r="M108" s="1050" t="n"/>
      <c r="N108" s="731" t="n"/>
      <c r="O108" s="1050" t="n"/>
      <c r="P108" s="1050" t="n"/>
      <c r="Q108" s="731" t="n"/>
      <c r="R108" s="1050" t="n"/>
      <c r="S108" s="1050" t="n"/>
      <c r="T108" s="731" t="n"/>
      <c r="U108" s="1050" t="n"/>
      <c r="V108" s="1050" t="n"/>
      <c r="W108" s="731" t="n"/>
      <c r="X108" s="1050" t="n"/>
      <c r="Y108" s="1050" t="n"/>
      <c r="Z108" s="731" t="n"/>
      <c r="AA108" s="1050" t="n"/>
      <c r="AB108" s="1050" t="n"/>
    </row>
    <row r="109" ht="13" customHeight="1" s="828">
      <c r="A109" s="1051" t="n"/>
      <c r="B109" s="731" t="n"/>
      <c r="C109" s="1050" t="n"/>
      <c r="D109" s="1050" t="n"/>
      <c r="E109" s="731" t="n"/>
      <c r="F109" s="1050" t="n"/>
      <c r="G109" s="1050" t="n"/>
      <c r="H109" s="731" t="n"/>
      <c r="I109" s="1050" t="n"/>
      <c r="J109" s="1050" t="n"/>
      <c r="K109" s="731" t="n"/>
      <c r="L109" s="1050" t="n"/>
      <c r="M109" s="1050" t="n"/>
      <c r="N109" s="731" t="n"/>
      <c r="O109" s="1050" t="n"/>
      <c r="P109" s="1050" t="n"/>
      <c r="Q109" s="731" t="n"/>
      <c r="R109" s="1050" t="n"/>
      <c r="S109" s="1050" t="n"/>
      <c r="T109" s="731" t="n"/>
      <c r="U109" s="1050" t="n"/>
      <c r="V109" s="1050" t="n"/>
      <c r="W109" s="731" t="n"/>
      <c r="X109" s="1050" t="n"/>
      <c r="Y109" s="1050" t="n"/>
      <c r="Z109" s="731" t="n"/>
      <c r="AA109" s="1050" t="n"/>
      <c r="AB109" s="1050" t="n"/>
    </row>
    <row r="110" ht="13" customHeight="1" s="828">
      <c r="A110" s="1051" t="n"/>
      <c r="B110" s="731" t="n"/>
      <c r="C110" s="1050" t="n"/>
      <c r="D110" s="1050" t="n"/>
      <c r="E110" s="731" t="n"/>
      <c r="F110" s="1050" t="n"/>
      <c r="G110" s="1050" t="n"/>
      <c r="H110" s="731" t="n"/>
      <c r="I110" s="1050" t="n"/>
      <c r="J110" s="1050" t="n"/>
      <c r="K110" s="731" t="n"/>
      <c r="L110" s="1050" t="n"/>
      <c r="M110" s="1050" t="n"/>
      <c r="N110" s="731" t="n"/>
      <c r="O110" s="1050" t="n"/>
      <c r="P110" s="1050" t="n"/>
      <c r="Q110" s="731" t="n"/>
      <c r="R110" s="1050" t="n"/>
      <c r="S110" s="1050" t="n"/>
      <c r="T110" s="731" t="n"/>
      <c r="U110" s="1050" t="n"/>
      <c r="V110" s="1050" t="n"/>
      <c r="W110" s="731" t="n"/>
      <c r="X110" s="1050" t="n"/>
      <c r="Y110" s="1050" t="n"/>
      <c r="Z110" s="731" t="n"/>
      <c r="AA110" s="1050" t="n"/>
      <c r="AB110" s="1050" t="n"/>
    </row>
    <row r="111" ht="13" customHeight="1" s="828">
      <c r="A111" s="1051" t="n"/>
      <c r="B111" s="731" t="n"/>
      <c r="C111" s="1050" t="n"/>
      <c r="D111" s="1050" t="n"/>
      <c r="E111" s="731" t="n"/>
      <c r="F111" s="1050" t="n"/>
      <c r="G111" s="1050" t="n"/>
      <c r="H111" s="731" t="n"/>
      <c r="I111" s="1050" t="n"/>
      <c r="J111" s="1050" t="n"/>
      <c r="K111" s="731" t="n"/>
      <c r="L111" s="1050" t="n"/>
      <c r="M111" s="1050" t="n"/>
      <c r="N111" s="731" t="n"/>
      <c r="O111" s="1050" t="n"/>
      <c r="P111" s="1050" t="n"/>
      <c r="Q111" s="731" t="n"/>
      <c r="R111" s="1050" t="n"/>
      <c r="S111" s="1050" t="n"/>
      <c r="T111" s="731" t="n"/>
      <c r="U111" s="1050" t="n"/>
      <c r="V111" s="1050" t="n"/>
      <c r="W111" s="731" t="n"/>
      <c r="X111" s="1050" t="n"/>
      <c r="Y111" s="1050" t="n"/>
      <c r="Z111" s="731" t="n"/>
      <c r="AA111" s="1050" t="n"/>
      <c r="AB111" s="1050" t="n"/>
    </row>
    <row r="112" ht="13" customHeight="1" s="828">
      <c r="A112" s="1051" t="n"/>
      <c r="B112" s="731" t="n"/>
      <c r="C112" s="1050" t="n"/>
      <c r="D112" s="1050" t="n"/>
      <c r="E112" s="731" t="n"/>
      <c r="F112" s="1050" t="n"/>
      <c r="G112" s="1050" t="n"/>
      <c r="H112" s="731" t="n"/>
      <c r="I112" s="1050" t="n"/>
      <c r="J112" s="1050" t="n"/>
      <c r="K112" s="731" t="n"/>
      <c r="L112" s="1050" t="n"/>
      <c r="M112" s="1050" t="n"/>
      <c r="N112" s="731" t="n"/>
      <c r="O112" s="1050" t="n"/>
      <c r="P112" s="1050" t="n"/>
      <c r="Q112" s="731" t="n"/>
      <c r="R112" s="1050" t="n"/>
      <c r="S112" s="1050" t="n"/>
      <c r="T112" s="731" t="n"/>
      <c r="U112" s="1050" t="n"/>
      <c r="V112" s="1050" t="n"/>
      <c r="W112" s="731" t="n"/>
      <c r="X112" s="1050" t="n"/>
      <c r="Y112" s="1050" t="n"/>
      <c r="Z112" s="731" t="n"/>
      <c r="AA112" s="1050" t="n"/>
      <c r="AB112" s="1050" t="n"/>
    </row>
    <row r="113" ht="13" customHeight="1" s="828">
      <c r="A113" s="1051" t="n"/>
      <c r="B113" s="731" t="n"/>
      <c r="C113" s="1050" t="n"/>
      <c r="D113" s="1050" t="n"/>
      <c r="E113" s="731" t="n"/>
      <c r="F113" s="1050" t="n"/>
      <c r="G113" s="1050" t="n"/>
      <c r="H113" s="731" t="n"/>
      <c r="I113" s="1050" t="n"/>
      <c r="J113" s="1050" t="n"/>
      <c r="K113" s="731" t="n"/>
      <c r="L113" s="1050" t="n"/>
      <c r="M113" s="1050" t="n"/>
      <c r="N113" s="731" t="n"/>
      <c r="O113" s="1050" t="n"/>
      <c r="P113" s="1050" t="n"/>
      <c r="Q113" s="731" t="n"/>
      <c r="R113" s="1050" t="n"/>
      <c r="S113" s="1050" t="n"/>
      <c r="T113" s="731" t="n"/>
      <c r="U113" s="1050" t="n"/>
      <c r="V113" s="1050" t="n"/>
      <c r="W113" s="731" t="n"/>
      <c r="X113" s="1050" t="n"/>
      <c r="Y113" s="1050" t="n"/>
      <c r="Z113" s="731" t="n"/>
      <c r="AA113" s="1050" t="n"/>
      <c r="AB113" s="1050" t="n"/>
    </row>
    <row r="114" ht="13" customHeight="1" s="828">
      <c r="A114" s="1051" t="n"/>
      <c r="B114" s="731" t="n"/>
      <c r="C114" s="1050" t="n"/>
      <c r="D114" s="1050" t="n"/>
      <c r="E114" s="731" t="n"/>
      <c r="F114" s="1050" t="n"/>
      <c r="G114" s="1050" t="n"/>
      <c r="H114" s="731" t="n"/>
      <c r="I114" s="1050" t="n"/>
      <c r="J114" s="1050" t="n"/>
      <c r="K114" s="731" t="n"/>
      <c r="L114" s="1050" t="n"/>
      <c r="M114" s="1050" t="n"/>
      <c r="N114" s="731" t="n"/>
      <c r="O114" s="1050" t="n"/>
      <c r="P114" s="1050" t="n"/>
      <c r="Q114" s="731" t="n"/>
      <c r="R114" s="1050" t="n"/>
      <c r="S114" s="1050" t="n"/>
      <c r="T114" s="731" t="n"/>
      <c r="U114" s="1050" t="n"/>
      <c r="V114" s="1050" t="n"/>
      <c r="W114" s="731" t="n"/>
      <c r="X114" s="1050" t="n"/>
      <c r="Y114" s="1050" t="n"/>
      <c r="Z114" s="731" t="n"/>
      <c r="AA114" s="1050" t="n"/>
      <c r="AB114" s="1050" t="n"/>
    </row>
    <row r="115" ht="13" customHeight="1" s="828">
      <c r="A115" s="1051" t="n"/>
      <c r="B115" s="731" t="n"/>
      <c r="C115" s="1050" t="n"/>
      <c r="D115" s="1050" t="n"/>
      <c r="E115" s="731" t="n"/>
      <c r="F115" s="1050" t="n"/>
      <c r="G115" s="1050" t="n"/>
      <c r="H115" s="731" t="n"/>
      <c r="I115" s="1050" t="n"/>
      <c r="J115" s="1050" t="n"/>
      <c r="K115" s="731" t="n"/>
      <c r="L115" s="1050" t="n"/>
      <c r="M115" s="1050" t="n"/>
      <c r="N115" s="731" t="n"/>
      <c r="O115" s="1050" t="n"/>
      <c r="P115" s="1050" t="n"/>
      <c r="Q115" s="731" t="n"/>
      <c r="R115" s="1050" t="n"/>
      <c r="S115" s="1050" t="n"/>
      <c r="T115" s="731" t="n"/>
      <c r="U115" s="1050" t="n"/>
      <c r="V115" s="1050" t="n"/>
      <c r="W115" s="731" t="n"/>
      <c r="X115" s="1050" t="n"/>
      <c r="Y115" s="1050" t="n"/>
      <c r="Z115" s="731" t="n"/>
      <c r="AA115" s="1050" t="n"/>
      <c r="AB115" s="1050" t="n"/>
    </row>
    <row r="116" ht="13" customHeight="1" s="828">
      <c r="A116" s="1049" t="n"/>
      <c r="B116" s="731" t="n"/>
      <c r="C116" s="1050" t="n"/>
      <c r="D116" s="1050" t="n"/>
      <c r="E116" s="731" t="n"/>
      <c r="F116" s="1050" t="n"/>
      <c r="G116" s="1050" t="n"/>
      <c r="H116" s="731" t="n"/>
      <c r="I116" s="1050" t="n"/>
      <c r="J116" s="1050" t="n"/>
      <c r="K116" s="731" t="n"/>
      <c r="L116" s="1050" t="n"/>
      <c r="M116" s="1050" t="n"/>
      <c r="N116" s="731" t="n"/>
      <c r="O116" s="1050" t="n"/>
      <c r="P116" s="1050" t="n"/>
      <c r="Q116" s="731" t="n"/>
      <c r="R116" s="1050" t="n"/>
      <c r="S116" s="1050" t="n"/>
      <c r="T116" s="731" t="n"/>
      <c r="U116" s="1050" t="n"/>
      <c r="V116" s="1050" t="n"/>
      <c r="W116" s="731" t="n"/>
      <c r="X116" s="1050" t="n"/>
      <c r="Y116" s="1050" t="n"/>
      <c r="Z116" s="731" t="n"/>
      <c r="AA116" s="1050" t="n"/>
      <c r="AB116" s="1050" t="n"/>
    </row>
    <row r="117" ht="13" customHeight="1" s="828">
      <c r="A117" s="1051" t="n"/>
      <c r="B117" s="731" t="n"/>
      <c r="C117" s="1050" t="n"/>
      <c r="D117" s="1050" t="n"/>
      <c r="E117" s="731" t="n"/>
      <c r="F117" s="1050" t="n"/>
      <c r="G117" s="1050" t="n"/>
      <c r="H117" s="731" t="n"/>
      <c r="I117" s="1050" t="n"/>
      <c r="J117" s="1050" t="n"/>
      <c r="K117" s="731" t="n"/>
      <c r="L117" s="1050" t="n"/>
      <c r="M117" s="1050" t="n"/>
      <c r="N117" s="731" t="n"/>
      <c r="O117" s="1050" t="n"/>
      <c r="P117" s="1050" t="n"/>
      <c r="Q117" s="731" t="n"/>
      <c r="R117" s="1050" t="n"/>
      <c r="S117" s="1050" t="n"/>
      <c r="T117" s="731" t="n"/>
      <c r="U117" s="1050" t="n"/>
      <c r="V117" s="1050" t="n"/>
      <c r="W117" s="731" t="n"/>
      <c r="X117" s="1050" t="n"/>
      <c r="Y117" s="1050" t="n"/>
      <c r="Z117" s="731" t="n"/>
      <c r="AA117" s="1050" t="n"/>
      <c r="AB117" s="1050" t="n"/>
    </row>
    <row r="118" ht="13" customHeight="1" s="828">
      <c r="A118" s="1051" t="n"/>
      <c r="B118" s="731" t="n"/>
      <c r="C118" s="1050" t="n"/>
      <c r="D118" s="1050" t="n"/>
      <c r="E118" s="731" t="n"/>
      <c r="F118" s="1050" t="n"/>
      <c r="G118" s="1050" t="n"/>
      <c r="H118" s="731" t="n"/>
      <c r="I118" s="1050" t="n"/>
      <c r="J118" s="1050" t="n"/>
      <c r="K118" s="731" t="n"/>
      <c r="L118" s="1050" t="n"/>
      <c r="M118" s="1050" t="n"/>
      <c r="N118" s="731" t="n"/>
      <c r="O118" s="1050" t="n"/>
      <c r="P118" s="1050" t="n"/>
      <c r="Q118" s="731" t="n"/>
      <c r="R118" s="1050" t="n"/>
      <c r="S118" s="1050" t="n"/>
      <c r="T118" s="731" t="n"/>
      <c r="U118" s="1050" t="n"/>
      <c r="V118" s="1050" t="n"/>
      <c r="W118" s="731" t="n"/>
      <c r="X118" s="1050" t="n"/>
      <c r="Y118" s="1050" t="n"/>
      <c r="Z118" s="731" t="n"/>
      <c r="AA118" s="1050" t="n"/>
      <c r="AB118" s="1050" t="n"/>
    </row>
    <row r="119" ht="13" customHeight="1" s="828">
      <c r="A119" s="1051" t="n"/>
      <c r="B119" s="731" t="n"/>
      <c r="C119" s="1050" t="n"/>
      <c r="D119" s="1050" t="n"/>
      <c r="E119" s="731" t="n"/>
      <c r="F119" s="1050" t="n"/>
      <c r="G119" s="1050" t="n"/>
      <c r="H119" s="731" t="n"/>
      <c r="I119" s="1050" t="n"/>
      <c r="J119" s="1050" t="n"/>
      <c r="K119" s="731" t="n"/>
      <c r="L119" s="1050" t="n"/>
      <c r="M119" s="1050" t="n"/>
      <c r="N119" s="731" t="n"/>
      <c r="O119" s="1050" t="n"/>
      <c r="P119" s="1050" t="n"/>
      <c r="Q119" s="731" t="n"/>
      <c r="R119" s="1050" t="n"/>
      <c r="S119" s="1050" t="n"/>
      <c r="T119" s="731" t="n"/>
      <c r="U119" s="1050" t="n"/>
      <c r="V119" s="1050" t="n"/>
      <c r="W119" s="731" t="n"/>
      <c r="X119" s="1050" t="n"/>
      <c r="Y119" s="1050" t="n"/>
      <c r="Z119" s="731" t="n"/>
      <c r="AA119" s="1050" t="n"/>
      <c r="AB119" s="1050" t="n"/>
    </row>
    <row r="120" ht="13" customHeight="1" s="828">
      <c r="A120" s="1051" t="n"/>
      <c r="B120" s="731" t="n"/>
      <c r="C120" s="1050" t="n"/>
      <c r="D120" s="1050" t="n"/>
      <c r="E120" s="731" t="n"/>
      <c r="F120" s="1050" t="n"/>
      <c r="G120" s="1050" t="n"/>
      <c r="H120" s="731" t="n"/>
      <c r="I120" s="1050" t="n"/>
      <c r="J120" s="1050" t="n"/>
      <c r="K120" s="731" t="n"/>
      <c r="L120" s="1050" t="n"/>
      <c r="M120" s="1050" t="n"/>
      <c r="N120" s="731" t="n"/>
      <c r="O120" s="1050" t="n"/>
      <c r="P120" s="1050" t="n"/>
      <c r="Q120" s="731" t="n"/>
      <c r="R120" s="1050" t="n"/>
      <c r="S120" s="1050" t="n"/>
      <c r="T120" s="731" t="n"/>
      <c r="U120" s="1050" t="n"/>
      <c r="V120" s="1050" t="n"/>
      <c r="W120" s="731" t="n"/>
      <c r="X120" s="1050" t="n"/>
      <c r="Y120" s="1050" t="n"/>
      <c r="Z120" s="731" t="n"/>
      <c r="AA120" s="1050" t="n"/>
      <c r="AB120" s="1050" t="n"/>
    </row>
    <row r="121" ht="13" customHeight="1" s="828">
      <c r="A121" s="1051" t="n"/>
      <c r="B121" s="731" t="n"/>
      <c r="C121" s="1050" t="n"/>
      <c r="D121" s="1050" t="n"/>
      <c r="E121" s="731" t="n"/>
      <c r="F121" s="1050" t="n"/>
      <c r="G121" s="1050" t="n"/>
      <c r="H121" s="731" t="n"/>
      <c r="I121" s="1050" t="n"/>
      <c r="J121" s="1050" t="n"/>
      <c r="K121" s="731" t="n"/>
      <c r="L121" s="1050" t="n"/>
      <c r="M121" s="1050" t="n"/>
      <c r="N121" s="731" t="n"/>
      <c r="O121" s="1050" t="n"/>
      <c r="P121" s="1050" t="n"/>
      <c r="Q121" s="731" t="n"/>
      <c r="R121" s="1050" t="n"/>
      <c r="S121" s="1050" t="n"/>
      <c r="T121" s="731" t="n"/>
      <c r="U121" s="1050" t="n"/>
      <c r="V121" s="1050" t="n"/>
      <c r="W121" s="731" t="n"/>
      <c r="X121" s="1050" t="n"/>
      <c r="Y121" s="1050" t="n"/>
      <c r="Z121" s="731" t="n"/>
      <c r="AA121" s="1050" t="n"/>
      <c r="AB121" s="1050" t="n"/>
    </row>
    <row r="122" ht="13" customHeight="1" s="828">
      <c r="A122" s="1051" t="n"/>
      <c r="B122" s="731" t="n"/>
      <c r="C122" s="1050" t="n"/>
      <c r="D122" s="1050" t="n"/>
      <c r="E122" s="731" t="n"/>
      <c r="F122" s="1050" t="n"/>
      <c r="G122" s="1050" t="n"/>
      <c r="H122" s="731" t="n"/>
      <c r="I122" s="1050" t="n"/>
      <c r="J122" s="1050" t="n"/>
      <c r="K122" s="731" t="n"/>
      <c r="L122" s="1050" t="n"/>
      <c r="M122" s="1050" t="n"/>
      <c r="N122" s="731" t="n"/>
      <c r="O122" s="1050" t="n"/>
      <c r="P122" s="1050" t="n"/>
      <c r="Q122" s="731" t="n"/>
      <c r="R122" s="1050" t="n"/>
      <c r="S122" s="1050" t="n"/>
      <c r="T122" s="731" t="n"/>
      <c r="U122" s="1050" t="n"/>
      <c r="V122" s="1050" t="n"/>
      <c r="W122" s="731" t="n"/>
      <c r="X122" s="1050" t="n"/>
      <c r="Y122" s="1050" t="n"/>
      <c r="Z122" s="731" t="n"/>
      <c r="AA122" s="1050" t="n"/>
      <c r="AB122" s="1050" t="n"/>
    </row>
    <row r="123" ht="13" customHeight="1" s="828">
      <c r="A123" s="1051" t="n"/>
      <c r="B123" s="731" t="n"/>
      <c r="C123" s="1050" t="n"/>
      <c r="D123" s="1050" t="n"/>
      <c r="E123" s="731" t="n"/>
      <c r="F123" s="1050" t="n"/>
      <c r="G123" s="1050" t="n"/>
      <c r="H123" s="731" t="n"/>
      <c r="I123" s="1050" t="n"/>
      <c r="J123" s="1050" t="n"/>
      <c r="K123" s="731" t="n"/>
      <c r="L123" s="1050" t="n"/>
      <c r="M123" s="1050" t="n"/>
      <c r="N123" s="731" t="n"/>
      <c r="O123" s="1050" t="n"/>
      <c r="P123" s="1050" t="n"/>
      <c r="Q123" s="731" t="n"/>
      <c r="R123" s="1050" t="n"/>
      <c r="S123" s="1050" t="n"/>
      <c r="T123" s="731" t="n"/>
      <c r="U123" s="1050" t="n"/>
      <c r="V123" s="1050" t="n"/>
      <c r="W123" s="731" t="n"/>
      <c r="X123" s="1050" t="n"/>
      <c r="Y123" s="1050" t="n"/>
      <c r="Z123" s="731" t="n"/>
      <c r="AA123" s="1050" t="n"/>
      <c r="AB123" s="1050" t="n"/>
    </row>
    <row r="124" ht="13" customHeight="1" s="828">
      <c r="A124" s="1051" t="n"/>
      <c r="B124" s="731" t="n"/>
      <c r="C124" s="1050" t="n"/>
      <c r="D124" s="1050" t="n"/>
      <c r="E124" s="731" t="n"/>
      <c r="F124" s="1050" t="n"/>
      <c r="G124" s="1050" t="n"/>
      <c r="H124" s="731" t="n"/>
      <c r="I124" s="1050" t="n"/>
      <c r="J124" s="1050" t="n"/>
      <c r="K124" s="731" t="n"/>
      <c r="L124" s="1050" t="n"/>
      <c r="M124" s="1050" t="n"/>
      <c r="N124" s="731" t="n"/>
      <c r="O124" s="1050" t="n"/>
      <c r="P124" s="1050" t="n"/>
      <c r="Q124" s="731" t="n"/>
      <c r="R124" s="1050" t="n"/>
      <c r="S124" s="1050" t="n"/>
      <c r="T124" s="731" t="n"/>
      <c r="U124" s="1050" t="n"/>
      <c r="V124" s="1050" t="n"/>
      <c r="W124" s="731" t="n"/>
      <c r="X124" s="1050" t="n"/>
      <c r="Y124" s="1050" t="n"/>
      <c r="Z124" s="731" t="n"/>
      <c r="AA124" s="1050" t="n"/>
      <c r="AB124" s="1050" t="n"/>
    </row>
    <row r="125" ht="13" customHeight="1" s="828">
      <c r="A125" s="1051" t="n"/>
      <c r="B125" s="731" t="n"/>
      <c r="C125" s="1050" t="n"/>
      <c r="D125" s="1050" t="n"/>
      <c r="E125" s="731" t="n"/>
      <c r="F125" s="1050" t="n"/>
      <c r="G125" s="1050" t="n"/>
      <c r="H125" s="731" t="n"/>
      <c r="I125" s="1050" t="n"/>
      <c r="J125" s="1050" t="n"/>
      <c r="K125" s="731" t="n"/>
      <c r="L125" s="1050" t="n"/>
      <c r="M125" s="1050" t="n"/>
      <c r="N125" s="731" t="n"/>
      <c r="O125" s="1050" t="n"/>
      <c r="P125" s="1050" t="n"/>
      <c r="Q125" s="731" t="n"/>
      <c r="R125" s="1050" t="n"/>
      <c r="S125" s="1050" t="n"/>
      <c r="T125" s="731" t="n"/>
      <c r="U125" s="1050" t="n"/>
      <c r="V125" s="1050" t="n"/>
      <c r="W125" s="731" t="n"/>
      <c r="X125" s="1050" t="n"/>
      <c r="Y125" s="1050" t="n"/>
      <c r="Z125" s="731" t="n"/>
      <c r="AA125" s="1050" t="n"/>
      <c r="AB125" s="1050" t="n"/>
    </row>
    <row r="126" ht="13" customHeight="1" s="828">
      <c r="A126" s="1051" t="n"/>
      <c r="B126" s="731" t="n"/>
      <c r="C126" s="1050" t="n"/>
      <c r="D126" s="1050" t="n"/>
      <c r="E126" s="731" t="n"/>
      <c r="F126" s="1050" t="n"/>
      <c r="G126" s="1050" t="n"/>
      <c r="H126" s="731" t="n"/>
      <c r="I126" s="1050" t="n"/>
      <c r="J126" s="1050" t="n"/>
      <c r="K126" s="731" t="n"/>
      <c r="L126" s="1050" t="n"/>
      <c r="M126" s="1050" t="n"/>
      <c r="N126" s="731" t="n"/>
      <c r="O126" s="1050" t="n"/>
      <c r="P126" s="1050" t="n"/>
      <c r="Q126" s="731" t="n"/>
      <c r="R126" s="1050" t="n"/>
      <c r="S126" s="1050" t="n"/>
      <c r="T126" s="731" t="n"/>
      <c r="U126" s="1050" t="n"/>
      <c r="V126" s="1050" t="n"/>
      <c r="W126" s="731" t="n"/>
      <c r="X126" s="1050" t="n"/>
      <c r="Y126" s="1050" t="n"/>
      <c r="Z126" s="731" t="n"/>
      <c r="AA126" s="1050" t="n"/>
      <c r="AB126" s="1050" t="n"/>
    </row>
    <row r="127" ht="13" customHeight="1" s="828">
      <c r="A127" s="1051" t="n"/>
      <c r="B127" s="731" t="n"/>
      <c r="C127" s="1050" t="n"/>
      <c r="D127" s="1050" t="n"/>
      <c r="E127" s="731" t="n"/>
      <c r="F127" s="1050" t="n"/>
      <c r="G127" s="1050" t="n"/>
      <c r="H127" s="731" t="n"/>
      <c r="I127" s="1050" t="n"/>
      <c r="J127" s="1050" t="n"/>
      <c r="K127" s="731" t="n"/>
      <c r="L127" s="1050" t="n"/>
      <c r="M127" s="1050" t="n"/>
      <c r="N127" s="731" t="n"/>
      <c r="O127" s="1050" t="n"/>
      <c r="P127" s="1050" t="n"/>
      <c r="Q127" s="731" t="n"/>
      <c r="R127" s="1050" t="n"/>
      <c r="S127" s="1050" t="n"/>
      <c r="T127" s="731" t="n"/>
      <c r="U127" s="1050" t="n"/>
      <c r="V127" s="1050" t="n"/>
      <c r="W127" s="731" t="n"/>
      <c r="X127" s="1050" t="n"/>
      <c r="Y127" s="1050" t="n"/>
      <c r="Z127" s="731" t="n"/>
      <c r="AA127" s="1050" t="n"/>
      <c r="AB127" s="1050" t="n"/>
    </row>
    <row r="128" ht="13" customHeight="1" s="828">
      <c r="A128" s="1049" t="n"/>
      <c r="B128" s="731" t="n"/>
      <c r="C128" s="1050" t="n"/>
      <c r="D128" s="1050" t="n"/>
      <c r="E128" s="731" t="n"/>
      <c r="F128" s="1050" t="n"/>
      <c r="G128" s="1050" t="n"/>
      <c r="H128" s="731" t="n"/>
      <c r="I128" s="1050" t="n"/>
      <c r="J128" s="1050" t="n"/>
      <c r="K128" s="731" t="n"/>
      <c r="L128" s="1050" t="n"/>
      <c r="M128" s="1050" t="n"/>
      <c r="N128" s="731" t="n"/>
      <c r="O128" s="1050" t="n"/>
      <c r="P128" s="1050" t="n"/>
      <c r="Q128" s="731" t="n"/>
      <c r="R128" s="1050" t="n"/>
      <c r="S128" s="1050" t="n"/>
      <c r="T128" s="731" t="n"/>
      <c r="U128" s="1050" t="n"/>
      <c r="V128" s="1050" t="n"/>
      <c r="W128" s="674" t="n"/>
      <c r="X128" s="1050" t="n"/>
      <c r="Y128" s="1050" t="n"/>
      <c r="Z128" s="674" t="n"/>
      <c r="AA128" s="1050" t="n"/>
      <c r="AB128" s="1050" t="n"/>
    </row>
    <row r="129" ht="13" customHeight="1" s="828">
      <c r="A129" s="1051" t="n"/>
      <c r="B129" s="731" t="n"/>
      <c r="C129" s="1050" t="n"/>
      <c r="D129" s="1050" t="n"/>
      <c r="E129" s="731" t="n"/>
      <c r="F129" s="1050" t="n"/>
      <c r="G129" s="1050" t="n"/>
      <c r="H129" s="731" t="n"/>
      <c r="I129" s="1050" t="n"/>
      <c r="J129" s="1050" t="n"/>
      <c r="K129" s="731" t="n"/>
      <c r="L129" s="1050" t="n"/>
      <c r="M129" s="1050" t="n"/>
      <c r="N129" s="731" t="n"/>
      <c r="O129" s="1050" t="n"/>
      <c r="P129" s="1050" t="n"/>
      <c r="Q129" s="731" t="n"/>
      <c r="R129" s="1050" t="n"/>
      <c r="S129" s="1050" t="n"/>
      <c r="T129" s="731" t="n"/>
      <c r="U129" s="1050" t="n"/>
      <c r="V129" s="1050" t="n"/>
      <c r="W129" s="674" t="n"/>
      <c r="X129" s="1050" t="n"/>
      <c r="Y129" s="1050" t="n"/>
      <c r="Z129" s="731" t="n"/>
      <c r="AA129" s="1050" t="n"/>
      <c r="AB129" s="1050" t="n"/>
    </row>
    <row r="130" ht="13" customHeight="1" s="828">
      <c r="A130" s="1051" t="n"/>
      <c r="B130" s="731" t="n"/>
      <c r="C130" s="1050" t="n"/>
      <c r="D130" s="1050" t="n"/>
      <c r="E130" s="731" t="n"/>
      <c r="F130" s="1050" t="n"/>
      <c r="G130" s="1050" t="n"/>
      <c r="H130" s="731" t="n"/>
      <c r="I130" s="1050" t="n"/>
      <c r="J130" s="1050" t="n"/>
      <c r="K130" s="731" t="n"/>
      <c r="L130" s="1050" t="n"/>
      <c r="M130" s="1050" t="n"/>
      <c r="N130" s="731" t="n"/>
      <c r="O130" s="1050" t="n"/>
      <c r="P130" s="1050" t="n"/>
      <c r="Q130" s="731" t="n"/>
      <c r="R130" s="1050" t="n"/>
      <c r="S130" s="1050" t="n"/>
      <c r="T130" s="731" t="n"/>
      <c r="U130" s="1050" t="n"/>
      <c r="V130" s="1052" t="n"/>
      <c r="W130" s="731" t="n"/>
      <c r="X130" s="1050" t="n"/>
      <c r="Y130" s="1050" t="n"/>
      <c r="Z130" s="731" t="n"/>
      <c r="AA130" s="1050" t="n"/>
      <c r="AB130" s="1050" t="n"/>
    </row>
    <row r="131" ht="13" customHeight="1" s="828">
      <c r="A131" s="1051" t="n"/>
      <c r="B131" s="731" t="n"/>
      <c r="C131" s="1050" t="n"/>
      <c r="D131" s="1050" t="n"/>
      <c r="E131" s="731" t="n"/>
      <c r="F131" s="1050" t="n"/>
      <c r="G131" s="1050" t="n"/>
      <c r="H131" s="731" t="n"/>
      <c r="I131" s="1050" t="n"/>
      <c r="J131" s="1050" t="n"/>
      <c r="K131" s="731" t="n"/>
      <c r="L131" s="1050" t="n"/>
      <c r="M131" s="1050" t="n"/>
      <c r="N131" s="731" t="n"/>
      <c r="O131" s="1050" t="n"/>
      <c r="P131" s="1050" t="n"/>
      <c r="Q131" s="731" t="n"/>
      <c r="R131" s="1050" t="n"/>
      <c r="S131" s="1050" t="n"/>
      <c r="T131" s="731" t="n"/>
      <c r="U131" s="1050" t="n"/>
      <c r="V131" s="1050" t="n"/>
      <c r="W131" s="731" t="n"/>
      <c r="X131" s="1050" t="n"/>
      <c r="Y131" s="1050" t="n"/>
      <c r="Z131" s="731" t="n"/>
      <c r="AA131" s="1050" t="n"/>
      <c r="AB131" s="1050" t="n"/>
    </row>
    <row r="132" ht="13" customHeight="1" s="828">
      <c r="A132" s="1051" t="n"/>
      <c r="B132" s="731" t="n"/>
      <c r="C132" s="1050" t="n"/>
      <c r="D132" s="1050" t="n"/>
      <c r="E132" s="731" t="n"/>
      <c r="F132" s="1050" t="n"/>
      <c r="G132" s="1050" t="n"/>
      <c r="H132" s="731" t="n"/>
      <c r="I132" s="1050" t="n"/>
      <c r="J132" s="1050" t="n"/>
      <c r="K132" s="731" t="n"/>
      <c r="L132" s="1050" t="n"/>
      <c r="M132" s="1050" t="n"/>
      <c r="N132" s="731" t="n"/>
      <c r="O132" s="1050" t="n"/>
      <c r="P132" s="1050" t="n"/>
      <c r="Q132" s="731" t="n"/>
      <c r="R132" s="1050" t="n"/>
      <c r="S132" s="1050" t="n"/>
      <c r="T132" s="731" t="n"/>
      <c r="U132" s="1050" t="n"/>
      <c r="V132" s="1050" t="n"/>
      <c r="W132" s="731" t="n"/>
      <c r="X132" s="1050" t="n"/>
      <c r="Y132" s="1050" t="n"/>
      <c r="Z132" s="731" t="n"/>
      <c r="AA132" s="1050" t="n"/>
      <c r="AB132" s="1050" t="n"/>
    </row>
    <row r="133" ht="13" customHeight="1" s="828">
      <c r="A133" s="1051" t="n"/>
      <c r="B133" s="731" t="n"/>
      <c r="C133" s="1050" t="n"/>
      <c r="D133" s="1050" t="n"/>
      <c r="E133" s="731" t="n"/>
      <c r="F133" s="1050" t="n"/>
      <c r="G133" s="1050" t="n"/>
      <c r="H133" s="731" t="n"/>
      <c r="I133" s="1050" t="n"/>
      <c r="J133" s="1050" t="n"/>
      <c r="K133" s="731" t="n"/>
      <c r="L133" s="1050" t="n"/>
      <c r="M133" s="1050" t="n"/>
      <c r="N133" s="731" t="n"/>
      <c r="O133" s="1050" t="n"/>
      <c r="P133" s="1050" t="n"/>
      <c r="Q133" s="731" t="n"/>
      <c r="R133" s="1050" t="n"/>
      <c r="S133" s="1050" t="n"/>
      <c r="T133" s="731" t="n"/>
      <c r="U133" s="1050" t="n"/>
      <c r="V133" s="1050" t="n"/>
      <c r="W133" s="731" t="n"/>
      <c r="X133" s="1050" t="n"/>
      <c r="Y133" s="1050" t="n"/>
      <c r="Z133" s="731" t="n"/>
      <c r="AA133" s="1050" t="n"/>
      <c r="AB133" s="1050" t="n"/>
    </row>
    <row r="134" ht="13" customHeight="1" s="828">
      <c r="A134" s="1051" t="n"/>
      <c r="B134" s="731" t="n"/>
      <c r="C134" s="1050" t="n"/>
      <c r="D134" s="1050" t="n"/>
      <c r="E134" s="731" t="n"/>
      <c r="F134" s="1050" t="n"/>
      <c r="G134" s="1050" t="n"/>
      <c r="H134" s="731" t="n"/>
      <c r="I134" s="1050" t="n"/>
      <c r="J134" s="1050" t="n"/>
      <c r="K134" s="731" t="n"/>
      <c r="L134" s="1050" t="n"/>
      <c r="M134" s="1050" t="n"/>
      <c r="N134" s="731" t="n"/>
      <c r="O134" s="1050" t="n"/>
      <c r="P134" s="1050" t="n"/>
      <c r="Q134" s="731" t="n"/>
      <c r="R134" s="1050" t="n"/>
      <c r="S134" s="1050" t="n"/>
      <c r="T134" s="731" t="n"/>
      <c r="U134" s="1050" t="n"/>
      <c r="V134" s="1050" t="n"/>
      <c r="W134" s="731" t="n"/>
      <c r="X134" s="1050" t="n"/>
      <c r="Y134" s="1050" t="n"/>
      <c r="Z134" s="731" t="n"/>
      <c r="AA134" s="1050" t="n"/>
      <c r="AB134" s="1050" t="n"/>
    </row>
    <row r="135" ht="13" customHeight="1" s="828">
      <c r="A135" s="1051" t="n"/>
      <c r="B135" s="731" t="n"/>
      <c r="C135" s="1050" t="n"/>
      <c r="D135" s="1050" t="n"/>
      <c r="E135" s="731" t="n"/>
      <c r="F135" s="1050" t="n"/>
      <c r="G135" s="1050" t="n"/>
      <c r="H135" s="731" t="n"/>
      <c r="I135" s="1050" t="n"/>
      <c r="J135" s="1050" t="n"/>
      <c r="K135" s="731" t="n"/>
      <c r="L135" s="1050" t="n"/>
      <c r="M135" s="1050" t="n"/>
      <c r="N135" s="731" t="n"/>
      <c r="O135" s="1050" t="n"/>
      <c r="P135" s="1050" t="n"/>
      <c r="Q135" s="731" t="n"/>
      <c r="R135" s="1050" t="n"/>
      <c r="S135" s="1050" t="n"/>
      <c r="T135" s="731" t="n"/>
      <c r="U135" s="1050" t="n"/>
      <c r="V135" s="1050" t="n"/>
      <c r="W135" s="731" t="n"/>
      <c r="X135" s="1050" t="n"/>
      <c r="Y135" s="1050" t="n"/>
      <c r="Z135" s="731" t="n"/>
      <c r="AA135" s="1050" t="n"/>
      <c r="AB135" s="1050" t="n"/>
    </row>
    <row r="136" ht="13" customHeight="1" s="828">
      <c r="A136" s="1051" t="n"/>
      <c r="B136" s="731" t="n"/>
      <c r="C136" s="1050" t="n"/>
      <c r="D136" s="1050" t="n"/>
      <c r="E136" s="731" t="n"/>
      <c r="F136" s="1050" t="n"/>
      <c r="G136" s="1050" t="n"/>
      <c r="H136" s="731" t="n"/>
      <c r="I136" s="1050" t="n"/>
      <c r="J136" s="1050" t="n"/>
      <c r="K136" s="731" t="n"/>
      <c r="L136" s="1050" t="n"/>
      <c r="M136" s="1050" t="n"/>
      <c r="N136" s="731" t="n"/>
      <c r="O136" s="1050" t="n"/>
      <c r="P136" s="1050" t="n"/>
      <c r="Q136" s="731" t="n"/>
      <c r="R136" s="1050" t="n"/>
      <c r="S136" s="1050" t="n"/>
      <c r="T136" s="731" t="n"/>
      <c r="U136" s="1050" t="n"/>
      <c r="V136" s="1050" t="n"/>
      <c r="W136" s="731" t="n"/>
      <c r="X136" s="1050" t="n"/>
      <c r="Y136" s="1050" t="n"/>
      <c r="Z136" s="731" t="n"/>
      <c r="AA136" s="1050" t="n"/>
      <c r="AB136" s="1050" t="n"/>
    </row>
    <row r="137" ht="13" customHeight="1" s="828">
      <c r="A137" s="1051" t="n"/>
      <c r="B137" s="731" t="n"/>
      <c r="C137" s="1050" t="n"/>
      <c r="D137" s="1050" t="n"/>
      <c r="E137" s="731" t="n"/>
      <c r="F137" s="1050" t="n"/>
      <c r="G137" s="1050" t="n"/>
      <c r="H137" s="731" t="n"/>
      <c r="I137" s="1050" t="n"/>
      <c r="J137" s="1050" t="n"/>
      <c r="K137" s="731" t="n"/>
      <c r="L137" s="1050" t="n"/>
      <c r="M137" s="1050" t="n"/>
      <c r="N137" s="731" t="n"/>
      <c r="O137" s="1050" t="n"/>
      <c r="P137" s="1050" t="n"/>
      <c r="Q137" s="731" t="n"/>
      <c r="R137" s="1050" t="n"/>
      <c r="S137" s="1050" t="n"/>
      <c r="T137" s="731" t="n"/>
      <c r="U137" s="1050" t="n"/>
      <c r="V137" s="1050" t="n"/>
      <c r="W137" s="731" t="n"/>
      <c r="X137" s="1050" t="n"/>
      <c r="Y137" s="1050" t="n"/>
      <c r="Z137" s="731" t="n"/>
      <c r="AA137" s="1050" t="n"/>
      <c r="AB137" s="1050" t="n"/>
    </row>
    <row r="138" ht="13" customHeight="1" s="828">
      <c r="A138" s="1051" t="n"/>
      <c r="B138" s="731" t="n"/>
      <c r="C138" s="1050" t="n"/>
      <c r="D138" s="1050" t="n"/>
      <c r="E138" s="731" t="n"/>
      <c r="F138" s="1050" t="n"/>
      <c r="G138" s="1050" t="n"/>
      <c r="H138" s="731" t="n"/>
      <c r="I138" s="1050" t="n"/>
      <c r="J138" s="1050" t="n"/>
      <c r="K138" s="731" t="n"/>
      <c r="L138" s="1050" t="n"/>
      <c r="M138" s="1050" t="n"/>
      <c r="N138" s="731" t="n"/>
      <c r="O138" s="1050" t="n"/>
      <c r="P138" s="1050" t="n"/>
      <c r="Q138" s="731" t="n"/>
      <c r="R138" s="1050" t="n"/>
      <c r="S138" s="1050" t="n"/>
      <c r="T138" s="731" t="n"/>
      <c r="U138" s="1050" t="n"/>
      <c r="V138" s="1050" t="n"/>
      <c r="W138" s="731" t="n"/>
      <c r="X138" s="1050" t="n"/>
      <c r="Y138" s="1050" t="n"/>
      <c r="Z138" s="731" t="n"/>
      <c r="AA138" s="1050" t="n"/>
      <c r="AB138" s="1050" t="n"/>
    </row>
    <row r="139" ht="13" customHeight="1" s="828">
      <c r="A139" s="1051" t="n"/>
      <c r="B139" s="731" t="n"/>
      <c r="C139" s="1050" t="n"/>
      <c r="D139" s="1050" t="n"/>
      <c r="E139" s="731" t="n"/>
      <c r="F139" s="1050" t="n"/>
      <c r="G139" s="1050" t="n"/>
      <c r="H139" s="731" t="n"/>
      <c r="I139" s="1050" t="n"/>
      <c r="J139" s="1050" t="n"/>
      <c r="K139" s="731" t="n"/>
      <c r="L139" s="1050" t="n"/>
      <c r="M139" s="1050" t="n"/>
      <c r="N139" s="731" t="n"/>
      <c r="O139" s="1050" t="n"/>
      <c r="P139" s="1050" t="n"/>
      <c r="Q139" s="731" t="n"/>
      <c r="R139" s="1050" t="n"/>
      <c r="S139" s="1050" t="n"/>
      <c r="T139" s="731" t="n"/>
      <c r="U139" s="1050" t="n"/>
      <c r="V139" s="1050" t="n"/>
      <c r="W139" s="731" t="n"/>
      <c r="X139" s="1050" t="n"/>
      <c r="Y139" s="1050" t="n"/>
      <c r="Z139" s="731" t="n"/>
      <c r="AA139" s="1050" t="n"/>
      <c r="AB139" s="1050" t="n"/>
    </row>
    <row r="140" ht="13" customHeight="1" s="828">
      <c r="A140" s="1051" t="n"/>
      <c r="B140" s="731" t="n"/>
      <c r="C140" s="1050" t="n"/>
      <c r="D140" s="1050" t="n"/>
      <c r="E140" s="731" t="n"/>
      <c r="F140" s="1050" t="n"/>
      <c r="G140" s="1050" t="n"/>
      <c r="H140" s="731" t="n"/>
      <c r="I140" s="1050" t="n"/>
      <c r="J140" s="1050" t="n"/>
      <c r="K140" s="731" t="n"/>
      <c r="L140" s="1050" t="n"/>
      <c r="M140" s="1050" t="n"/>
      <c r="N140" s="731" t="n"/>
      <c r="O140" s="1050" t="n"/>
      <c r="P140" s="1050" t="n"/>
      <c r="Q140" s="731" t="n"/>
      <c r="R140" s="1050" t="n"/>
      <c r="S140" s="1050" t="n"/>
      <c r="T140" s="731" t="n"/>
      <c r="U140" s="1050" t="n"/>
      <c r="V140" s="1050" t="n"/>
      <c r="W140" s="731" t="n"/>
      <c r="X140" s="1050" t="n"/>
      <c r="Y140" s="1050" t="n"/>
      <c r="Z140" s="731" t="n"/>
      <c r="AA140" s="1050" t="n"/>
      <c r="AB140" s="1050" t="n"/>
    </row>
    <row r="141" ht="13" customHeight="1" s="828">
      <c r="A141" s="1051" t="n"/>
      <c r="B141" s="731" t="n"/>
      <c r="C141" s="1050" t="n"/>
      <c r="D141" s="1050" t="n"/>
      <c r="E141" s="731" t="n"/>
      <c r="F141" s="1050" t="n"/>
      <c r="G141" s="1050" t="n"/>
      <c r="H141" s="731" t="n"/>
      <c r="I141" s="1050" t="n"/>
      <c r="J141" s="1050" t="n"/>
      <c r="K141" s="731" t="n"/>
      <c r="L141" s="1050" t="n"/>
      <c r="M141" s="1050" t="n"/>
      <c r="N141" s="731" t="n"/>
      <c r="O141" s="1050" t="n"/>
      <c r="P141" s="1050" t="n"/>
      <c r="Q141" s="731" t="n"/>
      <c r="R141" s="1050" t="n"/>
      <c r="S141" s="1050" t="n"/>
      <c r="T141" s="731" t="n"/>
      <c r="U141" s="1050" t="n"/>
      <c r="V141" s="1050" t="n"/>
      <c r="W141" s="731" t="n"/>
      <c r="X141" s="1050" t="n"/>
      <c r="Y141" s="1050" t="n"/>
      <c r="Z141" s="731" t="n"/>
      <c r="AA141" s="1050" t="n"/>
      <c r="AB141" s="1050" t="n"/>
    </row>
    <row r="142" ht="13" customHeight="1" s="828">
      <c r="A142" s="1051" t="n"/>
      <c r="B142" s="731" t="n"/>
      <c r="C142" s="1050" t="n"/>
      <c r="D142" s="1050" t="n"/>
      <c r="E142" s="731" t="n"/>
      <c r="F142" s="1050" t="n"/>
      <c r="G142" s="1050" t="n"/>
      <c r="H142" s="731" t="n"/>
      <c r="I142" s="1050" t="n"/>
      <c r="J142" s="1050" t="n"/>
      <c r="K142" s="731" t="n"/>
      <c r="L142" s="1050" t="n"/>
      <c r="M142" s="1050" t="n"/>
      <c r="N142" s="731" t="n"/>
      <c r="O142" s="1050" t="n"/>
      <c r="P142" s="1050" t="n"/>
      <c r="Q142" s="731" t="n"/>
      <c r="R142" s="1050" t="n"/>
      <c r="S142" s="1050" t="n"/>
      <c r="T142" s="731" t="n"/>
      <c r="U142" s="1050" t="n"/>
      <c r="V142" s="1050" t="n"/>
      <c r="W142" s="731" t="n"/>
      <c r="X142" s="1050" t="n"/>
      <c r="Y142" s="1050" t="n"/>
      <c r="Z142" s="731" t="n"/>
      <c r="AA142" s="1050" t="n"/>
      <c r="AB142" s="1050" t="n"/>
    </row>
    <row r="143" ht="13" customHeight="1" s="828">
      <c r="A143" s="1051" t="n"/>
      <c r="B143" s="731" t="n"/>
      <c r="C143" s="1050" t="n"/>
      <c r="D143" s="1050" t="n"/>
      <c r="E143" s="731" t="n"/>
      <c r="F143" s="1050" t="n"/>
      <c r="G143" s="1050" t="n"/>
      <c r="H143" s="731" t="n"/>
      <c r="I143" s="1050" t="n"/>
      <c r="J143" s="1050" t="n"/>
      <c r="K143" s="731" t="n"/>
      <c r="L143" s="1050" t="n"/>
      <c r="M143" s="1050" t="n"/>
      <c r="N143" s="731" t="n"/>
      <c r="O143" s="1050" t="n"/>
      <c r="P143" s="1050" t="n"/>
      <c r="Q143" s="731" t="n"/>
      <c r="R143" s="1050" t="n"/>
      <c r="S143" s="1050" t="n"/>
      <c r="T143" s="731" t="n"/>
      <c r="U143" s="1050" t="n"/>
      <c r="V143" s="1050" t="n"/>
      <c r="W143" s="731" t="n"/>
      <c r="X143" s="1050" t="n"/>
      <c r="Y143" s="1050" t="n"/>
      <c r="Z143" s="731" t="n"/>
      <c r="AA143" s="1050" t="n"/>
      <c r="AB143" s="1050" t="n"/>
    </row>
    <row r="144" ht="13" customHeight="1" s="828">
      <c r="A144" s="1051" t="n"/>
      <c r="B144" s="731" t="n"/>
      <c r="C144" s="1050" t="n"/>
      <c r="D144" s="1050" t="n"/>
      <c r="E144" s="731" t="n"/>
      <c r="F144" s="1050" t="n"/>
      <c r="G144" s="1050" t="n"/>
      <c r="H144" s="731" t="n"/>
      <c r="I144" s="1050" t="n"/>
      <c r="J144" s="1050" t="n"/>
      <c r="K144" s="731" t="n"/>
      <c r="L144" s="1050" t="n"/>
      <c r="M144" s="1050" t="n"/>
      <c r="N144" s="731" t="n"/>
      <c r="O144" s="1050" t="n"/>
      <c r="P144" s="1050" t="n"/>
      <c r="Q144" s="731" t="n"/>
      <c r="R144" s="1050" t="n"/>
      <c r="S144" s="1050" t="n"/>
      <c r="T144" s="731" t="n"/>
      <c r="U144" s="1050" t="n"/>
      <c r="V144" s="1050" t="n"/>
      <c r="W144" s="731" t="n"/>
      <c r="X144" s="1050" t="n"/>
      <c r="Y144" s="1050" t="n"/>
      <c r="Z144" s="731" t="n"/>
      <c r="AA144" s="1050" t="n"/>
      <c r="AB144" s="1050" t="n"/>
    </row>
    <row r="145" ht="13" customHeight="1" s="828">
      <c r="A145" s="1051" t="n"/>
      <c r="B145" s="731" t="n"/>
      <c r="C145" s="1050" t="n"/>
      <c r="D145" s="1050" t="n"/>
      <c r="E145" s="731" t="n"/>
      <c r="F145" s="1050" t="n"/>
      <c r="G145" s="1050" t="n"/>
      <c r="H145" s="731" t="n"/>
      <c r="I145" s="1050" t="n"/>
      <c r="J145" s="1050" t="n"/>
      <c r="K145" s="731" t="n"/>
      <c r="L145" s="1050" t="n"/>
      <c r="M145" s="1050" t="n"/>
      <c r="N145" s="731" t="n"/>
      <c r="O145" s="1050" t="n"/>
      <c r="P145" s="1050" t="n"/>
      <c r="Q145" s="731" t="n"/>
      <c r="R145" s="1050" t="n"/>
      <c r="S145" s="1050" t="n"/>
      <c r="T145" s="731" t="n"/>
      <c r="U145" s="1050" t="n"/>
      <c r="V145" s="1050" t="n"/>
      <c r="W145" s="731" t="n"/>
      <c r="X145" s="1050" t="n"/>
      <c r="Y145" s="1050" t="n"/>
      <c r="Z145" s="731" t="n"/>
      <c r="AA145" s="1050" t="n"/>
      <c r="AB145" s="1050" t="n"/>
    </row>
    <row r="146" ht="13" customHeight="1" s="828">
      <c r="A146" s="1051" t="n"/>
      <c r="B146" s="731" t="n"/>
      <c r="C146" s="1050" t="n"/>
      <c r="D146" s="1050" t="n"/>
      <c r="E146" s="731" t="n"/>
      <c r="F146" s="1050" t="n"/>
      <c r="G146" s="1050" t="n"/>
      <c r="H146" s="731" t="n"/>
      <c r="I146" s="1050" t="n"/>
      <c r="J146" s="1050" t="n"/>
      <c r="K146" s="731" t="n"/>
      <c r="L146" s="1050" t="n"/>
      <c r="M146" s="1050" t="n"/>
      <c r="N146" s="731" t="n"/>
      <c r="O146" s="1050" t="n"/>
      <c r="P146" s="1050" t="n"/>
      <c r="Q146" s="731" t="n"/>
      <c r="R146" s="1050" t="n"/>
      <c r="S146" s="1050" t="n"/>
      <c r="T146" s="731" t="n"/>
      <c r="U146" s="1050" t="n"/>
      <c r="V146" s="1050" t="n"/>
      <c r="W146" s="731" t="n"/>
      <c r="X146" s="1050" t="n"/>
      <c r="Y146" s="1050" t="n"/>
      <c r="Z146" s="731" t="n"/>
      <c r="AA146" s="1050" t="n"/>
      <c r="AB146" s="1050" t="n"/>
    </row>
    <row r="147" ht="12.75" customFormat="1" customHeight="1" s="26">
      <c r="A147" s="672" t="n"/>
      <c r="B147" s="672" t="n"/>
      <c r="C147" s="672" t="n"/>
      <c r="D147" s="672" t="n"/>
      <c r="E147" s="672" t="n"/>
      <c r="F147" s="672" t="n"/>
      <c r="G147" s="672" t="n"/>
      <c r="H147" s="672" t="n"/>
      <c r="I147" s="672" t="n"/>
      <c r="J147" s="672" t="n"/>
      <c r="K147" s="672" t="n"/>
      <c r="L147" s="672" t="n"/>
      <c r="M147" s="672" t="n"/>
      <c r="N147" s="672" t="n"/>
      <c r="O147" s="672" t="n"/>
      <c r="P147" s="672" t="n"/>
      <c r="Q147" s="672" t="n"/>
      <c r="R147" s="672" t="n"/>
      <c r="S147" s="672" t="n"/>
      <c r="T147" s="672" t="n"/>
      <c r="U147" s="672" t="n"/>
      <c r="V147" s="672" t="n"/>
      <c r="W147" s="672" t="n"/>
      <c r="X147" s="672" t="n"/>
      <c r="Y147" s="672" t="n"/>
      <c r="Z147" s="672" t="n"/>
      <c r="AA147" s="672" t="n"/>
      <c r="AB147" s="672" t="n"/>
    </row>
    <row r="148">
      <c r="A148" s="1051" t="n"/>
      <c r="B148" s="674" t="n"/>
      <c r="C148" s="1052" t="n"/>
      <c r="D148" s="1052" t="n"/>
      <c r="E148" s="674" t="n"/>
      <c r="F148" s="1052" t="n"/>
      <c r="G148" s="1052" t="n"/>
      <c r="H148" s="674" t="n"/>
      <c r="I148" s="1052" t="n"/>
      <c r="J148" s="1052" t="n"/>
      <c r="K148" s="674" t="n"/>
      <c r="L148" s="1052" t="n"/>
      <c r="M148" s="1052" t="n"/>
      <c r="N148" s="674" t="n"/>
      <c r="O148" s="1052" t="n"/>
      <c r="P148" s="1052" t="n"/>
      <c r="Q148" s="674" t="n"/>
      <c r="R148" s="1052" t="n"/>
      <c r="S148" s="1052" t="n"/>
      <c r="T148" s="674" t="n"/>
      <c r="U148" s="1052" t="n"/>
      <c r="V148" s="1052" t="n"/>
      <c r="W148" s="674" t="n"/>
      <c r="X148" s="1052" t="n"/>
      <c r="Y148" s="1052" t="n"/>
      <c r="Z148" s="674" t="n"/>
      <c r="AA148" s="1052" t="n"/>
      <c r="AB148" s="1052" t="n"/>
    </row>
    <row r="149">
      <c r="A149" s="1051" t="n"/>
      <c r="B149" s="674" t="n"/>
      <c r="C149" s="1052" t="n"/>
      <c r="D149" s="1052" t="n"/>
      <c r="E149" s="674" t="n"/>
      <c r="F149" s="1052" t="n"/>
      <c r="G149" s="1052" t="n"/>
      <c r="H149" s="674" t="n"/>
      <c r="I149" s="1052" t="n"/>
      <c r="J149" s="1052" t="n"/>
      <c r="K149" s="674" t="n"/>
      <c r="L149" s="1052" t="n"/>
      <c r="M149" s="1052" t="n"/>
      <c r="N149" s="674" t="n"/>
      <c r="O149" s="1052" t="n"/>
      <c r="P149" s="1052" t="n"/>
      <c r="Q149" s="674" t="n"/>
      <c r="R149" s="1052" t="n"/>
      <c r="S149" s="1052" t="n"/>
      <c r="T149" s="674" t="n"/>
      <c r="U149" s="1052" t="n"/>
      <c r="V149" s="1052" t="n"/>
      <c r="W149" s="674" t="n"/>
      <c r="X149" s="1052" t="n"/>
      <c r="Y149" s="1052" t="n"/>
      <c r="Z149" s="674" t="n"/>
      <c r="AA149" s="1052" t="n"/>
      <c r="AB149" s="1052" t="n"/>
    </row>
    <row r="150">
      <c r="A150" s="1051" t="n"/>
      <c r="B150" s="674" t="n"/>
      <c r="C150" s="1052" t="n"/>
      <c r="D150" s="1052" t="n"/>
      <c r="E150" s="674" t="n"/>
      <c r="F150" s="1052" t="n"/>
      <c r="G150" s="1052" t="n"/>
      <c r="H150" s="674" t="n"/>
      <c r="I150" s="1052" t="n"/>
      <c r="J150" s="1052" t="n"/>
      <c r="K150" s="674" t="n"/>
      <c r="L150" s="1052" t="n"/>
      <c r="M150" s="1052" t="n"/>
      <c r="N150" s="674" t="n"/>
      <c r="O150" s="1052" t="n"/>
      <c r="P150" s="1052" t="n"/>
      <c r="Q150" s="674" t="n"/>
      <c r="R150" s="1052" t="n"/>
      <c r="S150" s="1052" t="n"/>
      <c r="T150" s="674" t="n"/>
      <c r="U150" s="1052" t="n"/>
      <c r="V150" s="1052" t="n"/>
      <c r="W150" s="674" t="n"/>
      <c r="X150" s="1052" t="n"/>
      <c r="Y150" s="1052" t="n"/>
      <c r="Z150" s="674" t="n"/>
      <c r="AA150" s="1052" t="n"/>
      <c r="AB150" s="1052" t="n"/>
    </row>
    <row r="151">
      <c r="A151" s="1051" t="n"/>
      <c r="B151" s="674" t="n"/>
      <c r="C151" s="1052" t="n"/>
      <c r="D151" s="1052" t="n"/>
      <c r="E151" s="674" t="n"/>
      <c r="F151" s="1052" t="n"/>
      <c r="G151" s="1052" t="n"/>
      <c r="H151" s="674" t="n"/>
      <c r="I151" s="1052" t="n"/>
      <c r="J151" s="1052" t="n"/>
      <c r="K151" s="674" t="n"/>
      <c r="L151" s="1052" t="n"/>
      <c r="M151" s="1052" t="n"/>
      <c r="N151" s="674" t="n"/>
      <c r="O151" s="1052" t="n"/>
      <c r="P151" s="1052" t="n"/>
      <c r="Q151" s="674" t="n"/>
      <c r="R151" s="1052" t="n"/>
      <c r="S151" s="1052" t="n"/>
      <c r="T151" s="674" t="n"/>
      <c r="U151" s="1052" t="n"/>
      <c r="V151" s="1052" t="n"/>
      <c r="W151" s="674" t="n"/>
      <c r="X151" s="1052" t="n"/>
      <c r="Y151" s="1052" t="n"/>
      <c r="Z151" s="674" t="n"/>
      <c r="AA151" s="1052" t="n"/>
      <c r="AB151" s="1052" t="n"/>
    </row>
    <row r="152" ht="13" customHeight="1" s="828">
      <c r="A152" s="1051" t="n"/>
      <c r="B152" s="731" t="n"/>
      <c r="C152" s="1050" t="n"/>
      <c r="D152" s="1050" t="n"/>
      <c r="E152" s="731" t="n"/>
      <c r="F152" s="1050" t="n"/>
      <c r="G152" s="1050" t="n"/>
      <c r="H152" s="731" t="n"/>
      <c r="I152" s="1050" t="n"/>
      <c r="J152" s="1050" t="n"/>
      <c r="K152" s="731" t="n"/>
      <c r="L152" s="1050" t="n"/>
      <c r="M152" s="1050" t="n"/>
      <c r="N152" s="731" t="n"/>
      <c r="O152" s="1050" t="n"/>
      <c r="P152" s="1050" t="n"/>
      <c r="Q152" s="731" t="n"/>
      <c r="R152" s="1050" t="n"/>
      <c r="S152" s="1050" t="n"/>
      <c r="T152" s="731" t="n"/>
      <c r="U152" s="1050" t="n"/>
      <c r="V152" s="1050" t="n"/>
      <c r="W152" s="731" t="n"/>
      <c r="X152" s="1050" t="n"/>
      <c r="Y152" s="1050" t="n"/>
      <c r="Z152" s="731" t="n"/>
      <c r="AA152" s="1050" t="n"/>
      <c r="AB152" s="1050" t="n"/>
    </row>
    <row r="153" ht="13" customHeight="1" s="828">
      <c r="A153" s="1051" t="n"/>
      <c r="B153" s="731" t="n"/>
      <c r="C153" s="1050" t="n"/>
      <c r="D153" s="1050" t="n"/>
      <c r="E153" s="731" t="n"/>
      <c r="F153" s="1050" t="n"/>
      <c r="G153" s="1050" t="n"/>
      <c r="H153" s="731" t="n"/>
      <c r="I153" s="1050" t="n"/>
      <c r="J153" s="1050" t="n"/>
      <c r="K153" s="731" t="n"/>
      <c r="L153" s="1050" t="n"/>
      <c r="M153" s="1050" t="n"/>
      <c r="N153" s="731" t="n"/>
      <c r="O153" s="1050" t="n"/>
      <c r="P153" s="1050" t="n"/>
      <c r="Q153" s="731" t="n"/>
      <c r="R153" s="1050" t="n"/>
      <c r="S153" s="1050" t="n"/>
      <c r="T153" s="731" t="n"/>
      <c r="U153" s="1050" t="n"/>
      <c r="V153" s="1050" t="n"/>
      <c r="W153" s="731" t="n"/>
      <c r="X153" s="1050" t="n"/>
      <c r="Y153" s="1050" t="n"/>
      <c r="Z153" s="731" t="n"/>
      <c r="AA153" s="1050" t="n"/>
      <c r="AB153" s="1050" t="n"/>
    </row>
    <row r="154" ht="13" customHeight="1" s="828">
      <c r="A154" s="1051" t="n"/>
      <c r="B154" s="731" t="n"/>
      <c r="C154" s="1050" t="n"/>
      <c r="D154" s="1050" t="n"/>
      <c r="E154" s="731" t="n"/>
      <c r="F154" s="1050" t="n"/>
      <c r="G154" s="1050" t="n"/>
      <c r="H154" s="731" t="n"/>
      <c r="I154" s="1050" t="n"/>
      <c r="J154" s="1050" t="n"/>
      <c r="K154" s="731" t="n"/>
      <c r="L154" s="1050" t="n"/>
      <c r="M154" s="1050" t="n"/>
      <c r="N154" s="731" t="n"/>
      <c r="O154" s="1050" t="n"/>
      <c r="P154" s="1050" t="n"/>
      <c r="Q154" s="731" t="n"/>
      <c r="R154" s="1050" t="n"/>
      <c r="S154" s="1050" t="n"/>
      <c r="T154" s="731" t="n"/>
      <c r="U154" s="1050" t="n"/>
      <c r="V154" s="1050" t="n"/>
      <c r="W154" s="731" t="n"/>
      <c r="X154" s="1050" t="n"/>
      <c r="Y154" s="1050" t="n"/>
      <c r="Z154" s="731" t="n"/>
      <c r="AA154" s="1050" t="n"/>
      <c r="AB154" s="1050" t="n"/>
    </row>
    <row r="155" ht="13" customHeight="1" s="828">
      <c r="A155" s="1051" t="n"/>
      <c r="B155" s="731" t="n"/>
      <c r="C155" s="1050" t="n"/>
      <c r="D155" s="1050" t="n"/>
      <c r="E155" s="731" t="n"/>
      <c r="F155" s="1050" t="n"/>
      <c r="G155" s="1050" t="n"/>
      <c r="H155" s="731" t="n"/>
      <c r="I155" s="1050" t="n"/>
      <c r="J155" s="1050" t="n"/>
      <c r="K155" s="731" t="n"/>
      <c r="L155" s="1050" t="n"/>
      <c r="M155" s="1050" t="n"/>
      <c r="N155" s="731" t="n"/>
      <c r="O155" s="1050" t="n"/>
      <c r="P155" s="1050" t="n"/>
      <c r="Q155" s="731" t="n"/>
      <c r="R155" s="1050" t="n"/>
      <c r="S155" s="1050" t="n"/>
      <c r="T155" s="731" t="n"/>
      <c r="U155" s="1050" t="n"/>
      <c r="V155" s="1050" t="n"/>
      <c r="W155" s="731" t="n"/>
      <c r="X155" s="1050" t="n"/>
      <c r="Y155" s="1050" t="n"/>
      <c r="Z155" s="731" t="n"/>
      <c r="AA155" s="1050" t="n"/>
      <c r="AB155" s="1050" t="n"/>
    </row>
    <row r="156">
      <c r="A156" s="1051" t="n"/>
      <c r="B156" s="674" t="n"/>
      <c r="C156" s="1052" t="n"/>
      <c r="D156" s="1052" t="n"/>
      <c r="E156" s="674" t="n"/>
      <c r="F156" s="1052" t="n"/>
      <c r="G156" s="1052" t="n"/>
      <c r="H156" s="674" t="n"/>
      <c r="I156" s="1052" t="n"/>
      <c r="J156" s="1052" t="n"/>
      <c r="K156" s="674" t="n"/>
      <c r="L156" s="1052" t="n"/>
      <c r="M156" s="1052" t="n"/>
      <c r="N156" s="674" t="n"/>
      <c r="O156" s="1052" t="n"/>
      <c r="P156" s="1052" t="n"/>
      <c r="Q156" s="674" t="n"/>
      <c r="R156" s="1052" t="n"/>
      <c r="S156" s="1052" t="n"/>
      <c r="T156" s="674" t="n"/>
      <c r="U156" s="1052" t="n"/>
      <c r="V156" s="1052" t="n"/>
      <c r="W156" s="674" t="n"/>
      <c r="X156" s="1052" t="n"/>
      <c r="Y156" s="1052" t="n"/>
      <c r="Z156" s="674" t="n"/>
      <c r="AA156" s="1052" t="n"/>
      <c r="AB156" s="1052" t="n"/>
    </row>
    <row r="157" ht="13" customHeight="1" s="828">
      <c r="A157" s="1051" t="n"/>
      <c r="B157" s="731" t="n"/>
      <c r="C157" s="1050" t="n"/>
      <c r="D157" s="1050" t="n"/>
      <c r="E157" s="731" t="n"/>
      <c r="F157" s="1050" t="n"/>
      <c r="G157" s="1050" t="n"/>
      <c r="H157" s="731" t="n"/>
      <c r="I157" s="1050" t="n"/>
      <c r="J157" s="1050" t="n"/>
      <c r="K157" s="731" t="n"/>
      <c r="L157" s="1050" t="n"/>
      <c r="M157" s="1050" t="n"/>
      <c r="N157" s="731" t="n"/>
      <c r="O157" s="1050" t="n"/>
      <c r="P157" s="1050" t="n"/>
      <c r="Q157" s="731" t="n"/>
      <c r="R157" s="1050" t="n"/>
      <c r="S157" s="1050" t="n"/>
      <c r="T157" s="731" t="n"/>
      <c r="U157" s="1050" t="n"/>
      <c r="V157" s="1050" t="n"/>
      <c r="W157" s="731" t="n"/>
      <c r="X157" s="1050" t="n"/>
      <c r="Y157" s="1050" t="n"/>
      <c r="Z157" s="731" t="n"/>
      <c r="AA157" s="1050" t="n"/>
      <c r="AB157" s="1050" t="n"/>
    </row>
    <row r="158" ht="13" customHeight="1" s="828">
      <c r="A158" s="1051" t="n"/>
      <c r="B158" s="731" t="n"/>
      <c r="C158" s="1050" t="n"/>
      <c r="D158" s="1050" t="n"/>
      <c r="E158" s="731" t="n"/>
      <c r="F158" s="1050" t="n"/>
      <c r="G158" s="1050" t="n"/>
      <c r="H158" s="731" t="n"/>
      <c r="I158" s="1050" t="n"/>
      <c r="J158" s="1050" t="n"/>
      <c r="K158" s="731" t="n"/>
      <c r="L158" s="1050" t="n"/>
      <c r="M158" s="1050" t="n"/>
      <c r="N158" s="731" t="n"/>
      <c r="O158" s="1050" t="n"/>
      <c r="P158" s="1050" t="n"/>
      <c r="Q158" s="731" t="n"/>
      <c r="R158" s="1050" t="n"/>
      <c r="S158" s="1050" t="n"/>
      <c r="T158" s="731" t="n"/>
      <c r="U158" s="1050" t="n"/>
      <c r="V158" s="1050" t="n"/>
      <c r="W158" s="731" t="n"/>
      <c r="X158" s="1050" t="n"/>
      <c r="Y158" s="1050" t="n"/>
      <c r="Z158" s="731" t="n"/>
      <c r="AA158" s="1050" t="n"/>
      <c r="AB158" s="1050" t="n"/>
    </row>
    <row r="159">
      <c r="A159" s="1051" t="n"/>
      <c r="B159" s="674" t="n"/>
      <c r="C159" s="1052" t="n"/>
      <c r="D159" s="1052" t="n"/>
      <c r="E159" s="674" t="n"/>
      <c r="F159" s="1052" t="n"/>
      <c r="G159" s="1052" t="n"/>
      <c r="H159" s="674" t="n"/>
      <c r="I159" s="1052" t="n"/>
      <c r="J159" s="1052" t="n"/>
      <c r="K159" s="674" t="n"/>
      <c r="L159" s="1052" t="n"/>
      <c r="M159" s="1052" t="n"/>
      <c r="N159" s="674" t="n"/>
      <c r="O159" s="1052" t="n"/>
      <c r="P159" s="1052" t="n"/>
      <c r="Q159" s="674" t="n"/>
      <c r="R159" s="1052" t="n"/>
      <c r="S159" s="1052" t="n"/>
      <c r="T159" s="674" t="n"/>
      <c r="U159" s="1052" t="n"/>
      <c r="V159" s="1052" t="n"/>
      <c r="W159" s="674" t="n"/>
      <c r="X159" s="1052" t="n"/>
      <c r="Y159" s="1052" t="n"/>
      <c r="Z159" s="674" t="n"/>
      <c r="AA159" s="1052" t="n"/>
      <c r="AB159" s="1052" t="n"/>
    </row>
    <row r="160" ht="13" customHeight="1" s="828">
      <c r="A160" s="1051" t="n"/>
      <c r="B160" s="731" t="n"/>
      <c r="C160" s="1050" t="n"/>
      <c r="D160" s="1050" t="n"/>
      <c r="E160" s="731" t="n"/>
      <c r="F160" s="1050" t="n"/>
      <c r="G160" s="1050" t="n"/>
      <c r="H160" s="731" t="n"/>
      <c r="I160" s="1050" t="n"/>
      <c r="J160" s="1050" t="n"/>
      <c r="K160" s="731" t="n"/>
      <c r="L160" s="1050" t="n"/>
      <c r="M160" s="1050" t="n"/>
      <c r="N160" s="731" t="n"/>
      <c r="O160" s="1050" t="n"/>
      <c r="P160" s="1050" t="n"/>
      <c r="Q160" s="731" t="n"/>
      <c r="R160" s="1050" t="n"/>
      <c r="S160" s="1050" t="n"/>
      <c r="T160" s="731" t="n"/>
      <c r="U160" s="1050" t="n"/>
      <c r="V160" s="1050" t="n"/>
      <c r="W160" s="731" t="n"/>
      <c r="X160" s="1050" t="n"/>
      <c r="Y160" s="1050" t="n"/>
      <c r="Z160" s="731" t="n"/>
      <c r="AA160" s="1050" t="n"/>
      <c r="AB160" s="1050" t="n"/>
    </row>
    <row r="161" ht="13" customFormat="1" customHeight="1" s="26">
      <c r="A161" s="672" t="n"/>
      <c r="B161" s="672" t="n"/>
      <c r="C161" s="672" t="n"/>
      <c r="D161" s="672" t="n"/>
      <c r="E161" s="672" t="n"/>
      <c r="F161" s="672" t="n"/>
      <c r="G161" s="672" t="n"/>
      <c r="H161" s="672" t="n"/>
      <c r="I161" s="672" t="n"/>
      <c r="J161" s="672" t="n"/>
      <c r="K161" s="672" t="n"/>
      <c r="L161" s="672" t="n"/>
      <c r="M161" s="672" t="n"/>
      <c r="N161" s="672" t="n"/>
      <c r="O161" s="672" t="n"/>
      <c r="P161" s="672" t="n"/>
      <c r="Q161" s="672" t="n"/>
      <c r="R161" s="672" t="n"/>
      <c r="S161" s="672" t="n"/>
      <c r="T161" s="672" t="n"/>
      <c r="U161" s="672" t="n"/>
      <c r="V161" s="672" t="n"/>
      <c r="W161" s="672" t="n"/>
      <c r="X161" s="672" t="n"/>
      <c r="Y161" s="672" t="n"/>
      <c r="Z161" s="672" t="n"/>
      <c r="AA161" s="672" t="n"/>
      <c r="AB161" s="672" t="n"/>
    </row>
    <row r="162">
      <c r="A162" s="1051" t="n"/>
      <c r="B162" s="674" t="n"/>
      <c r="C162" s="1052" t="n"/>
      <c r="D162" s="1052" t="n"/>
      <c r="E162" s="674" t="n"/>
      <c r="F162" s="1052" t="n"/>
      <c r="G162" s="1052" t="n"/>
      <c r="H162" s="674" t="n"/>
      <c r="I162" s="1052" t="n"/>
      <c r="J162" s="1052" t="n"/>
      <c r="K162" s="674" t="n"/>
      <c r="L162" s="1052" t="n"/>
      <c r="M162" s="1052" t="n"/>
      <c r="N162" s="674" t="n"/>
      <c r="O162" s="1052" t="n"/>
      <c r="P162" s="1052" t="n"/>
      <c r="Q162" s="674" t="n"/>
      <c r="R162" s="1052" t="n"/>
      <c r="S162" s="1052" t="n"/>
      <c r="T162" s="674" t="n"/>
      <c r="U162" s="1052" t="n"/>
      <c r="V162" s="1052" t="n"/>
      <c r="W162" s="674" t="n"/>
      <c r="X162" s="1052" t="n"/>
      <c r="Y162" s="1052" t="n"/>
      <c r="Z162" s="674" t="n"/>
      <c r="AA162" s="1052" t="n"/>
      <c r="AB162" s="1052" t="n"/>
    </row>
    <row r="163">
      <c r="A163" s="1051" t="n"/>
      <c r="B163" s="674" t="n"/>
      <c r="C163" s="1052" t="n"/>
      <c r="D163" s="1052" t="n"/>
      <c r="E163" s="674" t="n"/>
      <c r="F163" s="1052" t="n"/>
      <c r="G163" s="1052" t="n"/>
      <c r="H163" s="674" t="n"/>
      <c r="I163" s="1052" t="n"/>
      <c r="J163" s="1052" t="n"/>
      <c r="K163" s="674" t="n"/>
      <c r="L163" s="1052" t="n"/>
      <c r="M163" s="1052" t="n"/>
      <c r="N163" s="674" t="n"/>
      <c r="O163" s="1052" t="n"/>
      <c r="P163" s="1052" t="n"/>
      <c r="Q163" s="674" t="n"/>
      <c r="R163" s="1052" t="n"/>
      <c r="S163" s="1052" t="n"/>
      <c r="T163" s="674" t="n"/>
      <c r="U163" s="1052" t="n"/>
      <c r="V163" s="1052" t="n"/>
      <c r="W163" s="674" t="n"/>
      <c r="X163" s="1052" t="n"/>
      <c r="Y163" s="1052" t="n"/>
      <c r="Z163" s="674" t="n"/>
      <c r="AA163" s="1052" t="n"/>
      <c r="AB163" s="1052" t="n"/>
    </row>
    <row r="164">
      <c r="A164" s="1051" t="n"/>
      <c r="B164" s="674" t="n"/>
      <c r="C164" s="1052" t="n"/>
      <c r="D164" s="1052" t="n"/>
      <c r="E164" s="674" t="n"/>
      <c r="F164" s="1052" t="n"/>
      <c r="G164" s="1052" t="n"/>
      <c r="H164" s="674" t="n"/>
      <c r="I164" s="1052" t="n"/>
      <c r="J164" s="1052" t="n"/>
      <c r="K164" s="674" t="n"/>
      <c r="L164" s="1052" t="n"/>
      <c r="M164" s="1052" t="n"/>
      <c r="N164" s="674" t="n"/>
      <c r="O164" s="1052" t="n"/>
      <c r="P164" s="1052" t="n"/>
      <c r="Q164" s="674" t="n"/>
      <c r="R164" s="1052" t="n"/>
      <c r="S164" s="1052" t="n"/>
      <c r="T164" s="674" t="n"/>
      <c r="U164" s="1052" t="n"/>
      <c r="V164" s="1052" t="n"/>
      <c r="W164" s="674" t="n"/>
      <c r="X164" s="1052" t="n"/>
      <c r="Y164" s="1052" t="n"/>
      <c r="Z164" s="674" t="n"/>
      <c r="AA164" s="1052" t="n"/>
      <c r="AB164" s="1052" t="n"/>
    </row>
    <row r="165">
      <c r="A165" s="1051" t="n"/>
      <c r="B165" s="674" t="n"/>
      <c r="C165" s="1052" t="n"/>
      <c r="D165" s="1052" t="n"/>
      <c r="E165" s="674" t="n"/>
      <c r="F165" s="1052" t="n"/>
      <c r="G165" s="1052" t="n"/>
      <c r="H165" s="674" t="n"/>
      <c r="I165" s="1052" t="n"/>
      <c r="J165" s="1052" t="n"/>
      <c r="K165" s="674" t="n"/>
      <c r="L165" s="1052" t="n"/>
      <c r="M165" s="1052" t="n"/>
      <c r="N165" s="674" t="n"/>
      <c r="O165" s="1052" t="n"/>
      <c r="P165" s="1052" t="n"/>
      <c r="Q165" s="674" t="n"/>
      <c r="R165" s="1052" t="n"/>
      <c r="S165" s="1052" t="n"/>
      <c r="T165" s="674" t="n"/>
      <c r="U165" s="1052" t="n"/>
      <c r="V165" s="1052" t="n"/>
      <c r="W165" s="674" t="n"/>
      <c r="X165" s="1052" t="n"/>
      <c r="Y165" s="1052" t="n"/>
      <c r="Z165" s="674" t="n"/>
      <c r="AA165" s="1052" t="n"/>
      <c r="AB165" s="1052" t="n"/>
    </row>
    <row r="166">
      <c r="A166" s="1051" t="n"/>
      <c r="B166" s="674" t="n"/>
      <c r="C166" s="1052" t="n"/>
      <c r="D166" s="1052" t="n"/>
      <c r="E166" s="674" t="n"/>
      <c r="F166" s="1052" t="n"/>
      <c r="G166" s="1052" t="n"/>
      <c r="H166" s="674" t="n"/>
      <c r="I166" s="1052" t="n"/>
      <c r="J166" s="1052" t="n"/>
      <c r="K166" s="674" t="n"/>
      <c r="L166" s="1052" t="n"/>
      <c r="M166" s="1052" t="n"/>
      <c r="N166" s="674" t="n"/>
      <c r="O166" s="1052" t="n"/>
      <c r="P166" s="1052" t="n"/>
      <c r="Q166" s="674" t="n"/>
      <c r="R166" s="1052" t="n"/>
      <c r="S166" s="1052" t="n"/>
      <c r="T166" s="674" t="n"/>
      <c r="U166" s="1052" t="n"/>
      <c r="V166" s="1052" t="n"/>
      <c r="W166" s="674" t="n"/>
      <c r="X166" s="1052" t="n"/>
      <c r="Y166" s="1052" t="n"/>
      <c r="Z166" s="674" t="n"/>
      <c r="AA166" s="1052" t="n"/>
      <c r="AB166" s="1052" t="n"/>
    </row>
    <row r="167">
      <c r="A167" s="1051" t="n"/>
      <c r="B167" s="674" t="n"/>
      <c r="C167" s="1052" t="n"/>
      <c r="D167" s="1052" t="n"/>
      <c r="E167" s="674" t="n"/>
      <c r="F167" s="1052" t="n"/>
      <c r="G167" s="1052" t="n"/>
      <c r="H167" s="674" t="n"/>
      <c r="I167" s="1052" t="n"/>
      <c r="J167" s="1052" t="n"/>
      <c r="K167" s="674" t="n"/>
      <c r="L167" s="1052" t="n"/>
      <c r="M167" s="1052" t="n"/>
      <c r="N167" s="674" t="n"/>
      <c r="O167" s="1052" t="n"/>
      <c r="P167" s="1052" t="n"/>
      <c r="Q167" s="674" t="n"/>
      <c r="R167" s="1052" t="n"/>
      <c r="S167" s="1052" t="n"/>
      <c r="T167" s="674" t="n"/>
      <c r="U167" s="1052" t="n"/>
      <c r="V167" s="1052" t="n"/>
      <c r="W167" s="674" t="n"/>
      <c r="X167" s="1052" t="n"/>
      <c r="Y167" s="1052" t="n"/>
      <c r="Z167" s="674" t="n"/>
      <c r="AA167" s="1052" t="n"/>
      <c r="AB167" s="1052" t="n"/>
    </row>
    <row r="168">
      <c r="A168" s="1051" t="n"/>
      <c r="B168" s="674" t="n"/>
      <c r="C168" s="1052" t="n"/>
      <c r="D168" s="1052" t="n"/>
      <c r="E168" s="674" t="n"/>
      <c r="F168" s="1052" t="n"/>
      <c r="G168" s="1052" t="n"/>
      <c r="H168" s="674" t="n"/>
      <c r="I168" s="1052" t="n"/>
      <c r="J168" s="1052" t="n"/>
      <c r="K168" s="674" t="n"/>
      <c r="L168" s="1052" t="n"/>
      <c r="M168" s="1052" t="n"/>
      <c r="N168" s="674" t="n"/>
      <c r="O168" s="1052" t="n"/>
      <c r="P168" s="1052" t="n"/>
      <c r="Q168" s="674" t="n"/>
      <c r="R168" s="1052" t="n"/>
      <c r="S168" s="1052" t="n"/>
      <c r="T168" s="674" t="n"/>
      <c r="U168" s="1052" t="n"/>
      <c r="V168" s="1052" t="n"/>
      <c r="W168" s="674" t="n"/>
      <c r="X168" s="1052" t="n"/>
      <c r="Y168" s="1052" t="n"/>
      <c r="Z168" s="674" t="n"/>
      <c r="AA168" s="1052" t="n"/>
      <c r="AB168" s="1052" t="n"/>
    </row>
    <row r="169">
      <c r="A169" s="1051" t="n"/>
      <c r="B169" s="674" t="n"/>
      <c r="C169" s="1052" t="n"/>
      <c r="D169" s="1052" t="n"/>
      <c r="E169" s="674" t="n"/>
      <c r="F169" s="1052" t="n"/>
      <c r="G169" s="1052" t="n"/>
      <c r="H169" s="674" t="n"/>
      <c r="I169" s="1052" t="n"/>
      <c r="J169" s="1052" t="n"/>
      <c r="K169" s="674" t="n"/>
      <c r="L169" s="1052" t="n"/>
      <c r="M169" s="1052" t="n"/>
      <c r="N169" s="674" t="n"/>
      <c r="O169" s="1052" t="n"/>
      <c r="P169" s="1052" t="n"/>
      <c r="Q169" s="674" t="n"/>
      <c r="R169" s="1052" t="n"/>
      <c r="S169" s="1052" t="n"/>
      <c r="T169" s="674" t="n"/>
      <c r="U169" s="1052" t="n"/>
      <c r="V169" s="1052" t="n"/>
      <c r="W169" s="674" t="n"/>
      <c r="X169" s="1052" t="n"/>
      <c r="Y169" s="1052" t="n"/>
      <c r="Z169" s="674" t="n"/>
      <c r="AA169" s="1052" t="n"/>
      <c r="AB169" s="1052" t="n"/>
    </row>
    <row r="170">
      <c r="A170" s="1051" t="n"/>
      <c r="B170" s="674" t="n"/>
      <c r="C170" s="1052" t="n"/>
      <c r="D170" s="1052" t="n"/>
      <c r="E170" s="674" t="n"/>
      <c r="F170" s="1052" t="n"/>
      <c r="G170" s="1052" t="n"/>
      <c r="H170" s="674" t="n"/>
      <c r="I170" s="1052" t="n"/>
      <c r="J170" s="1052" t="n"/>
      <c r="K170" s="674" t="n"/>
      <c r="L170" s="1052" t="n"/>
      <c r="M170" s="1052" t="n"/>
      <c r="N170" s="674" t="n"/>
      <c r="O170" s="1052" t="n"/>
      <c r="P170" s="1052" t="n"/>
      <c r="Q170" s="674" t="n"/>
      <c r="R170" s="1052" t="n"/>
      <c r="S170" s="1052" t="n"/>
      <c r="T170" s="674" t="n"/>
      <c r="U170" s="1052" t="n"/>
      <c r="V170" s="1052" t="n"/>
      <c r="W170" s="674" t="n"/>
      <c r="X170" s="1052" t="n"/>
      <c r="Y170" s="1052" t="n"/>
      <c r="Z170" s="674" t="n"/>
      <c r="AA170" s="1052" t="n"/>
      <c r="AB170" s="1052" t="n"/>
    </row>
    <row r="171" ht="13" customFormat="1" customHeight="1" s="26">
      <c r="A171" s="672" t="n"/>
      <c r="B171" s="672" t="n"/>
      <c r="C171" s="672" t="n"/>
      <c r="D171" s="672" t="n"/>
      <c r="E171" s="672" t="n"/>
      <c r="F171" s="672" t="n"/>
      <c r="G171" s="672" t="n"/>
      <c r="H171" s="672" t="n"/>
      <c r="I171" s="672" t="n"/>
      <c r="J171" s="672" t="n"/>
      <c r="K171" s="672" t="n"/>
      <c r="L171" s="672" t="n"/>
      <c r="M171" s="672" t="n"/>
      <c r="N171" s="672" t="n"/>
      <c r="O171" s="672" t="n"/>
      <c r="P171" s="672" t="n"/>
      <c r="Q171" s="672" t="n"/>
      <c r="R171" s="672" t="n"/>
      <c r="S171" s="672" t="n"/>
      <c r="T171" s="672" t="n"/>
      <c r="U171" s="672" t="n"/>
      <c r="V171" s="672" t="n"/>
      <c r="W171" s="672" t="n"/>
      <c r="X171" s="672" t="n"/>
      <c r="Y171" s="672" t="n"/>
      <c r="Z171" s="672" t="n"/>
      <c r="AA171" s="672" t="n"/>
      <c r="AB171" s="672" t="n"/>
    </row>
    <row r="172">
      <c r="A172" s="1051" t="n"/>
      <c r="B172" s="674" t="n"/>
      <c r="C172" s="1052" t="n"/>
      <c r="D172" s="1052" t="n"/>
      <c r="E172" s="674" t="n"/>
      <c r="F172" s="1052" t="n"/>
      <c r="G172" s="1052" t="n"/>
      <c r="H172" s="674" t="n"/>
      <c r="I172" s="1052" t="n"/>
      <c r="J172" s="1052" t="n"/>
      <c r="K172" s="674" t="n"/>
      <c r="L172" s="1052" t="n"/>
      <c r="M172" s="1052" t="n"/>
      <c r="N172" s="674" t="n"/>
      <c r="O172" s="1052" t="n"/>
      <c r="P172" s="1052" t="n"/>
      <c r="Q172" s="674" t="n"/>
      <c r="R172" s="1052" t="n"/>
      <c r="S172" s="1052" t="n"/>
      <c r="T172" s="674" t="n"/>
      <c r="U172" s="1052" t="n"/>
      <c r="V172" s="1052" t="n"/>
      <c r="W172" s="674" t="n"/>
      <c r="X172" s="1052" t="n"/>
      <c r="Y172" s="1052" t="n"/>
      <c r="Z172" s="674" t="n"/>
      <c r="AA172" s="1052" t="n"/>
      <c r="AB172" s="1052" t="n"/>
    </row>
    <row r="173">
      <c r="A173" s="1051" t="n"/>
      <c r="B173" s="674" t="n"/>
      <c r="C173" s="1052" t="n"/>
      <c r="D173" s="1052" t="n"/>
      <c r="E173" s="674" t="n"/>
      <c r="F173" s="1052" t="n"/>
      <c r="G173" s="1052" t="n"/>
      <c r="H173" s="674" t="n"/>
      <c r="I173" s="1052" t="n"/>
      <c r="J173" s="1052" t="n"/>
      <c r="K173" s="674" t="n"/>
      <c r="L173" s="1052" t="n"/>
      <c r="M173" s="1052" t="n"/>
      <c r="N173" s="674" t="n"/>
      <c r="O173" s="1052" t="n"/>
      <c r="P173" s="1052" t="n"/>
      <c r="Q173" s="674" t="n"/>
      <c r="R173" s="1052" t="n"/>
      <c r="S173" s="1052" t="n"/>
      <c r="T173" s="674" t="n"/>
      <c r="U173" s="1052" t="n"/>
      <c r="V173" s="1052" t="n"/>
      <c r="W173" s="674" t="n"/>
      <c r="X173" s="1052" t="n"/>
      <c r="Y173" s="1052" t="n"/>
      <c r="Z173" s="674" t="n"/>
      <c r="AA173" s="1052" t="n"/>
      <c r="AB173" s="1052" t="n"/>
    </row>
    <row r="174">
      <c r="A174" s="1051" t="n"/>
      <c r="B174" s="674" t="n"/>
      <c r="C174" s="1052" t="n"/>
      <c r="D174" s="1052" t="n"/>
      <c r="E174" s="674" t="n"/>
      <c r="F174" s="1052" t="n"/>
      <c r="G174" s="1052" t="n"/>
      <c r="H174" s="674" t="n"/>
      <c r="I174" s="1052" t="n"/>
      <c r="J174" s="1052" t="n"/>
      <c r="K174" s="674" t="n"/>
      <c r="L174" s="1052" t="n"/>
      <c r="M174" s="1052" t="n"/>
      <c r="N174" s="674" t="n"/>
      <c r="O174" s="1052" t="n"/>
      <c r="P174" s="1052" t="n"/>
      <c r="Q174" s="674" t="n"/>
      <c r="R174" s="1052" t="n"/>
      <c r="S174" s="1052" t="n"/>
      <c r="T174" s="674" t="n"/>
      <c r="U174" s="1052" t="n"/>
      <c r="V174" s="1052" t="n"/>
      <c r="W174" s="674" t="n"/>
      <c r="X174" s="1052" t="n"/>
      <c r="Y174" s="1052" t="n"/>
      <c r="Z174" s="674" t="n"/>
      <c r="AA174" s="1052" t="n"/>
      <c r="AB174" s="1052" t="n"/>
    </row>
    <row r="175">
      <c r="A175" s="1051" t="n"/>
      <c r="B175" s="674" t="n"/>
      <c r="C175" s="1052" t="n"/>
      <c r="D175" s="1052" t="n"/>
      <c r="E175" s="674" t="n"/>
      <c r="F175" s="1052" t="n"/>
      <c r="G175" s="1052" t="n"/>
      <c r="H175" s="674" t="n"/>
      <c r="I175" s="1052" t="n"/>
      <c r="J175" s="1052" t="n"/>
      <c r="K175" s="674" t="n"/>
      <c r="L175" s="1052" t="n"/>
      <c r="M175" s="1052" t="n"/>
      <c r="N175" s="674" t="n"/>
      <c r="O175" s="1052" t="n"/>
      <c r="P175" s="1052" t="n"/>
      <c r="Q175" s="674" t="n"/>
      <c r="R175" s="1052" t="n"/>
      <c r="S175" s="1052" t="n"/>
      <c r="T175" s="674" t="n"/>
      <c r="U175" s="1052" t="n"/>
      <c r="V175" s="1052" t="n"/>
      <c r="W175" s="674" t="n"/>
      <c r="X175" s="1052" t="n"/>
      <c r="Y175" s="1052" t="n"/>
      <c r="Z175" s="674" t="n"/>
      <c r="AA175" s="1052" t="n"/>
      <c r="AB175" s="1052" t="n"/>
    </row>
    <row r="176">
      <c r="A176" s="1051" t="n"/>
      <c r="B176" s="674" t="n"/>
      <c r="C176" s="1052" t="n"/>
      <c r="D176" s="1052" t="n"/>
      <c r="E176" s="674" t="n"/>
      <c r="F176" s="1052" t="n"/>
      <c r="G176" s="1052" t="n"/>
      <c r="H176" s="674" t="n"/>
      <c r="I176" s="1052" t="n"/>
      <c r="J176" s="1052" t="n"/>
      <c r="K176" s="674" t="n"/>
      <c r="L176" s="1052" t="n"/>
      <c r="M176" s="1052" t="n"/>
      <c r="N176" s="674" t="n"/>
      <c r="O176" s="1052" t="n"/>
      <c r="P176" s="1052" t="n"/>
      <c r="Q176" s="674" t="n"/>
      <c r="R176" s="1052" t="n"/>
      <c r="S176" s="1052" t="n"/>
      <c r="T176" s="674" t="n"/>
      <c r="U176" s="1052" t="n"/>
      <c r="V176" s="1052" t="n"/>
      <c r="W176" s="674" t="n"/>
      <c r="X176" s="1052" t="n"/>
      <c r="Y176" s="1052" t="n"/>
      <c r="Z176" s="674" t="n"/>
      <c r="AA176" s="1052" t="n"/>
      <c r="AB176" s="1052" t="n"/>
    </row>
    <row r="177">
      <c r="A177" s="1051" t="n"/>
      <c r="B177" s="674" t="n"/>
      <c r="C177" s="1052" t="n"/>
      <c r="D177" s="1052" t="n"/>
      <c r="E177" s="674" t="n"/>
      <c r="F177" s="1052" t="n"/>
      <c r="G177" s="1052" t="n"/>
      <c r="H177" s="674" t="n"/>
      <c r="I177" s="1052" t="n"/>
      <c r="J177" s="1052" t="n"/>
      <c r="K177" s="674" t="n"/>
      <c r="L177" s="1052" t="n"/>
      <c r="M177" s="1052" t="n"/>
      <c r="N177" s="674" t="n"/>
      <c r="O177" s="1052" t="n"/>
      <c r="P177" s="1052" t="n"/>
      <c r="Q177" s="674" t="n"/>
      <c r="R177" s="1052" t="n"/>
      <c r="S177" s="1052" t="n"/>
      <c r="T177" s="674" t="n"/>
      <c r="U177" s="1052" t="n"/>
      <c r="V177" s="1052" t="n"/>
      <c r="W177" s="674" t="n"/>
      <c r="X177" s="1052" t="n"/>
      <c r="Y177" s="1052" t="n"/>
      <c r="Z177" s="674" t="n"/>
      <c r="AA177" s="1052" t="n"/>
      <c r="AB177" s="1052" t="n"/>
    </row>
    <row r="178">
      <c r="A178" s="1051" t="n"/>
      <c r="B178" s="674" t="n"/>
      <c r="C178" s="1052" t="n"/>
      <c r="D178" s="1052" t="n"/>
      <c r="E178" s="674" t="n"/>
      <c r="F178" s="1052" t="n"/>
      <c r="G178" s="1052" t="n"/>
      <c r="H178" s="674" t="n"/>
      <c r="I178" s="1052" t="n"/>
      <c r="J178" s="1052" t="n"/>
      <c r="K178" s="674" t="n"/>
      <c r="L178" s="1052" t="n"/>
      <c r="M178" s="1052" t="n"/>
      <c r="N178" s="674" t="n"/>
      <c r="O178" s="1052" t="n"/>
      <c r="P178" s="1052" t="n"/>
      <c r="Q178" s="674" t="n"/>
      <c r="R178" s="1052" t="n"/>
      <c r="S178" s="1052" t="n"/>
      <c r="T178" s="674" t="n"/>
      <c r="U178" s="1052" t="n"/>
      <c r="V178" s="1052" t="n"/>
      <c r="W178" s="674" t="n"/>
      <c r="X178" s="1052" t="n"/>
      <c r="Y178" s="1052" t="n"/>
      <c r="Z178" s="674" t="n"/>
      <c r="AA178" s="1052" t="n"/>
      <c r="AB178" s="1052" t="n"/>
    </row>
    <row r="179">
      <c r="A179" s="1051" t="n"/>
      <c r="B179" s="674" t="n"/>
      <c r="C179" s="1052" t="n"/>
      <c r="D179" s="1052" t="n"/>
      <c r="E179" s="674" t="n"/>
      <c r="F179" s="1052" t="n"/>
      <c r="G179" s="1052" t="n"/>
      <c r="H179" s="674" t="n"/>
      <c r="I179" s="1052" t="n"/>
      <c r="J179" s="1052" t="n"/>
      <c r="K179" s="674" t="n"/>
      <c r="L179" s="1052" t="n"/>
      <c r="M179" s="1052" t="n"/>
      <c r="N179" s="674" t="n"/>
      <c r="O179" s="1052" t="n"/>
      <c r="P179" s="1052" t="n"/>
      <c r="Q179" s="674" t="n"/>
      <c r="R179" s="1052" t="n"/>
      <c r="S179" s="1052" t="n"/>
      <c r="T179" s="674" t="n"/>
      <c r="U179" s="1052" t="n"/>
      <c r="V179" s="1052" t="n"/>
      <c r="W179" s="674" t="n"/>
      <c r="X179" s="1052" t="n"/>
      <c r="Y179" s="1052" t="n"/>
      <c r="Z179" s="674" t="n"/>
      <c r="AA179" s="1052" t="n"/>
      <c r="AB179" s="1052" t="n"/>
    </row>
    <row r="180">
      <c r="A180" s="1051" t="n"/>
      <c r="B180" s="674" t="n"/>
      <c r="C180" s="1052" t="n"/>
      <c r="D180" s="1052" t="n"/>
      <c r="E180" s="674" t="n"/>
      <c r="F180" s="1052" t="n"/>
      <c r="G180" s="1052" t="n"/>
      <c r="H180" s="674" t="n"/>
      <c r="I180" s="1052" t="n"/>
      <c r="J180" s="1052" t="n"/>
      <c r="K180" s="674" t="n"/>
      <c r="L180" s="1052" t="n"/>
      <c r="M180" s="1052" t="n"/>
      <c r="N180" s="674" t="n"/>
      <c r="O180" s="1052" t="n"/>
      <c r="P180" s="1052" t="n"/>
      <c r="Q180" s="674" t="n"/>
      <c r="R180" s="1052" t="n"/>
      <c r="S180" s="1052" t="n"/>
      <c r="T180" s="674" t="n"/>
      <c r="U180" s="1052" t="n"/>
      <c r="V180" s="1052" t="n"/>
      <c r="W180" s="674" t="n"/>
      <c r="X180" s="1052" t="n"/>
      <c r="Y180" s="1052" t="n"/>
      <c r="Z180" s="674" t="n"/>
      <c r="AA180" s="1052" t="n"/>
      <c r="AB180" s="1052" t="n"/>
    </row>
    <row r="181">
      <c r="A181" s="1051" t="n"/>
      <c r="B181" s="674" t="n"/>
      <c r="C181" s="1052" t="n"/>
      <c r="D181" s="1052" t="n"/>
      <c r="E181" s="674" t="n"/>
      <c r="F181" s="1052" t="n"/>
      <c r="G181" s="1052" t="n"/>
      <c r="H181" s="674" t="n"/>
      <c r="I181" s="1052" t="n"/>
      <c r="J181" s="1052" t="n"/>
      <c r="K181" s="674" t="n"/>
      <c r="L181" s="1052" t="n"/>
      <c r="M181" s="1052" t="n"/>
      <c r="N181" s="674" t="n"/>
      <c r="O181" s="1052" t="n"/>
      <c r="P181" s="1052" t="n"/>
      <c r="Q181" s="674" t="n"/>
      <c r="R181" s="1052" t="n"/>
      <c r="S181" s="1052" t="n"/>
      <c r="T181" s="674" t="n"/>
      <c r="U181" s="1052" t="n"/>
      <c r="V181" s="1052" t="n"/>
      <c r="W181" s="674" t="n"/>
      <c r="X181" s="1052" t="n"/>
      <c r="Y181" s="1052" t="n"/>
      <c r="Z181" s="674" t="n"/>
      <c r="AA181" s="1052" t="n"/>
      <c r="AB181" s="1052" t="n"/>
    </row>
    <row r="182">
      <c r="A182" s="1051" t="n"/>
      <c r="B182" s="674" t="n"/>
      <c r="C182" s="1052" t="n"/>
      <c r="D182" s="1052" t="n"/>
      <c r="E182" s="674" t="n"/>
      <c r="F182" s="1052" t="n"/>
      <c r="G182" s="1052" t="n"/>
      <c r="H182" s="674" t="n"/>
      <c r="I182" s="1052" t="n"/>
      <c r="J182" s="1052" t="n"/>
      <c r="K182" s="674" t="n"/>
      <c r="L182" s="1052" t="n"/>
      <c r="M182" s="1052" t="n"/>
      <c r="N182" s="674" t="n"/>
      <c r="O182" s="1052" t="n"/>
      <c r="P182" s="1052" t="n"/>
      <c r="Q182" s="674" t="n"/>
      <c r="R182" s="1052" t="n"/>
      <c r="S182" s="1052" t="n"/>
      <c r="T182" s="674" t="n"/>
      <c r="U182" s="1052" t="n"/>
      <c r="V182" s="1052" t="n"/>
      <c r="W182" s="674" t="n"/>
      <c r="X182" s="1052" t="n"/>
      <c r="Y182" s="1052" t="n"/>
      <c r="Z182" s="674" t="n"/>
      <c r="AA182" s="1052" t="n"/>
      <c r="AB182" s="1052" t="n"/>
    </row>
    <row r="183">
      <c r="A183" s="1051" t="n"/>
      <c r="B183" s="674" t="n"/>
      <c r="C183" s="1052" t="n"/>
      <c r="D183" s="1052" t="n"/>
      <c r="E183" s="674" t="n"/>
      <c r="F183" s="1052" t="n"/>
      <c r="G183" s="1052" t="n"/>
      <c r="H183" s="674" t="n"/>
      <c r="I183" s="1052" t="n"/>
      <c r="J183" s="1052" t="n"/>
      <c r="K183" s="674" t="n"/>
      <c r="L183" s="1052" t="n"/>
      <c r="M183" s="1052" t="n"/>
      <c r="N183" s="674" t="n"/>
      <c r="O183" s="1052" t="n"/>
      <c r="P183" s="1052" t="n"/>
      <c r="Q183" s="674" t="n"/>
      <c r="R183" s="1052" t="n"/>
      <c r="S183" s="1052" t="n"/>
      <c r="T183" s="674" t="n"/>
      <c r="U183" s="1052" t="n"/>
      <c r="V183" s="1052" t="n"/>
      <c r="W183" s="674" t="n"/>
      <c r="X183" s="1052" t="n"/>
      <c r="Y183" s="1052" t="n"/>
      <c r="Z183" s="674" t="n"/>
      <c r="AA183" s="1052" t="n"/>
      <c r="AB183" s="1052" t="n"/>
    </row>
    <row r="184">
      <c r="A184" s="1051" t="n"/>
      <c r="B184" s="674" t="n"/>
      <c r="C184" s="1052" t="n"/>
      <c r="D184" s="1052" t="n"/>
      <c r="E184" s="674" t="n"/>
      <c r="F184" s="1052" t="n"/>
      <c r="G184" s="1052" t="n"/>
      <c r="H184" s="674" t="n"/>
      <c r="I184" s="1052" t="n"/>
      <c r="J184" s="1052" t="n"/>
      <c r="K184" s="674" t="n"/>
      <c r="L184" s="1052" t="n"/>
      <c r="M184" s="1052" t="n"/>
      <c r="N184" s="674" t="n"/>
      <c r="O184" s="1052" t="n"/>
      <c r="P184" s="1052" t="n"/>
      <c r="Q184" s="674" t="n"/>
      <c r="R184" s="1052" t="n"/>
      <c r="S184" s="1052" t="n"/>
      <c r="T184" s="674" t="n"/>
      <c r="U184" s="1052" t="n"/>
      <c r="V184" s="1052" t="n"/>
      <c r="W184" s="674" t="n"/>
      <c r="X184" s="1052" t="n"/>
      <c r="Y184" s="1052" t="n"/>
      <c r="Z184" s="674" t="n"/>
      <c r="AA184" s="1052" t="n"/>
      <c r="AB184" s="1052" t="n"/>
    </row>
    <row r="185">
      <c r="A185" s="1051" t="n"/>
      <c r="B185" s="674" t="n"/>
      <c r="C185" s="1052" t="n"/>
      <c r="D185" s="1052" t="n"/>
      <c r="E185" s="674" t="n"/>
      <c r="F185" s="1052" t="n"/>
      <c r="G185" s="1052" t="n"/>
      <c r="H185" s="674" t="n"/>
      <c r="I185" s="1052" t="n"/>
      <c r="J185" s="1052" t="n"/>
      <c r="K185" s="674" t="n"/>
      <c r="L185" s="1052" t="n"/>
      <c r="M185" s="1052" t="n"/>
      <c r="N185" s="674" t="n"/>
      <c r="O185" s="1052" t="n"/>
      <c r="P185" s="1052" t="n"/>
      <c r="Q185" s="674" t="n"/>
      <c r="R185" s="1052" t="n"/>
      <c r="S185" s="1052" t="n"/>
      <c r="T185" s="674" t="n"/>
      <c r="U185" s="1052" t="n"/>
      <c r="V185" s="1052" t="n"/>
      <c r="W185" s="674" t="n"/>
      <c r="X185" s="1052" t="n"/>
      <c r="Y185" s="1052" t="n"/>
      <c r="Z185" s="674" t="n"/>
      <c r="AA185" s="1052" t="n"/>
      <c r="AB185" s="1052" t="n"/>
    </row>
    <row r="186">
      <c r="A186" s="1051" t="n"/>
      <c r="B186" s="674" t="n"/>
      <c r="C186" s="1052" t="n"/>
      <c r="D186" s="1052" t="n"/>
      <c r="E186" s="674" t="n"/>
      <c r="F186" s="1052" t="n"/>
      <c r="G186" s="1052" t="n"/>
      <c r="H186" s="674" t="n"/>
      <c r="I186" s="1052" t="n"/>
      <c r="J186" s="1052" t="n"/>
      <c r="K186" s="674" t="n"/>
      <c r="L186" s="1052" t="n"/>
      <c r="M186" s="1052" t="n"/>
      <c r="N186" s="674" t="n"/>
      <c r="O186" s="1052" t="n"/>
      <c r="P186" s="1052" t="n"/>
      <c r="Q186" s="674" t="n"/>
      <c r="R186" s="1052" t="n"/>
      <c r="S186" s="1052" t="n"/>
      <c r="T186" s="674" t="n"/>
      <c r="U186" s="1052" t="n"/>
      <c r="V186" s="1052" t="n"/>
      <c r="W186" s="674" t="n"/>
      <c r="X186" s="1052" t="n"/>
      <c r="Y186" s="1052" t="n"/>
      <c r="Z186" s="674" t="n"/>
      <c r="AA186" s="1052" t="n"/>
      <c r="AB186" s="1052" t="n"/>
    </row>
    <row r="187">
      <c r="A187" s="1051" t="n"/>
      <c r="B187" s="674" t="n"/>
      <c r="C187" s="1052" t="n"/>
      <c r="D187" s="1052" t="n"/>
      <c r="E187" s="674" t="n"/>
      <c r="F187" s="1052" t="n"/>
      <c r="G187" s="1052" t="n"/>
      <c r="H187" s="674" t="n"/>
      <c r="I187" s="1052" t="n"/>
      <c r="J187" s="1052" t="n"/>
      <c r="K187" s="674" t="n"/>
      <c r="L187" s="1052" t="n"/>
      <c r="M187" s="1052" t="n"/>
      <c r="N187" s="674" t="n"/>
      <c r="O187" s="1052" t="n"/>
      <c r="P187" s="1052" t="n"/>
      <c r="Q187" s="674" t="n"/>
      <c r="R187" s="1052" t="n"/>
      <c r="S187" s="1052" t="n"/>
      <c r="T187" s="674" t="n"/>
      <c r="U187" s="1052" t="n"/>
      <c r="V187" s="1052" t="n"/>
      <c r="W187" s="674" t="n"/>
      <c r="X187" s="1052" t="n"/>
      <c r="Y187" s="1052" t="n"/>
      <c r="Z187" s="674" t="n"/>
      <c r="AA187" s="1052" t="n"/>
      <c r="AB187" s="1052" t="n"/>
    </row>
    <row r="188">
      <c r="A188" s="1051" t="n"/>
      <c r="B188" s="674" t="n"/>
      <c r="C188" s="1052" t="n"/>
      <c r="D188" s="1052" t="n"/>
      <c r="E188" s="674" t="n"/>
      <c r="F188" s="1052" t="n"/>
      <c r="G188" s="1052" t="n"/>
      <c r="H188" s="674" t="n"/>
      <c r="I188" s="1052" t="n"/>
      <c r="J188" s="1052" t="n"/>
      <c r="K188" s="674" t="n"/>
      <c r="L188" s="1052" t="n"/>
      <c r="M188" s="1052" t="n"/>
      <c r="N188" s="674" t="n"/>
      <c r="O188" s="1052" t="n"/>
      <c r="P188" s="1052" t="n"/>
      <c r="Q188" s="674" t="n"/>
      <c r="R188" s="1052" t="n"/>
      <c r="S188" s="1052" t="n"/>
      <c r="T188" s="674" t="n"/>
      <c r="U188" s="1052" t="n"/>
      <c r="V188" s="1052" t="n"/>
      <c r="W188" s="674" t="n"/>
      <c r="X188" s="1052" t="n"/>
      <c r="Y188" s="1052" t="n"/>
      <c r="Z188" s="674" t="n"/>
      <c r="AA188" s="1052" t="n"/>
      <c r="AB188" s="1052" t="n"/>
    </row>
    <row r="189">
      <c r="A189" s="1051" t="n"/>
      <c r="B189" s="674" t="n"/>
      <c r="C189" s="1052" t="n"/>
      <c r="D189" s="1052" t="n"/>
      <c r="E189" s="674" t="n"/>
      <c r="F189" s="1052" t="n"/>
      <c r="G189" s="1052" t="n"/>
      <c r="H189" s="674" t="n"/>
      <c r="I189" s="1052" t="n"/>
      <c r="J189" s="1052" t="n"/>
      <c r="K189" s="674" t="n"/>
      <c r="L189" s="1052" t="n"/>
      <c r="M189" s="1052" t="n"/>
      <c r="N189" s="674" t="n"/>
      <c r="O189" s="1052" t="n"/>
      <c r="P189" s="1052" t="n"/>
      <c r="Q189" s="674" t="n"/>
      <c r="R189" s="1052" t="n"/>
      <c r="S189" s="1052" t="n"/>
      <c r="T189" s="674" t="n"/>
      <c r="U189" s="1052" t="n"/>
      <c r="V189" s="1052" t="n"/>
      <c r="W189" s="674" t="n"/>
      <c r="X189" s="1052" t="n"/>
      <c r="Y189" s="1052" t="n"/>
      <c r="Z189" s="674" t="n"/>
      <c r="AA189" s="1052" t="n"/>
      <c r="AB189" s="1052" t="n"/>
    </row>
    <row r="190">
      <c r="A190" s="1051" t="n"/>
      <c r="B190" s="674" t="n"/>
      <c r="C190" s="1052" t="n"/>
      <c r="D190" s="1052" t="n"/>
      <c r="E190" s="674" t="n"/>
      <c r="F190" s="1052" t="n"/>
      <c r="G190" s="1052" t="n"/>
      <c r="H190" s="674" t="n"/>
      <c r="I190" s="1052" t="n"/>
      <c r="J190" s="1052" t="n"/>
      <c r="K190" s="674" t="n"/>
      <c r="L190" s="1052" t="n"/>
      <c r="M190" s="1052" t="n"/>
      <c r="N190" s="674" t="n"/>
      <c r="O190" s="1052" t="n"/>
      <c r="P190" s="1052" t="n"/>
      <c r="Q190" s="674" t="n"/>
      <c r="R190" s="1052" t="n"/>
      <c r="S190" s="1052" t="n"/>
      <c r="T190" s="674" t="n"/>
      <c r="U190" s="1052" t="n"/>
      <c r="V190" s="1052" t="n"/>
      <c r="W190" s="674" t="n"/>
      <c r="X190" s="1052" t="n"/>
      <c r="Y190" s="1052" t="n"/>
      <c r="Z190" s="674" t="n"/>
      <c r="AA190" s="1052" t="n"/>
      <c r="AB190" s="1052" t="n"/>
    </row>
    <row r="191">
      <c r="A191" s="1051" t="n"/>
      <c r="B191" s="674" t="n"/>
      <c r="C191" s="1052" t="n"/>
      <c r="D191" s="1052" t="n"/>
      <c r="E191" s="674" t="n"/>
      <c r="F191" s="1052" t="n"/>
      <c r="G191" s="1052" t="n"/>
      <c r="H191" s="674" t="n"/>
      <c r="I191" s="1052" t="n"/>
      <c r="J191" s="1052" t="n"/>
      <c r="K191" s="674" t="n"/>
      <c r="L191" s="1052" t="n"/>
      <c r="M191" s="1052" t="n"/>
      <c r="N191" s="674" t="n"/>
      <c r="O191" s="1052" t="n"/>
      <c r="P191" s="1052" t="n"/>
      <c r="Q191" s="674" t="n"/>
      <c r="R191" s="1052" t="n"/>
      <c r="S191" s="1052" t="n"/>
      <c r="T191" s="674" t="n"/>
      <c r="U191" s="1052" t="n"/>
      <c r="V191" s="1052" t="n"/>
      <c r="W191" s="674" t="n"/>
      <c r="X191" s="1052" t="n"/>
      <c r="Y191" s="1052" t="n"/>
      <c r="Z191" s="674" t="n"/>
      <c r="AA191" s="1052" t="n"/>
      <c r="AB191" s="1052" t="n"/>
    </row>
    <row r="192">
      <c r="A192" s="1051" t="n"/>
      <c r="B192" s="674" t="n"/>
      <c r="C192" s="1052" t="n"/>
      <c r="D192" s="1052" t="n"/>
      <c r="E192" s="674" t="n"/>
      <c r="F192" s="1052" t="n"/>
      <c r="G192" s="1052" t="n"/>
      <c r="H192" s="674" t="n"/>
      <c r="I192" s="1052" t="n"/>
      <c r="J192" s="1052" t="n"/>
      <c r="K192" s="674" t="n"/>
      <c r="L192" s="1052" t="n"/>
      <c r="M192" s="1052" t="n"/>
      <c r="N192" s="674" t="n"/>
      <c r="O192" s="1052" t="n"/>
      <c r="P192" s="1052" t="n"/>
      <c r="Q192" s="674" t="n"/>
      <c r="R192" s="1052" t="n"/>
      <c r="S192" s="1052" t="n"/>
      <c r="T192" s="674" t="n"/>
      <c r="U192" s="1052" t="n"/>
      <c r="V192" s="1052" t="n"/>
      <c r="W192" s="674" t="n"/>
      <c r="X192" s="1052" t="n"/>
      <c r="Y192" s="1052" t="n"/>
      <c r="Z192" s="674" t="n"/>
      <c r="AA192" s="1052" t="n"/>
      <c r="AB192" s="1052" t="n"/>
    </row>
    <row r="193">
      <c r="A193" s="1051" t="n"/>
      <c r="B193" s="674" t="n"/>
      <c r="C193" s="1052" t="n"/>
      <c r="D193" s="1052" t="n"/>
      <c r="E193" s="674" t="n"/>
      <c r="F193" s="1052" t="n"/>
      <c r="G193" s="1052" t="n"/>
      <c r="H193" s="674" t="n"/>
      <c r="I193" s="1052" t="n"/>
      <c r="J193" s="1052" t="n"/>
      <c r="K193" s="674" t="n"/>
      <c r="L193" s="1052" t="n"/>
      <c r="M193" s="1052" t="n"/>
      <c r="N193" s="674" t="n"/>
      <c r="O193" s="1052" t="n"/>
      <c r="P193" s="1052" t="n"/>
      <c r="Q193" s="674" t="n"/>
      <c r="R193" s="1052" t="n"/>
      <c r="S193" s="1052" t="n"/>
      <c r="T193" s="674" t="n"/>
      <c r="U193" s="1052" t="n"/>
      <c r="V193" s="1052" t="n"/>
      <c r="W193" s="674" t="n"/>
      <c r="X193" s="1052" t="n"/>
      <c r="Y193" s="1052" t="n"/>
      <c r="Z193" s="674" t="n"/>
      <c r="AA193" s="1052" t="n"/>
      <c r="AB193" s="1052" t="n"/>
    </row>
    <row r="194">
      <c r="A194" s="1051" t="n"/>
      <c r="B194" s="674" t="n"/>
      <c r="C194" s="1052" t="n"/>
      <c r="D194" s="1052" t="n"/>
      <c r="E194" s="674" t="n"/>
      <c r="F194" s="1052" t="n"/>
      <c r="G194" s="1052" t="n"/>
      <c r="H194" s="674" t="n"/>
      <c r="I194" s="1052" t="n"/>
      <c r="J194" s="1052" t="n"/>
      <c r="K194" s="674" t="n"/>
      <c r="L194" s="1052" t="n"/>
      <c r="M194" s="1052" t="n"/>
      <c r="N194" s="674" t="n"/>
      <c r="O194" s="1052" t="n"/>
      <c r="P194" s="1052" t="n"/>
      <c r="Q194" s="674" t="n"/>
      <c r="R194" s="1052" t="n"/>
      <c r="S194" s="1052" t="n"/>
      <c r="T194" s="674" t="n"/>
      <c r="U194" s="1052" t="n"/>
      <c r="V194" s="1052" t="n"/>
      <c r="W194" s="674" t="n"/>
      <c r="X194" s="1052" t="n"/>
      <c r="Y194" s="1052" t="n"/>
      <c r="Z194" s="674" t="n"/>
      <c r="AA194" s="1052" t="n"/>
      <c r="AB194" s="1052" t="n"/>
    </row>
    <row r="195">
      <c r="A195" s="1051" t="n"/>
      <c r="B195" s="674" t="n"/>
      <c r="C195" s="1052" t="n"/>
      <c r="D195" s="1052" t="n"/>
      <c r="E195" s="674" t="n"/>
      <c r="F195" s="1052" t="n"/>
      <c r="G195" s="1052" t="n"/>
      <c r="H195" s="674" t="n"/>
      <c r="I195" s="1052" t="n"/>
      <c r="J195" s="1052" t="n"/>
      <c r="K195" s="674" t="n"/>
      <c r="L195" s="1052" t="n"/>
      <c r="M195" s="1052" t="n"/>
      <c r="N195" s="674" t="n"/>
      <c r="O195" s="1052" t="n"/>
      <c r="P195" s="1052" t="n"/>
      <c r="Q195" s="674" t="n"/>
      <c r="R195" s="1052" t="n"/>
      <c r="S195" s="1052" t="n"/>
      <c r="T195" s="674" t="n"/>
      <c r="U195" s="1052" t="n"/>
      <c r="V195" s="1052" t="n"/>
      <c r="W195" s="674" t="n"/>
      <c r="X195" s="1052" t="n"/>
      <c r="Y195" s="1052" t="n"/>
      <c r="Z195" s="674" t="n"/>
      <c r="AA195" s="1052" t="n"/>
      <c r="AB195" s="1052" t="n"/>
    </row>
    <row r="196">
      <c r="A196" s="1051" t="n"/>
      <c r="B196" s="674" t="n"/>
      <c r="C196" s="1052" t="n"/>
      <c r="D196" s="1052" t="n"/>
      <c r="E196" s="674" t="n"/>
      <c r="F196" s="1052" t="n"/>
      <c r="G196" s="1052" t="n"/>
      <c r="H196" s="674" t="n"/>
      <c r="I196" s="1052" t="n"/>
      <c r="J196" s="1052" t="n"/>
      <c r="K196" s="674" t="n"/>
      <c r="L196" s="1052" t="n"/>
      <c r="M196" s="1052" t="n"/>
      <c r="N196" s="674" t="n"/>
      <c r="O196" s="1052" t="n"/>
      <c r="P196" s="1052" t="n"/>
      <c r="Q196" s="674" t="n"/>
      <c r="R196" s="1052" t="n"/>
      <c r="S196" s="1052" t="n"/>
      <c r="T196" s="674" t="n"/>
      <c r="U196" s="1052" t="n"/>
      <c r="V196" s="1052" t="n"/>
      <c r="W196" s="674" t="n"/>
      <c r="X196" s="1052" t="n"/>
      <c r="Y196" s="1052" t="n"/>
      <c r="Z196" s="674" t="n"/>
      <c r="AA196" s="1052" t="n"/>
      <c r="AB196" s="1052" t="n"/>
    </row>
    <row r="197">
      <c r="A197" s="1051" t="n"/>
      <c r="B197" s="674" t="n"/>
      <c r="C197" s="1052" t="n"/>
      <c r="D197" s="1052" t="n"/>
      <c r="E197" s="674" t="n"/>
      <c r="F197" s="1052" t="n"/>
      <c r="G197" s="1052" t="n"/>
      <c r="H197" s="674" t="n"/>
      <c r="I197" s="1052" t="n"/>
      <c r="J197" s="1052" t="n"/>
      <c r="K197" s="674" t="n"/>
      <c r="L197" s="1052" t="n"/>
      <c r="M197" s="1052" t="n"/>
      <c r="N197" s="674" t="n"/>
      <c r="O197" s="1052" t="n"/>
      <c r="P197" s="1052" t="n"/>
      <c r="Q197" s="674" t="n"/>
      <c r="R197" s="1052" t="n"/>
      <c r="S197" s="1052" t="n"/>
      <c r="T197" s="674" t="n"/>
      <c r="U197" s="1052" t="n"/>
      <c r="V197" s="1052" t="n"/>
      <c r="W197" s="674" t="n"/>
      <c r="X197" s="1052" t="n"/>
      <c r="Y197" s="1052" t="n"/>
      <c r="Z197" s="674" t="n"/>
      <c r="AA197" s="1052" t="n"/>
      <c r="AB197" s="1052" t="n"/>
    </row>
    <row r="198">
      <c r="A198" s="1051" t="n"/>
      <c r="B198" s="674" t="n"/>
      <c r="C198" s="1052" t="n"/>
      <c r="D198" s="1052" t="n"/>
      <c r="E198" s="674" t="n"/>
      <c r="F198" s="1052" t="n"/>
      <c r="G198" s="1052" t="n"/>
      <c r="H198" s="674" t="n"/>
      <c r="I198" s="1052" t="n"/>
      <c r="J198" s="1052" t="n"/>
      <c r="K198" s="674" t="n"/>
      <c r="L198" s="1052" t="n"/>
      <c r="M198" s="1052" t="n"/>
      <c r="N198" s="674" t="n"/>
      <c r="O198" s="1052" t="n"/>
      <c r="P198" s="1052" t="n"/>
      <c r="Q198" s="674" t="n"/>
      <c r="R198" s="1052" t="n"/>
      <c r="S198" s="1052" t="n"/>
      <c r="T198" s="674" t="n"/>
      <c r="U198" s="1052" t="n"/>
      <c r="V198" s="1052" t="n"/>
      <c r="W198" s="674" t="n"/>
      <c r="X198" s="1052" t="n"/>
      <c r="Y198" s="1052" t="n"/>
      <c r="Z198" s="674" t="n"/>
      <c r="AA198" s="1052" t="n"/>
      <c r="AB198" s="1052" t="n"/>
    </row>
    <row r="199">
      <c r="A199" s="1051" t="n"/>
      <c r="B199" s="674" t="n"/>
      <c r="C199" s="1052" t="n"/>
      <c r="D199" s="1052" t="n"/>
      <c r="E199" s="674" t="n"/>
      <c r="F199" s="1052" t="n"/>
      <c r="G199" s="1052" t="n"/>
      <c r="H199" s="674" t="n"/>
      <c r="I199" s="1052" t="n"/>
      <c r="J199" s="1052" t="n"/>
      <c r="K199" s="674" t="n"/>
      <c r="L199" s="1052" t="n"/>
      <c r="M199" s="1052" t="n"/>
      <c r="N199" s="674" t="n"/>
      <c r="O199" s="1052" t="n"/>
      <c r="P199" s="1052" t="n"/>
      <c r="Q199" s="674" t="n"/>
      <c r="R199" s="1052" t="n"/>
      <c r="S199" s="1052" t="n"/>
      <c r="T199" s="674" t="n"/>
      <c r="U199" s="1052" t="n"/>
      <c r="V199" s="1052" t="n"/>
      <c r="W199" s="674" t="n"/>
      <c r="X199" s="1052" t="n"/>
      <c r="Y199" s="1052" t="n"/>
      <c r="Z199" s="674" t="n"/>
      <c r="AA199" s="1052" t="n"/>
      <c r="AB199" s="1052" t="n"/>
    </row>
    <row r="200">
      <c r="A200" s="1051" t="n"/>
      <c r="B200" s="674" t="n"/>
      <c r="C200" s="1052" t="n"/>
      <c r="D200" s="1052" t="n"/>
      <c r="E200" s="674" t="n"/>
      <c r="F200" s="1052" t="n"/>
      <c r="G200" s="1052" t="n"/>
      <c r="H200" s="674" t="n"/>
      <c r="I200" s="1052" t="n"/>
      <c r="J200" s="1052" t="n"/>
      <c r="K200" s="674" t="n"/>
      <c r="L200" s="1052" t="n"/>
      <c r="M200" s="1052" t="n"/>
      <c r="N200" s="674" t="n"/>
      <c r="O200" s="1052" t="n"/>
      <c r="P200" s="1052" t="n"/>
      <c r="Q200" s="674" t="n"/>
      <c r="R200" s="1052" t="n"/>
      <c r="S200" s="1052" t="n"/>
      <c r="T200" s="674" t="n"/>
      <c r="U200" s="1052" t="n"/>
      <c r="V200" s="1052" t="n"/>
      <c r="W200" s="674" t="n"/>
      <c r="X200" s="1052" t="n"/>
      <c r="Y200" s="1052" t="n"/>
      <c r="Z200" s="674" t="n"/>
      <c r="AA200" s="1052" t="n"/>
      <c r="AB200" s="1052" t="n"/>
    </row>
    <row r="201" ht="13" customFormat="1" customHeight="1" s="26">
      <c r="A201" s="672" t="n"/>
      <c r="B201" s="672" t="n"/>
      <c r="C201" s="672" t="n"/>
      <c r="D201" s="672" t="n"/>
      <c r="E201" s="672" t="n"/>
      <c r="F201" s="672" t="n"/>
      <c r="G201" s="672" t="n"/>
      <c r="H201" s="672" t="n"/>
      <c r="I201" s="672" t="n"/>
      <c r="J201" s="672" t="n"/>
      <c r="K201" s="672" t="n"/>
      <c r="L201" s="672" t="n"/>
      <c r="M201" s="672" t="n"/>
      <c r="N201" s="672" t="n"/>
      <c r="O201" s="672" t="n"/>
      <c r="P201" s="672" t="n"/>
      <c r="Q201" s="672" t="n"/>
      <c r="R201" s="672" t="n"/>
      <c r="S201" s="672" t="n"/>
      <c r="T201" s="672" t="n"/>
      <c r="U201" s="672" t="n"/>
      <c r="V201" s="672" t="n"/>
      <c r="W201" s="672" t="n"/>
      <c r="X201" s="672" t="n"/>
      <c r="Y201" s="672" t="n"/>
      <c r="Z201" s="672" t="n"/>
      <c r="AA201" s="672" t="n"/>
      <c r="AB201" s="672" t="n"/>
    </row>
    <row r="202" ht="13" customFormat="1" customHeight="1" s="26">
      <c r="A202" s="672" t="n"/>
      <c r="B202" s="672" t="n"/>
      <c r="C202" s="672" t="n"/>
      <c r="D202" s="672" t="n"/>
      <c r="E202" s="672" t="n"/>
      <c r="F202" s="672" t="n"/>
      <c r="G202" s="672" t="n"/>
      <c r="H202" s="672" t="n"/>
      <c r="I202" s="672" t="n"/>
      <c r="J202" s="672" t="n"/>
      <c r="K202" s="672" t="n"/>
      <c r="L202" s="672" t="n"/>
      <c r="M202" s="672" t="n"/>
      <c r="N202" s="672" t="n"/>
      <c r="O202" s="672" t="n"/>
      <c r="P202" s="672" t="n"/>
      <c r="Q202" s="672" t="n"/>
      <c r="R202" s="672" t="n"/>
      <c r="S202" s="672" t="n"/>
      <c r="T202" s="672" t="n"/>
      <c r="U202" s="672" t="n"/>
      <c r="V202" s="672" t="n"/>
      <c r="W202" s="672" t="n"/>
      <c r="X202" s="672" t="n"/>
      <c r="Y202" s="672" t="n"/>
      <c r="Z202" s="672" t="n"/>
      <c r="AA202" s="672" t="n"/>
      <c r="AB202" s="672" t="n"/>
    </row>
    <row r="203">
      <c r="A203" s="1051" t="n"/>
      <c r="B203" s="674" t="n"/>
      <c r="C203" s="1052" t="n"/>
      <c r="D203" s="1052" t="n"/>
      <c r="E203" s="674" t="n"/>
      <c r="F203" s="1052" t="n"/>
      <c r="G203" s="1052" t="n"/>
      <c r="H203" s="674" t="n"/>
      <c r="I203" s="1052" t="n"/>
      <c r="J203" s="1052" t="n"/>
      <c r="K203" s="674" t="n"/>
      <c r="L203" s="1052" t="n"/>
      <c r="M203" s="1052" t="n"/>
      <c r="N203" s="674" t="n"/>
      <c r="O203" s="1052" t="n"/>
      <c r="P203" s="1052" t="n"/>
      <c r="Q203" s="674" t="n"/>
      <c r="R203" s="1052" t="n"/>
      <c r="S203" s="1052" t="n"/>
      <c r="T203" s="674" t="n"/>
      <c r="U203" s="1052" t="n"/>
      <c r="V203" s="1052" t="n"/>
      <c r="W203" s="674" t="n"/>
      <c r="X203" s="1052" t="n"/>
      <c r="Y203" s="1052" t="n"/>
      <c r="Z203" s="674" t="n"/>
      <c r="AA203" s="1052" t="n"/>
      <c r="AB203" s="1052" t="n"/>
    </row>
    <row r="204">
      <c r="A204" s="1051" t="n"/>
      <c r="B204" s="674" t="n"/>
      <c r="C204" s="1052" t="n"/>
      <c r="D204" s="1052" t="n"/>
      <c r="E204" s="674" t="n"/>
      <c r="F204" s="1052" t="n"/>
      <c r="G204" s="1052" t="n"/>
      <c r="H204" s="674" t="n"/>
      <c r="I204" s="1052" t="n"/>
      <c r="J204" s="1052" t="n"/>
      <c r="K204" s="674" t="n"/>
      <c r="L204" s="1052" t="n"/>
      <c r="M204" s="1052" t="n"/>
      <c r="N204" s="674" t="n"/>
      <c r="O204" s="1052" t="n"/>
      <c r="P204" s="1052" t="n"/>
      <c r="Q204" s="674" t="n"/>
      <c r="R204" s="1052" t="n"/>
      <c r="S204" s="1052" t="n"/>
      <c r="T204" s="674" t="n"/>
      <c r="U204" s="1052" t="n"/>
      <c r="V204" s="1052" t="n"/>
      <c r="W204" s="674" t="n"/>
      <c r="X204" s="1052" t="n"/>
      <c r="Y204" s="1052" t="n"/>
      <c r="Z204" s="674" t="n"/>
      <c r="AA204" s="1052" t="n"/>
      <c r="AB204" s="1052" t="n"/>
    </row>
    <row r="205">
      <c r="A205" s="1051" t="n"/>
      <c r="B205" s="674" t="n"/>
      <c r="C205" s="1052" t="n"/>
      <c r="D205" s="1052" t="n"/>
      <c r="E205" s="674" t="n"/>
      <c r="F205" s="1052" t="n"/>
      <c r="G205" s="1052" t="n"/>
      <c r="H205" s="674" t="n"/>
      <c r="I205" s="1052" t="n"/>
      <c r="J205" s="1052" t="n"/>
      <c r="K205" s="674" t="n"/>
      <c r="L205" s="1052" t="n"/>
      <c r="M205" s="1052" t="n"/>
      <c r="N205" s="674" t="n"/>
      <c r="O205" s="1052" t="n"/>
      <c r="P205" s="1052" t="n"/>
      <c r="Q205" s="674" t="n"/>
      <c r="R205" s="1052" t="n"/>
      <c r="S205" s="1052" t="n"/>
      <c r="T205" s="674" t="n"/>
      <c r="U205" s="1052" t="n"/>
      <c r="V205" s="1052" t="n"/>
      <c r="W205" s="674" t="n"/>
      <c r="X205" s="1052" t="n"/>
      <c r="Y205" s="1052" t="n"/>
      <c r="Z205" s="674" t="n"/>
      <c r="AA205" s="1052" t="n"/>
      <c r="AB205" s="1052" t="n"/>
    </row>
    <row r="206">
      <c r="A206" s="1051" t="n"/>
      <c r="B206" s="674" t="n"/>
      <c r="C206" s="1052" t="n"/>
      <c r="D206" s="1052" t="n"/>
      <c r="E206" s="674" t="n"/>
      <c r="F206" s="1052" t="n"/>
      <c r="G206" s="1052" t="n"/>
      <c r="H206" s="674" t="n"/>
      <c r="I206" s="1052" t="n"/>
      <c r="J206" s="1052" t="n"/>
      <c r="K206" s="674" t="n"/>
      <c r="L206" s="1052" t="n"/>
      <c r="M206" s="1052" t="n"/>
      <c r="N206" s="674" t="n"/>
      <c r="O206" s="1052" t="n"/>
      <c r="P206" s="1052" t="n"/>
      <c r="Q206" s="674" t="n"/>
      <c r="R206" s="1052" t="n"/>
      <c r="S206" s="1052" t="n"/>
      <c r="T206" s="674" t="n"/>
      <c r="U206" s="1052" t="n"/>
      <c r="V206" s="1052" t="n"/>
      <c r="W206" s="674" t="n"/>
      <c r="X206" s="1052" t="n"/>
      <c r="Y206" s="1052" t="n"/>
      <c r="Z206" s="674" t="n"/>
      <c r="AA206" s="1052" t="n"/>
      <c r="AB206" s="1052" t="n"/>
    </row>
    <row r="207">
      <c r="A207" s="1051" t="n"/>
      <c r="B207" s="674" t="n"/>
      <c r="C207" s="1052" t="n"/>
      <c r="D207" s="1052" t="n"/>
      <c r="E207" s="674" t="n"/>
      <c r="F207" s="1052" t="n"/>
      <c r="G207" s="1052" t="n"/>
      <c r="H207" s="674" t="n"/>
      <c r="I207" s="1052" t="n"/>
      <c r="J207" s="1052" t="n"/>
      <c r="K207" s="674" t="n"/>
      <c r="L207" s="1052" t="n"/>
      <c r="M207" s="1052" t="n"/>
      <c r="N207" s="674" t="n"/>
      <c r="O207" s="1052" t="n"/>
      <c r="P207" s="1052" t="n"/>
      <c r="Q207" s="674" t="n"/>
      <c r="R207" s="1052" t="n"/>
      <c r="S207" s="1052" t="n"/>
      <c r="T207" s="674" t="n"/>
      <c r="U207" s="1052" t="n"/>
      <c r="V207" s="1052" t="n"/>
      <c r="W207" s="674" t="n"/>
      <c r="X207" s="1052" t="n"/>
      <c r="Y207" s="1052" t="n"/>
      <c r="Z207" s="674" t="n"/>
      <c r="AA207" s="1052" t="n"/>
      <c r="AB207" s="1052" t="n"/>
    </row>
    <row r="208">
      <c r="A208" s="1051" t="n"/>
      <c r="B208" s="674" t="n"/>
      <c r="C208" s="1052" t="n"/>
      <c r="D208" s="1052" t="n"/>
      <c r="E208" s="674" t="n"/>
      <c r="F208" s="1052" t="n"/>
      <c r="G208" s="1052" t="n"/>
      <c r="H208" s="674" t="n"/>
      <c r="I208" s="1052" t="n"/>
      <c r="J208" s="1052" t="n"/>
      <c r="K208" s="674" t="n"/>
      <c r="L208" s="1052" t="n"/>
      <c r="M208" s="1052" t="n"/>
      <c r="N208" s="674" t="n"/>
      <c r="O208" s="1052" t="n"/>
      <c r="P208" s="1052" t="n"/>
      <c r="Q208" s="674" t="n"/>
      <c r="R208" s="1052" t="n"/>
      <c r="S208" s="1052" t="n"/>
      <c r="T208" s="674" t="n"/>
      <c r="U208" s="1052" t="n"/>
      <c r="V208" s="1052" t="n"/>
      <c r="W208" s="674" t="n"/>
      <c r="X208" s="1052" t="n"/>
      <c r="Y208" s="1052" t="n"/>
      <c r="Z208" s="674" t="n"/>
      <c r="AA208" s="1052" t="n"/>
      <c r="AB208" s="1052" t="n"/>
    </row>
    <row r="209">
      <c r="A209" s="1051" t="n"/>
      <c r="B209" s="674" t="n"/>
      <c r="C209" s="1052" t="n"/>
      <c r="D209" s="1052" t="n"/>
      <c r="E209" s="674" t="n"/>
      <c r="F209" s="1052" t="n"/>
      <c r="G209" s="1052" t="n"/>
      <c r="H209" s="674" t="n"/>
      <c r="I209" s="1052" t="n"/>
      <c r="J209" s="1052" t="n"/>
      <c r="K209" s="674" t="n"/>
      <c r="L209" s="1052" t="n"/>
      <c r="M209" s="1052" t="n"/>
      <c r="N209" s="674" t="n"/>
      <c r="O209" s="1052" t="n"/>
      <c r="P209" s="1052" t="n"/>
      <c r="Q209" s="674" t="n"/>
      <c r="R209" s="1052" t="n"/>
      <c r="S209" s="1052" t="n"/>
      <c r="T209" s="674" t="n"/>
      <c r="U209" s="1052" t="n"/>
      <c r="V209" s="1052" t="n"/>
      <c r="W209" s="674" t="n"/>
      <c r="X209" s="1052" t="n"/>
      <c r="Y209" s="1052" t="n"/>
      <c r="Z209" s="674" t="n"/>
      <c r="AA209" s="1052" t="n"/>
      <c r="AB209" s="1052" t="n"/>
    </row>
    <row r="210">
      <c r="A210" s="1051" t="n"/>
      <c r="B210" s="674" t="n"/>
      <c r="C210" s="1052" t="n"/>
      <c r="D210" s="1052" t="n"/>
      <c r="E210" s="674" t="n"/>
      <c r="F210" s="1052" t="n"/>
      <c r="G210" s="1052" t="n"/>
      <c r="H210" s="674" t="n"/>
      <c r="I210" s="1052" t="n"/>
      <c r="J210" s="1052" t="n"/>
      <c r="K210" s="674" t="n"/>
      <c r="L210" s="1052" t="n"/>
      <c r="M210" s="1052" t="n"/>
      <c r="N210" s="674" t="n"/>
      <c r="O210" s="1052" t="n"/>
      <c r="P210" s="1052" t="n"/>
      <c r="Q210" s="674" t="n"/>
      <c r="R210" s="1052" t="n"/>
      <c r="S210" s="1052" t="n"/>
      <c r="T210" s="674" t="n"/>
      <c r="U210" s="1052" t="n"/>
      <c r="V210" s="1052" t="n"/>
      <c r="W210" s="674" t="n"/>
      <c r="X210" s="1052" t="n"/>
      <c r="Y210" s="1052" t="n"/>
      <c r="Z210" s="674" t="n"/>
      <c r="AA210" s="1052" t="n"/>
      <c r="AB210" s="1052" t="n"/>
    </row>
    <row r="211">
      <c r="A211" s="1051" t="n"/>
      <c r="B211" s="674" t="n"/>
      <c r="C211" s="1052" t="n"/>
      <c r="D211" s="1052" t="n"/>
      <c r="E211" s="674" t="n"/>
      <c r="F211" s="1052" t="n"/>
      <c r="G211" s="1052" t="n"/>
      <c r="H211" s="674" t="n"/>
      <c r="I211" s="1052" t="n"/>
      <c r="J211" s="1052" t="n"/>
      <c r="K211" s="674" t="n"/>
      <c r="L211" s="1052" t="n"/>
      <c r="M211" s="1052" t="n"/>
      <c r="N211" s="674" t="n"/>
      <c r="O211" s="1052" t="n"/>
      <c r="P211" s="1052" t="n"/>
      <c r="Q211" s="674" t="n"/>
      <c r="R211" s="1052" t="n"/>
      <c r="S211" s="1052" t="n"/>
      <c r="T211" s="674" t="n"/>
      <c r="U211" s="1052" t="n"/>
      <c r="V211" s="1052" t="n"/>
      <c r="W211" s="674" t="n"/>
      <c r="X211" s="1052" t="n"/>
      <c r="Y211" s="1052" t="n"/>
      <c r="Z211" s="674" t="n"/>
      <c r="AA211" s="1052" t="n"/>
      <c r="AB211" s="1052" t="n"/>
    </row>
    <row r="212">
      <c r="A212" s="1051" t="n"/>
      <c r="B212" s="674" t="n"/>
      <c r="C212" s="1052" t="n"/>
      <c r="D212" s="1052" t="n"/>
      <c r="E212" s="674" t="n"/>
      <c r="F212" s="1052" t="n"/>
      <c r="G212" s="1052" t="n"/>
      <c r="H212" s="674" t="n"/>
      <c r="I212" s="1052" t="n"/>
      <c r="J212" s="1052" t="n"/>
      <c r="K212" s="674" t="n"/>
      <c r="L212" s="1052" t="n"/>
      <c r="M212" s="1052" t="n"/>
      <c r="N212" s="674" t="n"/>
      <c r="O212" s="1052" t="n"/>
      <c r="P212" s="1052" t="n"/>
      <c r="Q212" s="674" t="n"/>
      <c r="R212" s="1052" t="n"/>
      <c r="S212" s="1052" t="n"/>
      <c r="T212" s="674" t="n"/>
      <c r="U212" s="1052" t="n"/>
      <c r="V212" s="1052" t="n"/>
      <c r="W212" s="674" t="n"/>
      <c r="X212" s="1052" t="n"/>
      <c r="Y212" s="1052" t="n"/>
      <c r="Z212" s="674" t="n"/>
      <c r="AA212" s="1052" t="n"/>
      <c r="AB212" s="1052" t="n"/>
    </row>
    <row r="213">
      <c r="A213" s="1051" t="n"/>
      <c r="B213" s="674" t="n"/>
      <c r="C213" s="1052" t="n"/>
      <c r="D213" s="1052" t="n"/>
      <c r="E213" s="674" t="n"/>
      <c r="F213" s="1052" t="n"/>
      <c r="G213" s="1052" t="n"/>
      <c r="H213" s="674" t="n"/>
      <c r="I213" s="1052" t="n"/>
      <c r="J213" s="1052" t="n"/>
      <c r="K213" s="674" t="n"/>
      <c r="L213" s="1052" t="n"/>
      <c r="M213" s="1052" t="n"/>
      <c r="N213" s="674" t="n"/>
      <c r="O213" s="1052" t="n"/>
      <c r="P213" s="1052" t="n"/>
      <c r="Q213" s="674" t="n"/>
      <c r="R213" s="1052" t="n"/>
      <c r="S213" s="1052" t="n"/>
      <c r="T213" s="674" t="n"/>
      <c r="U213" s="1052" t="n"/>
      <c r="V213" s="1052" t="n"/>
      <c r="W213" s="674" t="n"/>
      <c r="X213" s="1052" t="n"/>
      <c r="Y213" s="1052" t="n"/>
      <c r="Z213" s="674" t="n"/>
      <c r="AA213" s="1052" t="n"/>
      <c r="AB213" s="1052" t="n"/>
    </row>
    <row r="214">
      <c r="A214" s="1051" t="n"/>
      <c r="B214" s="674" t="n"/>
      <c r="C214" s="1052" t="n"/>
      <c r="D214" s="1052" t="n"/>
      <c r="E214" s="674" t="n"/>
      <c r="F214" s="1052" t="n"/>
      <c r="G214" s="1052" t="n"/>
      <c r="H214" s="674" t="n"/>
      <c r="I214" s="1052" t="n"/>
      <c r="J214" s="1052" t="n"/>
      <c r="K214" s="674" t="n"/>
      <c r="L214" s="1052" t="n"/>
      <c r="M214" s="1052" t="n"/>
      <c r="N214" s="674" t="n"/>
      <c r="O214" s="1052" t="n"/>
      <c r="P214" s="1052" t="n"/>
      <c r="Q214" s="674" t="n"/>
      <c r="R214" s="1052" t="n"/>
      <c r="S214" s="1052" t="n"/>
      <c r="T214" s="674" t="n"/>
      <c r="U214" s="1052" t="n"/>
      <c r="V214" s="1052" t="n"/>
      <c r="W214" s="674" t="n"/>
      <c r="X214" s="1052" t="n"/>
      <c r="Y214" s="1052" t="n"/>
      <c r="Z214" s="674" t="n"/>
      <c r="AA214" s="1052" t="n"/>
      <c r="AB214" s="1052" t="n"/>
    </row>
    <row r="215">
      <c r="A215" s="1051" t="n"/>
      <c r="B215" s="674" t="n"/>
      <c r="C215" s="1052" t="n"/>
      <c r="D215" s="1052" t="n"/>
      <c r="E215" s="674" t="n"/>
      <c r="F215" s="1052" t="n"/>
      <c r="G215" s="1052" t="n"/>
      <c r="H215" s="674" t="n"/>
      <c r="I215" s="1052" t="n"/>
      <c r="J215" s="1052" t="n"/>
      <c r="K215" s="674" t="n"/>
      <c r="L215" s="1052" t="n"/>
      <c r="M215" s="1052" t="n"/>
      <c r="N215" s="674" t="n"/>
      <c r="O215" s="1052" t="n"/>
      <c r="P215" s="1052" t="n"/>
      <c r="Q215" s="674" t="n"/>
      <c r="R215" s="1052" t="n"/>
      <c r="S215" s="1052" t="n"/>
      <c r="T215" s="674" t="n"/>
      <c r="U215" s="1052" t="n"/>
      <c r="V215" s="1052" t="n"/>
      <c r="W215" s="674" t="n"/>
      <c r="X215" s="1052" t="n"/>
      <c r="Y215" s="1052" t="n"/>
      <c r="Z215" s="674" t="n"/>
      <c r="AA215" s="1052" t="n"/>
      <c r="AB215" s="1052" t="n"/>
    </row>
    <row r="216">
      <c r="A216" s="1051" t="n"/>
      <c r="B216" s="674" t="n"/>
      <c r="C216" s="1052" t="n"/>
      <c r="D216" s="1052" t="n"/>
      <c r="E216" s="674" t="n"/>
      <c r="F216" s="1052" t="n"/>
      <c r="G216" s="1052" t="n"/>
      <c r="H216" s="674" t="n"/>
      <c r="I216" s="1052" t="n"/>
      <c r="J216" s="1052" t="n"/>
      <c r="K216" s="674" t="n"/>
      <c r="L216" s="1052" t="n"/>
      <c r="M216" s="1052" t="n"/>
      <c r="N216" s="674" t="n"/>
      <c r="O216" s="1052" t="n"/>
      <c r="P216" s="1052" t="n"/>
      <c r="Q216" s="674" t="n"/>
      <c r="R216" s="1052" t="n"/>
      <c r="S216" s="1052" t="n"/>
      <c r="T216" s="674" t="n"/>
      <c r="U216" s="1052" t="n"/>
      <c r="V216" s="1052" t="n"/>
      <c r="W216" s="674" t="n"/>
      <c r="X216" s="1052" t="n"/>
      <c r="Y216" s="1052" t="n"/>
      <c r="Z216" s="674" t="n"/>
      <c r="AA216" s="1052" t="n"/>
      <c r="AB216" s="1052" t="n"/>
    </row>
    <row r="217">
      <c r="A217" s="1051" t="n"/>
      <c r="B217" s="674" t="n"/>
      <c r="C217" s="1052" t="n"/>
      <c r="D217" s="1052" t="n"/>
      <c r="E217" s="674" t="n"/>
      <c r="F217" s="1052" t="n"/>
      <c r="G217" s="1052" t="n"/>
      <c r="H217" s="674" t="n"/>
      <c r="I217" s="1052" t="n"/>
      <c r="J217" s="1052" t="n"/>
      <c r="K217" s="674" t="n"/>
      <c r="L217" s="1052" t="n"/>
      <c r="M217" s="1052" t="n"/>
      <c r="N217" s="674" t="n"/>
      <c r="O217" s="1052" t="n"/>
      <c r="P217" s="1052" t="n"/>
      <c r="Q217" s="674" t="n"/>
      <c r="R217" s="1052" t="n"/>
      <c r="S217" s="1052" t="n"/>
      <c r="T217" s="674" t="n"/>
      <c r="U217" s="1052" t="n"/>
      <c r="V217" s="1052" t="n"/>
      <c r="W217" s="674" t="n"/>
      <c r="X217" s="1052" t="n"/>
      <c r="Y217" s="1052" t="n"/>
      <c r="Z217" s="674" t="n"/>
      <c r="AA217" s="1052" t="n"/>
      <c r="AB217" s="1052" t="n"/>
    </row>
    <row r="218">
      <c r="A218" s="1051" t="n"/>
      <c r="B218" s="674" t="n"/>
      <c r="C218" s="1052" t="n"/>
      <c r="D218" s="1052" t="n"/>
      <c r="E218" s="674" t="n"/>
      <c r="F218" s="1052" t="n"/>
      <c r="G218" s="1052" t="n"/>
      <c r="H218" s="674" t="n"/>
      <c r="I218" s="1052" t="n"/>
      <c r="J218" s="1052" t="n"/>
      <c r="K218" s="674" t="n"/>
      <c r="L218" s="1052" t="n"/>
      <c r="M218" s="1052" t="n"/>
      <c r="N218" s="674" t="n"/>
      <c r="O218" s="1052" t="n"/>
      <c r="P218" s="1052" t="n"/>
      <c r="Q218" s="674" t="n"/>
      <c r="R218" s="1052" t="n"/>
      <c r="S218" s="1052" t="n"/>
      <c r="T218" s="674" t="n"/>
      <c r="U218" s="1052" t="n"/>
      <c r="V218" s="1052" t="n"/>
      <c r="W218" s="674" t="n"/>
      <c r="X218" s="1052" t="n"/>
      <c r="Y218" s="1052" t="n"/>
      <c r="Z218" s="674" t="n"/>
      <c r="AA218" s="1052" t="n"/>
      <c r="AB218" s="1052" t="n"/>
    </row>
    <row r="219">
      <c r="A219" s="1051" t="n"/>
      <c r="B219" s="674" t="n"/>
      <c r="C219" s="1052" t="n"/>
      <c r="D219" s="1052" t="n"/>
      <c r="E219" s="674" t="n"/>
      <c r="F219" s="1052" t="n"/>
      <c r="G219" s="1052" t="n"/>
      <c r="H219" s="674" t="n"/>
      <c r="I219" s="1052" t="n"/>
      <c r="J219" s="1052" t="n"/>
      <c r="K219" s="674" t="n"/>
      <c r="L219" s="1052" t="n"/>
      <c r="M219" s="1052" t="n"/>
      <c r="N219" s="674" t="n"/>
      <c r="O219" s="1052" t="n"/>
      <c r="P219" s="1052" t="n"/>
      <c r="Q219" s="674" t="n"/>
      <c r="R219" s="1052" t="n"/>
      <c r="S219" s="1052" t="n"/>
      <c r="T219" s="674" t="n"/>
      <c r="U219" s="1052" t="n"/>
      <c r="V219" s="1052" t="n"/>
      <c r="W219" s="674" t="n"/>
      <c r="X219" s="1052" t="n"/>
      <c r="Y219" s="1052" t="n"/>
      <c r="Z219" s="674" t="n"/>
      <c r="AA219" s="1052" t="n"/>
      <c r="AB219" s="1052" t="n"/>
    </row>
    <row r="220">
      <c r="A220" s="1051" t="n"/>
      <c r="B220" s="674" t="n"/>
      <c r="C220" s="1052" t="n"/>
      <c r="D220" s="1052" t="n"/>
      <c r="E220" s="674" t="n"/>
      <c r="F220" s="1052" t="n"/>
      <c r="G220" s="1052" t="n"/>
      <c r="H220" s="674" t="n"/>
      <c r="I220" s="1052" t="n"/>
      <c r="J220" s="1052" t="n"/>
      <c r="K220" s="674" t="n"/>
      <c r="L220" s="1052" t="n"/>
      <c r="M220" s="1052" t="n"/>
      <c r="N220" s="674" t="n"/>
      <c r="O220" s="1052" t="n"/>
      <c r="P220" s="1052" t="n"/>
      <c r="Q220" s="674" t="n"/>
      <c r="R220" s="1052" t="n"/>
      <c r="S220" s="1052" t="n"/>
      <c r="T220" s="674" t="n"/>
      <c r="U220" s="1052" t="n"/>
      <c r="V220" s="1052" t="n"/>
      <c r="W220" s="674" t="n"/>
      <c r="X220" s="1052" t="n"/>
      <c r="Y220" s="1052" t="n"/>
      <c r="Z220" s="674" t="n"/>
      <c r="AA220" s="1052" t="n"/>
      <c r="AB220" s="1052" t="n"/>
    </row>
    <row r="221">
      <c r="A221" s="1051" t="n"/>
      <c r="B221" s="674" t="n"/>
      <c r="C221" s="1052" t="n"/>
      <c r="D221" s="1052" t="n"/>
      <c r="E221" s="674" t="n"/>
      <c r="F221" s="1052" t="n"/>
      <c r="G221" s="1052" t="n"/>
      <c r="H221" s="674" t="n"/>
      <c r="I221" s="1052" t="n"/>
      <c r="J221" s="1052" t="n"/>
      <c r="K221" s="674" t="n"/>
      <c r="L221" s="1052" t="n"/>
      <c r="M221" s="1052" t="n"/>
      <c r="N221" s="674" t="n"/>
      <c r="O221" s="1052" t="n"/>
      <c r="P221" s="1052" t="n"/>
      <c r="Q221" s="674" t="n"/>
      <c r="R221" s="1052" t="n"/>
      <c r="S221" s="1052" t="n"/>
      <c r="T221" s="674" t="n"/>
      <c r="U221" s="1052" t="n"/>
      <c r="V221" s="1052" t="n"/>
      <c r="W221" s="674" t="n"/>
      <c r="X221" s="1052" t="n"/>
      <c r="Y221" s="1052" t="n"/>
      <c r="Z221" s="674" t="n"/>
      <c r="AA221" s="1052" t="n"/>
      <c r="AB221" s="1052" t="n"/>
    </row>
    <row r="222">
      <c r="A222" s="1051" t="n"/>
      <c r="B222" s="674" t="n"/>
      <c r="C222" s="1052" t="n"/>
      <c r="D222" s="1052" t="n"/>
      <c r="E222" s="674" t="n"/>
      <c r="F222" s="1052" t="n"/>
      <c r="G222" s="1052" t="n"/>
      <c r="H222" s="674" t="n"/>
      <c r="I222" s="1052" t="n"/>
      <c r="J222" s="1052" t="n"/>
      <c r="K222" s="674" t="n"/>
      <c r="L222" s="1052" t="n"/>
      <c r="M222" s="1052" t="n"/>
      <c r="N222" s="674" t="n"/>
      <c r="O222" s="1052" t="n"/>
      <c r="P222" s="1052" t="n"/>
      <c r="Q222" s="674" t="n"/>
      <c r="R222" s="1052" t="n"/>
      <c r="S222" s="1052" t="n"/>
      <c r="T222" s="674" t="n"/>
      <c r="U222" s="1052" t="n"/>
      <c r="V222" s="1052" t="n"/>
      <c r="W222" s="674" t="n"/>
      <c r="X222" s="1052" t="n"/>
      <c r="Y222" s="1052" t="n"/>
      <c r="Z222" s="674" t="n"/>
      <c r="AA222" s="1052" t="n"/>
      <c r="AB222" s="1052" t="n"/>
    </row>
    <row r="223">
      <c r="A223" s="1051" t="n"/>
      <c r="B223" s="674" t="n"/>
      <c r="C223" s="1052" t="n"/>
      <c r="D223" s="1052" t="n"/>
      <c r="E223" s="674" t="n"/>
      <c r="F223" s="1052" t="n"/>
      <c r="G223" s="1052" t="n"/>
      <c r="H223" s="674" t="n"/>
      <c r="I223" s="1052" t="n"/>
      <c r="J223" s="1052" t="n"/>
      <c r="K223" s="674" t="n"/>
      <c r="L223" s="1052" t="n"/>
      <c r="M223" s="1052" t="n"/>
      <c r="N223" s="674" t="n"/>
      <c r="O223" s="1052" t="n"/>
      <c r="P223" s="1052" t="n"/>
      <c r="Q223" s="674" t="n"/>
      <c r="R223" s="1052" t="n"/>
      <c r="S223" s="1052" t="n"/>
      <c r="T223" s="674" t="n"/>
      <c r="U223" s="1052" t="n"/>
      <c r="V223" s="1052" t="n"/>
      <c r="W223" s="674" t="n"/>
      <c r="X223" s="1052" t="n"/>
      <c r="Y223" s="1052" t="n"/>
      <c r="Z223" s="674" t="n"/>
      <c r="AA223" s="1052" t="n"/>
      <c r="AB223" s="1052" t="n"/>
    </row>
    <row r="224">
      <c r="A224" s="1051" t="n"/>
      <c r="B224" s="674" t="n"/>
      <c r="C224" s="1052" t="n"/>
      <c r="D224" s="1052" t="n"/>
      <c r="E224" s="674" t="n"/>
      <c r="F224" s="1052" t="n"/>
      <c r="G224" s="1052" t="n"/>
      <c r="H224" s="674" t="n"/>
      <c r="I224" s="1052" t="n"/>
      <c r="J224" s="1052" t="n"/>
      <c r="K224" s="674" t="n"/>
      <c r="L224" s="1052" t="n"/>
      <c r="M224" s="1052" t="n"/>
      <c r="N224" s="674" t="n"/>
      <c r="O224" s="1052" t="n"/>
      <c r="P224" s="1052" t="n"/>
      <c r="Q224" s="674" t="n"/>
      <c r="R224" s="1052" t="n"/>
      <c r="S224" s="1052" t="n"/>
      <c r="T224" s="674" t="n"/>
      <c r="U224" s="1052" t="n"/>
      <c r="V224" s="1052" t="n"/>
      <c r="W224" s="674" t="n"/>
      <c r="X224" s="1052" t="n"/>
      <c r="Y224" s="1052" t="n"/>
      <c r="Z224" s="674" t="n"/>
      <c r="AA224" s="1052" t="n"/>
      <c r="AB224" s="1052" t="n"/>
    </row>
    <row r="225">
      <c r="A225" s="1051" t="n"/>
      <c r="B225" s="674" t="n"/>
      <c r="C225" s="1052" t="n"/>
      <c r="D225" s="1052" t="n"/>
      <c r="E225" s="674" t="n"/>
      <c r="F225" s="1052" t="n"/>
      <c r="G225" s="1052" t="n"/>
      <c r="H225" s="674" t="n"/>
      <c r="I225" s="1052" t="n"/>
      <c r="J225" s="1052" t="n"/>
      <c r="K225" s="674" t="n"/>
      <c r="L225" s="1052" t="n"/>
      <c r="M225" s="1052" t="n"/>
      <c r="N225" s="674" t="n"/>
      <c r="O225" s="1052" t="n"/>
      <c r="P225" s="1052" t="n"/>
      <c r="Q225" s="674" t="n"/>
      <c r="R225" s="1052" t="n"/>
      <c r="S225" s="1052" t="n"/>
      <c r="T225" s="674" t="n"/>
      <c r="U225" s="1052" t="n"/>
      <c r="V225" s="1052" t="n"/>
      <c r="W225" s="674" t="n"/>
      <c r="X225" s="1052" t="n"/>
      <c r="Y225" s="1052" t="n"/>
      <c r="Z225" s="674" t="n"/>
      <c r="AA225" s="1052" t="n"/>
      <c r="AB225" s="1052" t="n"/>
    </row>
    <row r="226">
      <c r="A226" s="1051" t="n"/>
      <c r="B226" s="674" t="n"/>
      <c r="C226" s="1052" t="n"/>
      <c r="D226" s="1052" t="n"/>
      <c r="E226" s="674" t="n"/>
      <c r="F226" s="1052" t="n"/>
      <c r="G226" s="1052" t="n"/>
      <c r="H226" s="674" t="n"/>
      <c r="I226" s="1052" t="n"/>
      <c r="J226" s="1052" t="n"/>
      <c r="K226" s="674" t="n"/>
      <c r="L226" s="1052" t="n"/>
      <c r="M226" s="1052" t="n"/>
      <c r="N226" s="674" t="n"/>
      <c r="O226" s="1052" t="n"/>
      <c r="P226" s="1052" t="n"/>
      <c r="Q226" s="674" t="n"/>
      <c r="R226" s="1052" t="n"/>
      <c r="S226" s="1052" t="n"/>
      <c r="T226" s="674" t="n"/>
      <c r="U226" s="1052" t="n"/>
      <c r="V226" s="1052" t="n"/>
      <c r="W226" s="674" t="n"/>
      <c r="X226" s="1052" t="n"/>
      <c r="Y226" s="1052" t="n"/>
      <c r="Z226" s="674" t="n"/>
      <c r="AA226" s="1052" t="n"/>
      <c r="AB226" s="1052" t="n"/>
    </row>
    <row r="227">
      <c r="A227" s="1051" t="n"/>
      <c r="B227" s="674" t="n"/>
      <c r="C227" s="1052" t="n"/>
      <c r="D227" s="1052" t="n"/>
      <c r="E227" s="674" t="n"/>
      <c r="F227" s="1052" t="n"/>
      <c r="G227" s="1052" t="n"/>
      <c r="H227" s="674" t="n"/>
      <c r="I227" s="1052" t="n"/>
      <c r="J227" s="1052" t="n"/>
      <c r="K227" s="674" t="n"/>
      <c r="L227" s="1052" t="n"/>
      <c r="M227" s="1052" t="n"/>
      <c r="N227" s="674" t="n"/>
      <c r="O227" s="1052" t="n"/>
      <c r="P227" s="1052" t="n"/>
      <c r="Q227" s="674" t="n"/>
      <c r="R227" s="1052" t="n"/>
      <c r="S227" s="1052" t="n"/>
      <c r="T227" s="674" t="n"/>
      <c r="U227" s="1052" t="n"/>
      <c r="V227" s="1052" t="n"/>
      <c r="W227" s="674" t="n"/>
      <c r="X227" s="1052" t="n"/>
      <c r="Y227" s="1052" t="n"/>
      <c r="Z227" s="674" t="n"/>
      <c r="AA227" s="1052" t="n"/>
      <c r="AB227" s="1052" t="n"/>
    </row>
    <row r="228">
      <c r="A228" s="1051" t="n"/>
      <c r="B228" s="674" t="n"/>
      <c r="C228" s="1052" t="n"/>
      <c r="D228" s="1052" t="n"/>
      <c r="E228" s="674" t="n"/>
      <c r="F228" s="1052" t="n"/>
      <c r="G228" s="1052" t="n"/>
      <c r="H228" s="674" t="n"/>
      <c r="I228" s="1052" t="n"/>
      <c r="J228" s="1052" t="n"/>
      <c r="K228" s="674" t="n"/>
      <c r="L228" s="1052" t="n"/>
      <c r="M228" s="1052" t="n"/>
      <c r="N228" s="674" t="n"/>
      <c r="O228" s="1052" t="n"/>
      <c r="P228" s="1052" t="n"/>
      <c r="Q228" s="674" t="n"/>
      <c r="R228" s="1052" t="n"/>
      <c r="S228" s="1052" t="n"/>
      <c r="T228" s="674" t="n"/>
      <c r="U228" s="1052" t="n"/>
      <c r="V228" s="1052" t="n"/>
      <c r="W228" s="674" t="n"/>
      <c r="X228" s="1052" t="n"/>
      <c r="Y228" s="1052" t="n"/>
      <c r="Z228" s="674" t="n"/>
      <c r="AA228" s="1052" t="n"/>
      <c r="AB228" s="1052" t="n"/>
    </row>
    <row r="229">
      <c r="A229" s="1051" t="n"/>
      <c r="B229" s="674" t="n"/>
      <c r="C229" s="1052" t="n"/>
      <c r="D229" s="1052" t="n"/>
      <c r="E229" s="674" t="n"/>
      <c r="F229" s="1052" t="n"/>
      <c r="G229" s="1052" t="n"/>
      <c r="H229" s="674" t="n"/>
      <c r="I229" s="1052" t="n"/>
      <c r="J229" s="1052" t="n"/>
      <c r="K229" s="674" t="n"/>
      <c r="L229" s="1052" t="n"/>
      <c r="M229" s="1052" t="n"/>
      <c r="N229" s="674" t="n"/>
      <c r="O229" s="1052" t="n"/>
      <c r="P229" s="1052" t="n"/>
      <c r="Q229" s="674" t="n"/>
      <c r="R229" s="1052" t="n"/>
      <c r="S229" s="1052" t="n"/>
      <c r="T229" s="674" t="n"/>
      <c r="U229" s="1052" t="n"/>
      <c r="V229" s="1052" t="n"/>
      <c r="W229" s="674" t="n"/>
      <c r="X229" s="1052" t="n"/>
      <c r="Y229" s="1052" t="n"/>
      <c r="Z229" s="674" t="n"/>
      <c r="AA229" s="1052" t="n"/>
      <c r="AB229" s="1052" t="n"/>
    </row>
    <row r="230">
      <c r="A230" s="1051" t="n"/>
      <c r="B230" s="674" t="n"/>
      <c r="C230" s="1052" t="n"/>
      <c r="D230" s="1052" t="n"/>
      <c r="E230" s="674" t="n"/>
      <c r="F230" s="1052" t="n"/>
      <c r="G230" s="1052" t="n"/>
      <c r="H230" s="674" t="n"/>
      <c r="I230" s="1052" t="n"/>
      <c r="J230" s="1052" t="n"/>
      <c r="K230" s="674" t="n"/>
      <c r="L230" s="1052" t="n"/>
      <c r="M230" s="1052" t="n"/>
      <c r="N230" s="674" t="n"/>
      <c r="O230" s="1052" t="n"/>
      <c r="P230" s="1052" t="n"/>
      <c r="Q230" s="674" t="n"/>
      <c r="R230" s="1052" t="n"/>
      <c r="S230" s="1052" t="n"/>
      <c r="T230" s="674" t="n"/>
      <c r="U230" s="1052" t="n"/>
      <c r="V230" s="1052" t="n"/>
      <c r="W230" s="674" t="n"/>
      <c r="X230" s="1052" t="n"/>
      <c r="Y230" s="1052" t="n"/>
      <c r="Z230" s="674" t="n"/>
      <c r="AA230" s="1052" t="n"/>
      <c r="AB230" s="1052" t="n"/>
    </row>
    <row r="231">
      <c r="A231" s="1051" t="n"/>
      <c r="B231" s="674" t="n"/>
      <c r="C231" s="1052" t="n"/>
      <c r="D231" s="1052" t="n"/>
      <c r="E231" s="674" t="n"/>
      <c r="F231" s="1052" t="n"/>
      <c r="G231" s="1052" t="n"/>
      <c r="H231" s="674" t="n"/>
      <c r="I231" s="1052" t="n"/>
      <c r="J231" s="1052" t="n"/>
      <c r="K231" s="674" t="n"/>
      <c r="L231" s="1052" t="n"/>
      <c r="M231" s="1052" t="n"/>
      <c r="N231" s="674" t="n"/>
      <c r="O231" s="1052" t="n"/>
      <c r="P231" s="1052" t="n"/>
      <c r="Q231" s="674" t="n"/>
      <c r="R231" s="1052" t="n"/>
      <c r="S231" s="1052" t="n"/>
      <c r="T231" s="674" t="n"/>
      <c r="U231" s="1052" t="n"/>
      <c r="V231" s="1052" t="n"/>
      <c r="W231" s="674" t="n"/>
      <c r="X231" s="1052" t="n"/>
      <c r="Y231" s="1052" t="n"/>
      <c r="Z231" s="674" t="n"/>
      <c r="AA231" s="1052" t="n"/>
      <c r="AB231" s="1052" t="n"/>
    </row>
    <row r="232">
      <c r="A232" s="1051" t="n"/>
      <c r="B232" s="674" t="n"/>
      <c r="C232" s="1052" t="n"/>
      <c r="D232" s="1052" t="n"/>
      <c r="E232" s="674" t="n"/>
      <c r="F232" s="1052" t="n"/>
      <c r="G232" s="1052" t="n"/>
      <c r="H232" s="674" t="n"/>
      <c r="I232" s="1052" t="n"/>
      <c r="J232" s="1052" t="n"/>
      <c r="K232" s="674" t="n"/>
      <c r="L232" s="1052" t="n"/>
      <c r="M232" s="1052" t="n"/>
      <c r="N232" s="674" t="n"/>
      <c r="O232" s="1052" t="n"/>
      <c r="P232" s="1052" t="n"/>
      <c r="Q232" s="674" t="n"/>
      <c r="R232" s="1052" t="n"/>
      <c r="S232" s="1052" t="n"/>
      <c r="T232" s="674" t="n"/>
      <c r="U232" s="1052" t="n"/>
      <c r="V232" s="1052" t="n"/>
      <c r="W232" s="674" t="n"/>
      <c r="X232" s="1052" t="n"/>
      <c r="Y232" s="1052" t="n"/>
      <c r="Z232" s="674" t="n"/>
      <c r="AA232" s="1052" t="n"/>
      <c r="AB232" s="1052" t="n"/>
    </row>
    <row r="233">
      <c r="A233" s="1051" t="n"/>
      <c r="B233" s="674" t="n"/>
      <c r="C233" s="1052" t="n"/>
      <c r="D233" s="1052" t="n"/>
      <c r="E233" s="674" t="n"/>
      <c r="F233" s="1052" t="n"/>
      <c r="G233" s="1052" t="n"/>
      <c r="H233" s="674" t="n"/>
      <c r="I233" s="1052" t="n"/>
      <c r="J233" s="1052" t="n"/>
      <c r="K233" s="674" t="n"/>
      <c r="L233" s="1052" t="n"/>
      <c r="M233" s="1052" t="n"/>
      <c r="N233" s="674" t="n"/>
      <c r="O233" s="1052" t="n"/>
      <c r="P233" s="1052" t="n"/>
      <c r="Q233" s="674" t="n"/>
      <c r="R233" s="1052" t="n"/>
      <c r="S233" s="1052" t="n"/>
      <c r="T233" s="674" t="n"/>
      <c r="U233" s="1052" t="n"/>
      <c r="V233" s="1052" t="n"/>
      <c r="W233" s="674" t="n"/>
      <c r="X233" s="1052" t="n"/>
      <c r="Y233" s="1052" t="n"/>
      <c r="Z233" s="674" t="n"/>
      <c r="AA233" s="1052" t="n"/>
      <c r="AB233" s="1052" t="n"/>
    </row>
    <row r="234">
      <c r="A234" s="1051" t="n"/>
      <c r="B234" s="674" t="n"/>
      <c r="C234" s="1052" t="n"/>
      <c r="D234" s="1052" t="n"/>
      <c r="E234" s="674" t="n"/>
      <c r="F234" s="1052" t="n"/>
      <c r="G234" s="1052" t="n"/>
      <c r="H234" s="674" t="n"/>
      <c r="I234" s="1052" t="n"/>
      <c r="J234" s="1052" t="n"/>
      <c r="K234" s="674" t="n"/>
      <c r="L234" s="1052" t="n"/>
      <c r="M234" s="1052" t="n"/>
      <c r="N234" s="674" t="n"/>
      <c r="O234" s="1052" t="n"/>
      <c r="P234" s="1052" t="n"/>
      <c r="Q234" s="674" t="n"/>
      <c r="R234" s="1052" t="n"/>
      <c r="S234" s="1052" t="n"/>
      <c r="T234" s="674" t="n"/>
      <c r="U234" s="1052" t="n"/>
      <c r="V234" s="1052" t="n"/>
      <c r="W234" s="674" t="n"/>
      <c r="X234" s="1052" t="n"/>
      <c r="Y234" s="1052" t="n"/>
      <c r="Z234" s="674" t="n"/>
      <c r="AA234" s="1052" t="n"/>
      <c r="AB234" s="1052" t="n"/>
    </row>
    <row r="235">
      <c r="A235" s="1051" t="n"/>
      <c r="B235" s="674" t="n"/>
      <c r="C235" s="1052" t="n"/>
      <c r="D235" s="1052" t="n"/>
      <c r="E235" s="674" t="n"/>
      <c r="F235" s="1052" t="n"/>
      <c r="G235" s="1052" t="n"/>
      <c r="H235" s="674" t="n"/>
      <c r="I235" s="1052" t="n"/>
      <c r="J235" s="1052" t="n"/>
      <c r="K235" s="674" t="n"/>
      <c r="L235" s="1052" t="n"/>
      <c r="M235" s="1052" t="n"/>
      <c r="N235" s="674" t="n"/>
      <c r="O235" s="1052" t="n"/>
      <c r="P235" s="1052" t="n"/>
      <c r="Q235" s="674" t="n"/>
      <c r="R235" s="1052" t="n"/>
      <c r="S235" s="1052" t="n"/>
      <c r="T235" s="674" t="n"/>
      <c r="U235" s="1052" t="n"/>
      <c r="V235" s="1052" t="n"/>
      <c r="W235" s="674" t="n"/>
      <c r="X235" s="1052" t="n"/>
      <c r="Y235" s="1052" t="n"/>
      <c r="Z235" s="674" t="n"/>
      <c r="AA235" s="1052" t="n"/>
      <c r="AB235" s="1052" t="n"/>
    </row>
    <row r="236">
      <c r="A236" s="1051" t="n"/>
      <c r="B236" s="674" t="n"/>
      <c r="C236" s="1052" t="n"/>
      <c r="D236" s="1052" t="n"/>
      <c r="E236" s="674" t="n"/>
      <c r="F236" s="1052" t="n"/>
      <c r="G236" s="1052" t="n"/>
      <c r="H236" s="674" t="n"/>
      <c r="I236" s="1052" t="n"/>
      <c r="J236" s="1052" t="n"/>
      <c r="K236" s="674" t="n"/>
      <c r="L236" s="1052" t="n"/>
      <c r="M236" s="1052" t="n"/>
      <c r="N236" s="674" t="n"/>
      <c r="O236" s="1052" t="n"/>
      <c r="P236" s="1052" t="n"/>
      <c r="Q236" s="674" t="n"/>
      <c r="R236" s="1052" t="n"/>
      <c r="S236" s="1052" t="n"/>
      <c r="T236" s="674" t="n"/>
      <c r="U236" s="1052" t="n"/>
      <c r="V236" s="1052" t="n"/>
      <c r="W236" s="674" t="n"/>
      <c r="X236" s="1052" t="n"/>
      <c r="Y236" s="1052" t="n"/>
      <c r="Z236" s="674" t="n"/>
      <c r="AA236" s="1052" t="n"/>
      <c r="AB236" s="1052" t="n"/>
    </row>
    <row r="237">
      <c r="A237" s="1051" t="n"/>
      <c r="B237" s="674" t="n"/>
      <c r="C237" s="1052" t="n"/>
      <c r="D237" s="1052" t="n"/>
      <c r="E237" s="674" t="n"/>
      <c r="F237" s="1052" t="n"/>
      <c r="G237" s="1052" t="n"/>
      <c r="H237" s="674" t="n"/>
      <c r="I237" s="1052" t="n"/>
      <c r="J237" s="1052" t="n"/>
      <c r="K237" s="674" t="n"/>
      <c r="L237" s="1052" t="n"/>
      <c r="M237" s="1052" t="n"/>
      <c r="N237" s="674" t="n"/>
      <c r="O237" s="1052" t="n"/>
      <c r="P237" s="1052" t="n"/>
      <c r="Q237" s="674" t="n"/>
      <c r="R237" s="1052" t="n"/>
      <c r="S237" s="1052" t="n"/>
      <c r="T237" s="674" t="n"/>
      <c r="U237" s="1052" t="n"/>
      <c r="V237" s="1052" t="n"/>
      <c r="W237" s="674" t="n"/>
      <c r="X237" s="1052" t="n"/>
      <c r="Y237" s="1052" t="n"/>
      <c r="Z237" s="674" t="n"/>
      <c r="AA237" s="1052" t="n"/>
      <c r="AB237" s="1052" t="n"/>
    </row>
    <row r="238">
      <c r="A238" s="1051" t="n"/>
      <c r="B238" s="674" t="n"/>
      <c r="C238" s="1052" t="n"/>
      <c r="D238" s="1052" t="n"/>
      <c r="E238" s="674" t="n"/>
      <c r="F238" s="1052" t="n"/>
      <c r="G238" s="1052" t="n"/>
      <c r="H238" s="674" t="n"/>
      <c r="I238" s="1052" t="n"/>
      <c r="J238" s="1052" t="n"/>
      <c r="K238" s="674" t="n"/>
      <c r="L238" s="1052" t="n"/>
      <c r="M238" s="1052" t="n"/>
      <c r="N238" s="674" t="n"/>
      <c r="O238" s="1052" t="n"/>
      <c r="P238" s="1052" t="n"/>
      <c r="Q238" s="674" t="n"/>
      <c r="R238" s="1052" t="n"/>
      <c r="S238" s="1052" t="n"/>
      <c r="T238" s="674" t="n"/>
      <c r="U238" s="1052" t="n"/>
      <c r="V238" s="1052" t="n"/>
      <c r="W238" s="674" t="n"/>
      <c r="X238" s="1052" t="n"/>
      <c r="Y238" s="1052" t="n"/>
      <c r="Z238" s="674" t="n"/>
      <c r="AA238" s="1052" t="n"/>
      <c r="AB238" s="1052" t="n"/>
    </row>
    <row r="239">
      <c r="A239" s="1051" t="n"/>
      <c r="B239" s="674" t="n"/>
      <c r="C239" s="1052" t="n"/>
      <c r="D239" s="1052" t="n"/>
      <c r="E239" s="674" t="n"/>
      <c r="F239" s="1052" t="n"/>
      <c r="G239" s="1052" t="n"/>
      <c r="H239" s="674" t="n"/>
      <c r="I239" s="1052" t="n"/>
      <c r="J239" s="1052" t="n"/>
      <c r="K239" s="674" t="n"/>
      <c r="L239" s="1052" t="n"/>
      <c r="M239" s="1052" t="n"/>
      <c r="N239" s="674" t="n"/>
      <c r="O239" s="1052" t="n"/>
      <c r="P239" s="1052" t="n"/>
      <c r="Q239" s="674" t="n"/>
      <c r="R239" s="1052" t="n"/>
      <c r="S239" s="1052" t="n"/>
      <c r="T239" s="674" t="n"/>
      <c r="U239" s="1052" t="n"/>
      <c r="V239" s="1052" t="n"/>
      <c r="W239" s="674" t="n"/>
      <c r="X239" s="1052" t="n"/>
      <c r="Y239" s="1052" t="n"/>
      <c r="Z239" s="674" t="n"/>
      <c r="AA239" s="1052" t="n"/>
      <c r="AB239" s="1052" t="n"/>
    </row>
    <row r="240">
      <c r="A240" s="1051" t="n"/>
      <c r="B240" s="674" t="n"/>
      <c r="C240" s="1052" t="n"/>
      <c r="D240" s="1052" t="n"/>
      <c r="E240" s="674" t="n"/>
      <c r="F240" s="1052" t="n"/>
      <c r="G240" s="1052" t="n"/>
      <c r="H240" s="674" t="n"/>
      <c r="I240" s="1052" t="n"/>
      <c r="J240" s="1052" t="n"/>
      <c r="K240" s="674" t="n"/>
      <c r="L240" s="1052" t="n"/>
      <c r="M240" s="1052" t="n"/>
      <c r="N240" s="674" t="n"/>
      <c r="O240" s="1052" t="n"/>
      <c r="P240" s="1052" t="n"/>
      <c r="Q240" s="674" t="n"/>
      <c r="R240" s="1052" t="n"/>
      <c r="S240" s="1052" t="n"/>
      <c r="T240" s="674" t="n"/>
      <c r="U240" s="1052" t="n"/>
      <c r="V240" s="1052" t="n"/>
      <c r="W240" s="674" t="n"/>
      <c r="X240" s="1052" t="n"/>
      <c r="Y240" s="1052" t="n"/>
      <c r="Z240" s="674" t="n"/>
      <c r="AA240" s="1052" t="n"/>
      <c r="AB240" s="1052" t="n"/>
    </row>
    <row r="241">
      <c r="A241" s="1051" t="n"/>
      <c r="B241" s="674" t="n"/>
      <c r="C241" s="1052" t="n"/>
      <c r="D241" s="1052" t="n"/>
      <c r="E241" s="674" t="n"/>
      <c r="F241" s="1052" t="n"/>
      <c r="G241" s="1052" t="n"/>
      <c r="H241" s="674" t="n"/>
      <c r="I241" s="1052" t="n"/>
      <c r="J241" s="1052" t="n"/>
      <c r="K241" s="674" t="n"/>
      <c r="L241" s="1052" t="n"/>
      <c r="M241" s="1052" t="n"/>
      <c r="N241" s="674" t="n"/>
      <c r="O241" s="1052" t="n"/>
      <c r="P241" s="1052" t="n"/>
      <c r="Q241" s="674" t="n"/>
      <c r="R241" s="1052" t="n"/>
      <c r="S241" s="1052" t="n"/>
      <c r="T241" s="674" t="n"/>
      <c r="U241" s="1052" t="n"/>
      <c r="V241" s="1052" t="n"/>
      <c r="W241" s="674" t="n"/>
      <c r="X241" s="1052" t="n"/>
      <c r="Y241" s="1052" t="n"/>
      <c r="Z241" s="674" t="n"/>
      <c r="AA241" s="1052" t="n"/>
      <c r="AB241" s="1052" t="n"/>
    </row>
    <row r="242">
      <c r="A242" s="1051" t="n"/>
      <c r="B242" s="674" t="n"/>
      <c r="C242" s="1052" t="n"/>
      <c r="D242" s="1052" t="n"/>
      <c r="E242" s="674" t="n"/>
      <c r="F242" s="1052" t="n"/>
      <c r="G242" s="1052" t="n"/>
      <c r="H242" s="674" t="n"/>
      <c r="I242" s="1052" t="n"/>
      <c r="J242" s="1052" t="n"/>
      <c r="K242" s="674" t="n"/>
      <c r="L242" s="1052" t="n"/>
      <c r="M242" s="1052" t="n"/>
      <c r="N242" s="674" t="n"/>
      <c r="O242" s="1052" t="n"/>
      <c r="P242" s="1052" t="n"/>
      <c r="Q242" s="674" t="n"/>
      <c r="R242" s="1052" t="n"/>
      <c r="S242" s="1052" t="n"/>
      <c r="T242" s="674" t="n"/>
      <c r="U242" s="1052" t="n"/>
      <c r="V242" s="1052" t="n"/>
      <c r="W242" s="674" t="n"/>
      <c r="X242" s="1052" t="n"/>
      <c r="Y242" s="1052" t="n"/>
      <c r="Z242" s="674" t="n"/>
      <c r="AA242" s="1052" t="n"/>
      <c r="AB242" s="1052" t="n"/>
    </row>
    <row r="243">
      <c r="A243" s="1051" t="n"/>
      <c r="B243" s="674" t="n"/>
      <c r="C243" s="1052" t="n"/>
      <c r="D243" s="1052" t="n"/>
      <c r="E243" s="674" t="n"/>
      <c r="F243" s="1052" t="n"/>
      <c r="G243" s="1052" t="n"/>
      <c r="H243" s="674" t="n"/>
      <c r="I243" s="1052" t="n"/>
      <c r="J243" s="1052" t="n"/>
      <c r="K243" s="674" t="n"/>
      <c r="L243" s="1052" t="n"/>
      <c r="M243" s="1052" t="n"/>
      <c r="N243" s="674" t="n"/>
      <c r="O243" s="1052" t="n"/>
      <c r="P243" s="1052" t="n"/>
      <c r="Q243" s="674" t="n"/>
      <c r="R243" s="1052" t="n"/>
      <c r="S243" s="1052" t="n"/>
      <c r="T243" s="674" t="n"/>
      <c r="U243" s="1052" t="n"/>
      <c r="V243" s="1052" t="n"/>
      <c r="W243" s="674" t="n"/>
      <c r="X243" s="1052" t="n"/>
      <c r="Y243" s="1052" t="n"/>
      <c r="Z243" s="674" t="n"/>
      <c r="AA243" s="1052" t="n"/>
      <c r="AB243" s="1052" t="n"/>
    </row>
    <row r="244">
      <c r="A244" s="1051" t="n"/>
      <c r="B244" s="674" t="n"/>
      <c r="C244" s="1052" t="n"/>
      <c r="D244" s="1052" t="n"/>
      <c r="E244" s="674" t="n"/>
      <c r="F244" s="1052" t="n"/>
      <c r="G244" s="1052" t="n"/>
      <c r="H244" s="674" t="n"/>
      <c r="I244" s="1052" t="n"/>
      <c r="J244" s="1052" t="n"/>
      <c r="K244" s="674" t="n"/>
      <c r="L244" s="1052" t="n"/>
      <c r="M244" s="1052" t="n"/>
      <c r="N244" s="674" t="n"/>
      <c r="O244" s="1052" t="n"/>
      <c r="P244" s="1052" t="n"/>
      <c r="Q244" s="674" t="n"/>
      <c r="R244" s="1052" t="n"/>
      <c r="S244" s="1052" t="n"/>
      <c r="T244" s="674" t="n"/>
      <c r="U244" s="1052" t="n"/>
      <c r="V244" s="1052" t="n"/>
      <c r="W244" s="674" t="n"/>
      <c r="X244" s="1052" t="n"/>
      <c r="Y244" s="1052" t="n"/>
      <c r="Z244" s="674" t="n"/>
      <c r="AA244" s="1052" t="n"/>
      <c r="AB244" s="1052" t="n"/>
    </row>
    <row r="245">
      <c r="A245" s="1051" t="n"/>
      <c r="B245" s="674" t="n"/>
      <c r="C245" s="1052" t="n"/>
      <c r="D245" s="1052" t="n"/>
      <c r="E245" s="674" t="n"/>
      <c r="F245" s="1052" t="n"/>
      <c r="G245" s="1052" t="n"/>
      <c r="H245" s="674" t="n"/>
      <c r="I245" s="1052" t="n"/>
      <c r="J245" s="1052" t="n"/>
      <c r="K245" s="674" t="n"/>
      <c r="L245" s="1052" t="n"/>
      <c r="M245" s="1052" t="n"/>
      <c r="N245" s="674" t="n"/>
      <c r="O245" s="1052" t="n"/>
      <c r="P245" s="1052" t="n"/>
      <c r="Q245" s="674" t="n"/>
      <c r="R245" s="1052" t="n"/>
      <c r="S245" s="1052" t="n"/>
      <c r="T245" s="674" t="n"/>
      <c r="U245" s="1052" t="n"/>
      <c r="V245" s="1052" t="n"/>
      <c r="W245" s="674" t="n"/>
      <c r="X245" s="1052" t="n"/>
      <c r="Y245" s="1052" t="n"/>
      <c r="Z245" s="674" t="n"/>
      <c r="AA245" s="1052" t="n"/>
      <c r="AB245" s="1052" t="n"/>
    </row>
    <row r="246">
      <c r="A246" s="1051" t="n"/>
      <c r="B246" s="674" t="n"/>
      <c r="C246" s="1052" t="n"/>
      <c r="D246" s="1052" t="n"/>
      <c r="E246" s="674" t="n"/>
      <c r="F246" s="1052" t="n"/>
      <c r="G246" s="1052" t="n"/>
      <c r="H246" s="674" t="n"/>
      <c r="I246" s="1052" t="n"/>
      <c r="J246" s="1052" t="n"/>
      <c r="K246" s="674" t="n"/>
      <c r="L246" s="1052" t="n"/>
      <c r="M246" s="1052" t="n"/>
      <c r="N246" s="674" t="n"/>
      <c r="O246" s="1052" t="n"/>
      <c r="P246" s="1052" t="n"/>
      <c r="Q246" s="674" t="n"/>
      <c r="R246" s="1052" t="n"/>
      <c r="S246" s="1052" t="n"/>
      <c r="T246" s="674" t="n"/>
      <c r="U246" s="1052" t="n"/>
      <c r="V246" s="1052" t="n"/>
      <c r="W246" s="674" t="n"/>
      <c r="X246" s="1052" t="n"/>
      <c r="Y246" s="1052" t="n"/>
      <c r="Z246" s="674" t="n"/>
      <c r="AA246" s="1052" t="n"/>
      <c r="AB246" s="1052" t="n"/>
    </row>
    <row r="247" customFormat="1" s="220">
      <c r="A247" s="1051" t="n"/>
      <c r="B247" s="674" t="n"/>
      <c r="C247" s="1052" t="n"/>
      <c r="D247" s="1052" t="n"/>
      <c r="E247" s="674" t="n"/>
      <c r="F247" s="1052" t="n"/>
      <c r="G247" s="1052" t="n"/>
      <c r="H247" s="674" t="n"/>
      <c r="I247" s="1052" t="n"/>
      <c r="J247" s="1052" t="n"/>
      <c r="K247" s="674" t="n"/>
      <c r="L247" s="1052" t="n"/>
      <c r="M247" s="1052" t="n"/>
      <c r="N247" s="674" t="n"/>
      <c r="O247" s="1052" t="n"/>
      <c r="P247" s="1052" t="n"/>
      <c r="Q247" s="674" t="n"/>
      <c r="R247" s="1052" t="n"/>
      <c r="S247" s="1052" t="n"/>
      <c r="T247" s="674" t="n"/>
      <c r="U247" s="1052" t="n"/>
      <c r="V247" s="1052" t="n"/>
      <c r="W247" s="674" t="n"/>
      <c r="X247" s="1052" t="n"/>
      <c r="Y247" s="1052" t="n"/>
      <c r="Z247" s="674" t="n"/>
      <c r="AA247" s="1052" t="n"/>
      <c r="AB247" s="1052" t="n"/>
    </row>
    <row r="248" customFormat="1" s="220">
      <c r="A248" s="1051" t="n"/>
      <c r="B248" s="674" t="n"/>
      <c r="C248" s="1052" t="n"/>
      <c r="D248" s="1052" t="n"/>
      <c r="E248" s="674" t="n"/>
      <c r="F248" s="1052" t="n"/>
      <c r="G248" s="1052" t="n"/>
      <c r="H248" s="674" t="n"/>
      <c r="I248" s="1052" t="n"/>
      <c r="J248" s="1052" t="n"/>
      <c r="K248" s="674" t="n"/>
      <c r="L248" s="1052" t="n"/>
      <c r="M248" s="1052" t="n"/>
      <c r="N248" s="674" t="n"/>
      <c r="O248" s="1052" t="n"/>
      <c r="P248" s="1052" t="n"/>
      <c r="Q248" s="674" t="n"/>
      <c r="R248" s="1052" t="n"/>
      <c r="S248" s="1052" t="n"/>
      <c r="T248" s="674" t="n"/>
      <c r="U248" s="1052" t="n"/>
      <c r="V248" s="1052" t="n"/>
      <c r="W248" s="674" t="n"/>
      <c r="X248" s="1052" t="n"/>
      <c r="Y248" s="1052" t="n"/>
      <c r="Z248" s="674" t="n"/>
      <c r="AA248" s="1052" t="n"/>
      <c r="AB248" s="1052" t="n"/>
    </row>
    <row r="249" customFormat="1" s="220">
      <c r="A249" s="1051" t="n"/>
      <c r="B249" s="674" t="n"/>
      <c r="C249" s="1052" t="n"/>
      <c r="D249" s="1052" t="n"/>
      <c r="E249" s="674" t="n"/>
      <c r="F249" s="1052" t="n"/>
      <c r="G249" s="1052" t="n"/>
      <c r="H249" s="674" t="n"/>
      <c r="I249" s="1052" t="n"/>
      <c r="J249" s="1052" t="n"/>
      <c r="K249" s="674" t="n"/>
      <c r="L249" s="1052" t="n"/>
      <c r="M249" s="1052" t="n"/>
      <c r="N249" s="674" t="n"/>
      <c r="O249" s="1052" t="n"/>
      <c r="P249" s="1052" t="n"/>
      <c r="Q249" s="674" t="n"/>
      <c r="R249" s="1052" t="n"/>
      <c r="S249" s="1052" t="n"/>
      <c r="T249" s="674" t="n"/>
      <c r="U249" s="1052" t="n"/>
      <c r="V249" s="1052" t="n"/>
      <c r="W249" s="674" t="n"/>
      <c r="X249" s="1052" t="n"/>
      <c r="Y249" s="1052" t="n"/>
      <c r="Z249" s="674" t="n"/>
      <c r="AA249" s="1052" t="n"/>
      <c r="AB249" s="1052" t="n"/>
    </row>
    <row r="250" customFormat="1" s="220">
      <c r="A250" s="1051" t="n"/>
      <c r="B250" s="674" t="n"/>
      <c r="C250" s="1052" t="n"/>
      <c r="D250" s="1052" t="n"/>
      <c r="E250" s="674" t="n"/>
      <c r="F250" s="1052" t="n"/>
      <c r="G250" s="1052" t="n"/>
      <c r="H250" s="674" t="n"/>
      <c r="I250" s="1052" t="n"/>
      <c r="J250" s="1052" t="n"/>
      <c r="K250" s="674" t="n"/>
      <c r="L250" s="1052" t="n"/>
      <c r="M250" s="1052" t="n"/>
      <c r="N250" s="674" t="n"/>
      <c r="O250" s="1052" t="n"/>
      <c r="P250" s="1052" t="n"/>
      <c r="Q250" s="674" t="n"/>
      <c r="R250" s="1052" t="n"/>
      <c r="S250" s="1052" t="n"/>
      <c r="T250" s="674" t="n"/>
      <c r="U250" s="1052" t="n"/>
      <c r="V250" s="1052" t="n"/>
      <c r="W250" s="674" t="n"/>
      <c r="X250" s="1052" t="n"/>
      <c r="Y250" s="1052" t="n"/>
      <c r="Z250" s="674" t="n"/>
      <c r="AA250" s="1052" t="n"/>
      <c r="AB250" s="1052" t="n"/>
    </row>
    <row r="251" customFormat="1" s="220">
      <c r="A251" s="1051" t="n"/>
      <c r="B251" s="674" t="n"/>
      <c r="C251" s="1052" t="n"/>
      <c r="D251" s="1052" t="n"/>
      <c r="E251" s="674" t="n"/>
      <c r="F251" s="1052" t="n"/>
      <c r="G251" s="1052" t="n"/>
      <c r="H251" s="674" t="n"/>
      <c r="I251" s="1052" t="n"/>
      <c r="J251" s="1052" t="n"/>
      <c r="K251" s="674" t="n"/>
      <c r="L251" s="1052" t="n"/>
      <c r="M251" s="1052" t="n"/>
      <c r="N251" s="674" t="n"/>
      <c r="O251" s="1052" t="n"/>
      <c r="P251" s="1052" t="n"/>
      <c r="Q251" s="674" t="n"/>
      <c r="R251" s="1052" t="n"/>
      <c r="S251" s="1052" t="n"/>
      <c r="T251" s="674" t="n"/>
      <c r="U251" s="1052" t="n"/>
      <c r="V251" s="1052" t="n"/>
      <c r="W251" s="674" t="n"/>
      <c r="X251" s="1052" t="n"/>
      <c r="Y251" s="1052" t="n"/>
      <c r="Z251" s="674" t="n"/>
      <c r="AA251" s="1052" t="n"/>
      <c r="AB251" s="1052" t="n"/>
    </row>
    <row r="252" customFormat="1" s="220">
      <c r="A252" s="1051" t="n"/>
      <c r="B252" s="674" t="n"/>
      <c r="C252" s="1052" t="n"/>
      <c r="D252" s="1052" t="n"/>
      <c r="E252" s="674" t="n"/>
      <c r="F252" s="1052" t="n"/>
      <c r="G252" s="1052" t="n"/>
      <c r="H252" s="674" t="n"/>
      <c r="I252" s="1052" t="n"/>
      <c r="J252" s="1052" t="n"/>
      <c r="K252" s="674" t="n"/>
      <c r="L252" s="1052" t="n"/>
      <c r="M252" s="1052" t="n"/>
      <c r="N252" s="674" t="n"/>
      <c r="O252" s="1052" t="n"/>
      <c r="P252" s="1052" t="n"/>
      <c r="Q252" s="674" t="n"/>
      <c r="R252" s="1052" t="n"/>
      <c r="S252" s="1052" t="n"/>
      <c r="T252" s="674" t="n"/>
      <c r="U252" s="1052" t="n"/>
      <c r="V252" s="1052" t="n"/>
      <c r="W252" s="674" t="n"/>
      <c r="X252" s="1052" t="n"/>
      <c r="Y252" s="1052" t="n"/>
      <c r="Z252" s="674" t="n"/>
      <c r="AA252" s="1052" t="n"/>
      <c r="AB252" s="1052" t="n"/>
    </row>
    <row r="253" customFormat="1" s="220">
      <c r="A253" s="1051" t="n"/>
      <c r="B253" s="674" t="n"/>
      <c r="C253" s="1052" t="n"/>
      <c r="D253" s="1052" t="n"/>
      <c r="E253" s="674" t="n"/>
      <c r="F253" s="1052" t="n"/>
      <c r="G253" s="1052" t="n"/>
      <c r="H253" s="674" t="n"/>
      <c r="I253" s="1052" t="n"/>
      <c r="J253" s="1052" t="n"/>
      <c r="K253" s="674" t="n"/>
      <c r="L253" s="1052" t="n"/>
      <c r="M253" s="1052" t="n"/>
      <c r="N253" s="674" t="n"/>
      <c r="O253" s="1052" t="n"/>
      <c r="P253" s="1052" t="n"/>
      <c r="Q253" s="674" t="n"/>
      <c r="R253" s="1052" t="n"/>
      <c r="S253" s="1052" t="n"/>
      <c r="T253" s="674" t="n"/>
      <c r="U253" s="1052" t="n"/>
      <c r="V253" s="1052" t="n"/>
      <c r="W253" s="674" t="n"/>
      <c r="X253" s="1052" t="n"/>
      <c r="Y253" s="1052" t="n"/>
      <c r="Z253" s="674" t="n"/>
      <c r="AA253" s="1052" t="n"/>
      <c r="AB253" s="1052" t="n"/>
    </row>
    <row r="254" customFormat="1" s="220">
      <c r="A254" s="1051" t="n"/>
      <c r="B254" s="674" t="n"/>
      <c r="C254" s="1052" t="n"/>
      <c r="D254" s="1052" t="n"/>
      <c r="E254" s="674" t="n"/>
      <c r="F254" s="1052" t="n"/>
      <c r="G254" s="1052" t="n"/>
      <c r="H254" s="674" t="n"/>
      <c r="I254" s="1052" t="n"/>
      <c r="J254" s="1052" t="n"/>
      <c r="K254" s="674" t="n"/>
      <c r="L254" s="1052" t="n"/>
      <c r="M254" s="1052" t="n"/>
      <c r="N254" s="674" t="n"/>
      <c r="O254" s="1052" t="n"/>
      <c r="P254" s="1052" t="n"/>
      <c r="Q254" s="674" t="n"/>
      <c r="R254" s="1052" t="n"/>
      <c r="S254" s="1052" t="n"/>
      <c r="T254" s="674" t="n"/>
      <c r="U254" s="1052" t="n"/>
      <c r="V254" s="1052" t="n"/>
      <c r="W254" s="674" t="n"/>
      <c r="X254" s="1052" t="n"/>
      <c r="Y254" s="1052" t="n"/>
      <c r="Z254" s="674" t="n"/>
      <c r="AA254" s="1052" t="n"/>
      <c r="AB254" s="1052" t="n"/>
    </row>
    <row r="255" customFormat="1" s="220">
      <c r="A255" s="1051" t="n"/>
      <c r="B255" s="674" t="n"/>
      <c r="C255" s="1052" t="n"/>
      <c r="D255" s="1052" t="n"/>
      <c r="E255" s="674" t="n"/>
      <c r="F255" s="1052" t="n"/>
      <c r="G255" s="1052" t="n"/>
      <c r="H255" s="674" t="n"/>
      <c r="I255" s="1052" t="n"/>
      <c r="J255" s="1052" t="n"/>
      <c r="K255" s="674" t="n"/>
      <c r="L255" s="1052" t="n"/>
      <c r="M255" s="1052" t="n"/>
      <c r="N255" s="674" t="n"/>
      <c r="O255" s="1052" t="n"/>
      <c r="P255" s="1052" t="n"/>
      <c r="Q255" s="674" t="n"/>
      <c r="R255" s="1052" t="n"/>
      <c r="S255" s="1052" t="n"/>
      <c r="T255" s="674" t="n"/>
      <c r="U255" s="1052" t="n"/>
      <c r="V255" s="1052" t="n"/>
      <c r="W255" s="674" t="n"/>
      <c r="X255" s="1052" t="n"/>
      <c r="Y255" s="1052" t="n"/>
      <c r="Z255" s="674" t="n"/>
      <c r="AA255" s="1052" t="n"/>
      <c r="AB255" s="1052" t="n"/>
    </row>
    <row r="256" customFormat="1" s="220">
      <c r="A256" s="1051" t="n"/>
      <c r="B256" s="674" t="n"/>
      <c r="C256" s="1052" t="n"/>
      <c r="D256" s="1052" t="n"/>
      <c r="E256" s="674" t="n"/>
      <c r="F256" s="1052" t="n"/>
      <c r="G256" s="1052" t="n"/>
      <c r="H256" s="674" t="n"/>
      <c r="I256" s="1052" t="n"/>
      <c r="J256" s="1052" t="n"/>
      <c r="K256" s="674" t="n"/>
      <c r="L256" s="1052" t="n"/>
      <c r="M256" s="1052" t="n"/>
      <c r="N256" s="674" t="n"/>
      <c r="O256" s="1052" t="n"/>
      <c r="P256" s="1052" t="n"/>
      <c r="Q256" s="674" t="n"/>
      <c r="R256" s="1052" t="n"/>
      <c r="S256" s="1052" t="n"/>
      <c r="T256" s="674" t="n"/>
      <c r="U256" s="1052" t="n"/>
      <c r="V256" s="1052" t="n"/>
      <c r="W256" s="674" t="n"/>
      <c r="X256" s="1052" t="n"/>
      <c r="Y256" s="1052" t="n"/>
      <c r="Z256" s="674" t="n"/>
      <c r="AA256" s="1052" t="n"/>
      <c r="AB256" s="1052" t="n"/>
    </row>
    <row r="257" customFormat="1" s="220">
      <c r="A257" s="1051" t="n"/>
      <c r="B257" s="674" t="n"/>
      <c r="C257" s="1052" t="n"/>
      <c r="D257" s="1052" t="n"/>
      <c r="E257" s="674" t="n"/>
      <c r="F257" s="1052" t="n"/>
      <c r="G257" s="1052" t="n"/>
      <c r="H257" s="674" t="n"/>
      <c r="I257" s="1052" t="n"/>
      <c r="J257" s="1052" t="n"/>
      <c r="K257" s="674" t="n"/>
      <c r="L257" s="1052" t="n"/>
      <c r="M257" s="1052" t="n"/>
      <c r="N257" s="674" t="n"/>
      <c r="O257" s="1052" t="n"/>
      <c r="P257" s="1052" t="n"/>
      <c r="Q257" s="674" t="n"/>
      <c r="R257" s="1052" t="n"/>
      <c r="S257" s="1052" t="n"/>
      <c r="T257" s="674" t="n"/>
      <c r="U257" s="1052" t="n"/>
      <c r="V257" s="1052" t="n"/>
      <c r="W257" s="674" t="n"/>
      <c r="X257" s="1052" t="n"/>
      <c r="Y257" s="1052" t="n"/>
      <c r="Z257" s="674" t="n"/>
      <c r="AA257" s="1052" t="n"/>
      <c r="AB257" s="1052" t="n"/>
    </row>
    <row r="258" customFormat="1" s="220">
      <c r="A258" s="1051" t="n"/>
      <c r="B258" s="674" t="n"/>
      <c r="C258" s="1052" t="n"/>
      <c r="D258" s="1052" t="n"/>
      <c r="E258" s="674" t="n"/>
      <c r="F258" s="1052" t="n"/>
      <c r="G258" s="1052" t="n"/>
      <c r="H258" s="674" t="n"/>
      <c r="I258" s="1052" t="n"/>
      <c r="J258" s="1052" t="n"/>
      <c r="K258" s="674" t="n"/>
      <c r="L258" s="1052" t="n"/>
      <c r="M258" s="1052" t="n"/>
      <c r="N258" s="674" t="n"/>
      <c r="O258" s="1052" t="n"/>
      <c r="P258" s="1052" t="n"/>
      <c r="Q258" s="674" t="n"/>
      <c r="R258" s="1052" t="n"/>
      <c r="S258" s="1052" t="n"/>
      <c r="T258" s="674" t="n"/>
      <c r="U258" s="1052" t="n"/>
      <c r="V258" s="1052" t="n"/>
      <c r="W258" s="674" t="n"/>
      <c r="X258" s="1052" t="n"/>
      <c r="Y258" s="1052" t="n"/>
      <c r="Z258" s="674" t="n"/>
      <c r="AA258" s="1052" t="n"/>
      <c r="AB258" s="1052" t="n"/>
    </row>
    <row r="259" customFormat="1" s="220">
      <c r="A259" s="1051" t="n"/>
      <c r="B259" s="674" t="n"/>
      <c r="C259" s="1052" t="n"/>
      <c r="D259" s="1052" t="n"/>
      <c r="E259" s="674" t="n"/>
      <c r="F259" s="1052" t="n"/>
      <c r="G259" s="1052" t="n"/>
      <c r="H259" s="674" t="n"/>
      <c r="I259" s="1052" t="n"/>
      <c r="J259" s="1052" t="n"/>
      <c r="K259" s="674" t="n"/>
      <c r="L259" s="1052" t="n"/>
      <c r="M259" s="1052" t="n"/>
      <c r="N259" s="674" t="n"/>
      <c r="O259" s="1052" t="n"/>
      <c r="P259" s="1052" t="n"/>
      <c r="Q259" s="674" t="n"/>
      <c r="R259" s="1052" t="n"/>
      <c r="S259" s="1052" t="n"/>
      <c r="T259" s="674" t="n"/>
      <c r="U259" s="1052" t="n"/>
      <c r="V259" s="1052" t="n"/>
      <c r="W259" s="674" t="n"/>
      <c r="X259" s="1052" t="n"/>
      <c r="Y259" s="1052" t="n"/>
      <c r="Z259" s="674" t="n"/>
      <c r="AA259" s="1052" t="n"/>
      <c r="AB259" s="1052" t="n"/>
    </row>
    <row r="260" customFormat="1" s="220">
      <c r="A260" s="1051" t="n"/>
      <c r="B260" s="674" t="n"/>
      <c r="C260" s="1052" t="n"/>
      <c r="D260" s="1052" t="n"/>
      <c r="E260" s="674" t="n"/>
      <c r="F260" s="1052" t="n"/>
      <c r="G260" s="1052" t="n"/>
      <c r="H260" s="674" t="n"/>
      <c r="I260" s="1052" t="n"/>
      <c r="J260" s="1052" t="n"/>
      <c r="K260" s="674" t="n"/>
      <c r="L260" s="1052" t="n"/>
      <c r="M260" s="1052" t="n"/>
      <c r="N260" s="674" t="n"/>
      <c r="O260" s="1052" t="n"/>
      <c r="P260" s="1052" t="n"/>
      <c r="Q260" s="674" t="n"/>
      <c r="R260" s="1052" t="n"/>
      <c r="S260" s="1052" t="n"/>
      <c r="T260" s="674" t="n"/>
      <c r="U260" s="1052" t="n"/>
      <c r="V260" s="1052" t="n"/>
      <c r="W260" s="674" t="n"/>
      <c r="X260" s="1052" t="n"/>
      <c r="Y260" s="1052" t="n"/>
      <c r="Z260" s="674" t="n"/>
      <c r="AA260" s="1052" t="n"/>
      <c r="AB260" s="1052" t="n"/>
    </row>
    <row r="261" customFormat="1" s="220">
      <c r="A261" s="1051" t="n"/>
      <c r="B261" s="674" t="n"/>
      <c r="C261" s="1052" t="n"/>
      <c r="D261" s="1052" t="n"/>
      <c r="E261" s="674" t="n"/>
      <c r="F261" s="1052" t="n"/>
      <c r="G261" s="1052" t="n"/>
      <c r="H261" s="674" t="n"/>
      <c r="I261" s="1052" t="n"/>
      <c r="J261" s="1052" t="n"/>
      <c r="K261" s="674" t="n"/>
      <c r="L261" s="1052" t="n"/>
      <c r="M261" s="1052" t="n"/>
      <c r="N261" s="674" t="n"/>
      <c r="O261" s="1052" t="n"/>
      <c r="P261" s="1052" t="n"/>
      <c r="Q261" s="674" t="n"/>
      <c r="R261" s="1052" t="n"/>
      <c r="S261" s="1052" t="n"/>
      <c r="T261" s="674" t="n"/>
      <c r="U261" s="1052" t="n"/>
      <c r="V261" s="1052" t="n"/>
      <c r="W261" s="674" t="n"/>
      <c r="X261" s="1052" t="n"/>
      <c r="Y261" s="1052" t="n"/>
      <c r="Z261" s="674" t="n"/>
      <c r="AA261" s="1052" t="n"/>
      <c r="AB261" s="1052" t="n"/>
    </row>
    <row r="262" customFormat="1" s="220">
      <c r="A262" s="1051" t="n"/>
      <c r="B262" s="674" t="n"/>
      <c r="C262" s="1052" t="n"/>
      <c r="D262" s="1052" t="n"/>
      <c r="E262" s="674" t="n"/>
      <c r="F262" s="1052" t="n"/>
      <c r="G262" s="1052" t="n"/>
      <c r="H262" s="674" t="n"/>
      <c r="I262" s="1052" t="n"/>
      <c r="J262" s="1052" t="n"/>
      <c r="K262" s="674" t="n"/>
      <c r="L262" s="1052" t="n"/>
      <c r="M262" s="1052" t="n"/>
      <c r="N262" s="674" t="n"/>
      <c r="O262" s="1052" t="n"/>
      <c r="P262" s="1052" t="n"/>
      <c r="Q262" s="674" t="n"/>
      <c r="R262" s="1052" t="n"/>
      <c r="S262" s="1052" t="n"/>
      <c r="T262" s="674" t="n"/>
      <c r="U262" s="1052" t="n"/>
      <c r="V262" s="1052" t="n"/>
      <c r="W262" s="674" t="n"/>
      <c r="X262" s="1052" t="n"/>
      <c r="Y262" s="1052" t="n"/>
      <c r="Z262" s="674" t="n"/>
      <c r="AA262" s="1052" t="n"/>
      <c r="AB262" s="1052" t="n"/>
    </row>
    <row r="263" customFormat="1" s="220">
      <c r="A263" s="1051" t="n"/>
      <c r="B263" s="674" t="n"/>
      <c r="C263" s="1052" t="n"/>
      <c r="D263" s="1052" t="n"/>
      <c r="E263" s="674" t="n"/>
      <c r="F263" s="1052" t="n"/>
      <c r="G263" s="1052" t="n"/>
      <c r="H263" s="674" t="n"/>
      <c r="I263" s="1052" t="n"/>
      <c r="J263" s="1052" t="n"/>
      <c r="K263" s="674" t="n"/>
      <c r="L263" s="1052" t="n"/>
      <c r="M263" s="1052" t="n"/>
      <c r="N263" s="674" t="n"/>
      <c r="O263" s="1052" t="n"/>
      <c r="P263" s="1052" t="n"/>
      <c r="Q263" s="674" t="n"/>
      <c r="R263" s="1052" t="n"/>
      <c r="S263" s="1052" t="n"/>
      <c r="T263" s="674" t="n"/>
      <c r="U263" s="1052" t="n"/>
      <c r="V263" s="1052" t="n"/>
      <c r="W263" s="674" t="n"/>
      <c r="X263" s="1052" t="n"/>
      <c r="Y263" s="1052" t="n"/>
      <c r="Z263" s="674" t="n"/>
      <c r="AA263" s="1052" t="n"/>
      <c r="AB263" s="1052" t="n"/>
    </row>
    <row r="264" customFormat="1" s="221">
      <c r="A264" s="697" t="n"/>
      <c r="B264" s="697" t="n"/>
      <c r="C264" s="697" t="n"/>
      <c r="D264" s="697" t="n"/>
      <c r="E264" s="697" t="n"/>
      <c r="F264" s="697" t="n"/>
      <c r="G264" s="697" t="n"/>
      <c r="H264" s="697" t="n"/>
      <c r="I264" s="697" t="n"/>
      <c r="J264" s="697" t="n"/>
      <c r="K264" s="697" t="n"/>
      <c r="L264" s="697" t="n"/>
      <c r="M264" s="697" t="n"/>
      <c r="N264" s="697" t="n"/>
      <c r="O264" s="697" t="n"/>
      <c r="P264" s="697" t="n"/>
      <c r="Q264" s="697" t="n"/>
      <c r="R264" s="697" t="n"/>
      <c r="S264" s="697" t="n"/>
      <c r="T264" s="697" t="n"/>
      <c r="U264" s="697" t="n"/>
      <c r="V264" s="697" t="n"/>
      <c r="W264" s="697" t="n"/>
      <c r="X264" s="697" t="n"/>
      <c r="Y264" s="697" t="n"/>
      <c r="Z264" s="697" t="n"/>
      <c r="AA264" s="697" t="n"/>
      <c r="AB264" s="697" t="n"/>
    </row>
    <row r="265" ht="13" customFormat="1" customHeight="1" s="222">
      <c r="A265" s="695" t="n"/>
      <c r="B265" s="695" t="n"/>
      <c r="C265" s="695" t="n"/>
      <c r="D265" s="695" t="n"/>
      <c r="E265" s="695" t="n"/>
      <c r="F265" s="695" t="n"/>
      <c r="G265" s="695" t="n"/>
      <c r="H265" s="695" t="n"/>
      <c r="I265" s="695" t="n"/>
      <c r="J265" s="695" t="n"/>
      <c r="K265" s="695" t="n"/>
      <c r="L265" s="695" t="n"/>
      <c r="M265" s="695" t="n"/>
      <c r="N265" s="695" t="n"/>
      <c r="O265" s="695" t="n"/>
      <c r="P265" s="695" t="n"/>
      <c r="Q265" s="695" t="n"/>
      <c r="R265" s="695" t="n"/>
      <c r="S265" s="695" t="n"/>
      <c r="T265" s="695" t="n"/>
      <c r="U265" s="695" t="n"/>
      <c r="V265" s="695" t="n"/>
      <c r="W265" s="695" t="n"/>
      <c r="X265" s="695" t="n"/>
      <c r="Y265" s="695" t="n"/>
      <c r="Z265" s="695" t="n"/>
      <c r="AA265" s="695" t="n"/>
      <c r="AB265" s="695" t="n"/>
    </row>
    <row r="266" customFormat="1" s="220">
      <c r="A266" s="1051" t="n"/>
      <c r="B266" s="674" t="n"/>
      <c r="C266" s="1052" t="n"/>
      <c r="D266" s="1052" t="n"/>
      <c r="E266" s="674" t="n"/>
      <c r="F266" s="1052" t="n"/>
      <c r="G266" s="1052" t="n"/>
      <c r="H266" s="674" t="n"/>
      <c r="I266" s="1052" t="n"/>
      <c r="J266" s="1052" t="n"/>
      <c r="K266" s="674" t="n"/>
      <c r="L266" s="1052" t="n"/>
      <c r="M266" s="1052" t="n"/>
      <c r="N266" s="674" t="n"/>
      <c r="O266" s="1052" t="n"/>
      <c r="P266" s="1052" t="n"/>
      <c r="Q266" s="674" t="n"/>
      <c r="R266" s="1052" t="n"/>
      <c r="S266" s="1052" t="n"/>
      <c r="T266" s="674" t="n"/>
      <c r="U266" s="1052" t="n"/>
      <c r="V266" s="1052" t="n"/>
      <c r="W266" s="674" t="n"/>
      <c r="X266" s="1052" t="n"/>
      <c r="Y266" s="1052" t="n"/>
      <c r="Z266" s="674" t="n"/>
      <c r="AA266" s="1052" t="n"/>
      <c r="AB266" s="1052" t="n"/>
    </row>
    <row r="267" customFormat="1" s="220">
      <c r="A267" s="1051" t="n"/>
      <c r="B267" s="674" t="n"/>
      <c r="C267" s="1052" t="n"/>
      <c r="D267" s="1052" t="n"/>
      <c r="E267" s="674" t="n"/>
      <c r="F267" s="1052" t="n"/>
      <c r="G267" s="1052" t="n"/>
      <c r="H267" s="674" t="n"/>
      <c r="I267" s="1052" t="n"/>
      <c r="J267" s="1052" t="n"/>
      <c r="K267" s="674" t="n"/>
      <c r="L267" s="1052" t="n"/>
      <c r="M267" s="1052" t="n"/>
      <c r="N267" s="674" t="n"/>
      <c r="O267" s="1052" t="n"/>
      <c r="P267" s="1052" t="n"/>
      <c r="Q267" s="674" t="n"/>
      <c r="R267" s="1052" t="n"/>
      <c r="S267" s="1052" t="n"/>
      <c r="T267" s="674" t="n"/>
      <c r="U267" s="1052" t="n"/>
      <c r="V267" s="1052" t="n"/>
      <c r="W267" s="674" t="n"/>
      <c r="X267" s="1052" t="n"/>
      <c r="Y267" s="1052" t="n"/>
      <c r="Z267" s="674" t="n"/>
      <c r="AA267" s="1052" t="n"/>
      <c r="AB267" s="1052" t="n"/>
    </row>
    <row r="268" customFormat="1" s="220">
      <c r="A268" s="1051" t="n"/>
      <c r="B268" s="674" t="n"/>
      <c r="C268" s="1052" t="n"/>
      <c r="D268" s="1052" t="n"/>
      <c r="E268" s="674" t="n"/>
      <c r="F268" s="1052" t="n"/>
      <c r="G268" s="1052" t="n"/>
      <c r="H268" s="674" t="n"/>
      <c r="I268" s="1052" t="n"/>
      <c r="J268" s="1052" t="n"/>
      <c r="K268" s="674" t="n"/>
      <c r="L268" s="1052" t="n"/>
      <c r="M268" s="1052" t="n"/>
      <c r="N268" s="674" t="n"/>
      <c r="O268" s="1052" t="n"/>
      <c r="P268" s="1052" t="n"/>
      <c r="Q268" s="674" t="n"/>
      <c r="R268" s="1052" t="n"/>
      <c r="S268" s="1052" t="n"/>
      <c r="T268" s="674" t="n"/>
      <c r="U268" s="1052" t="n"/>
      <c r="V268" s="1052" t="n"/>
      <c r="W268" s="674" t="n"/>
      <c r="X268" s="1052" t="n"/>
      <c r="Y268" s="1052" t="n"/>
      <c r="Z268" s="674" t="n"/>
      <c r="AA268" s="1052" t="n"/>
      <c r="AB268" s="1052" t="n"/>
    </row>
    <row r="269" customFormat="1" s="220">
      <c r="A269" s="1051" t="n"/>
      <c r="B269" s="674" t="n"/>
      <c r="C269" s="1052" t="n"/>
      <c r="D269" s="1052" t="n"/>
      <c r="E269" s="674" t="n"/>
      <c r="F269" s="1052" t="n"/>
      <c r="G269" s="1052" t="n"/>
      <c r="H269" s="674" t="n"/>
      <c r="I269" s="1052" t="n"/>
      <c r="J269" s="1052" t="n"/>
      <c r="K269" s="674" t="n"/>
      <c r="L269" s="1052" t="n"/>
      <c r="M269" s="1052" t="n"/>
      <c r="N269" s="674" t="n"/>
      <c r="O269" s="1052" t="n"/>
      <c r="P269" s="1052" t="n"/>
      <c r="Q269" s="674" t="n"/>
      <c r="R269" s="1052" t="n"/>
      <c r="S269" s="1052" t="n"/>
      <c r="T269" s="674" t="n"/>
      <c r="U269" s="1052" t="n"/>
      <c r="V269" s="1052" t="n"/>
      <c r="W269" s="674" t="n"/>
      <c r="X269" s="1052" t="n"/>
      <c r="Y269" s="1052" t="n"/>
      <c r="Z269" s="674" t="n"/>
      <c r="AA269" s="1052" t="n"/>
      <c r="AB269" s="1052" t="n"/>
    </row>
    <row r="270" customFormat="1" s="220">
      <c r="A270" s="1051" t="n"/>
      <c r="B270" s="674" t="n"/>
      <c r="C270" s="1052" t="n"/>
      <c r="D270" s="1052" t="n"/>
      <c r="E270" s="674" t="n"/>
      <c r="F270" s="1052" t="n"/>
      <c r="G270" s="1052" t="n"/>
      <c r="H270" s="674" t="n"/>
      <c r="I270" s="1052" t="n"/>
      <c r="J270" s="1052" t="n"/>
      <c r="K270" s="674" t="n"/>
      <c r="L270" s="1052" t="n"/>
      <c r="M270" s="1052" t="n"/>
      <c r="N270" s="674" t="n"/>
      <c r="O270" s="1052" t="n"/>
      <c r="P270" s="1052" t="n"/>
      <c r="Q270" s="674" t="n"/>
      <c r="R270" s="1052" t="n"/>
      <c r="S270" s="1052" t="n"/>
      <c r="T270" s="674" t="n"/>
      <c r="U270" s="1052" t="n"/>
      <c r="V270" s="1052" t="n"/>
      <c r="W270" s="674" t="n"/>
      <c r="X270" s="1052" t="n"/>
      <c r="Y270" s="1052" t="n"/>
      <c r="Z270" s="674" t="n"/>
      <c r="AA270" s="1052" t="n"/>
      <c r="AB270" s="1052" t="n"/>
    </row>
    <row r="271" customFormat="1" s="220">
      <c r="A271" s="1051" t="n"/>
      <c r="B271" s="674" t="n"/>
      <c r="C271" s="1052" t="n"/>
      <c r="D271" s="1052" t="n"/>
      <c r="E271" s="674" t="n"/>
      <c r="F271" s="1052" t="n"/>
      <c r="G271" s="1052" t="n"/>
      <c r="H271" s="674" t="n"/>
      <c r="I271" s="1052" t="n"/>
      <c r="J271" s="1052" t="n"/>
      <c r="K271" s="674" t="n"/>
      <c r="L271" s="1052" t="n"/>
      <c r="M271" s="1052" t="n"/>
      <c r="N271" s="674" t="n"/>
      <c r="O271" s="1052" t="n"/>
      <c r="P271" s="1052" t="n"/>
      <c r="Q271" s="674" t="n"/>
      <c r="R271" s="1052" t="n"/>
      <c r="S271" s="1052" t="n"/>
      <c r="T271" s="674" t="n"/>
      <c r="U271" s="1052" t="n"/>
      <c r="V271" s="1052" t="n"/>
      <c r="W271" s="674" t="n"/>
      <c r="X271" s="1052" t="n"/>
      <c r="Y271" s="1052" t="n"/>
      <c r="Z271" s="674" t="n"/>
      <c r="AA271" s="1052" t="n"/>
      <c r="AB271" s="1052" t="n"/>
    </row>
    <row r="272" customFormat="1" s="220">
      <c r="A272" s="1051" t="n"/>
      <c r="B272" s="674" t="n"/>
      <c r="C272" s="1052" t="n"/>
      <c r="D272" s="1052" t="n"/>
      <c r="E272" s="674" t="n"/>
      <c r="F272" s="1052" t="n"/>
      <c r="G272" s="1052" t="n"/>
      <c r="H272" s="674" t="n"/>
      <c r="I272" s="1052" t="n"/>
      <c r="J272" s="1052" t="n"/>
      <c r="K272" s="674" t="n"/>
      <c r="L272" s="1052" t="n"/>
      <c r="M272" s="1052" t="n"/>
      <c r="N272" s="674" t="n"/>
      <c r="O272" s="1052" t="n"/>
      <c r="P272" s="1052" t="n"/>
      <c r="Q272" s="674" t="n"/>
      <c r="R272" s="1052" t="n"/>
      <c r="S272" s="1052" t="n"/>
      <c r="T272" s="674" t="n"/>
      <c r="U272" s="1052" t="n"/>
      <c r="V272" s="1052" t="n"/>
      <c r="W272" s="674" t="n"/>
      <c r="X272" s="1052" t="n"/>
      <c r="Y272" s="1052" t="n"/>
      <c r="Z272" s="674" t="n"/>
      <c r="AA272" s="1052" t="n"/>
      <c r="AB272" s="1052" t="n"/>
    </row>
    <row r="273" customFormat="1" s="220">
      <c r="A273" s="1051" t="n"/>
      <c r="B273" s="674" t="n"/>
      <c r="C273" s="1052" t="n"/>
      <c r="D273" s="1052" t="n"/>
      <c r="E273" s="674" t="n"/>
      <c r="F273" s="1052" t="n"/>
      <c r="G273" s="1052" t="n"/>
      <c r="H273" s="674" t="n"/>
      <c r="I273" s="1052" t="n"/>
      <c r="J273" s="1052" t="n"/>
      <c r="K273" s="674" t="n"/>
      <c r="L273" s="1052" t="n"/>
      <c r="M273" s="1052" t="n"/>
      <c r="N273" s="674" t="n"/>
      <c r="O273" s="1052" t="n"/>
      <c r="P273" s="1052" t="n"/>
      <c r="Q273" s="674" t="n"/>
      <c r="R273" s="1052" t="n"/>
      <c r="S273" s="1052" t="n"/>
      <c r="T273" s="674" t="n"/>
      <c r="U273" s="1052" t="n"/>
      <c r="V273" s="1052" t="n"/>
      <c r="W273" s="674" t="n"/>
      <c r="X273" s="1052" t="n"/>
      <c r="Y273" s="1052" t="n"/>
      <c r="Z273" s="674" t="n"/>
      <c r="AA273" s="1052" t="n"/>
      <c r="AB273" s="1052" t="n"/>
    </row>
    <row r="274" customFormat="1" s="220">
      <c r="A274" s="1051" t="n"/>
      <c r="B274" s="674" t="n"/>
      <c r="C274" s="1052" t="n"/>
      <c r="D274" s="1052" t="n"/>
      <c r="E274" s="674" t="n"/>
      <c r="F274" s="1052" t="n"/>
      <c r="G274" s="1052" t="n"/>
      <c r="H274" s="674" t="n"/>
      <c r="I274" s="1052" t="n"/>
      <c r="J274" s="1052" t="n"/>
      <c r="K274" s="674" t="n"/>
      <c r="L274" s="1052" t="n"/>
      <c r="M274" s="1052" t="n"/>
      <c r="N274" s="674" t="n"/>
      <c r="O274" s="1052" t="n"/>
      <c r="P274" s="1052" t="n"/>
      <c r="Q274" s="674" t="n"/>
      <c r="R274" s="1052" t="n"/>
      <c r="S274" s="1052" t="n"/>
      <c r="T274" s="674" t="n"/>
      <c r="U274" s="1052" t="n"/>
      <c r="V274" s="1052" t="n"/>
      <c r="W274" s="674" t="n"/>
      <c r="X274" s="1052" t="n"/>
      <c r="Y274" s="1052" t="n"/>
      <c r="Z274" s="674" t="n"/>
      <c r="AA274" s="1052" t="n"/>
      <c r="AB274" s="1052" t="n"/>
    </row>
    <row r="275" customFormat="1" s="220">
      <c r="A275" s="1051" t="n"/>
      <c r="B275" s="674" t="n"/>
      <c r="C275" s="1052" t="n"/>
      <c r="D275" s="1052" t="n"/>
      <c r="E275" s="674" t="n"/>
      <c r="F275" s="1052" t="n"/>
      <c r="G275" s="1052" t="n"/>
      <c r="H275" s="674" t="n"/>
      <c r="I275" s="1052" t="n"/>
      <c r="J275" s="1052" t="n"/>
      <c r="K275" s="674" t="n"/>
      <c r="L275" s="1052" t="n"/>
      <c r="M275" s="1052" t="n"/>
      <c r="N275" s="674" t="n"/>
      <c r="O275" s="1052" t="n"/>
      <c r="P275" s="1052" t="n"/>
      <c r="Q275" s="674" t="n"/>
      <c r="R275" s="1052" t="n"/>
      <c r="S275" s="1052" t="n"/>
      <c r="T275" s="674" t="n"/>
      <c r="U275" s="1052" t="n"/>
      <c r="V275" s="1052" t="n"/>
      <c r="W275" s="674" t="n"/>
      <c r="X275" s="1052" t="n"/>
      <c r="Y275" s="1052" t="n"/>
      <c r="Z275" s="674" t="n"/>
      <c r="AA275" s="1052" t="n"/>
      <c r="AB275" s="1052" t="n"/>
    </row>
    <row r="276" customFormat="1" s="220">
      <c r="A276" s="1051" t="n"/>
      <c r="B276" s="674" t="n"/>
      <c r="C276" s="1052" t="n"/>
      <c r="D276" s="1052" t="n"/>
      <c r="E276" s="674" t="n"/>
      <c r="F276" s="1052" t="n"/>
      <c r="G276" s="1052" t="n"/>
      <c r="H276" s="674" t="n"/>
      <c r="I276" s="1052" t="n"/>
      <c r="J276" s="1052" t="n"/>
      <c r="K276" s="674" t="n"/>
      <c r="L276" s="1052" t="n"/>
      <c r="M276" s="1052" t="n"/>
      <c r="N276" s="674" t="n"/>
      <c r="O276" s="1052" t="n"/>
      <c r="P276" s="1052" t="n"/>
      <c r="Q276" s="674" t="n"/>
      <c r="R276" s="1052" t="n"/>
      <c r="S276" s="1052" t="n"/>
      <c r="T276" s="674" t="n"/>
      <c r="U276" s="1052" t="n"/>
      <c r="V276" s="1052" t="n"/>
      <c r="W276" s="674" t="n"/>
      <c r="X276" s="1052" t="n"/>
      <c r="Y276" s="1052" t="n"/>
      <c r="Z276" s="674" t="n"/>
      <c r="AA276" s="1052" t="n"/>
      <c r="AB276" s="1052" t="n"/>
    </row>
    <row r="277" customFormat="1" s="220">
      <c r="A277" s="1051" t="n"/>
      <c r="B277" s="674" t="n"/>
      <c r="C277" s="1052" t="n"/>
      <c r="D277" s="1052" t="n"/>
      <c r="E277" s="674" t="n"/>
      <c r="F277" s="1052" t="n"/>
      <c r="G277" s="1052" t="n"/>
      <c r="H277" s="674" t="n"/>
      <c r="I277" s="1052" t="n"/>
      <c r="J277" s="1052" t="n"/>
      <c r="K277" s="674" t="n"/>
      <c r="L277" s="1052" t="n"/>
      <c r="M277" s="1052" t="n"/>
      <c r="N277" s="674" t="n"/>
      <c r="O277" s="1052" t="n"/>
      <c r="P277" s="1052" t="n"/>
      <c r="Q277" s="674" t="n"/>
      <c r="R277" s="1052" t="n"/>
      <c r="S277" s="1052" t="n"/>
      <c r="T277" s="674" t="n"/>
      <c r="U277" s="1052" t="n"/>
      <c r="V277" s="1052" t="n"/>
      <c r="W277" s="674" t="n"/>
      <c r="X277" s="1052" t="n"/>
      <c r="Y277" s="1052" t="n"/>
      <c r="Z277" s="674" t="n"/>
      <c r="AA277" s="1052" t="n"/>
      <c r="AB277" s="1052" t="n"/>
    </row>
    <row r="278" customFormat="1" s="220">
      <c r="A278" s="1051" t="n"/>
      <c r="B278" s="674" t="n"/>
      <c r="C278" s="1052" t="n"/>
      <c r="D278" s="1052" t="n"/>
      <c r="E278" s="674" t="n"/>
      <c r="F278" s="1052" t="n"/>
      <c r="G278" s="1052" t="n"/>
      <c r="H278" s="674" t="n"/>
      <c r="I278" s="1052" t="n"/>
      <c r="J278" s="1052" t="n"/>
      <c r="K278" s="674" t="n"/>
      <c r="L278" s="1052" t="n"/>
      <c r="M278" s="1052" t="n"/>
      <c r="N278" s="674" t="n"/>
      <c r="O278" s="1052" t="n"/>
      <c r="P278" s="1052" t="n"/>
      <c r="Q278" s="674" t="n"/>
      <c r="R278" s="1052" t="n"/>
      <c r="S278" s="1052" t="n"/>
      <c r="T278" s="674" t="n"/>
      <c r="U278" s="1052" t="n"/>
      <c r="V278" s="1052" t="n"/>
      <c r="W278" s="674" t="n"/>
      <c r="X278" s="1052" t="n"/>
      <c r="Y278" s="1052" t="n"/>
      <c r="Z278" s="674" t="n"/>
      <c r="AA278" s="1052" t="n"/>
      <c r="AB278" s="1052" t="n"/>
    </row>
    <row r="279" customFormat="1" s="220">
      <c r="A279" s="1051" t="n"/>
      <c r="B279" s="674" t="n"/>
      <c r="C279" s="1052" t="n"/>
      <c r="D279" s="1052" t="n"/>
      <c r="E279" s="674" t="n"/>
      <c r="F279" s="1052" t="n"/>
      <c r="G279" s="1052" t="n"/>
      <c r="H279" s="674" t="n"/>
      <c r="I279" s="1052" t="n"/>
      <c r="J279" s="1052" t="n"/>
      <c r="K279" s="674" t="n"/>
      <c r="L279" s="1052" t="n"/>
      <c r="M279" s="1052" t="n"/>
      <c r="N279" s="674" t="n"/>
      <c r="O279" s="1052" t="n"/>
      <c r="P279" s="1052" t="n"/>
      <c r="Q279" s="674" t="n"/>
      <c r="R279" s="1052" t="n"/>
      <c r="S279" s="1052" t="n"/>
      <c r="T279" s="674" t="n"/>
      <c r="U279" s="1052" t="n"/>
      <c r="V279" s="1052" t="n"/>
      <c r="W279" s="674" t="n"/>
      <c r="X279" s="1052" t="n"/>
      <c r="Y279" s="1052" t="n"/>
      <c r="Z279" s="674" t="n"/>
      <c r="AA279" s="1052" t="n"/>
      <c r="AB279" s="1052" t="n"/>
    </row>
    <row r="280" customFormat="1" s="220">
      <c r="A280" s="1051" t="n"/>
      <c r="B280" s="674" t="n"/>
      <c r="C280" s="1052" t="n"/>
      <c r="D280" s="1052" t="n"/>
      <c r="E280" s="674" t="n"/>
      <c r="F280" s="1052" t="n"/>
      <c r="G280" s="1052" t="n"/>
      <c r="H280" s="674" t="n"/>
      <c r="I280" s="1052" t="n"/>
      <c r="J280" s="1052" t="n"/>
      <c r="K280" s="674" t="n"/>
      <c r="L280" s="1052" t="n"/>
      <c r="M280" s="1052" t="n"/>
      <c r="N280" s="674" t="n"/>
      <c r="O280" s="1052" t="n"/>
      <c r="P280" s="1052" t="n"/>
      <c r="Q280" s="674" t="n"/>
      <c r="R280" s="1052" t="n"/>
      <c r="S280" s="1052" t="n"/>
      <c r="T280" s="674" t="n"/>
      <c r="U280" s="1052" t="n"/>
      <c r="V280" s="1052" t="n"/>
      <c r="W280" s="674" t="n"/>
      <c r="X280" s="1052" t="n"/>
      <c r="Y280" s="1052" t="n"/>
      <c r="Z280" s="674" t="n"/>
      <c r="AA280" s="1052" t="n"/>
      <c r="AB280" s="1052" t="n"/>
    </row>
    <row r="281" customFormat="1" s="220">
      <c r="A281" s="1051" t="n"/>
      <c r="B281" s="674" t="n"/>
      <c r="C281" s="1052" t="n"/>
      <c r="D281" s="1052" t="n"/>
      <c r="E281" s="674" t="n"/>
      <c r="F281" s="1052" t="n"/>
      <c r="G281" s="1052" t="n"/>
      <c r="H281" s="674" t="n"/>
      <c r="I281" s="1052" t="n"/>
      <c r="J281" s="1052" t="n"/>
      <c r="K281" s="674" t="n"/>
      <c r="L281" s="1052" t="n"/>
      <c r="M281" s="1052" t="n"/>
      <c r="N281" s="674" t="n"/>
      <c r="O281" s="1052" t="n"/>
      <c r="P281" s="1052" t="n"/>
      <c r="Q281" s="674" t="n"/>
      <c r="R281" s="1052" t="n"/>
      <c r="S281" s="1052" t="n"/>
      <c r="T281" s="674" t="n"/>
      <c r="U281" s="1052" t="n"/>
      <c r="V281" s="1052" t="n"/>
      <c r="W281" s="674" t="n"/>
      <c r="X281" s="1052" t="n"/>
      <c r="Y281" s="1052" t="n"/>
      <c r="Z281" s="674" t="n"/>
      <c r="AA281" s="1052" t="n"/>
      <c r="AB281" s="1052" t="n"/>
    </row>
    <row r="282" ht="14.15" customFormat="1" customHeight="1" s="220">
      <c r="A282" s="1051" t="n"/>
      <c r="B282" s="674" t="n"/>
      <c r="C282" s="1052" t="n"/>
      <c r="D282" s="1052" t="n"/>
      <c r="E282" s="674" t="n"/>
      <c r="F282" s="1052" t="n"/>
      <c r="G282" s="1052" t="n"/>
      <c r="H282" s="674" t="n"/>
      <c r="I282" s="1052" t="n"/>
      <c r="J282" s="1052" t="n"/>
      <c r="K282" s="674" t="n"/>
      <c r="L282" s="1052" t="n"/>
      <c r="M282" s="1052" t="n"/>
      <c r="N282" s="674" t="n"/>
      <c r="O282" s="1052" t="n"/>
      <c r="P282" s="1052" t="n"/>
      <c r="Q282" s="674" t="n"/>
      <c r="R282" s="1052" t="n"/>
      <c r="S282" s="1052" t="n"/>
      <c r="T282" s="674" t="n"/>
      <c r="U282" s="1052" t="n"/>
      <c r="V282" s="1052" t="n"/>
      <c r="W282" s="674" t="n"/>
      <c r="X282" s="1052" t="n"/>
      <c r="Y282" s="1052" t="n"/>
      <c r="Z282" s="674" t="n"/>
      <c r="AA282" s="1052" t="n"/>
      <c r="AB282" s="1052" t="n"/>
    </row>
    <row r="283" customFormat="1" s="220">
      <c r="A283" s="1051" t="n"/>
      <c r="B283" s="674" t="n"/>
      <c r="C283" s="1052" t="n"/>
      <c r="D283" s="1052" t="n"/>
      <c r="E283" s="674" t="n"/>
      <c r="F283" s="1052" t="n"/>
      <c r="G283" s="1052" t="n"/>
      <c r="H283" s="674" t="n"/>
      <c r="I283" s="1052" t="n"/>
      <c r="J283" s="1052" t="n"/>
      <c r="K283" s="674" t="n"/>
      <c r="L283" s="1052" t="n"/>
      <c r="M283" s="1052" t="n"/>
      <c r="N283" s="674" t="n"/>
      <c r="O283" s="1052" t="n"/>
      <c r="P283" s="1052" t="n"/>
      <c r="Q283" s="674" t="n"/>
      <c r="R283" s="1052" t="n"/>
      <c r="S283" s="1052" t="n"/>
      <c r="T283" s="674" t="n"/>
      <c r="U283" s="1052" t="n"/>
      <c r="V283" s="1052" t="n"/>
      <c r="W283" s="674" t="n"/>
      <c r="X283" s="1052" t="n"/>
      <c r="Y283" s="1052" t="n"/>
      <c r="Z283" s="674" t="n"/>
      <c r="AA283" s="1052" t="n"/>
      <c r="AB283" s="1052" t="n"/>
    </row>
    <row r="284" customFormat="1" s="220">
      <c r="A284" s="1051" t="n"/>
      <c r="B284" s="674" t="n"/>
      <c r="C284" s="1052" t="n"/>
      <c r="D284" s="1052" t="n"/>
      <c r="E284" s="674" t="n"/>
      <c r="F284" s="1052" t="n"/>
      <c r="G284" s="1052" t="n"/>
      <c r="H284" s="674" t="n"/>
      <c r="I284" s="1052" t="n"/>
      <c r="J284" s="1052" t="n"/>
      <c r="K284" s="674" t="n"/>
      <c r="L284" s="1052" t="n"/>
      <c r="M284" s="1052" t="n"/>
      <c r="N284" s="674" t="n"/>
      <c r="O284" s="1052" t="n"/>
      <c r="P284" s="1052" t="n"/>
      <c r="Q284" s="674" t="n"/>
      <c r="R284" s="1052" t="n"/>
      <c r="S284" s="1052" t="n"/>
      <c r="T284" s="674" t="n"/>
      <c r="U284" s="1052" t="n"/>
      <c r="V284" s="1052" t="n"/>
      <c r="W284" s="674" t="n"/>
      <c r="X284" s="1052" t="n"/>
      <c r="Y284" s="1052" t="n"/>
      <c r="Z284" s="674" t="n"/>
      <c r="AA284" s="1052" t="n"/>
      <c r="AB284" s="1052" t="n"/>
    </row>
    <row r="285" customFormat="1" s="220">
      <c r="A285" s="1051" t="n"/>
      <c r="B285" s="674" t="n"/>
      <c r="C285" s="1052" t="n"/>
      <c r="D285" s="1052" t="n"/>
      <c r="E285" s="674" t="n"/>
      <c r="F285" s="1052" t="n"/>
      <c r="G285" s="1052" t="n"/>
      <c r="H285" s="674" t="n"/>
      <c r="I285" s="1052" t="n"/>
      <c r="J285" s="1052" t="n"/>
      <c r="K285" s="674" t="n"/>
      <c r="L285" s="1052" t="n"/>
      <c r="M285" s="1052" t="n"/>
      <c r="N285" s="674" t="n"/>
      <c r="O285" s="1052" t="n"/>
      <c r="P285" s="1052" t="n"/>
      <c r="Q285" s="674" t="n"/>
      <c r="R285" s="1052" t="n"/>
      <c r="S285" s="1052" t="n"/>
      <c r="T285" s="674" t="n"/>
      <c r="U285" s="1052" t="n"/>
      <c r="V285" s="1052" t="n"/>
      <c r="W285" s="674" t="n"/>
      <c r="X285" s="1052" t="n"/>
      <c r="Y285" s="1052" t="n"/>
      <c r="Z285" s="674" t="n"/>
      <c r="AA285" s="1052" t="n"/>
      <c r="AB285" s="1052" t="n"/>
    </row>
    <row r="286" customFormat="1" s="220">
      <c r="A286" s="1051" t="n"/>
      <c r="B286" s="674" t="n"/>
      <c r="C286" s="1052" t="n"/>
      <c r="D286" s="1052" t="n"/>
      <c r="E286" s="674" t="n"/>
      <c r="F286" s="1052" t="n"/>
      <c r="G286" s="1052" t="n"/>
      <c r="H286" s="674" t="n"/>
      <c r="I286" s="1052" t="n"/>
      <c r="J286" s="1052" t="n"/>
      <c r="K286" s="674" t="n"/>
      <c r="L286" s="1052" t="n"/>
      <c r="M286" s="1052" t="n"/>
      <c r="N286" s="674" t="n"/>
      <c r="O286" s="1052" t="n"/>
      <c r="P286" s="1052" t="n"/>
      <c r="Q286" s="674" t="n"/>
      <c r="R286" s="1052" t="n"/>
      <c r="S286" s="1052" t="n"/>
      <c r="T286" s="674" t="n"/>
      <c r="U286" s="1052" t="n"/>
      <c r="V286" s="1052" t="n"/>
      <c r="W286" s="674" t="n"/>
      <c r="X286" s="1052" t="n"/>
      <c r="Y286" s="1052" t="n"/>
      <c r="Z286" s="674" t="n"/>
      <c r="AA286" s="1052" t="n"/>
      <c r="AB286" s="1052" t="n"/>
    </row>
    <row r="287" customFormat="1" s="220">
      <c r="A287" s="1051" t="n"/>
      <c r="B287" s="674" t="n"/>
      <c r="C287" s="1052" t="n"/>
      <c r="D287" s="1052" t="n"/>
      <c r="E287" s="674" t="n"/>
      <c r="F287" s="1052" t="n"/>
      <c r="G287" s="1052" t="n"/>
      <c r="H287" s="674" t="n"/>
      <c r="I287" s="1052" t="n"/>
      <c r="J287" s="1052" t="n"/>
      <c r="K287" s="674" t="n"/>
      <c r="L287" s="1052" t="n"/>
      <c r="M287" s="1052" t="n"/>
      <c r="N287" s="674" t="n"/>
      <c r="O287" s="1052" t="n"/>
      <c r="P287" s="1052" t="n"/>
      <c r="Q287" s="674" t="n"/>
      <c r="R287" s="1052" t="n"/>
      <c r="S287" s="1052" t="n"/>
      <c r="T287" s="674" t="n"/>
      <c r="U287" s="1052" t="n"/>
      <c r="V287" s="1052" t="n"/>
      <c r="W287" s="674" t="n"/>
      <c r="X287" s="1052" t="n"/>
      <c r="Y287" s="1052" t="n"/>
      <c r="Z287" s="674" t="n"/>
      <c r="AA287" s="1052" t="n"/>
      <c r="AB287" s="1052" t="n"/>
    </row>
    <row r="288" customFormat="1" s="220">
      <c r="A288" s="1051" t="n"/>
      <c r="B288" s="674" t="n"/>
      <c r="C288" s="1052" t="n"/>
      <c r="D288" s="1052" t="n"/>
      <c r="E288" s="674" t="n"/>
      <c r="F288" s="1052" t="n"/>
      <c r="G288" s="1052" t="n"/>
      <c r="H288" s="674" t="n"/>
      <c r="I288" s="1052" t="n"/>
      <c r="J288" s="1052" t="n"/>
      <c r="K288" s="674" t="n"/>
      <c r="L288" s="1052" t="n"/>
      <c r="M288" s="1052" t="n"/>
      <c r="N288" s="674" t="n"/>
      <c r="O288" s="1052" t="n"/>
      <c r="P288" s="1052" t="n"/>
      <c r="Q288" s="674" t="n"/>
      <c r="R288" s="1052" t="n"/>
      <c r="S288" s="1052" t="n"/>
      <c r="T288" s="674" t="n"/>
      <c r="U288" s="1052" t="n"/>
      <c r="V288" s="1052" t="n"/>
      <c r="W288" s="674" t="n"/>
      <c r="X288" s="1052" t="n"/>
      <c r="Y288" s="1052" t="n"/>
      <c r="Z288" s="674" t="n"/>
      <c r="AA288" s="1052" t="n"/>
      <c r="AB288" s="1052" t="n"/>
    </row>
    <row r="289" customFormat="1" s="220">
      <c r="A289" s="1051" t="n"/>
      <c r="B289" s="674" t="n"/>
      <c r="C289" s="1052" t="n"/>
      <c r="D289" s="1052" t="n"/>
      <c r="E289" s="674" t="n"/>
      <c r="F289" s="1052" t="n"/>
      <c r="G289" s="1052" t="n"/>
      <c r="H289" s="674" t="n"/>
      <c r="I289" s="1052" t="n"/>
      <c r="J289" s="1052" t="n"/>
      <c r="K289" s="674" t="n"/>
      <c r="L289" s="1052" t="n"/>
      <c r="M289" s="1052" t="n"/>
      <c r="N289" s="674" t="n"/>
      <c r="O289" s="1052" t="n"/>
      <c r="P289" s="1052" t="n"/>
      <c r="Q289" s="674" t="n"/>
      <c r="R289" s="1052" t="n"/>
      <c r="S289" s="1052" t="n"/>
      <c r="T289" s="674" t="n"/>
      <c r="U289" s="1052" t="n"/>
      <c r="V289" s="1052" t="n"/>
      <c r="W289" s="674" t="n"/>
      <c r="X289" s="1052" t="n"/>
      <c r="Y289" s="1052" t="n"/>
      <c r="Z289" s="674" t="n"/>
      <c r="AA289" s="1052" t="n"/>
      <c r="AB289" s="1052" t="n"/>
    </row>
    <row r="290" customFormat="1" s="220">
      <c r="A290" s="1051" t="n"/>
      <c r="B290" s="674" t="n"/>
      <c r="C290" s="1052" t="n"/>
      <c r="D290" s="1052" t="n"/>
      <c r="E290" s="674" t="n"/>
      <c r="F290" s="1052" t="n"/>
      <c r="G290" s="1052" t="n"/>
      <c r="H290" s="674" t="n"/>
      <c r="I290" s="1052" t="n"/>
      <c r="J290" s="1052" t="n"/>
      <c r="K290" s="674" t="n"/>
      <c r="L290" s="1052" t="n"/>
      <c r="M290" s="1052" t="n"/>
      <c r="N290" s="674" t="n"/>
      <c r="O290" s="1052" t="n"/>
      <c r="P290" s="1052" t="n"/>
      <c r="Q290" s="674" t="n"/>
      <c r="R290" s="1052" t="n"/>
      <c r="S290" s="1052" t="n"/>
      <c r="T290" s="674" t="n"/>
      <c r="U290" s="1052" t="n"/>
      <c r="V290" s="1052" t="n"/>
      <c r="W290" s="674" t="n"/>
      <c r="X290" s="1052" t="n"/>
      <c r="Y290" s="1052" t="n"/>
      <c r="Z290" s="674" t="n"/>
      <c r="AA290" s="1052" t="n"/>
      <c r="AB290" s="1052" t="n"/>
    </row>
    <row r="291" customFormat="1" s="220">
      <c r="A291" s="1051" t="n"/>
      <c r="B291" s="674" t="n"/>
      <c r="C291" s="1052" t="n"/>
      <c r="D291" s="1052" t="n"/>
      <c r="E291" s="674" t="n"/>
      <c r="F291" s="1052" t="n"/>
      <c r="G291" s="1052" t="n"/>
      <c r="H291" s="674" t="n"/>
      <c r="I291" s="1052" t="n"/>
      <c r="J291" s="1052" t="n"/>
      <c r="K291" s="674" t="n"/>
      <c r="L291" s="1052" t="n"/>
      <c r="M291" s="1052" t="n"/>
      <c r="N291" s="674" t="n"/>
      <c r="O291" s="1052" t="n"/>
      <c r="P291" s="1052" t="n"/>
      <c r="Q291" s="674" t="n"/>
      <c r="R291" s="1052" t="n"/>
      <c r="S291" s="1052" t="n"/>
      <c r="T291" s="674" t="n"/>
      <c r="U291" s="1052" t="n"/>
      <c r="V291" s="1052" t="n"/>
      <c r="W291" s="674" t="n"/>
      <c r="X291" s="1052" t="n"/>
      <c r="Y291" s="1052" t="n"/>
      <c r="Z291" s="674" t="n"/>
      <c r="AA291" s="1052" t="n"/>
      <c r="AB291" s="1052" t="n"/>
    </row>
    <row r="292" customFormat="1" s="220">
      <c r="A292" s="1051" t="n"/>
      <c r="B292" s="674" t="n"/>
      <c r="C292" s="1052" t="n"/>
      <c r="D292" s="1052" t="n"/>
      <c r="E292" s="674" t="n"/>
      <c r="F292" s="1052" t="n"/>
      <c r="G292" s="1052" t="n"/>
      <c r="H292" s="674" t="n"/>
      <c r="I292" s="1052" t="n"/>
      <c r="J292" s="1052" t="n"/>
      <c r="K292" s="674" t="n"/>
      <c r="L292" s="1052" t="n"/>
      <c r="M292" s="1052" t="n"/>
      <c r="N292" s="674" t="n"/>
      <c r="O292" s="1052" t="n"/>
      <c r="P292" s="1052" t="n"/>
      <c r="Q292" s="674" t="n"/>
      <c r="R292" s="1052" t="n"/>
      <c r="S292" s="1052" t="n"/>
      <c r="T292" s="674" t="n"/>
      <c r="U292" s="1052" t="n"/>
      <c r="V292" s="1052" t="n"/>
      <c r="W292" s="674" t="n"/>
      <c r="X292" s="1052" t="n"/>
      <c r="Y292" s="1052" t="n"/>
      <c r="Z292" s="674" t="n"/>
      <c r="AA292" s="1052" t="n"/>
      <c r="AB292" s="1052" t="n"/>
    </row>
    <row r="293" customFormat="1" s="220">
      <c r="A293" s="1051" t="n"/>
      <c r="B293" s="674" t="n"/>
      <c r="C293" s="1052" t="n"/>
      <c r="D293" s="1052" t="n"/>
      <c r="E293" s="674" t="n"/>
      <c r="F293" s="1052" t="n"/>
      <c r="G293" s="1052" t="n"/>
      <c r="H293" s="674" t="n"/>
      <c r="I293" s="1052" t="n"/>
      <c r="J293" s="1052" t="n"/>
      <c r="K293" s="674" t="n"/>
      <c r="L293" s="1052" t="n"/>
      <c r="M293" s="1052" t="n"/>
      <c r="N293" s="674" t="n"/>
      <c r="O293" s="1052" t="n"/>
      <c r="P293" s="1052" t="n"/>
      <c r="Q293" s="674" t="n"/>
      <c r="R293" s="1052" t="n"/>
      <c r="S293" s="1052" t="n"/>
      <c r="T293" s="674" t="n"/>
      <c r="U293" s="1052" t="n"/>
      <c r="V293" s="1052" t="n"/>
      <c r="W293" s="674" t="n"/>
      <c r="X293" s="1052" t="n"/>
      <c r="Y293" s="1052" t="n"/>
      <c r="Z293" s="674" t="n"/>
      <c r="AA293" s="1052" t="n"/>
      <c r="AB293" s="1052" t="n"/>
    </row>
    <row r="294" customFormat="1" s="220">
      <c r="A294" s="1051" t="n"/>
      <c r="B294" s="674" t="n"/>
      <c r="C294" s="1052" t="n"/>
      <c r="D294" s="1052" t="n"/>
      <c r="E294" s="674" t="n"/>
      <c r="F294" s="1052" t="n"/>
      <c r="G294" s="1052" t="n"/>
      <c r="H294" s="674" t="n"/>
      <c r="I294" s="1052" t="n"/>
      <c r="J294" s="1052" t="n"/>
      <c r="K294" s="674" t="n"/>
      <c r="L294" s="1052" t="n"/>
      <c r="M294" s="1052" t="n"/>
      <c r="N294" s="674" t="n"/>
      <c r="O294" s="1052" t="n"/>
      <c r="P294" s="1052" t="n"/>
      <c r="Q294" s="674" t="n"/>
      <c r="R294" s="1052" t="n"/>
      <c r="S294" s="1052" t="n"/>
      <c r="T294" s="674" t="n"/>
      <c r="U294" s="1052" t="n"/>
      <c r="V294" s="1052" t="n"/>
      <c r="W294" s="674" t="n"/>
      <c r="X294" s="1052" t="n"/>
      <c r="Y294" s="1052" t="n"/>
      <c r="Z294" s="674" t="n"/>
      <c r="AA294" s="1052" t="n"/>
      <c r="AB294" s="1052" t="n"/>
    </row>
    <row r="295" customFormat="1" s="220">
      <c r="A295" s="1051" t="n"/>
      <c r="B295" s="674" t="n"/>
      <c r="C295" s="1052" t="n"/>
      <c r="D295" s="1052" t="n"/>
      <c r="E295" s="674" t="n"/>
      <c r="F295" s="1052" t="n"/>
      <c r="G295" s="1052" t="n"/>
      <c r="H295" s="674" t="n"/>
      <c r="I295" s="1052" t="n"/>
      <c r="J295" s="1052" t="n"/>
      <c r="K295" s="674" t="n"/>
      <c r="L295" s="1052" t="n"/>
      <c r="M295" s="1052" t="n"/>
      <c r="N295" s="674" t="n"/>
      <c r="O295" s="1052" t="n"/>
      <c r="P295" s="1052" t="n"/>
      <c r="Q295" s="674" t="n"/>
      <c r="R295" s="1052" t="n"/>
      <c r="S295" s="1052" t="n"/>
      <c r="T295" s="674" t="n"/>
      <c r="U295" s="1052" t="n"/>
      <c r="V295" s="1052" t="n"/>
      <c r="W295" s="674" t="n"/>
      <c r="X295" s="1052" t="n"/>
      <c r="Y295" s="1052" t="n"/>
      <c r="Z295" s="674" t="n"/>
      <c r="AA295" s="1052" t="n"/>
      <c r="AB295" s="1052" t="n"/>
    </row>
    <row r="296" customFormat="1" s="220">
      <c r="A296" s="1051" t="n"/>
      <c r="B296" s="674" t="n"/>
      <c r="C296" s="1052" t="n"/>
      <c r="D296" s="1052" t="n"/>
      <c r="E296" s="674" t="n"/>
      <c r="F296" s="1052" t="n"/>
      <c r="G296" s="1052" t="n"/>
      <c r="H296" s="674" t="n"/>
      <c r="I296" s="1052" t="n"/>
      <c r="J296" s="1052" t="n"/>
      <c r="K296" s="674" t="n"/>
      <c r="L296" s="1052" t="n"/>
      <c r="M296" s="1052" t="n"/>
      <c r="N296" s="674" t="n"/>
      <c r="O296" s="1052" t="n"/>
      <c r="P296" s="1052" t="n"/>
      <c r="Q296" s="674" t="n"/>
      <c r="R296" s="1052" t="n"/>
      <c r="S296" s="1052" t="n"/>
      <c r="T296" s="674" t="n"/>
      <c r="U296" s="1052" t="n"/>
      <c r="V296" s="1052" t="n"/>
      <c r="W296" s="674" t="n"/>
      <c r="X296" s="1052" t="n"/>
      <c r="Y296" s="1052" t="n"/>
      <c r="Z296" s="674" t="n"/>
      <c r="AA296" s="1052" t="n"/>
      <c r="AB296" s="1052" t="n"/>
    </row>
    <row r="297" customFormat="1" s="220">
      <c r="A297" s="1051" t="n"/>
      <c r="B297" s="674" t="n"/>
      <c r="C297" s="1052" t="n"/>
      <c r="D297" s="1052" t="n"/>
      <c r="E297" s="674" t="n"/>
      <c r="F297" s="1052" t="n"/>
      <c r="G297" s="1052" t="n"/>
      <c r="H297" s="674" t="n"/>
      <c r="I297" s="1052" t="n"/>
      <c r="J297" s="1052" t="n"/>
      <c r="K297" s="674" t="n"/>
      <c r="L297" s="1052" t="n"/>
      <c r="M297" s="1052" t="n"/>
      <c r="N297" s="674" t="n"/>
      <c r="O297" s="1052" t="n"/>
      <c r="P297" s="1052" t="n"/>
      <c r="Q297" s="674" t="n"/>
      <c r="R297" s="1052" t="n"/>
      <c r="S297" s="1052" t="n"/>
      <c r="T297" s="674" t="n"/>
      <c r="U297" s="1052" t="n"/>
      <c r="V297" s="1052" t="n"/>
      <c r="W297" s="674" t="n"/>
      <c r="X297" s="1052" t="n"/>
      <c r="Y297" s="1052" t="n"/>
      <c r="Z297" s="674" t="n"/>
      <c r="AA297" s="1052" t="n"/>
      <c r="AB297" s="1052" t="n"/>
    </row>
    <row r="298" customFormat="1" s="220">
      <c r="A298" s="1051" t="n"/>
      <c r="B298" s="674" t="n"/>
      <c r="C298" s="1052" t="n"/>
      <c r="D298" s="1052" t="n"/>
      <c r="E298" s="674" t="n"/>
      <c r="F298" s="1052" t="n"/>
      <c r="G298" s="1052" t="n"/>
      <c r="H298" s="674" t="n"/>
      <c r="I298" s="1052" t="n"/>
      <c r="J298" s="1052" t="n"/>
      <c r="K298" s="674" t="n"/>
      <c r="L298" s="1052" t="n"/>
      <c r="M298" s="1052" t="n"/>
      <c r="N298" s="674" t="n"/>
      <c r="O298" s="1052" t="n"/>
      <c r="P298" s="1052" t="n"/>
      <c r="Q298" s="674" t="n"/>
      <c r="R298" s="1052" t="n"/>
      <c r="S298" s="1052" t="n"/>
      <c r="T298" s="674" t="n"/>
      <c r="U298" s="1052" t="n"/>
      <c r="V298" s="1052" t="n"/>
      <c r="W298" s="674" t="n"/>
      <c r="X298" s="1052" t="n"/>
      <c r="Y298" s="1052" t="n"/>
      <c r="Z298" s="674" t="n"/>
      <c r="AA298" s="1052" t="n"/>
      <c r="AB298" s="1052" t="n"/>
    </row>
    <row r="299" customFormat="1" s="220">
      <c r="A299" s="1051" t="n"/>
      <c r="B299" s="674" t="n"/>
      <c r="C299" s="1052" t="n"/>
      <c r="D299" s="1052" t="n"/>
      <c r="E299" s="674" t="n"/>
      <c r="F299" s="1052" t="n"/>
      <c r="G299" s="1052" t="n"/>
      <c r="H299" s="674" t="n"/>
      <c r="I299" s="1052" t="n"/>
      <c r="J299" s="1052" t="n"/>
      <c r="K299" s="674" t="n"/>
      <c r="L299" s="1052" t="n"/>
      <c r="M299" s="1052" t="n"/>
      <c r="N299" s="674" t="n"/>
      <c r="O299" s="1052" t="n"/>
      <c r="P299" s="1052" t="n"/>
      <c r="Q299" s="674" t="n"/>
      <c r="R299" s="1052" t="n"/>
      <c r="S299" s="1052" t="n"/>
      <c r="T299" s="674" t="n"/>
      <c r="U299" s="1052" t="n"/>
      <c r="V299" s="1052" t="n"/>
      <c r="W299" s="674" t="n"/>
      <c r="X299" s="1052" t="n"/>
      <c r="Y299" s="1052" t="n"/>
      <c r="Z299" s="674" t="n"/>
      <c r="AA299" s="1052" t="n"/>
      <c r="AB299" s="1052" t="n"/>
    </row>
    <row r="300" customFormat="1" s="220">
      <c r="A300" s="1051" t="n"/>
      <c r="B300" s="674" t="n"/>
      <c r="C300" s="1052" t="n"/>
      <c r="D300" s="1052" t="n"/>
      <c r="E300" s="674" t="n"/>
      <c r="F300" s="1052" t="n"/>
      <c r="G300" s="1052" t="n"/>
      <c r="H300" s="674" t="n"/>
      <c r="I300" s="1052" t="n"/>
      <c r="J300" s="1052" t="n"/>
      <c r="K300" s="674" t="n"/>
      <c r="L300" s="1052" t="n"/>
      <c r="M300" s="1052" t="n"/>
      <c r="N300" s="674" t="n"/>
      <c r="O300" s="1052" t="n"/>
      <c r="P300" s="1052" t="n"/>
      <c r="Q300" s="674" t="n"/>
      <c r="R300" s="1052" t="n"/>
      <c r="S300" s="1052" t="n"/>
      <c r="T300" s="674" t="n"/>
      <c r="U300" s="1052" t="n"/>
      <c r="V300" s="1052" t="n"/>
      <c r="W300" s="674" t="n"/>
      <c r="X300" s="1052" t="n"/>
      <c r="Y300" s="1052" t="n"/>
      <c r="Z300" s="674" t="n"/>
      <c r="AA300" s="1052" t="n"/>
      <c r="AB300" s="1052" t="n"/>
    </row>
    <row r="301" customFormat="1" s="220">
      <c r="A301" s="1051" t="n"/>
      <c r="B301" s="674" t="n"/>
      <c r="C301" s="1052" t="n"/>
      <c r="D301" s="1052" t="n"/>
      <c r="E301" s="674" t="n"/>
      <c r="F301" s="1052" t="n"/>
      <c r="G301" s="1052" t="n"/>
      <c r="H301" s="674" t="n"/>
      <c r="I301" s="1052" t="n"/>
      <c r="J301" s="1052" t="n"/>
      <c r="K301" s="674" t="n"/>
      <c r="L301" s="1052" t="n"/>
      <c r="M301" s="1052" t="n"/>
      <c r="N301" s="674" t="n"/>
      <c r="O301" s="1052" t="n"/>
      <c r="P301" s="1052" t="n"/>
      <c r="Q301" s="674" t="n"/>
      <c r="R301" s="1052" t="n"/>
      <c r="S301" s="1052" t="n"/>
      <c r="T301" s="674" t="n"/>
      <c r="U301" s="1052" t="n"/>
      <c r="V301" s="1052" t="n"/>
      <c r="W301" s="674" t="n"/>
      <c r="X301" s="1052" t="n"/>
      <c r="Y301" s="1052" t="n"/>
      <c r="Z301" s="674" t="n"/>
      <c r="AA301" s="1052" t="n"/>
      <c r="AB301" s="1052" t="n"/>
    </row>
    <row r="302" customFormat="1" s="220">
      <c r="A302" s="1051" t="n"/>
      <c r="B302" s="674" t="n"/>
      <c r="C302" s="1052" t="n"/>
      <c r="D302" s="1052" t="n"/>
      <c r="E302" s="674" t="n"/>
      <c r="F302" s="1052" t="n"/>
      <c r="G302" s="1052" t="n"/>
      <c r="H302" s="674" t="n"/>
      <c r="I302" s="1052" t="n"/>
      <c r="J302" s="1052" t="n"/>
      <c r="K302" s="674" t="n"/>
      <c r="L302" s="1052" t="n"/>
      <c r="M302" s="1052" t="n"/>
      <c r="N302" s="674" t="n"/>
      <c r="O302" s="1052" t="n"/>
      <c r="P302" s="1052" t="n"/>
      <c r="Q302" s="674" t="n"/>
      <c r="R302" s="1052" t="n"/>
      <c r="S302" s="1052" t="n"/>
      <c r="T302" s="674" t="n"/>
      <c r="U302" s="1052" t="n"/>
      <c r="V302" s="1052" t="n"/>
      <c r="W302" s="674" t="n"/>
      <c r="X302" s="1052" t="n"/>
      <c r="Y302" s="1052" t="n"/>
      <c r="Z302" s="674" t="n"/>
      <c r="AA302" s="1052" t="n"/>
      <c r="AB302" s="1052" t="n"/>
    </row>
    <row r="303" customFormat="1" s="220">
      <c r="A303" s="1051" t="n"/>
      <c r="B303" s="674" t="n"/>
      <c r="C303" s="1052" t="n"/>
      <c r="D303" s="1052" t="n"/>
      <c r="E303" s="674" t="n"/>
      <c r="F303" s="1052" t="n"/>
      <c r="G303" s="1052" t="n"/>
      <c r="H303" s="674" t="n"/>
      <c r="I303" s="1052" t="n"/>
      <c r="J303" s="1052" t="n"/>
      <c r="K303" s="674" t="n"/>
      <c r="L303" s="1052" t="n"/>
      <c r="M303" s="1052" t="n"/>
      <c r="N303" s="674" t="n"/>
      <c r="O303" s="1052" t="n"/>
      <c r="P303" s="1052" t="n"/>
      <c r="Q303" s="674" t="n"/>
      <c r="R303" s="1052" t="n"/>
      <c r="S303" s="1052" t="n"/>
      <c r="T303" s="674" t="n"/>
      <c r="U303" s="1052" t="n"/>
      <c r="V303" s="1052" t="n"/>
      <c r="W303" s="674" t="n"/>
      <c r="X303" s="1052" t="n"/>
      <c r="Y303" s="1052" t="n"/>
      <c r="Z303" s="674" t="n"/>
      <c r="AA303" s="1052" t="n"/>
      <c r="AB303" s="1052" t="n"/>
    </row>
    <row r="304" customFormat="1" s="220">
      <c r="A304" s="1051" t="n"/>
      <c r="B304" s="674" t="n"/>
      <c r="C304" s="1052" t="n"/>
      <c r="D304" s="1052" t="n"/>
      <c r="E304" s="674" t="n"/>
      <c r="F304" s="1052" t="n"/>
      <c r="G304" s="1052" t="n"/>
      <c r="H304" s="674" t="n"/>
      <c r="I304" s="1052" t="n"/>
      <c r="J304" s="1052" t="n"/>
      <c r="K304" s="674" t="n"/>
      <c r="L304" s="1052" t="n"/>
      <c r="M304" s="1052" t="n"/>
      <c r="N304" s="674" t="n"/>
      <c r="O304" s="1052" t="n"/>
      <c r="P304" s="1052" t="n"/>
      <c r="Q304" s="674" t="n"/>
      <c r="R304" s="1052" t="n"/>
      <c r="S304" s="1052" t="n"/>
      <c r="T304" s="674" t="n"/>
      <c r="U304" s="1052" t="n"/>
      <c r="V304" s="1052" t="n"/>
      <c r="W304" s="674" t="n"/>
      <c r="X304" s="1052" t="n"/>
      <c r="Y304" s="1052" t="n"/>
      <c r="Z304" s="674" t="n"/>
      <c r="AA304" s="1052" t="n"/>
      <c r="AB304" s="1052" t="n"/>
    </row>
    <row r="305" customFormat="1" s="220">
      <c r="A305" s="1051" t="n"/>
      <c r="B305" s="674" t="n"/>
      <c r="C305" s="1052" t="n"/>
      <c r="D305" s="1052" t="n"/>
      <c r="E305" s="674" t="n"/>
      <c r="F305" s="1052" t="n"/>
      <c r="G305" s="1052" t="n"/>
      <c r="H305" s="674" t="n"/>
      <c r="I305" s="1052" t="n"/>
      <c r="J305" s="1052" t="n"/>
      <c r="K305" s="674" t="n"/>
      <c r="L305" s="1052" t="n"/>
      <c r="M305" s="1052" t="n"/>
      <c r="N305" s="674" t="n"/>
      <c r="O305" s="1052" t="n"/>
      <c r="P305" s="1052" t="n"/>
      <c r="Q305" s="674" t="n"/>
      <c r="R305" s="1052" t="n"/>
      <c r="S305" s="1052" t="n"/>
      <c r="T305" s="674" t="n"/>
      <c r="U305" s="1052" t="n"/>
      <c r="V305" s="1052" t="n"/>
      <c r="W305" s="674" t="n"/>
      <c r="X305" s="1052" t="n"/>
      <c r="Y305" s="1052" t="n"/>
      <c r="Z305" s="674" t="n"/>
      <c r="AA305" s="1052" t="n"/>
      <c r="AB305" s="1052" t="n"/>
    </row>
    <row r="306" customFormat="1" s="220">
      <c r="A306" s="1051" t="n"/>
      <c r="B306" s="674" t="n"/>
      <c r="C306" s="1052" t="n"/>
      <c r="D306" s="1052" t="n"/>
      <c r="E306" s="674" t="n"/>
      <c r="F306" s="1052" t="n"/>
      <c r="G306" s="1052" t="n"/>
      <c r="H306" s="674" t="n"/>
      <c r="I306" s="1052" t="n"/>
      <c r="J306" s="1052" t="n"/>
      <c r="K306" s="674" t="n"/>
      <c r="L306" s="1052" t="n"/>
      <c r="M306" s="1052" t="n"/>
      <c r="N306" s="674" t="n"/>
      <c r="O306" s="1052" t="n"/>
      <c r="P306" s="1052" t="n"/>
      <c r="Q306" s="674" t="n"/>
      <c r="R306" s="1052" t="n"/>
      <c r="S306" s="1052" t="n"/>
      <c r="T306" s="674" t="n"/>
      <c r="U306" s="1052" t="n"/>
      <c r="V306" s="1052" t="n"/>
      <c r="W306" s="674" t="n"/>
      <c r="X306" s="1052" t="n"/>
      <c r="Y306" s="1052" t="n"/>
      <c r="Z306" s="674" t="n"/>
      <c r="AA306" s="1052" t="n"/>
      <c r="AB306" s="1052" t="n"/>
    </row>
    <row r="307" customFormat="1" s="220">
      <c r="A307" s="1051" t="n"/>
      <c r="B307" s="674" t="n"/>
      <c r="C307" s="1052" t="n"/>
      <c r="D307" s="1052" t="n"/>
      <c r="E307" s="674" t="n"/>
      <c r="F307" s="1052" t="n"/>
      <c r="G307" s="1052" t="n"/>
      <c r="H307" s="674" t="n"/>
      <c r="I307" s="1052" t="n"/>
      <c r="J307" s="1052" t="n"/>
      <c r="K307" s="674" t="n"/>
      <c r="L307" s="1052" t="n"/>
      <c r="M307" s="1052" t="n"/>
      <c r="N307" s="674" t="n"/>
      <c r="O307" s="1052" t="n"/>
      <c r="P307" s="1052" t="n"/>
      <c r="Q307" s="674" t="n"/>
      <c r="R307" s="1052" t="n"/>
      <c r="S307" s="1052" t="n"/>
      <c r="T307" s="674" t="n"/>
      <c r="U307" s="1052" t="n"/>
      <c r="V307" s="1052" t="n"/>
      <c r="W307" s="674" t="n"/>
      <c r="X307" s="1052" t="n"/>
      <c r="Y307" s="1052" t="n"/>
      <c r="Z307" s="674" t="n"/>
      <c r="AA307" s="1052" t="n"/>
      <c r="AB307" s="1052" t="n"/>
    </row>
    <row r="308" customFormat="1" s="220">
      <c r="A308" s="1051" t="n"/>
      <c r="B308" s="674" t="n"/>
      <c r="C308" s="1052" t="n"/>
      <c r="D308" s="1052" t="n"/>
      <c r="E308" s="674" t="n"/>
      <c r="F308" s="1052" t="n"/>
      <c r="G308" s="1052" t="n"/>
      <c r="H308" s="674" t="n"/>
      <c r="I308" s="1052" t="n"/>
      <c r="J308" s="1052" t="n"/>
      <c r="K308" s="674" t="n"/>
      <c r="L308" s="1052" t="n"/>
      <c r="M308" s="1052" t="n"/>
      <c r="N308" s="674" t="n"/>
      <c r="O308" s="1052" t="n"/>
      <c r="P308" s="1052" t="n"/>
      <c r="Q308" s="674" t="n"/>
      <c r="R308" s="1052" t="n"/>
      <c r="S308" s="1052" t="n"/>
      <c r="T308" s="674" t="n"/>
      <c r="U308" s="1052" t="n"/>
      <c r="V308" s="1052" t="n"/>
      <c r="W308" s="674" t="n"/>
      <c r="X308" s="1052" t="n"/>
      <c r="Y308" s="1052" t="n"/>
      <c r="Z308" s="674" t="n"/>
      <c r="AA308" s="1052" t="n"/>
      <c r="AB308" s="1052" t="n"/>
    </row>
    <row r="309" customFormat="1" s="220">
      <c r="A309" s="1051" t="n"/>
      <c r="B309" s="674" t="n"/>
      <c r="C309" s="1052" t="n"/>
      <c r="D309" s="1052" t="n"/>
      <c r="E309" s="674" t="n"/>
      <c r="F309" s="1052" t="n"/>
      <c r="G309" s="1052" t="n"/>
      <c r="H309" s="674" t="n"/>
      <c r="I309" s="1052" t="n"/>
      <c r="J309" s="1052" t="n"/>
      <c r="K309" s="674" t="n"/>
      <c r="L309" s="1052" t="n"/>
      <c r="M309" s="1052" t="n"/>
      <c r="N309" s="674" t="n"/>
      <c r="O309" s="1052" t="n"/>
      <c r="P309" s="1052" t="n"/>
      <c r="Q309" s="674" t="n"/>
      <c r="R309" s="1052" t="n"/>
      <c r="S309" s="1052" t="n"/>
      <c r="T309" s="674" t="n"/>
      <c r="U309" s="1052" t="n"/>
      <c r="V309" s="1052" t="n"/>
      <c r="W309" s="674" t="n"/>
      <c r="X309" s="1052" t="n"/>
      <c r="Y309" s="1052" t="n"/>
      <c r="Z309" s="674" t="n"/>
      <c r="AA309" s="1052" t="n"/>
      <c r="AB309" s="1052" t="n"/>
    </row>
    <row r="310" customFormat="1" s="220">
      <c r="A310" s="1051" t="n"/>
      <c r="B310" s="674" t="n"/>
      <c r="C310" s="1052" t="n"/>
      <c r="D310" s="1052" t="n"/>
      <c r="E310" s="674" t="n"/>
      <c r="F310" s="1052" t="n"/>
      <c r="G310" s="1052" t="n"/>
      <c r="H310" s="674" t="n"/>
      <c r="I310" s="1052" t="n"/>
      <c r="J310" s="1052" t="n"/>
      <c r="K310" s="674" t="n"/>
      <c r="L310" s="1052" t="n"/>
      <c r="M310" s="1052" t="n"/>
      <c r="N310" s="674" t="n"/>
      <c r="O310" s="1052" t="n"/>
      <c r="P310" s="1052" t="n"/>
      <c r="Q310" s="674" t="n"/>
      <c r="R310" s="1052" t="n"/>
      <c r="S310" s="1052" t="n"/>
      <c r="T310" s="674" t="n"/>
      <c r="U310" s="1052" t="n"/>
      <c r="V310" s="1052" t="n"/>
      <c r="W310" s="674" t="n"/>
      <c r="X310" s="1052" t="n"/>
      <c r="Y310" s="1052" t="n"/>
      <c r="Z310" s="674" t="n"/>
      <c r="AA310" s="1052" t="n"/>
      <c r="AB310" s="1052" t="n"/>
    </row>
    <row r="311" customFormat="1" s="220">
      <c r="A311" s="1051" t="n"/>
      <c r="B311" s="674" t="n"/>
      <c r="C311" s="1052" t="n"/>
      <c r="D311" s="1052" t="n"/>
      <c r="E311" s="674" t="n"/>
      <c r="F311" s="1052" t="n"/>
      <c r="G311" s="1052" t="n"/>
      <c r="H311" s="674" t="n"/>
      <c r="I311" s="1052" t="n"/>
      <c r="J311" s="1052" t="n"/>
      <c r="K311" s="674" t="n"/>
      <c r="L311" s="1052" t="n"/>
      <c r="M311" s="1052" t="n"/>
      <c r="N311" s="674" t="n"/>
      <c r="O311" s="1052" t="n"/>
      <c r="P311" s="1052" t="n"/>
      <c r="Q311" s="674" t="n"/>
      <c r="R311" s="1052" t="n"/>
      <c r="S311" s="1052" t="n"/>
      <c r="T311" s="674" t="n"/>
      <c r="U311" s="1052" t="n"/>
      <c r="V311" s="1052" t="n"/>
      <c r="W311" s="674" t="n"/>
      <c r="X311" s="1052" t="n"/>
      <c r="Y311" s="1052" t="n"/>
      <c r="Z311" s="674" t="n"/>
      <c r="AA311" s="1052" t="n"/>
      <c r="AB311" s="1052" t="n"/>
    </row>
    <row r="312" customFormat="1" s="220">
      <c r="A312" s="1051" t="n"/>
      <c r="B312" s="674" t="n"/>
      <c r="C312" s="1052" t="n"/>
      <c r="D312" s="1052" t="n"/>
      <c r="E312" s="674" t="n"/>
      <c r="F312" s="1052" t="n"/>
      <c r="G312" s="1052" t="n"/>
      <c r="H312" s="674" t="n"/>
      <c r="I312" s="1052" t="n"/>
      <c r="J312" s="1052" t="n"/>
      <c r="K312" s="674" t="n"/>
      <c r="L312" s="1052" t="n"/>
      <c r="M312" s="1052" t="n"/>
      <c r="N312" s="674" t="n"/>
      <c r="O312" s="1052" t="n"/>
      <c r="P312" s="1052" t="n"/>
      <c r="Q312" s="674" t="n"/>
      <c r="R312" s="1052" t="n"/>
      <c r="S312" s="1052" t="n"/>
      <c r="T312" s="674" t="n"/>
      <c r="U312" s="1052" t="n"/>
      <c r="V312" s="1052" t="n"/>
      <c r="W312" s="674" t="n"/>
      <c r="X312" s="1052" t="n"/>
      <c r="Y312" s="1052" t="n"/>
      <c r="Z312" s="674" t="n"/>
      <c r="AA312" s="1052" t="n"/>
      <c r="AB312" s="1052" t="n"/>
    </row>
    <row r="313" customFormat="1" s="220">
      <c r="A313" s="1051" t="n"/>
      <c r="B313" s="674" t="n"/>
      <c r="C313" s="1052" t="n"/>
      <c r="D313" s="1052" t="n"/>
      <c r="E313" s="674" t="n"/>
      <c r="F313" s="1052" t="n"/>
      <c r="G313" s="1052" t="n"/>
      <c r="H313" s="674" t="n"/>
      <c r="I313" s="1052" t="n"/>
      <c r="J313" s="1052" t="n"/>
      <c r="K313" s="674" t="n"/>
      <c r="L313" s="1052" t="n"/>
      <c r="M313" s="1052" t="n"/>
      <c r="N313" s="674" t="n"/>
      <c r="O313" s="1052" t="n"/>
      <c r="P313" s="1052" t="n"/>
      <c r="Q313" s="674" t="n"/>
      <c r="R313" s="1052" t="n"/>
      <c r="S313" s="1052" t="n"/>
      <c r="T313" s="674" t="n"/>
      <c r="U313" s="1052" t="n"/>
      <c r="V313" s="1052" t="n"/>
      <c r="W313" s="674" t="n"/>
      <c r="X313" s="1052" t="n"/>
      <c r="Y313" s="1052" t="n"/>
      <c r="Z313" s="674" t="n"/>
      <c r="AA313" s="1052" t="n"/>
      <c r="AB313" s="1052" t="n"/>
    </row>
    <row r="314" customFormat="1" s="220">
      <c r="A314" s="1051" t="n"/>
      <c r="B314" s="674" t="n"/>
      <c r="C314" s="1052" t="n"/>
      <c r="D314" s="1052" t="n"/>
      <c r="E314" s="674" t="n"/>
      <c r="F314" s="1052" t="n"/>
      <c r="G314" s="1052" t="n"/>
      <c r="H314" s="674" t="n"/>
      <c r="I314" s="1052" t="n"/>
      <c r="J314" s="1052" t="n"/>
      <c r="K314" s="674" t="n"/>
      <c r="L314" s="1052" t="n"/>
      <c r="M314" s="1052" t="n"/>
      <c r="N314" s="674" t="n"/>
      <c r="O314" s="1052" t="n"/>
      <c r="P314" s="1052" t="n"/>
      <c r="Q314" s="674" t="n"/>
      <c r="R314" s="1052" t="n"/>
      <c r="S314" s="1052" t="n"/>
      <c r="T314" s="674" t="n"/>
      <c r="U314" s="1052" t="n"/>
      <c r="V314" s="1052" t="n"/>
      <c r="W314" s="674" t="n"/>
      <c r="X314" s="1052" t="n"/>
      <c r="Y314" s="1052" t="n"/>
      <c r="Z314" s="674" t="n"/>
      <c r="AA314" s="1052" t="n"/>
      <c r="AB314" s="1052" t="n"/>
    </row>
    <row r="315" customFormat="1" s="220">
      <c r="A315" s="1051" t="n"/>
      <c r="B315" s="674" t="n"/>
      <c r="C315" s="1052" t="n"/>
      <c r="D315" s="1052" t="n"/>
      <c r="E315" s="674" t="n"/>
      <c r="F315" s="1052" t="n"/>
      <c r="G315" s="1052" t="n"/>
      <c r="H315" s="674" t="n"/>
      <c r="I315" s="1052" t="n"/>
      <c r="J315" s="1052" t="n"/>
      <c r="K315" s="674" t="n"/>
      <c r="L315" s="1052" t="n"/>
      <c r="M315" s="1052" t="n"/>
      <c r="N315" s="674" t="n"/>
      <c r="O315" s="1052" t="n"/>
      <c r="P315" s="1052" t="n"/>
      <c r="Q315" s="674" t="n"/>
      <c r="R315" s="1052" t="n"/>
      <c r="S315" s="1052" t="n"/>
      <c r="T315" s="674" t="n"/>
      <c r="U315" s="1052" t="n"/>
      <c r="V315" s="1052" t="n"/>
      <c r="W315" s="674" t="n"/>
      <c r="X315" s="1052" t="n"/>
      <c r="Y315" s="1052" t="n"/>
      <c r="Z315" s="674" t="n"/>
      <c r="AA315" s="1052" t="n"/>
      <c r="AB315" s="1052" t="n"/>
    </row>
    <row r="316" customFormat="1" s="220">
      <c r="A316" s="1051" t="n"/>
      <c r="B316" s="674" t="n"/>
      <c r="C316" s="1052" t="n"/>
      <c r="D316" s="1052" t="n"/>
      <c r="E316" s="674" t="n"/>
      <c r="F316" s="1052" t="n"/>
      <c r="G316" s="1052" t="n"/>
      <c r="H316" s="674" t="n"/>
      <c r="I316" s="1052" t="n"/>
      <c r="J316" s="1052" t="n"/>
      <c r="K316" s="674" t="n"/>
      <c r="L316" s="1052" t="n"/>
      <c r="M316" s="1052" t="n"/>
      <c r="N316" s="674" t="n"/>
      <c r="O316" s="1052" t="n"/>
      <c r="P316" s="1052" t="n"/>
      <c r="Q316" s="674" t="n"/>
      <c r="R316" s="1052" t="n"/>
      <c r="S316" s="1052" t="n"/>
      <c r="T316" s="674" t="n"/>
      <c r="U316" s="1052" t="n"/>
      <c r="V316" s="1052" t="n"/>
      <c r="W316" s="674" t="n"/>
      <c r="X316" s="1052" t="n"/>
      <c r="Y316" s="1052" t="n"/>
      <c r="Z316" s="674" t="n"/>
      <c r="AA316" s="1052" t="n"/>
      <c r="AB316" s="1052" t="n"/>
    </row>
    <row r="317" customFormat="1" s="220">
      <c r="A317" s="1051" t="n"/>
      <c r="B317" s="674" t="n"/>
      <c r="C317" s="1052" t="n"/>
      <c r="D317" s="1052" t="n"/>
      <c r="E317" s="674" t="n"/>
      <c r="F317" s="1052" t="n"/>
      <c r="G317" s="1052" t="n"/>
      <c r="H317" s="674" t="n"/>
      <c r="I317" s="1052" t="n"/>
      <c r="J317" s="1052" t="n"/>
      <c r="K317" s="674" t="n"/>
      <c r="L317" s="1052" t="n"/>
      <c r="M317" s="1052" t="n"/>
      <c r="N317" s="674" t="n"/>
      <c r="O317" s="1052" t="n"/>
      <c r="P317" s="1052" t="n"/>
      <c r="Q317" s="674" t="n"/>
      <c r="R317" s="1052" t="n"/>
      <c r="S317" s="1052" t="n"/>
      <c r="T317" s="674" t="n"/>
      <c r="U317" s="1052" t="n"/>
      <c r="V317" s="1052" t="n"/>
      <c r="W317" s="674" t="n"/>
      <c r="X317" s="1052" t="n"/>
      <c r="Y317" s="1052" t="n"/>
      <c r="Z317" s="674" t="n"/>
      <c r="AA317" s="1052" t="n"/>
      <c r="AB317" s="1052" t="n"/>
    </row>
    <row r="318" customFormat="1" s="220">
      <c r="A318" s="1051" t="n"/>
      <c r="B318" s="674" t="n"/>
      <c r="C318" s="1052" t="n"/>
      <c r="D318" s="1052" t="n"/>
      <c r="E318" s="674" t="n"/>
      <c r="F318" s="1052" t="n"/>
      <c r="G318" s="1052" t="n"/>
      <c r="H318" s="674" t="n"/>
      <c r="I318" s="1052" t="n"/>
      <c r="J318" s="1052" t="n"/>
      <c r="K318" s="674" t="n"/>
      <c r="L318" s="1052" t="n"/>
      <c r="M318" s="1052" t="n"/>
      <c r="N318" s="674" t="n"/>
      <c r="O318" s="1052" t="n"/>
      <c r="P318" s="1052" t="n"/>
      <c r="Q318" s="674" t="n"/>
      <c r="R318" s="1052" t="n"/>
      <c r="S318" s="1052" t="n"/>
      <c r="T318" s="674" t="n"/>
      <c r="U318" s="1052" t="n"/>
      <c r="V318" s="1052" t="n"/>
      <c r="W318" s="674" t="n"/>
      <c r="X318" s="1052" t="n"/>
      <c r="Y318" s="1052" t="n"/>
      <c r="Z318" s="674" t="n"/>
      <c r="AA318" s="1052" t="n"/>
      <c r="AB318" s="1052" t="n"/>
    </row>
    <row r="319" customFormat="1" s="220">
      <c r="A319" s="1051" t="n"/>
      <c r="B319" s="674" t="n"/>
      <c r="C319" s="1052" t="n"/>
      <c r="D319" s="1052" t="n"/>
      <c r="E319" s="674" t="n"/>
      <c r="F319" s="1052" t="n"/>
      <c r="G319" s="1052" t="n"/>
      <c r="H319" s="674" t="n"/>
      <c r="I319" s="1052" t="n"/>
      <c r="J319" s="1052" t="n"/>
      <c r="K319" s="674" t="n"/>
      <c r="L319" s="1052" t="n"/>
      <c r="M319" s="1052" t="n"/>
      <c r="N319" s="674" t="n"/>
      <c r="O319" s="1052" t="n"/>
      <c r="P319" s="1052" t="n"/>
      <c r="Q319" s="674" t="n"/>
      <c r="R319" s="1052" t="n"/>
      <c r="S319" s="1052" t="n"/>
      <c r="T319" s="674" t="n"/>
      <c r="U319" s="1052" t="n"/>
      <c r="V319" s="1052" t="n"/>
      <c r="W319" s="674" t="n"/>
      <c r="X319" s="1052" t="n"/>
      <c r="Y319" s="1052" t="n"/>
      <c r="Z319" s="674" t="n"/>
      <c r="AA319" s="1052" t="n"/>
      <c r="AB319" s="1052" t="n"/>
    </row>
    <row r="320" customFormat="1" s="220">
      <c r="A320" s="1051" t="n"/>
      <c r="B320" s="674" t="n"/>
      <c r="C320" s="1052" t="n"/>
      <c r="D320" s="1052" t="n"/>
      <c r="E320" s="674" t="n"/>
      <c r="F320" s="1052" t="n"/>
      <c r="G320" s="1052" t="n"/>
      <c r="H320" s="674" t="n"/>
      <c r="I320" s="1052" t="n"/>
      <c r="J320" s="1052" t="n"/>
      <c r="K320" s="674" t="n"/>
      <c r="L320" s="1052" t="n"/>
      <c r="M320" s="1052" t="n"/>
      <c r="N320" s="674" t="n"/>
      <c r="O320" s="1052" t="n"/>
      <c r="P320" s="1052" t="n"/>
      <c r="Q320" s="674" t="n"/>
      <c r="R320" s="1052" t="n"/>
      <c r="S320" s="1052" t="n"/>
      <c r="T320" s="674" t="n"/>
      <c r="U320" s="1052" t="n"/>
      <c r="V320" s="1052" t="n"/>
      <c r="W320" s="674" t="n"/>
      <c r="X320" s="1052" t="n"/>
      <c r="Y320" s="1052" t="n"/>
      <c r="Z320" s="674" t="n"/>
      <c r="AA320" s="1052" t="n"/>
      <c r="AB320" s="1052" t="n"/>
    </row>
    <row r="321" customFormat="1" s="220">
      <c r="A321" s="1051" t="n"/>
      <c r="B321" s="674" t="n"/>
      <c r="C321" s="1052" t="n"/>
      <c r="D321" s="1052" t="n"/>
      <c r="E321" s="674" t="n"/>
      <c r="F321" s="1052" t="n"/>
      <c r="G321" s="1052" t="n"/>
      <c r="H321" s="674" t="n"/>
      <c r="I321" s="1052" t="n"/>
      <c r="J321" s="1052" t="n"/>
      <c r="K321" s="674" t="n"/>
      <c r="L321" s="1052" t="n"/>
      <c r="M321" s="1052" t="n"/>
      <c r="N321" s="674" t="n"/>
      <c r="O321" s="1052" t="n"/>
      <c r="P321" s="1052" t="n"/>
      <c r="Q321" s="674" t="n"/>
      <c r="R321" s="1052" t="n"/>
      <c r="S321" s="1052" t="n"/>
      <c r="T321" s="674" t="n"/>
      <c r="U321" s="1052" t="n"/>
      <c r="V321" s="1052" t="n"/>
      <c r="W321" s="674" t="n"/>
      <c r="X321" s="1052" t="n"/>
      <c r="Y321" s="1052" t="n"/>
      <c r="Z321" s="674" t="n"/>
      <c r="AA321" s="1052" t="n"/>
      <c r="AB321" s="1052" t="n"/>
    </row>
    <row r="322" customFormat="1" s="220">
      <c r="A322" s="1051" t="n"/>
      <c r="B322" s="674" t="n"/>
      <c r="C322" s="1052" t="n"/>
      <c r="D322" s="1052" t="n"/>
      <c r="E322" s="674" t="n"/>
      <c r="F322" s="1052" t="n"/>
      <c r="G322" s="1052" t="n"/>
      <c r="H322" s="674" t="n"/>
      <c r="I322" s="1052" t="n"/>
      <c r="J322" s="1052" t="n"/>
      <c r="K322" s="674" t="n"/>
      <c r="L322" s="1052" t="n"/>
      <c r="M322" s="1052" t="n"/>
      <c r="N322" s="674" t="n"/>
      <c r="O322" s="1052" t="n"/>
      <c r="P322" s="1052" t="n"/>
      <c r="Q322" s="674" t="n"/>
      <c r="R322" s="1052" t="n"/>
      <c r="S322" s="1052" t="n"/>
      <c r="T322" s="674" t="n"/>
      <c r="U322" s="1052" t="n"/>
      <c r="V322" s="1052" t="n"/>
      <c r="W322" s="674" t="n"/>
      <c r="X322" s="1052" t="n"/>
      <c r="Y322" s="1052" t="n"/>
      <c r="Z322" s="674" t="n"/>
      <c r="AA322" s="1052" t="n"/>
      <c r="AB322" s="1052" t="n"/>
    </row>
    <row r="323" customFormat="1" s="220">
      <c r="A323" s="1051" t="n"/>
      <c r="B323" s="674" t="n"/>
      <c r="C323" s="1052" t="n"/>
      <c r="D323" s="1052" t="n"/>
      <c r="E323" s="674" t="n"/>
      <c r="F323" s="1052" t="n"/>
      <c r="G323" s="1052" t="n"/>
      <c r="H323" s="674" t="n"/>
      <c r="I323" s="1052" t="n"/>
      <c r="J323" s="1052" t="n"/>
      <c r="K323" s="674" t="n"/>
      <c r="L323" s="1052" t="n"/>
      <c r="M323" s="1052" t="n"/>
      <c r="N323" s="674" t="n"/>
      <c r="O323" s="1052" t="n"/>
      <c r="P323" s="1052" t="n"/>
      <c r="Q323" s="674" t="n"/>
      <c r="R323" s="1052" t="n"/>
      <c r="S323" s="1052" t="n"/>
      <c r="T323" s="674" t="n"/>
      <c r="U323" s="1052" t="n"/>
      <c r="V323" s="1052" t="n"/>
      <c r="W323" s="674" t="n"/>
      <c r="X323" s="1052" t="n"/>
      <c r="Y323" s="1052" t="n"/>
      <c r="Z323" s="674" t="n"/>
      <c r="AA323" s="1052" t="n"/>
      <c r="AB323" s="1052" t="n"/>
    </row>
    <row r="324" ht="14.5" customHeight="1" s="828">
      <c r="A324" s="1051" t="n"/>
      <c r="B324" s="674" t="n"/>
      <c r="C324" s="1052" t="n"/>
      <c r="D324" s="1052" t="n"/>
      <c r="E324" s="674" t="n"/>
      <c r="F324" s="1052" t="n"/>
      <c r="G324" s="1052" t="n"/>
      <c r="H324" s="674" t="n"/>
      <c r="I324" s="1052" t="n"/>
      <c r="J324" s="1052" t="n"/>
      <c r="K324" s="674" t="n"/>
      <c r="L324" s="1052" t="n"/>
      <c r="M324" s="1052" t="n"/>
      <c r="N324" s="674" t="n"/>
      <c r="O324" s="1052" t="n"/>
      <c r="P324" s="1052" t="n"/>
      <c r="Q324" s="674" t="n"/>
      <c r="R324" s="1052" t="n"/>
      <c r="S324" s="1052" t="n"/>
      <c r="T324" s="674" t="n"/>
      <c r="U324" s="1052" t="n"/>
      <c r="V324" s="1052" t="n"/>
      <c r="W324" s="674" t="n"/>
      <c r="X324" s="1052" t="n"/>
      <c r="Y324" s="1052" t="n"/>
      <c r="Z324" s="674" t="n"/>
      <c r="AA324" s="1052" t="n"/>
      <c r="AB324" s="1052" t="n"/>
    </row>
    <row r="325" ht="14.5" customHeight="1" s="828">
      <c r="A325" s="1051" t="n"/>
      <c r="B325" s="674" t="n"/>
      <c r="C325" s="1052" t="n"/>
      <c r="D325" s="1052" t="n"/>
      <c r="E325" s="674" t="n"/>
      <c r="F325" s="1052" t="n"/>
      <c r="G325" s="1052" t="n"/>
      <c r="H325" s="674" t="n"/>
      <c r="I325" s="1052" t="n"/>
      <c r="J325" s="1052" t="n"/>
      <c r="K325" s="674" t="n"/>
      <c r="L325" s="1052" t="n"/>
      <c r="M325" s="1052" t="n"/>
      <c r="N325" s="674" t="n"/>
      <c r="O325" s="1052" t="n"/>
      <c r="P325" s="1052" t="n"/>
      <c r="Q325" s="674" t="n"/>
      <c r="R325" s="1052" t="n"/>
      <c r="S325" s="1052" t="n"/>
      <c r="T325" s="674" t="n"/>
      <c r="U325" s="1052" t="n"/>
      <c r="V325" s="1052" t="n"/>
      <c r="W325" s="674" t="n"/>
      <c r="X325" s="1052" t="n"/>
      <c r="Y325" s="1052" t="n"/>
      <c r="Z325" s="674" t="n"/>
      <c r="AA325" s="1052" t="n"/>
      <c r="AB325" s="1052" t="n"/>
    </row>
    <row r="326" ht="14.5" customHeight="1" s="828">
      <c r="A326" s="1051" t="n"/>
      <c r="B326" s="674" t="n"/>
      <c r="C326" s="1052" t="n"/>
      <c r="D326" s="1052" t="n"/>
      <c r="E326" s="674" t="n"/>
      <c r="F326" s="1052" t="n"/>
      <c r="G326" s="1052" t="n"/>
      <c r="H326" s="674" t="n"/>
      <c r="I326" s="1052" t="n"/>
      <c r="J326" s="1052" t="n"/>
      <c r="K326" s="674" t="n"/>
      <c r="L326" s="1052" t="n"/>
      <c r="M326" s="1052" t="n"/>
      <c r="N326" s="674" t="n"/>
      <c r="O326" s="1052" t="n"/>
      <c r="P326" s="1052" t="n"/>
      <c r="Q326" s="674" t="n"/>
      <c r="R326" s="1052" t="n"/>
      <c r="S326" s="1052" t="n"/>
      <c r="T326" s="674" t="n"/>
      <c r="U326" s="1052" t="n"/>
      <c r="V326" s="1052" t="n"/>
      <c r="W326" s="674" t="n"/>
      <c r="X326" s="1052" t="n"/>
      <c r="Y326" s="1052" t="n"/>
      <c r="Z326" s="674" t="n"/>
      <c r="AA326" s="1052" t="n"/>
      <c r="AB326" s="1052" t="n"/>
    </row>
    <row r="327">
      <c r="A327" s="1051" t="n"/>
      <c r="B327" s="674" t="n"/>
      <c r="C327" s="1052" t="n"/>
      <c r="D327" s="1052" t="n"/>
      <c r="E327" s="674" t="n"/>
      <c r="F327" s="1052" t="n"/>
      <c r="G327" s="1052" t="n"/>
      <c r="H327" s="674" t="n"/>
      <c r="I327" s="1052" t="n"/>
      <c r="J327" s="1052" t="n"/>
      <c r="K327" s="674" t="n"/>
      <c r="L327" s="1052" t="n"/>
      <c r="M327" s="1052" t="n"/>
      <c r="N327" s="674" t="n"/>
      <c r="O327" s="1052" t="n"/>
      <c r="P327" s="1052" t="n"/>
      <c r="Q327" s="674" t="n"/>
      <c r="R327" s="1052" t="n"/>
      <c r="S327" s="1052" t="n"/>
      <c r="T327" s="674" t="n"/>
      <c r="U327" s="1052" t="n"/>
      <c r="V327" s="1052" t="n"/>
      <c r="W327" s="674" t="n"/>
      <c r="X327" s="1052" t="n"/>
      <c r="Y327" s="1052" t="n"/>
      <c r="Z327" s="674" t="n"/>
      <c r="AA327" s="1052" t="n"/>
      <c r="AB327" s="1052" t="n"/>
    </row>
    <row r="328" ht="13" customHeight="1" s="828">
      <c r="A328" s="1053" t="n"/>
      <c r="B328" s="670" t="n"/>
      <c r="C328" s="1054" t="n"/>
      <c r="D328" s="1054" t="n"/>
      <c r="E328" s="670" t="n"/>
      <c r="F328" s="1054" t="n"/>
      <c r="G328" s="1054" t="n"/>
      <c r="H328" s="670" t="n"/>
      <c r="I328" s="1054" t="n"/>
      <c r="J328" s="1054" t="n"/>
      <c r="K328" s="670" t="n"/>
      <c r="L328" s="1054" t="n"/>
      <c r="M328" s="1054" t="n"/>
      <c r="N328" s="670" t="n"/>
      <c r="O328" s="1054" t="n"/>
      <c r="P328" s="1054" t="n"/>
      <c r="Q328" s="670" t="n"/>
      <c r="R328" s="1054" t="n"/>
      <c r="S328" s="1054" t="n"/>
      <c r="T328" s="670" t="n"/>
      <c r="U328" s="1054" t="n"/>
      <c r="V328" s="1054" t="n"/>
      <c r="W328" s="670" t="n"/>
      <c r="X328" s="1054" t="n"/>
      <c r="Y328" s="1054" t="n"/>
      <c r="Z328" s="670" t="n"/>
      <c r="AA328" s="1054" t="n"/>
      <c r="AB328" s="1054" t="n"/>
    </row>
    <row r="329" ht="14.5" customHeight="1" s="828">
      <c r="A329" s="60" t="n"/>
      <c r="B329" s="61" t="n"/>
      <c r="C329" s="61" t="n"/>
      <c r="D329" s="61" t="n"/>
      <c r="E329" s="61" t="n"/>
      <c r="F329" s="61" t="n"/>
      <c r="G329" s="61" t="n"/>
      <c r="H329" s="61" t="n"/>
      <c r="I329" s="61" t="n"/>
      <c r="J329" s="61" t="n"/>
      <c r="L329" s="922" t="n"/>
      <c r="M329" s="922" t="n"/>
      <c r="O329" s="922" t="n"/>
      <c r="P329" s="922" t="n"/>
      <c r="R329" s="922" t="n"/>
      <c r="S329" s="922" t="n"/>
    </row>
    <row r="330" ht="14.5" customHeight="1" s="828">
      <c r="A330" s="60" t="n"/>
      <c r="C330" s="922" t="n"/>
      <c r="D330" s="922" t="n"/>
      <c r="F330" s="922" t="n"/>
      <c r="G330" s="922" t="n"/>
      <c r="I330" s="922" t="n"/>
      <c r="J330" s="922" t="n"/>
      <c r="L330" s="922" t="n"/>
      <c r="M330" s="922" t="n"/>
      <c r="O330" s="922" t="n"/>
      <c r="P330" s="922" t="n"/>
      <c r="R330" s="922" t="n"/>
      <c r="S330" s="922" t="n"/>
    </row>
    <row r="331" ht="14.5" customHeight="1" s="828">
      <c r="A331" s="60" t="n"/>
      <c r="C331" s="922" t="n"/>
      <c r="D331" s="922" t="n"/>
      <c r="F331" s="922" t="n"/>
      <c r="G331" s="922" t="n"/>
      <c r="I331" s="922" t="n"/>
      <c r="J331" s="922" t="n"/>
      <c r="L331" s="922" t="n"/>
      <c r="M331" s="922" t="n"/>
      <c r="O331" s="922" t="n"/>
      <c r="P331" s="922" t="n"/>
      <c r="R331" s="922" t="n"/>
      <c r="S331" s="922" t="n"/>
      <c r="U331" s="922" t="n"/>
      <c r="V331" s="922" t="n"/>
      <c r="X331" s="922" t="n"/>
      <c r="Y331" s="922" t="n"/>
      <c r="AA331" s="922" t="n"/>
      <c r="AB331" s="922" t="n"/>
    </row>
    <row r="332" ht="14.5" customHeight="1" s="828">
      <c r="C332" s="922" t="n"/>
      <c r="D332" s="922" t="n"/>
      <c r="F332" s="922" t="n"/>
      <c r="G332" s="922" t="n"/>
      <c r="I332" s="922" t="n"/>
      <c r="J332" s="922" t="n"/>
      <c r="L332" s="922" t="n"/>
      <c r="M332" s="922" t="n"/>
      <c r="O332" s="922" t="n"/>
      <c r="P332" s="922" t="n"/>
      <c r="R332" s="922" t="n"/>
      <c r="S332" s="922" t="n"/>
      <c r="U332" s="922" t="n"/>
      <c r="V332" s="922" t="n"/>
      <c r="X332" s="922" t="n"/>
      <c r="Y332" s="922" t="n"/>
      <c r="AA332" s="922" t="n"/>
      <c r="AB332" s="922" t="n"/>
    </row>
    <row r="333" ht="14.5" customHeight="1" s="828">
      <c r="C333" s="922" t="n"/>
      <c r="D333" s="922" t="n"/>
      <c r="F333" s="922" t="n"/>
      <c r="G333" s="922" t="n"/>
      <c r="I333" s="922" t="n"/>
      <c r="J333" s="922" t="n"/>
      <c r="L333" s="922" t="n"/>
      <c r="M333" s="922" t="n"/>
      <c r="O333" s="922" t="n"/>
      <c r="P333" s="922" t="n"/>
      <c r="R333" s="922" t="n"/>
      <c r="S333" s="922" t="n"/>
      <c r="U333" s="922" t="n"/>
      <c r="V333" s="922" t="n"/>
      <c r="X333" s="922" t="n"/>
      <c r="Y333" s="922" t="n"/>
      <c r="AA333" s="922" t="n"/>
      <c r="AB333" s="922" t="n"/>
    </row>
    <row r="334" ht="14.5" customHeight="1" s="828">
      <c r="C334" s="922" t="n"/>
      <c r="D334" s="922" t="n"/>
      <c r="F334" s="922" t="n"/>
      <c r="G334" s="922" t="n"/>
      <c r="I334" s="922" t="n"/>
      <c r="J334" s="922" t="n"/>
      <c r="L334" s="922" t="n"/>
      <c r="M334" s="922" t="n"/>
      <c r="O334" s="922" t="n"/>
      <c r="P334" s="922" t="n"/>
      <c r="R334" s="922" t="n"/>
      <c r="S334" s="922" t="n"/>
      <c r="U334" s="922" t="n"/>
      <c r="V334" s="922" t="n"/>
      <c r="X334" s="922" t="n"/>
      <c r="Y334" s="922" t="n"/>
      <c r="AA334" s="922" t="n"/>
      <c r="AB334" s="922" t="n"/>
    </row>
    <row r="335" ht="14.5" customHeight="1" s="828">
      <c r="C335" s="922" t="n"/>
      <c r="D335" s="922" t="n"/>
      <c r="F335" s="922" t="n"/>
      <c r="G335" s="922" t="n"/>
      <c r="I335" s="922" t="n"/>
      <c r="J335" s="922" t="n"/>
      <c r="L335" s="922" t="n"/>
      <c r="M335" s="922" t="n"/>
      <c r="O335" s="922" t="n"/>
      <c r="P335" s="922" t="n"/>
      <c r="R335" s="922" t="n"/>
      <c r="S335" s="922" t="n"/>
      <c r="U335" s="922" t="n"/>
      <c r="V335" s="922" t="n"/>
      <c r="X335" s="922" t="n"/>
      <c r="Y335" s="922" t="n"/>
      <c r="AA335" s="922" t="n"/>
      <c r="AB335" s="922" t="n"/>
    </row>
    <row r="336" ht="14.5" customHeight="1" s="828">
      <c r="C336" s="922" t="n"/>
      <c r="D336" s="922" t="n"/>
      <c r="F336" s="922" t="n"/>
      <c r="G336" s="922" t="n"/>
      <c r="I336" s="922" t="n"/>
      <c r="J336" s="922" t="n"/>
      <c r="L336" s="922" t="n"/>
      <c r="M336" s="922" t="n"/>
      <c r="O336" s="922" t="n"/>
      <c r="P336" s="922" t="n"/>
      <c r="R336" s="922" t="n"/>
      <c r="S336" s="922" t="n"/>
      <c r="U336" s="922" t="n"/>
      <c r="V336" s="922" t="n"/>
      <c r="X336" s="922" t="n"/>
      <c r="Y336" s="922" t="n"/>
      <c r="AA336" s="922" t="n"/>
      <c r="AB336" s="922" t="n"/>
    </row>
    <row r="337" ht="14.5" customHeight="1" s="828">
      <c r="C337" s="922" t="n"/>
      <c r="D337" s="922" t="n"/>
      <c r="F337" s="922" t="n"/>
      <c r="G337" s="922" t="n"/>
      <c r="I337" s="922" t="n"/>
      <c r="J337" s="922" t="n"/>
      <c r="L337" s="922" t="n"/>
      <c r="M337" s="922" t="n"/>
      <c r="O337" s="922" t="n"/>
      <c r="P337" s="922" t="n"/>
      <c r="R337" s="922" t="n"/>
      <c r="S337" s="922" t="n"/>
      <c r="U337" s="922" t="n"/>
      <c r="V337" s="922" t="n"/>
      <c r="X337" s="922" t="n"/>
      <c r="Y337" s="922" t="n"/>
      <c r="AA337" s="922" t="n"/>
      <c r="AB337" s="922" t="n"/>
    </row>
    <row r="338" ht="14.5" customHeight="1" s="828">
      <c r="C338" s="922" t="n"/>
      <c r="D338" s="922" t="n"/>
      <c r="F338" s="922" t="n"/>
      <c r="G338" s="922" t="n"/>
      <c r="I338" s="922" t="n"/>
      <c r="J338" s="922" t="n"/>
      <c r="L338" s="922" t="n"/>
      <c r="M338" s="922" t="n"/>
      <c r="O338" s="922" t="n"/>
      <c r="P338" s="922" t="n"/>
      <c r="R338" s="922" t="n"/>
      <c r="S338" s="922" t="n"/>
      <c r="U338" s="922" t="n"/>
      <c r="V338" s="922" t="n"/>
      <c r="X338" s="922" t="n"/>
      <c r="Y338" s="922" t="n"/>
      <c r="AA338" s="922" t="n"/>
      <c r="AB338" s="922" t="n"/>
    </row>
    <row r="339" ht="14.5" customHeight="1" s="828">
      <c r="C339" s="922" t="n"/>
      <c r="D339" s="922" t="n"/>
      <c r="F339" s="922" t="n"/>
      <c r="G339" s="922" t="n"/>
      <c r="I339" s="922" t="n"/>
      <c r="J339" s="922" t="n"/>
      <c r="L339" s="922" t="n"/>
      <c r="M339" s="922" t="n"/>
      <c r="O339" s="922" t="n"/>
      <c r="P339" s="922" t="n"/>
      <c r="R339" s="922" t="n"/>
      <c r="S339" s="922" t="n"/>
      <c r="U339" s="922" t="n"/>
      <c r="V339" s="922" t="n"/>
      <c r="X339" s="922" t="n"/>
      <c r="Y339" s="922" t="n"/>
      <c r="AA339" s="922" t="n"/>
      <c r="AB339" s="922" t="n"/>
    </row>
    <row r="340" ht="14.5" customHeight="1" s="828">
      <c r="C340" s="922" t="n"/>
      <c r="D340" s="922" t="n"/>
      <c r="F340" s="922" t="n"/>
      <c r="G340" s="922" t="n"/>
      <c r="I340" s="922" t="n"/>
      <c r="J340" s="922" t="n"/>
      <c r="L340" s="922" t="n"/>
      <c r="M340" s="922" t="n"/>
      <c r="O340" s="922" t="n"/>
      <c r="P340" s="922" t="n"/>
      <c r="R340" s="922" t="n"/>
      <c r="S340" s="922" t="n"/>
      <c r="U340" s="922" t="n"/>
      <c r="V340" s="922" t="n"/>
      <c r="X340" s="922" t="n"/>
      <c r="Y340" s="922" t="n"/>
      <c r="AA340" s="922" t="n"/>
      <c r="AB340" s="922" t="n"/>
    </row>
    <row r="341" ht="14.5" customHeight="1" s="828">
      <c r="C341" s="922" t="n"/>
      <c r="D341" s="922" t="n"/>
      <c r="F341" s="922" t="n"/>
      <c r="G341" s="922" t="n"/>
      <c r="I341" s="922" t="n"/>
      <c r="J341" s="922" t="n"/>
      <c r="L341" s="922" t="n"/>
      <c r="M341" s="922" t="n"/>
      <c r="O341" s="922" t="n"/>
      <c r="P341" s="922" t="n"/>
      <c r="R341" s="922" t="n"/>
      <c r="S341" s="922" t="n"/>
      <c r="U341" s="922" t="n"/>
      <c r="V341" s="922" t="n"/>
      <c r="X341" s="922" t="n"/>
      <c r="Y341" s="922" t="n"/>
      <c r="AA341" s="922" t="n"/>
      <c r="AB341" s="922" t="n"/>
    </row>
    <row r="342" ht="14.5" customHeight="1" s="828">
      <c r="C342" s="922" t="n"/>
      <c r="D342" s="922" t="n"/>
      <c r="F342" s="922" t="n"/>
      <c r="G342" s="922" t="n"/>
      <c r="I342" s="922" t="n"/>
      <c r="J342" s="922" t="n"/>
      <c r="L342" s="922" t="n"/>
      <c r="M342" s="922" t="n"/>
      <c r="O342" s="922" t="n"/>
      <c r="P342" s="922" t="n"/>
      <c r="R342" s="922" t="n"/>
      <c r="S342" s="922" t="n"/>
      <c r="U342" s="922" t="n"/>
      <c r="V342" s="922" t="n"/>
      <c r="X342" s="922" t="n"/>
      <c r="Y342" s="922" t="n"/>
      <c r="AA342" s="922" t="n"/>
      <c r="AB342" s="922" t="n"/>
    </row>
    <row r="343" ht="14.5" customHeight="1" s="828">
      <c r="C343" s="922" t="n"/>
      <c r="D343" s="922" t="n"/>
      <c r="F343" s="922" t="n"/>
      <c r="G343" s="922" t="n"/>
      <c r="I343" s="922" t="n"/>
      <c r="J343" s="922" t="n"/>
      <c r="L343" s="922" t="n"/>
      <c r="M343" s="922" t="n"/>
      <c r="O343" s="922" t="n"/>
      <c r="P343" s="922" t="n"/>
      <c r="R343" s="922" t="n"/>
      <c r="S343" s="922" t="n"/>
      <c r="U343" s="922" t="n"/>
      <c r="V343" s="922" t="n"/>
      <c r="X343" s="922" t="n"/>
      <c r="Y343" s="922" t="n"/>
      <c r="AA343" s="922" t="n"/>
      <c r="AB343" s="922" t="n"/>
    </row>
    <row r="344" ht="14.5" customHeight="1" s="828">
      <c r="C344" s="922" t="n"/>
      <c r="D344" s="922" t="n"/>
      <c r="F344" s="922" t="n"/>
      <c r="G344" s="922" t="n"/>
      <c r="I344" s="922" t="n"/>
      <c r="J344" s="922" t="n"/>
      <c r="L344" s="922" t="n"/>
      <c r="M344" s="922" t="n"/>
      <c r="O344" s="922" t="n"/>
      <c r="P344" s="922" t="n"/>
      <c r="R344" s="922" t="n"/>
      <c r="S344" s="922" t="n"/>
      <c r="U344" s="922" t="n"/>
      <c r="V344" s="922" t="n"/>
      <c r="X344" s="922" t="n"/>
      <c r="Y344" s="922" t="n"/>
      <c r="AA344" s="922" t="n"/>
      <c r="AB344" s="922" t="n"/>
    </row>
    <row r="345" ht="14.5" customHeight="1" s="828">
      <c r="C345" s="922" t="n"/>
      <c r="D345" s="922" t="n"/>
      <c r="F345" s="922" t="n"/>
      <c r="G345" s="922" t="n"/>
      <c r="I345" s="922" t="n"/>
      <c r="J345" s="922" t="n"/>
      <c r="L345" s="922" t="n"/>
      <c r="M345" s="922" t="n"/>
      <c r="O345" s="922" t="n"/>
      <c r="P345" s="922" t="n"/>
      <c r="R345" s="922" t="n"/>
      <c r="S345" s="922" t="n"/>
      <c r="U345" s="922" t="n"/>
      <c r="V345" s="922" t="n"/>
      <c r="X345" s="922" t="n"/>
      <c r="Y345" s="922" t="n"/>
      <c r="AA345" s="922" t="n"/>
      <c r="AB345" s="922" t="n"/>
    </row>
    <row r="346" ht="14.5" customHeight="1" s="828">
      <c r="C346" s="922" t="n"/>
      <c r="D346" s="922" t="n"/>
      <c r="F346" s="922" t="n"/>
      <c r="G346" s="922" t="n"/>
      <c r="I346" s="922" t="n"/>
      <c r="J346" s="922" t="n"/>
      <c r="L346" s="922" t="n"/>
      <c r="M346" s="922" t="n"/>
      <c r="O346" s="922" t="n"/>
      <c r="P346" s="922" t="n"/>
      <c r="R346" s="922" t="n"/>
      <c r="S346" s="922" t="n"/>
      <c r="U346" s="922" t="n"/>
      <c r="V346" s="922" t="n"/>
      <c r="X346" s="922" t="n"/>
      <c r="Y346" s="922" t="n"/>
      <c r="AA346" s="922" t="n"/>
      <c r="AB346" s="922" t="n"/>
    </row>
    <row r="347" ht="14.5" customHeight="1" s="828">
      <c r="C347" s="922" t="n"/>
      <c r="D347" s="922" t="n"/>
      <c r="F347" s="922" t="n"/>
      <c r="G347" s="922" t="n"/>
      <c r="I347" s="922" t="n"/>
      <c r="J347" s="922" t="n"/>
      <c r="L347" s="922" t="n"/>
      <c r="M347" s="922" t="n"/>
      <c r="O347" s="922" t="n"/>
      <c r="P347" s="922" t="n"/>
      <c r="R347" s="922" t="n"/>
      <c r="S347" s="922" t="n"/>
      <c r="U347" s="922" t="n"/>
      <c r="V347" s="922" t="n"/>
      <c r="X347" s="922" t="n"/>
      <c r="Y347" s="922" t="n"/>
      <c r="AA347" s="922" t="n"/>
      <c r="AB347" s="922" t="n"/>
    </row>
    <row r="348" ht="14.5" customHeight="1" s="828">
      <c r="C348" s="922" t="n"/>
      <c r="D348" s="922" t="n"/>
      <c r="F348" s="922" t="n"/>
      <c r="G348" s="922" t="n"/>
      <c r="I348" s="922" t="n"/>
      <c r="J348" s="922" t="n"/>
      <c r="L348" s="922" t="n"/>
      <c r="M348" s="922" t="n"/>
      <c r="O348" s="922" t="n"/>
      <c r="P348" s="922" t="n"/>
      <c r="R348" s="922" t="n"/>
      <c r="S348" s="922" t="n"/>
      <c r="U348" s="922" t="n"/>
      <c r="V348" s="922" t="n"/>
      <c r="X348" s="922" t="n"/>
      <c r="Y348" s="922" t="n"/>
      <c r="AA348" s="922" t="n"/>
      <c r="AB348" s="922" t="n"/>
    </row>
    <row r="349" ht="14.5" customHeight="1" s="828">
      <c r="C349" s="922" t="n"/>
      <c r="D349" s="922" t="n"/>
      <c r="F349" s="922" t="n"/>
      <c r="G349" s="922" t="n"/>
      <c r="I349" s="922" t="n"/>
      <c r="J349" s="922" t="n"/>
      <c r="L349" s="922" t="n"/>
      <c r="M349" s="922" t="n"/>
      <c r="O349" s="922" t="n"/>
      <c r="P349" s="922" t="n"/>
      <c r="R349" s="922" t="n"/>
      <c r="S349" s="922" t="n"/>
      <c r="U349" s="922" t="n"/>
      <c r="V349" s="922" t="n"/>
      <c r="X349" s="922" t="n"/>
      <c r="Y349" s="922" t="n"/>
      <c r="AA349" s="922" t="n"/>
      <c r="AB349" s="922" t="n"/>
    </row>
    <row r="350" ht="14.5" customHeight="1" s="828">
      <c r="C350" s="922" t="n"/>
      <c r="D350" s="922" t="n"/>
      <c r="F350" s="922" t="n"/>
      <c r="G350" s="922" t="n"/>
      <c r="I350" s="922" t="n"/>
      <c r="J350" s="922" t="n"/>
      <c r="L350" s="922" t="n"/>
      <c r="M350" s="922" t="n"/>
      <c r="O350" s="922" t="n"/>
      <c r="P350" s="922" t="n"/>
      <c r="R350" s="922" t="n"/>
      <c r="S350" s="922" t="n"/>
      <c r="U350" s="922" t="n"/>
      <c r="V350" s="922" t="n"/>
      <c r="X350" s="922" t="n"/>
      <c r="Y350" s="922" t="n"/>
      <c r="AA350" s="922" t="n"/>
      <c r="AB350" s="922" t="n"/>
    </row>
    <row r="351" ht="14.5" customHeight="1" s="828">
      <c r="C351" s="922" t="n"/>
      <c r="D351" s="922" t="n"/>
      <c r="F351" s="922" t="n"/>
      <c r="G351" s="922" t="n"/>
      <c r="I351" s="922" t="n"/>
      <c r="J351" s="922" t="n"/>
      <c r="L351" s="922" t="n"/>
      <c r="M351" s="922" t="n"/>
      <c r="O351" s="922" t="n"/>
      <c r="P351" s="922" t="n"/>
      <c r="R351" s="922" t="n"/>
      <c r="S351" s="922" t="n"/>
      <c r="U351" s="922" t="n"/>
      <c r="V351" s="922" t="n"/>
      <c r="X351" s="922" t="n"/>
      <c r="Y351" s="922" t="n"/>
      <c r="AA351" s="922" t="n"/>
      <c r="AB351" s="922" t="n"/>
    </row>
    <row r="352" ht="14.5" customHeight="1" s="828">
      <c r="C352" s="922" t="n"/>
      <c r="D352" s="922" t="n"/>
      <c r="F352" s="922" t="n"/>
      <c r="G352" s="922" t="n"/>
      <c r="I352" s="922" t="n"/>
      <c r="J352" s="922" t="n"/>
      <c r="L352" s="922" t="n"/>
      <c r="M352" s="922" t="n"/>
      <c r="O352" s="922" t="n"/>
      <c r="P352" s="922" t="n"/>
      <c r="R352" s="922" t="n"/>
      <c r="S352" s="922" t="n"/>
      <c r="U352" s="922" t="n"/>
      <c r="V352" s="922" t="n"/>
      <c r="X352" s="922" t="n"/>
      <c r="Y352" s="922" t="n"/>
      <c r="AA352" s="922" t="n"/>
      <c r="AB352" s="922" t="n"/>
    </row>
    <row r="353" ht="14.5" customHeight="1" s="828">
      <c r="C353" s="922" t="n"/>
      <c r="D353" s="922" t="n"/>
      <c r="F353" s="922" t="n"/>
      <c r="G353" s="922" t="n"/>
      <c r="I353" s="922" t="n"/>
      <c r="J353" s="922" t="n"/>
      <c r="L353" s="922" t="n"/>
      <c r="M353" s="922" t="n"/>
      <c r="O353" s="922" t="n"/>
      <c r="P353" s="922" t="n"/>
      <c r="R353" s="922" t="n"/>
      <c r="S353" s="922" t="n"/>
      <c r="U353" s="922" t="n"/>
      <c r="V353" s="922" t="n"/>
      <c r="X353" s="922" t="n"/>
      <c r="Y353" s="922" t="n"/>
      <c r="AA353" s="922" t="n"/>
      <c r="AB353" s="922" t="n"/>
    </row>
    <row r="354" ht="14.5" customHeight="1" s="828">
      <c r="C354" s="922" t="n"/>
      <c r="D354" s="922" t="n"/>
      <c r="F354" s="922" t="n"/>
      <c r="G354" s="922" t="n"/>
      <c r="I354" s="922" t="n"/>
      <c r="J354" s="922" t="n"/>
      <c r="L354" s="922" t="n"/>
      <c r="M354" s="922" t="n"/>
      <c r="O354" s="922" t="n"/>
      <c r="P354" s="922" t="n"/>
      <c r="R354" s="922" t="n"/>
      <c r="S354" s="922" t="n"/>
      <c r="U354" s="922" t="n"/>
      <c r="V354" s="922" t="n"/>
      <c r="X354" s="922" t="n"/>
      <c r="Y354" s="922" t="n"/>
      <c r="AA354" s="922" t="n"/>
      <c r="AB354" s="922" t="n"/>
    </row>
    <row r="355" ht="14.5" customHeight="1" s="828">
      <c r="C355" s="922" t="n"/>
      <c r="D355" s="922" t="n"/>
      <c r="F355" s="922" t="n"/>
      <c r="G355" s="922" t="n"/>
      <c r="I355" s="922" t="n"/>
      <c r="J355" s="922" t="n"/>
      <c r="L355" s="922" t="n"/>
      <c r="M355" s="922" t="n"/>
      <c r="O355" s="922" t="n"/>
      <c r="P355" s="922" t="n"/>
      <c r="R355" s="922" t="n"/>
      <c r="S355" s="922" t="n"/>
      <c r="U355" s="922" t="n"/>
      <c r="V355" s="922" t="n"/>
      <c r="X355" s="922" t="n"/>
      <c r="Y355" s="922" t="n"/>
      <c r="AA355" s="922" t="n"/>
      <c r="AB355" s="922" t="n"/>
    </row>
    <row r="356" ht="14.5" customHeight="1" s="828">
      <c r="C356" s="922" t="n"/>
      <c r="D356" s="922" t="n"/>
      <c r="F356" s="922" t="n"/>
      <c r="G356" s="922" t="n"/>
      <c r="I356" s="922" t="n"/>
      <c r="J356" s="922" t="n"/>
      <c r="L356" s="922" t="n"/>
      <c r="M356" s="922" t="n"/>
      <c r="O356" s="922" t="n"/>
      <c r="P356" s="922" t="n"/>
      <c r="R356" s="922" t="n"/>
      <c r="S356" s="922" t="n"/>
      <c r="U356" s="922" t="n"/>
      <c r="V356" s="922" t="n"/>
      <c r="X356" s="922" t="n"/>
      <c r="Y356" s="922" t="n"/>
      <c r="AA356" s="922" t="n"/>
      <c r="AB356" s="922" t="n"/>
    </row>
    <row r="357" ht="14.5" customHeight="1" s="828">
      <c r="C357" s="922" t="n"/>
      <c r="D357" s="922" t="n"/>
      <c r="F357" s="922" t="n"/>
      <c r="G357" s="922" t="n"/>
      <c r="I357" s="922" t="n"/>
      <c r="J357" s="922" t="n"/>
      <c r="L357" s="922" t="n"/>
      <c r="M357" s="922" t="n"/>
      <c r="O357" s="922" t="n"/>
      <c r="P357" s="922" t="n"/>
      <c r="R357" s="922" t="n"/>
      <c r="S357" s="922" t="n"/>
      <c r="U357" s="922" t="n"/>
      <c r="V357" s="922" t="n"/>
      <c r="X357" s="922" t="n"/>
      <c r="Y357" s="922" t="n"/>
      <c r="AA357" s="922" t="n"/>
      <c r="AB357" s="922" t="n"/>
    </row>
    <row r="358" ht="14.5" customHeight="1" s="828">
      <c r="C358" s="922" t="n"/>
      <c r="D358" s="922" t="n"/>
      <c r="F358" s="922" t="n"/>
      <c r="G358" s="922" t="n"/>
      <c r="I358" s="922" t="n"/>
      <c r="J358" s="922" t="n"/>
      <c r="L358" s="922" t="n"/>
      <c r="M358" s="922" t="n"/>
      <c r="O358" s="922" t="n"/>
      <c r="P358" s="922" t="n"/>
      <c r="R358" s="922" t="n"/>
      <c r="S358" s="922" t="n"/>
      <c r="U358" s="922" t="n"/>
      <c r="V358" s="922" t="n"/>
      <c r="X358" s="922" t="n"/>
      <c r="Y358" s="922" t="n"/>
      <c r="AA358" s="922" t="n"/>
      <c r="AB358" s="922" t="n"/>
    </row>
    <row r="359" ht="14.5" customHeight="1" s="828">
      <c r="C359" s="922" t="n"/>
      <c r="D359" s="922" t="n"/>
      <c r="F359" s="922" t="n"/>
      <c r="G359" s="922" t="n"/>
      <c r="I359" s="922" t="n"/>
      <c r="J359" s="922" t="n"/>
      <c r="L359" s="922" t="n"/>
      <c r="M359" s="922" t="n"/>
      <c r="O359" s="922" t="n"/>
      <c r="P359" s="922" t="n"/>
      <c r="R359" s="922" t="n"/>
      <c r="S359" s="922" t="n"/>
      <c r="U359" s="922" t="n"/>
      <c r="V359" s="922" t="n"/>
      <c r="X359" s="922" t="n"/>
      <c r="Y359" s="922" t="n"/>
      <c r="AA359" s="922" t="n"/>
      <c r="AB359" s="922" t="n"/>
    </row>
    <row r="360" ht="14.5" customHeight="1" s="828">
      <c r="C360" s="922" t="n"/>
      <c r="D360" s="922" t="n"/>
      <c r="F360" s="922" t="n"/>
      <c r="G360" s="922" t="n"/>
      <c r="I360" s="922" t="n"/>
      <c r="J360" s="922" t="n"/>
      <c r="L360" s="922" t="n"/>
      <c r="M360" s="922" t="n"/>
      <c r="O360" s="922" t="n"/>
      <c r="P360" s="922" t="n"/>
      <c r="R360" s="922" t="n"/>
      <c r="S360" s="922" t="n"/>
      <c r="U360" s="922" t="n"/>
      <c r="V360" s="922" t="n"/>
      <c r="X360" s="922" t="n"/>
      <c r="Y360" s="922" t="n"/>
      <c r="AA360" s="922" t="n"/>
      <c r="AB360" s="922" t="n"/>
    </row>
    <row r="361" ht="14.5" customHeight="1" s="828">
      <c r="C361" s="922" t="n"/>
      <c r="D361" s="922" t="n"/>
      <c r="F361" s="922" t="n"/>
      <c r="G361" s="922" t="n"/>
      <c r="I361" s="922" t="n"/>
      <c r="J361" s="922" t="n"/>
      <c r="L361" s="922" t="n"/>
      <c r="M361" s="922" t="n"/>
      <c r="O361" s="922" t="n"/>
      <c r="P361" s="922" t="n"/>
      <c r="R361" s="922" t="n"/>
      <c r="S361" s="922" t="n"/>
      <c r="U361" s="922" t="n"/>
      <c r="V361" s="922" t="n"/>
      <c r="X361" s="922" t="n"/>
      <c r="Y361" s="922" t="n"/>
      <c r="AA361" s="922" t="n"/>
      <c r="AB361" s="922" t="n"/>
    </row>
    <row r="362" ht="14.5" customHeight="1" s="828">
      <c r="C362" s="922" t="n"/>
      <c r="D362" s="922" t="n"/>
      <c r="F362" s="922" t="n"/>
      <c r="G362" s="922" t="n"/>
      <c r="I362" s="922" t="n"/>
      <c r="J362" s="922" t="n"/>
      <c r="L362" s="922" t="n"/>
      <c r="M362" s="922" t="n"/>
      <c r="O362" s="922" t="n"/>
      <c r="P362" s="922" t="n"/>
      <c r="R362" s="922" t="n"/>
      <c r="S362" s="922" t="n"/>
      <c r="U362" s="922" t="n"/>
      <c r="V362" s="922" t="n"/>
      <c r="X362" s="922" t="n"/>
      <c r="Y362" s="922" t="n"/>
      <c r="AA362" s="922" t="n"/>
      <c r="AB362" s="922" t="n"/>
    </row>
    <row r="363" ht="14.5" customHeight="1" s="828">
      <c r="C363" s="922" t="n"/>
      <c r="D363" s="922" t="n"/>
      <c r="F363" s="922" t="n"/>
      <c r="G363" s="922" t="n"/>
      <c r="I363" s="922" t="n"/>
      <c r="J363" s="922" t="n"/>
      <c r="L363" s="922" t="n"/>
      <c r="M363" s="922" t="n"/>
      <c r="O363" s="922" t="n"/>
      <c r="P363" s="922" t="n"/>
      <c r="R363" s="922" t="n"/>
      <c r="S363" s="922" t="n"/>
      <c r="U363" s="922" t="n"/>
      <c r="V363" s="922" t="n"/>
      <c r="X363" s="922" t="n"/>
      <c r="Y363" s="922" t="n"/>
      <c r="AA363" s="922" t="n"/>
      <c r="AB363" s="922" t="n"/>
    </row>
    <row r="364" ht="14.5" customHeight="1" s="828">
      <c r="C364" s="922" t="n"/>
      <c r="D364" s="922" t="n"/>
      <c r="F364" s="922" t="n"/>
      <c r="G364" s="922" t="n"/>
      <c r="I364" s="922" t="n"/>
      <c r="J364" s="922" t="n"/>
      <c r="L364" s="922" t="n"/>
      <c r="M364" s="922" t="n"/>
      <c r="O364" s="922" t="n"/>
      <c r="P364" s="922" t="n"/>
      <c r="R364" s="922" t="n"/>
      <c r="S364" s="922" t="n"/>
      <c r="U364" s="922" t="n"/>
      <c r="V364" s="922" t="n"/>
      <c r="X364" s="922" t="n"/>
      <c r="Y364" s="922" t="n"/>
      <c r="AA364" s="922" t="n"/>
      <c r="AB364" s="922" t="n"/>
    </row>
    <row r="365" ht="14.5" customHeight="1" s="828">
      <c r="C365" s="922" t="n"/>
      <c r="D365" s="922" t="n"/>
      <c r="F365" s="922" t="n"/>
      <c r="G365" s="922" t="n"/>
      <c r="I365" s="922" t="n"/>
      <c r="J365" s="922" t="n"/>
      <c r="L365" s="922" t="n"/>
      <c r="M365" s="922" t="n"/>
      <c r="O365" s="922" t="n"/>
      <c r="P365" s="922" t="n"/>
      <c r="R365" s="922" t="n"/>
      <c r="S365" s="922" t="n"/>
      <c r="U365" s="922" t="n"/>
      <c r="V365" s="922" t="n"/>
      <c r="X365" s="922" t="n"/>
      <c r="Y365" s="922" t="n"/>
      <c r="AA365" s="922" t="n"/>
      <c r="AB365" s="922" t="n"/>
    </row>
    <row r="366" ht="14.5" customHeight="1" s="828">
      <c r="C366" s="922" t="n"/>
      <c r="D366" s="922" t="n"/>
      <c r="F366" s="922" t="n"/>
      <c r="G366" s="922" t="n"/>
      <c r="I366" s="922" t="n"/>
      <c r="J366" s="922" t="n"/>
      <c r="L366" s="922" t="n"/>
      <c r="M366" s="922" t="n"/>
      <c r="O366" s="922" t="n"/>
      <c r="P366" s="922" t="n"/>
      <c r="R366" s="922" t="n"/>
      <c r="S366" s="922" t="n"/>
      <c r="U366" s="922" t="n"/>
      <c r="V366" s="922" t="n"/>
      <c r="X366" s="922" t="n"/>
      <c r="Y366" s="922" t="n"/>
      <c r="AA366" s="922" t="n"/>
      <c r="AB366" s="922" t="n"/>
    </row>
    <row r="367" ht="14.5" customHeight="1" s="828">
      <c r="C367" s="922" t="n"/>
      <c r="D367" s="922" t="n"/>
      <c r="F367" s="922" t="n"/>
      <c r="G367" s="922" t="n"/>
      <c r="I367" s="922" t="n"/>
      <c r="J367" s="922" t="n"/>
      <c r="L367" s="922" t="n"/>
      <c r="M367" s="922" t="n"/>
      <c r="O367" s="922" t="n"/>
      <c r="P367" s="922" t="n"/>
      <c r="R367" s="922" t="n"/>
      <c r="S367" s="922" t="n"/>
      <c r="U367" s="922" t="n"/>
      <c r="V367" s="922" t="n"/>
      <c r="X367" s="922" t="n"/>
      <c r="Y367" s="922" t="n"/>
      <c r="AA367" s="922" t="n"/>
      <c r="AB367" s="922" t="n"/>
    </row>
    <row r="368" ht="14.5" customHeight="1" s="828">
      <c r="C368" s="922" t="n"/>
      <c r="D368" s="922" t="n"/>
      <c r="F368" s="922" t="n"/>
      <c r="G368" s="922" t="n"/>
      <c r="I368" s="922" t="n"/>
      <c r="J368" s="922" t="n"/>
      <c r="L368" s="922" t="n"/>
      <c r="M368" s="922" t="n"/>
      <c r="O368" s="922" t="n"/>
      <c r="P368" s="922" t="n"/>
      <c r="R368" s="922" t="n"/>
      <c r="S368" s="922" t="n"/>
      <c r="U368" s="922" t="n"/>
      <c r="V368" s="922" t="n"/>
      <c r="X368" s="922" t="n"/>
      <c r="Y368" s="922" t="n"/>
      <c r="AA368" s="922" t="n"/>
      <c r="AB368" s="922" t="n"/>
    </row>
    <row r="369" ht="14.5" customHeight="1" s="828">
      <c r="C369" s="922" t="n"/>
      <c r="D369" s="922" t="n"/>
      <c r="F369" s="922" t="n"/>
      <c r="G369" s="922" t="n"/>
      <c r="I369" s="922" t="n"/>
      <c r="J369" s="922" t="n"/>
      <c r="L369" s="922" t="n"/>
      <c r="M369" s="922" t="n"/>
      <c r="O369" s="922" t="n"/>
      <c r="P369" s="922" t="n"/>
      <c r="R369" s="922" t="n"/>
      <c r="S369" s="922" t="n"/>
      <c r="U369" s="922" t="n"/>
      <c r="V369" s="922" t="n"/>
      <c r="X369" s="922" t="n"/>
      <c r="Y369" s="922" t="n"/>
      <c r="AA369" s="922" t="n"/>
      <c r="AB369" s="922" t="n"/>
    </row>
    <row r="370" ht="14.5" customHeight="1" s="828">
      <c r="C370" s="922" t="n"/>
      <c r="D370" s="922" t="n"/>
      <c r="F370" s="922" t="n"/>
      <c r="G370" s="922" t="n"/>
      <c r="I370" s="922" t="n"/>
      <c r="J370" s="922" t="n"/>
      <c r="L370" s="922" t="n"/>
      <c r="M370" s="922" t="n"/>
      <c r="O370" s="922" t="n"/>
      <c r="P370" s="922" t="n"/>
      <c r="R370" s="922" t="n"/>
      <c r="S370" s="922" t="n"/>
      <c r="U370" s="922" t="n"/>
      <c r="V370" s="922" t="n"/>
      <c r="X370" s="922" t="n"/>
      <c r="Y370" s="922" t="n"/>
      <c r="AA370" s="922" t="n"/>
      <c r="AB370" s="922" t="n"/>
    </row>
    <row r="371" ht="14.5" customHeight="1" s="828">
      <c r="C371" s="922" t="n"/>
      <c r="D371" s="922" t="n"/>
      <c r="F371" s="922" t="n"/>
      <c r="G371" s="922" t="n"/>
      <c r="I371" s="922" t="n"/>
      <c r="J371" s="922" t="n"/>
      <c r="L371" s="922" t="n"/>
      <c r="M371" s="922" t="n"/>
      <c r="O371" s="922" t="n"/>
      <c r="P371" s="922" t="n"/>
      <c r="R371" s="922" t="n"/>
      <c r="S371" s="922" t="n"/>
      <c r="U371" s="922" t="n"/>
      <c r="V371" s="922" t="n"/>
      <c r="X371" s="922" t="n"/>
      <c r="Y371" s="922" t="n"/>
      <c r="AA371" s="922" t="n"/>
      <c r="AB371" s="922" t="n"/>
    </row>
    <row r="372" ht="14.5" customHeight="1" s="828">
      <c r="C372" s="922" t="n"/>
      <c r="D372" s="922" t="n"/>
      <c r="F372" s="922" t="n"/>
      <c r="G372" s="922" t="n"/>
      <c r="I372" s="922" t="n"/>
      <c r="J372" s="922" t="n"/>
      <c r="L372" s="922" t="n"/>
      <c r="M372" s="922" t="n"/>
      <c r="O372" s="922" t="n"/>
      <c r="P372" s="922" t="n"/>
      <c r="R372" s="922" t="n"/>
      <c r="S372" s="922" t="n"/>
      <c r="U372" s="922" t="n"/>
      <c r="V372" s="922" t="n"/>
      <c r="X372" s="922" t="n"/>
      <c r="Y372" s="922" t="n"/>
      <c r="AA372" s="922" t="n"/>
      <c r="AB372" s="922" t="n"/>
    </row>
    <row r="373" ht="14.5" customHeight="1" s="828">
      <c r="C373" s="922" t="n"/>
      <c r="D373" s="922" t="n"/>
      <c r="F373" s="922" t="n"/>
      <c r="G373" s="922" t="n"/>
      <c r="I373" s="922" t="n"/>
      <c r="J373" s="922" t="n"/>
      <c r="L373" s="922" t="n"/>
      <c r="M373" s="922" t="n"/>
      <c r="O373" s="922" t="n"/>
      <c r="P373" s="922" t="n"/>
      <c r="R373" s="922" t="n"/>
      <c r="S373" s="922" t="n"/>
      <c r="U373" s="922" t="n"/>
      <c r="V373" s="922" t="n"/>
      <c r="X373" s="922" t="n"/>
      <c r="Y373" s="922" t="n"/>
      <c r="AA373" s="922" t="n"/>
      <c r="AB373" s="922" t="n"/>
    </row>
    <row r="374" ht="14.5" customHeight="1" s="828">
      <c r="C374" s="922" t="n"/>
      <c r="D374" s="922" t="n"/>
      <c r="F374" s="922" t="n"/>
      <c r="G374" s="922" t="n"/>
      <c r="I374" s="922" t="n"/>
      <c r="J374" s="922" t="n"/>
      <c r="L374" s="922" t="n"/>
      <c r="M374" s="922" t="n"/>
      <c r="O374" s="922" t="n"/>
      <c r="P374" s="922" t="n"/>
      <c r="R374" s="922" t="n"/>
      <c r="S374" s="922" t="n"/>
      <c r="U374" s="922" t="n"/>
      <c r="V374" s="922" t="n"/>
      <c r="X374" s="922" t="n"/>
      <c r="Y374" s="922" t="n"/>
      <c r="AA374" s="922" t="n"/>
      <c r="AB374" s="922" t="n"/>
    </row>
    <row r="375" ht="14.5" customHeight="1" s="828">
      <c r="C375" s="922" t="n"/>
      <c r="D375" s="922" t="n"/>
      <c r="F375" s="922" t="n"/>
      <c r="G375" s="922" t="n"/>
      <c r="I375" s="922" t="n"/>
      <c r="J375" s="922" t="n"/>
      <c r="L375" s="922" t="n"/>
      <c r="M375" s="922" t="n"/>
      <c r="O375" s="922" t="n"/>
      <c r="P375" s="922" t="n"/>
      <c r="R375" s="922" t="n"/>
      <c r="S375" s="922" t="n"/>
      <c r="U375" s="922" t="n"/>
      <c r="V375" s="922" t="n"/>
      <c r="X375" s="922" t="n"/>
      <c r="Y375" s="922" t="n"/>
      <c r="AA375" s="922" t="n"/>
      <c r="AB375" s="922" t="n"/>
    </row>
    <row r="376" ht="14.5" customHeight="1" s="828">
      <c r="C376" s="922" t="n"/>
      <c r="D376" s="922" t="n"/>
      <c r="F376" s="922" t="n"/>
      <c r="G376" s="922" t="n"/>
      <c r="I376" s="922" t="n"/>
      <c r="J376" s="922" t="n"/>
      <c r="L376" s="922" t="n"/>
      <c r="M376" s="922" t="n"/>
      <c r="O376" s="922" t="n"/>
      <c r="P376" s="922" t="n"/>
      <c r="R376" s="922" t="n"/>
      <c r="S376" s="922" t="n"/>
      <c r="U376" s="922" t="n"/>
      <c r="V376" s="922" t="n"/>
      <c r="X376" s="922" t="n"/>
      <c r="Y376" s="922" t="n"/>
      <c r="AA376" s="922" t="n"/>
      <c r="AB376" s="922" t="n"/>
    </row>
    <row r="377" ht="14.5" customHeight="1" s="828">
      <c r="C377" s="922" t="n"/>
      <c r="D377" s="922" t="n"/>
      <c r="F377" s="922" t="n"/>
      <c r="G377" s="922" t="n"/>
      <c r="I377" s="922" t="n"/>
      <c r="J377" s="922" t="n"/>
      <c r="L377" s="922" t="n"/>
      <c r="M377" s="922" t="n"/>
      <c r="O377" s="922" t="n"/>
      <c r="P377" s="922" t="n"/>
      <c r="R377" s="922" t="n"/>
      <c r="S377" s="922" t="n"/>
      <c r="U377" s="922" t="n"/>
      <c r="V377" s="922" t="n"/>
      <c r="X377" s="922" t="n"/>
      <c r="Y377" s="922" t="n"/>
      <c r="AA377" s="922" t="n"/>
      <c r="AB377" s="922" t="n"/>
    </row>
    <row r="378" ht="14.5" customHeight="1" s="828">
      <c r="C378" s="922" t="n"/>
      <c r="D378" s="922" t="n"/>
      <c r="F378" s="922" t="n"/>
      <c r="G378" s="922" t="n"/>
      <c r="I378" s="922" t="n"/>
      <c r="J378" s="922" t="n"/>
      <c r="L378" s="922" t="n"/>
      <c r="M378" s="922" t="n"/>
      <c r="O378" s="922" t="n"/>
      <c r="P378" s="922" t="n"/>
      <c r="R378" s="922" t="n"/>
      <c r="S378" s="922" t="n"/>
      <c r="U378" s="922" t="n"/>
      <c r="V378" s="922" t="n"/>
      <c r="X378" s="922" t="n"/>
      <c r="Y378" s="922" t="n"/>
      <c r="AA378" s="922" t="n"/>
      <c r="AB378" s="922" t="n"/>
    </row>
    <row r="379" ht="14.5" customHeight="1" s="828">
      <c r="C379" s="922" t="n"/>
      <c r="D379" s="922" t="n"/>
      <c r="F379" s="922" t="n"/>
      <c r="G379" s="922" t="n"/>
      <c r="I379" s="922" t="n"/>
      <c r="J379" s="922" t="n"/>
      <c r="L379" s="922" t="n"/>
      <c r="M379" s="922" t="n"/>
      <c r="O379" s="922" t="n"/>
      <c r="P379" s="922" t="n"/>
      <c r="R379" s="922" t="n"/>
      <c r="S379" s="922" t="n"/>
      <c r="U379" s="922" t="n"/>
      <c r="V379" s="922" t="n"/>
      <c r="X379" s="922" t="n"/>
      <c r="Y379" s="922" t="n"/>
      <c r="AA379" s="922" t="n"/>
      <c r="AB379" s="922" t="n"/>
    </row>
    <row r="380" ht="14.5" customHeight="1" s="828">
      <c r="C380" s="922" t="n"/>
      <c r="D380" s="922" t="n"/>
      <c r="F380" s="922" t="n"/>
      <c r="G380" s="922" t="n"/>
      <c r="I380" s="922" t="n"/>
      <c r="J380" s="922" t="n"/>
      <c r="L380" s="922" t="n"/>
      <c r="M380" s="922" t="n"/>
      <c r="O380" s="922" t="n"/>
      <c r="P380" s="922" t="n"/>
      <c r="R380" s="922" t="n"/>
      <c r="S380" s="922" t="n"/>
      <c r="U380" s="922" t="n"/>
      <c r="V380" s="922" t="n"/>
      <c r="X380" s="922" t="n"/>
      <c r="Y380" s="922" t="n"/>
      <c r="AA380" s="922" t="n"/>
      <c r="AB380" s="922" t="n"/>
    </row>
    <row r="381" ht="14.5" customHeight="1" s="828">
      <c r="C381" s="922" t="n"/>
      <c r="D381" s="922" t="n"/>
      <c r="F381" s="922" t="n"/>
      <c r="G381" s="922" t="n"/>
      <c r="I381" s="922" t="n"/>
      <c r="J381" s="922" t="n"/>
      <c r="L381" s="922" t="n"/>
      <c r="M381" s="922" t="n"/>
      <c r="O381" s="922" t="n"/>
      <c r="P381" s="922" t="n"/>
      <c r="R381" s="922" t="n"/>
      <c r="S381" s="922" t="n"/>
      <c r="U381" s="922" t="n"/>
      <c r="V381" s="922" t="n"/>
      <c r="X381" s="922" t="n"/>
      <c r="Y381" s="922" t="n"/>
      <c r="AA381" s="922" t="n"/>
      <c r="AB381" s="922" t="n"/>
    </row>
    <row r="382" ht="14.5" customHeight="1" s="828">
      <c r="C382" s="922" t="n"/>
      <c r="D382" s="922" t="n"/>
      <c r="F382" s="922" t="n"/>
      <c r="G382" s="922" t="n"/>
      <c r="I382" s="922" t="n"/>
      <c r="J382" s="922" t="n"/>
      <c r="L382" s="922" t="n"/>
      <c r="M382" s="922" t="n"/>
      <c r="O382" s="922" t="n"/>
      <c r="P382" s="922" t="n"/>
      <c r="R382" s="922" t="n"/>
      <c r="S382" s="922" t="n"/>
      <c r="U382" s="922" t="n"/>
      <c r="V382" s="922" t="n"/>
      <c r="X382" s="922" t="n"/>
      <c r="Y382" s="922" t="n"/>
      <c r="AA382" s="922" t="n"/>
      <c r="AB382" s="922" t="n"/>
    </row>
    <row r="383" ht="14.5" customHeight="1" s="828">
      <c r="C383" s="922" t="n"/>
      <c r="D383" s="922" t="n"/>
      <c r="F383" s="922" t="n"/>
      <c r="G383" s="922" t="n"/>
      <c r="I383" s="922" t="n"/>
      <c r="J383" s="922" t="n"/>
      <c r="L383" s="922" t="n"/>
      <c r="M383" s="922" t="n"/>
      <c r="O383" s="922" t="n"/>
      <c r="P383" s="922" t="n"/>
      <c r="R383" s="922" t="n"/>
      <c r="S383" s="922" t="n"/>
      <c r="U383" s="922" t="n"/>
      <c r="V383" s="922" t="n"/>
      <c r="X383" s="922" t="n"/>
      <c r="Y383" s="922" t="n"/>
      <c r="AA383" s="922" t="n"/>
      <c r="AB383" s="922" t="n"/>
    </row>
    <row r="384" ht="14.5" customHeight="1" s="828">
      <c r="C384" s="922" t="n"/>
      <c r="D384" s="922" t="n"/>
      <c r="F384" s="922" t="n"/>
      <c r="G384" s="922" t="n"/>
      <c r="I384" s="922" t="n"/>
      <c r="J384" s="922" t="n"/>
      <c r="L384" s="922" t="n"/>
      <c r="M384" s="922" t="n"/>
      <c r="O384" s="922" t="n"/>
      <c r="P384" s="922" t="n"/>
      <c r="R384" s="922" t="n"/>
      <c r="S384" s="922" t="n"/>
      <c r="U384" s="922" t="n"/>
      <c r="V384" s="922" t="n"/>
      <c r="X384" s="922" t="n"/>
      <c r="Y384" s="922" t="n"/>
      <c r="AA384" s="922" t="n"/>
      <c r="AB384" s="922" t="n"/>
    </row>
    <row r="385" ht="14.5" customHeight="1" s="828">
      <c r="C385" s="922" t="n"/>
      <c r="D385" s="922" t="n"/>
      <c r="F385" s="922" t="n"/>
      <c r="G385" s="922" t="n"/>
      <c r="I385" s="922" t="n"/>
      <c r="J385" s="922" t="n"/>
      <c r="L385" s="922" t="n"/>
      <c r="M385" s="922" t="n"/>
      <c r="O385" s="922" t="n"/>
      <c r="P385" s="922" t="n"/>
      <c r="R385" s="922" t="n"/>
      <c r="S385" s="922" t="n"/>
      <c r="U385" s="922" t="n"/>
      <c r="V385" s="922" t="n"/>
      <c r="X385" s="922" t="n"/>
      <c r="Y385" s="922" t="n"/>
      <c r="AA385" s="922" t="n"/>
      <c r="AB385" s="922" t="n"/>
    </row>
    <row r="386" ht="14.5" customHeight="1" s="828">
      <c r="C386" s="922" t="n"/>
      <c r="D386" s="922" t="n"/>
      <c r="F386" s="922" t="n"/>
      <c r="G386" s="922" t="n"/>
      <c r="I386" s="922" t="n"/>
      <c r="J386" s="922" t="n"/>
      <c r="L386" s="922" t="n"/>
      <c r="M386" s="922" t="n"/>
      <c r="O386" s="922" t="n"/>
      <c r="P386" s="922" t="n"/>
      <c r="R386" s="922" t="n"/>
      <c r="S386" s="922" t="n"/>
      <c r="U386" s="922" t="n"/>
      <c r="V386" s="922" t="n"/>
      <c r="X386" s="922" t="n"/>
      <c r="Y386" s="922" t="n"/>
      <c r="AA386" s="922" t="n"/>
      <c r="AB386" s="922" t="n"/>
    </row>
    <row r="387" ht="14.5" customHeight="1" s="828">
      <c r="C387" s="922" t="n"/>
      <c r="D387" s="922" t="n"/>
      <c r="F387" s="922" t="n"/>
      <c r="G387" s="922" t="n"/>
      <c r="I387" s="922" t="n"/>
      <c r="J387" s="922" t="n"/>
      <c r="L387" s="922" t="n"/>
      <c r="M387" s="922" t="n"/>
      <c r="O387" s="922" t="n"/>
      <c r="P387" s="922" t="n"/>
      <c r="R387" s="922" t="n"/>
      <c r="S387" s="922" t="n"/>
      <c r="U387" s="922" t="n"/>
      <c r="V387" s="922" t="n"/>
      <c r="X387" s="922" t="n"/>
      <c r="Y387" s="922" t="n"/>
      <c r="AA387" s="922" t="n"/>
      <c r="AB387" s="922" t="n"/>
    </row>
    <row r="388" ht="14.5" customHeight="1" s="828">
      <c r="C388" s="922" t="n"/>
      <c r="D388" s="922" t="n"/>
      <c r="F388" s="922" t="n"/>
      <c r="G388" s="922" t="n"/>
      <c r="I388" s="922" t="n"/>
      <c r="J388" s="922" t="n"/>
      <c r="L388" s="922" t="n"/>
      <c r="M388" s="922" t="n"/>
      <c r="O388" s="922" t="n"/>
      <c r="P388" s="922" t="n"/>
      <c r="R388" s="922" t="n"/>
      <c r="S388" s="922" t="n"/>
      <c r="U388" s="922" t="n"/>
      <c r="V388" s="922" t="n"/>
      <c r="X388" s="922" t="n"/>
      <c r="Y388" s="922" t="n"/>
      <c r="AA388" s="922" t="n"/>
      <c r="AB388" s="922" t="n"/>
    </row>
    <row r="389" ht="14.5" customHeight="1" s="828">
      <c r="C389" s="922" t="n"/>
      <c r="D389" s="922" t="n"/>
      <c r="F389" s="922" t="n"/>
      <c r="G389" s="922" t="n"/>
      <c r="I389" s="922" t="n"/>
      <c r="J389" s="922" t="n"/>
      <c r="L389" s="922" t="n"/>
      <c r="M389" s="922" t="n"/>
      <c r="O389" s="922" t="n"/>
      <c r="P389" s="922" t="n"/>
      <c r="R389" s="922" t="n"/>
      <c r="S389" s="922" t="n"/>
      <c r="U389" s="922" t="n"/>
      <c r="V389" s="922" t="n"/>
      <c r="X389" s="922" t="n"/>
      <c r="Y389" s="922" t="n"/>
      <c r="AA389" s="922" t="n"/>
      <c r="AB389" s="922" t="n"/>
    </row>
    <row r="390" ht="14.5" customHeight="1" s="828">
      <c r="C390" s="922" t="n"/>
      <c r="D390" s="922" t="n"/>
      <c r="F390" s="922" t="n"/>
      <c r="G390" s="922" t="n"/>
      <c r="I390" s="922" t="n"/>
      <c r="J390" s="922" t="n"/>
      <c r="L390" s="922" t="n"/>
      <c r="M390" s="922" t="n"/>
      <c r="O390" s="922" t="n"/>
      <c r="P390" s="922" t="n"/>
      <c r="R390" s="922" t="n"/>
      <c r="S390" s="922" t="n"/>
      <c r="U390" s="922" t="n"/>
      <c r="V390" s="922" t="n"/>
      <c r="X390" s="922" t="n"/>
      <c r="Y390" s="922" t="n"/>
      <c r="AA390" s="922" t="n"/>
      <c r="AB390" s="922" t="n"/>
    </row>
    <row r="391" ht="14.5" customHeight="1" s="828">
      <c r="C391" s="922" t="n"/>
      <c r="D391" s="922" t="n"/>
      <c r="F391" s="922" t="n"/>
      <c r="G391" s="922" t="n"/>
      <c r="I391" s="922" t="n"/>
      <c r="J391" s="922" t="n"/>
      <c r="L391" s="922" t="n"/>
      <c r="M391" s="922" t="n"/>
      <c r="O391" s="922" t="n"/>
      <c r="P391" s="922" t="n"/>
      <c r="R391" s="922" t="n"/>
      <c r="S391" s="922" t="n"/>
      <c r="U391" s="922" t="n"/>
      <c r="V391" s="922" t="n"/>
      <c r="X391" s="922" t="n"/>
      <c r="Y391" s="922" t="n"/>
      <c r="AA391" s="922" t="n"/>
      <c r="AB391" s="922" t="n"/>
    </row>
    <row r="392" ht="14.5" customHeight="1" s="828">
      <c r="C392" s="922" t="n"/>
      <c r="D392" s="922" t="n"/>
      <c r="F392" s="922" t="n"/>
      <c r="G392" s="922" t="n"/>
      <c r="I392" s="922" t="n"/>
      <c r="J392" s="922" t="n"/>
      <c r="L392" s="922" t="n"/>
      <c r="M392" s="922" t="n"/>
      <c r="O392" s="922" t="n"/>
      <c r="P392" s="922" t="n"/>
      <c r="R392" s="922" t="n"/>
      <c r="S392" s="922" t="n"/>
      <c r="U392" s="922" t="n"/>
      <c r="V392" s="922" t="n"/>
      <c r="X392" s="922" t="n"/>
      <c r="Y392" s="922" t="n"/>
      <c r="AA392" s="922" t="n"/>
      <c r="AB392" s="922" t="n"/>
    </row>
    <row r="393" ht="14.5" customHeight="1" s="828">
      <c r="C393" s="922" t="n"/>
      <c r="D393" s="922" t="n"/>
      <c r="F393" s="922" t="n"/>
      <c r="G393" s="922" t="n"/>
      <c r="I393" s="922" t="n"/>
      <c r="J393" s="922" t="n"/>
      <c r="L393" s="922" t="n"/>
      <c r="M393" s="922" t="n"/>
      <c r="O393" s="922" t="n"/>
      <c r="P393" s="922" t="n"/>
      <c r="R393" s="922" t="n"/>
      <c r="S393" s="922" t="n"/>
      <c r="U393" s="922" t="n"/>
      <c r="V393" s="922" t="n"/>
      <c r="X393" s="922" t="n"/>
      <c r="Y393" s="922" t="n"/>
      <c r="AA393" s="922" t="n"/>
      <c r="AB393" s="922" t="n"/>
    </row>
    <row r="394" ht="14.5" customHeight="1" s="828">
      <c r="C394" s="922" t="n"/>
      <c r="D394" s="922" t="n"/>
      <c r="F394" s="922" t="n"/>
      <c r="G394" s="922" t="n"/>
      <c r="I394" s="922" t="n"/>
      <c r="J394" s="922" t="n"/>
      <c r="L394" s="922" t="n"/>
      <c r="M394" s="922" t="n"/>
      <c r="O394" s="922" t="n"/>
      <c r="P394" s="922" t="n"/>
      <c r="R394" s="922" t="n"/>
      <c r="S394" s="922" t="n"/>
      <c r="U394" s="922" t="n"/>
      <c r="V394" s="922" t="n"/>
      <c r="X394" s="922" t="n"/>
      <c r="Y394" s="922" t="n"/>
      <c r="AA394" s="922" t="n"/>
      <c r="AB394" s="922" t="n"/>
    </row>
    <row r="395" ht="14.5" customHeight="1" s="828">
      <c r="C395" s="922" t="n"/>
      <c r="D395" s="922" t="n"/>
      <c r="F395" s="922" t="n"/>
      <c r="G395" s="922" t="n"/>
      <c r="I395" s="922" t="n"/>
      <c r="J395" s="922" t="n"/>
      <c r="L395" s="922" t="n"/>
      <c r="M395" s="922" t="n"/>
      <c r="O395" s="922" t="n"/>
      <c r="P395" s="922" t="n"/>
      <c r="R395" s="922" t="n"/>
      <c r="S395" s="922" t="n"/>
      <c r="U395" s="922" t="n"/>
      <c r="V395" s="922" t="n"/>
      <c r="X395" s="922" t="n"/>
      <c r="Y395" s="922" t="n"/>
      <c r="AA395" s="922" t="n"/>
      <c r="AB395" s="922" t="n"/>
    </row>
    <row r="396" ht="14.5" customHeight="1" s="828">
      <c r="C396" s="922" t="n"/>
      <c r="D396" s="922" t="n"/>
      <c r="F396" s="922" t="n"/>
      <c r="G396" s="922" t="n"/>
      <c r="I396" s="922" t="n"/>
      <c r="J396" s="922" t="n"/>
      <c r="L396" s="922" t="n"/>
      <c r="M396" s="922" t="n"/>
      <c r="O396" s="922" t="n"/>
      <c r="P396" s="922" t="n"/>
      <c r="R396" s="922" t="n"/>
      <c r="S396" s="922" t="n"/>
      <c r="U396" s="922" t="n"/>
      <c r="V396" s="922" t="n"/>
      <c r="X396" s="922" t="n"/>
      <c r="Y396" s="922" t="n"/>
      <c r="AA396" s="922" t="n"/>
      <c r="AB396" s="922" t="n"/>
    </row>
    <row r="397" ht="14.5" customHeight="1" s="828">
      <c r="C397" s="922" t="n"/>
      <c r="D397" s="922" t="n"/>
      <c r="F397" s="922" t="n"/>
      <c r="G397" s="922" t="n"/>
      <c r="I397" s="922" t="n"/>
      <c r="J397" s="922" t="n"/>
      <c r="L397" s="922" t="n"/>
      <c r="M397" s="922" t="n"/>
      <c r="O397" s="922" t="n"/>
      <c r="P397" s="922" t="n"/>
      <c r="R397" s="922" t="n"/>
      <c r="S397" s="922" t="n"/>
      <c r="U397" s="922" t="n"/>
      <c r="V397" s="922" t="n"/>
      <c r="X397" s="922" t="n"/>
      <c r="Y397" s="922" t="n"/>
      <c r="AA397" s="922" t="n"/>
      <c r="AB397" s="922" t="n"/>
    </row>
    <row r="398" ht="14.5" customHeight="1" s="828">
      <c r="C398" s="922" t="n"/>
      <c r="D398" s="922" t="n"/>
      <c r="F398" s="922" t="n"/>
      <c r="G398" s="922" t="n"/>
      <c r="I398" s="922" t="n"/>
      <c r="J398" s="922" t="n"/>
      <c r="L398" s="922" t="n"/>
      <c r="M398" s="922" t="n"/>
      <c r="O398" s="922" t="n"/>
      <c r="P398" s="922" t="n"/>
      <c r="R398" s="922" t="n"/>
      <c r="S398" s="922" t="n"/>
      <c r="U398" s="922" t="n"/>
      <c r="V398" s="922" t="n"/>
      <c r="X398" s="922" t="n"/>
      <c r="Y398" s="922" t="n"/>
      <c r="AA398" s="922" t="n"/>
      <c r="AB398" s="922" t="n"/>
    </row>
    <row r="399" ht="14.5" customHeight="1" s="828">
      <c r="C399" s="922" t="n"/>
      <c r="D399" s="922" t="n"/>
      <c r="F399" s="922" t="n"/>
      <c r="G399" s="922" t="n"/>
      <c r="I399" s="922" t="n"/>
      <c r="J399" s="922" t="n"/>
      <c r="L399" s="922" t="n"/>
      <c r="M399" s="922" t="n"/>
      <c r="O399" s="922" t="n"/>
      <c r="P399" s="922" t="n"/>
      <c r="R399" s="922" t="n"/>
      <c r="S399" s="922" t="n"/>
      <c r="U399" s="922" t="n"/>
      <c r="V399" s="922" t="n"/>
      <c r="X399" s="922" t="n"/>
      <c r="Y399" s="922" t="n"/>
      <c r="AA399" s="922" t="n"/>
      <c r="AB399" s="922" t="n"/>
    </row>
    <row r="400" ht="14.5" customHeight="1" s="828">
      <c r="C400" s="922" t="n"/>
      <c r="D400" s="922" t="n"/>
      <c r="F400" s="922" t="n"/>
      <c r="G400" s="922" t="n"/>
      <c r="I400" s="922" t="n"/>
      <c r="J400" s="922" t="n"/>
      <c r="L400" s="922" t="n"/>
      <c r="M400" s="922" t="n"/>
      <c r="O400" s="922" t="n"/>
      <c r="P400" s="922" t="n"/>
      <c r="R400" s="922" t="n"/>
      <c r="S400" s="922" t="n"/>
      <c r="U400" s="922" t="n"/>
      <c r="V400" s="922" t="n"/>
      <c r="X400" s="922" t="n"/>
      <c r="Y400" s="922" t="n"/>
      <c r="AA400" s="922" t="n"/>
      <c r="AB400" s="922" t="n"/>
    </row>
    <row r="401" ht="14.5" customHeight="1" s="828">
      <c r="C401" s="922" t="n"/>
      <c r="D401" s="922" t="n"/>
      <c r="F401" s="922" t="n"/>
      <c r="G401" s="922" t="n"/>
      <c r="I401" s="922" t="n"/>
      <c r="J401" s="922" t="n"/>
      <c r="L401" s="922" t="n"/>
      <c r="M401" s="922" t="n"/>
      <c r="O401" s="922" t="n"/>
      <c r="P401" s="922" t="n"/>
      <c r="R401" s="922" t="n"/>
      <c r="S401" s="922" t="n"/>
      <c r="U401" s="922" t="n"/>
      <c r="V401" s="922" t="n"/>
      <c r="X401" s="922" t="n"/>
      <c r="Y401" s="922" t="n"/>
      <c r="AA401" s="922" t="n"/>
      <c r="AB401" s="922" t="n"/>
    </row>
    <row r="402" ht="14.5" customHeight="1" s="828">
      <c r="C402" s="922" t="n"/>
      <c r="D402" s="922" t="n"/>
      <c r="F402" s="922" t="n"/>
      <c r="G402" s="922" t="n"/>
      <c r="I402" s="922" t="n"/>
      <c r="J402" s="922" t="n"/>
      <c r="L402" s="922" t="n"/>
      <c r="M402" s="922" t="n"/>
      <c r="O402" s="922" t="n"/>
      <c r="P402" s="922" t="n"/>
      <c r="R402" s="922" t="n"/>
      <c r="S402" s="922" t="n"/>
      <c r="U402" s="922" t="n"/>
      <c r="V402" s="922" t="n"/>
      <c r="X402" s="922" t="n"/>
      <c r="Y402" s="922" t="n"/>
      <c r="AA402" s="922" t="n"/>
      <c r="AB402" s="922" t="n"/>
    </row>
    <row r="403" ht="14.5" customHeight="1" s="828">
      <c r="C403" s="922" t="n"/>
      <c r="D403" s="922" t="n"/>
      <c r="F403" s="922" t="n"/>
      <c r="G403" s="922" t="n"/>
      <c r="I403" s="922" t="n"/>
      <c r="J403" s="922" t="n"/>
      <c r="L403" s="922" t="n"/>
      <c r="M403" s="922" t="n"/>
      <c r="O403" s="922" t="n"/>
      <c r="P403" s="922" t="n"/>
      <c r="R403" s="922" t="n"/>
      <c r="S403" s="922" t="n"/>
      <c r="U403" s="922" t="n"/>
      <c r="V403" s="922" t="n"/>
      <c r="X403" s="922" t="n"/>
      <c r="Y403" s="922" t="n"/>
      <c r="AA403" s="922" t="n"/>
      <c r="AB403" s="922" t="n"/>
    </row>
    <row r="404" ht="14.5" customHeight="1" s="828">
      <c r="C404" s="922" t="n"/>
      <c r="D404" s="922" t="n"/>
      <c r="F404" s="922" t="n"/>
      <c r="G404" s="922" t="n"/>
      <c r="I404" s="922" t="n"/>
      <c r="J404" s="922" t="n"/>
      <c r="L404" s="922" t="n"/>
      <c r="M404" s="922" t="n"/>
      <c r="O404" s="922" t="n"/>
      <c r="P404" s="922" t="n"/>
      <c r="R404" s="922" t="n"/>
      <c r="S404" s="922" t="n"/>
      <c r="U404" s="922" t="n"/>
      <c r="V404" s="922" t="n"/>
      <c r="X404" s="922" t="n"/>
      <c r="Y404" s="922" t="n"/>
      <c r="AA404" s="922" t="n"/>
      <c r="AB404" s="922" t="n"/>
    </row>
    <row r="405" ht="14.5" customHeight="1" s="828">
      <c r="C405" s="922" t="n"/>
      <c r="D405" s="922" t="n"/>
      <c r="F405" s="922" t="n"/>
      <c r="G405" s="922" t="n"/>
      <c r="I405" s="922" t="n"/>
      <c r="J405" s="922" t="n"/>
      <c r="L405" s="922" t="n"/>
      <c r="M405" s="922" t="n"/>
      <c r="O405" s="922" t="n"/>
      <c r="P405" s="922" t="n"/>
      <c r="R405" s="922" t="n"/>
      <c r="S405" s="922" t="n"/>
      <c r="U405" s="922" t="n"/>
      <c r="V405" s="922" t="n"/>
      <c r="X405" s="922" t="n"/>
      <c r="Y405" s="922" t="n"/>
      <c r="AA405" s="922" t="n"/>
      <c r="AB405" s="922" t="n"/>
    </row>
    <row r="406" ht="14.5" customHeight="1" s="828">
      <c r="C406" s="922" t="n"/>
      <c r="D406" s="922" t="n"/>
      <c r="F406" s="922" t="n"/>
      <c r="G406" s="922" t="n"/>
      <c r="I406" s="922" t="n"/>
      <c r="J406" s="922" t="n"/>
      <c r="L406" s="922" t="n"/>
      <c r="M406" s="922" t="n"/>
      <c r="O406" s="922" t="n"/>
      <c r="P406" s="922" t="n"/>
      <c r="R406" s="922" t="n"/>
      <c r="S406" s="922" t="n"/>
      <c r="U406" s="922" t="n"/>
      <c r="V406" s="922" t="n"/>
      <c r="X406" s="922" t="n"/>
      <c r="Y406" s="922" t="n"/>
      <c r="AA406" s="922" t="n"/>
      <c r="AB406" s="922" t="n"/>
    </row>
    <row r="407" ht="14.5" customHeight="1" s="828">
      <c r="C407" s="922" t="n"/>
      <c r="D407" s="922" t="n"/>
      <c r="F407" s="922" t="n"/>
      <c r="G407" s="922" t="n"/>
      <c r="I407" s="922" t="n"/>
      <c r="J407" s="922" t="n"/>
      <c r="L407" s="922" t="n"/>
      <c r="M407" s="922" t="n"/>
      <c r="O407" s="922" t="n"/>
      <c r="P407" s="922" t="n"/>
      <c r="R407" s="922" t="n"/>
      <c r="S407" s="922" t="n"/>
      <c r="U407" s="922" t="n"/>
      <c r="V407" s="922" t="n"/>
      <c r="X407" s="922" t="n"/>
      <c r="Y407" s="922" t="n"/>
      <c r="AA407" s="922" t="n"/>
      <c r="AB407" s="922" t="n"/>
    </row>
    <row r="408" ht="14.5" customHeight="1" s="828">
      <c r="C408" s="922" t="n"/>
      <c r="D408" s="922" t="n"/>
      <c r="F408" s="922" t="n"/>
      <c r="G408" s="922" t="n"/>
      <c r="I408" s="922" t="n"/>
      <c r="J408" s="922" t="n"/>
      <c r="L408" s="922" t="n"/>
      <c r="M408" s="922" t="n"/>
      <c r="O408" s="922" t="n"/>
      <c r="P408" s="922" t="n"/>
      <c r="R408" s="922" t="n"/>
      <c r="S408" s="922" t="n"/>
      <c r="U408" s="922" t="n"/>
      <c r="V408" s="922" t="n"/>
      <c r="X408" s="922" t="n"/>
      <c r="Y408" s="922" t="n"/>
      <c r="AA408" s="922" t="n"/>
      <c r="AB408" s="922" t="n"/>
    </row>
    <row r="409" ht="14.5" customHeight="1" s="828">
      <c r="C409" s="922" t="n"/>
      <c r="D409" s="922" t="n"/>
      <c r="F409" s="922" t="n"/>
      <c r="G409" s="922" t="n"/>
      <c r="I409" s="922" t="n"/>
      <c r="J409" s="922" t="n"/>
      <c r="L409" s="922" t="n"/>
      <c r="M409" s="922" t="n"/>
      <c r="O409" s="922" t="n"/>
      <c r="P409" s="922" t="n"/>
      <c r="R409" s="922" t="n"/>
      <c r="S409" s="922" t="n"/>
      <c r="U409" s="922" t="n"/>
      <c r="V409" s="922" t="n"/>
      <c r="X409" s="922" t="n"/>
      <c r="Y409" s="922" t="n"/>
      <c r="AA409" s="922" t="n"/>
      <c r="AB409" s="922" t="n"/>
    </row>
    <row r="410" ht="14.5" customHeight="1" s="828">
      <c r="C410" s="922" t="n"/>
      <c r="D410" s="922" t="n"/>
      <c r="F410" s="922" t="n"/>
      <c r="G410" s="922" t="n"/>
      <c r="I410" s="922" t="n"/>
      <c r="J410" s="922" t="n"/>
      <c r="L410" s="922" t="n"/>
      <c r="M410" s="922" t="n"/>
      <c r="O410" s="922" t="n"/>
      <c r="P410" s="922" t="n"/>
      <c r="R410" s="922" t="n"/>
      <c r="S410" s="922" t="n"/>
      <c r="U410" s="922" t="n"/>
      <c r="V410" s="922" t="n"/>
      <c r="X410" s="922" t="n"/>
      <c r="Y410" s="922" t="n"/>
      <c r="AA410" s="922" t="n"/>
      <c r="AB410" s="922" t="n"/>
    </row>
    <row r="411" ht="14.5" customHeight="1" s="828">
      <c r="C411" s="922" t="n"/>
      <c r="D411" s="922" t="n"/>
      <c r="F411" s="922" t="n"/>
      <c r="G411" s="922" t="n"/>
      <c r="I411" s="922" t="n"/>
      <c r="J411" s="922" t="n"/>
      <c r="L411" s="922" t="n"/>
      <c r="M411" s="922" t="n"/>
      <c r="O411" s="922" t="n"/>
      <c r="P411" s="922" t="n"/>
      <c r="R411" s="922" t="n"/>
      <c r="S411" s="922" t="n"/>
      <c r="U411" s="922" t="n"/>
      <c r="V411" s="922" t="n"/>
      <c r="X411" s="922" t="n"/>
      <c r="Y411" s="922" t="n"/>
      <c r="AA411" s="922" t="n"/>
      <c r="AB411" s="922" t="n"/>
    </row>
    <row r="412" ht="14.5" customHeight="1" s="828">
      <c r="C412" s="922" t="n"/>
      <c r="D412" s="922" t="n"/>
      <c r="F412" s="922" t="n"/>
      <c r="G412" s="922" t="n"/>
      <c r="I412" s="922" t="n"/>
      <c r="J412" s="922" t="n"/>
      <c r="L412" s="922" t="n"/>
      <c r="M412" s="922" t="n"/>
      <c r="O412" s="922" t="n"/>
      <c r="P412" s="922" t="n"/>
      <c r="R412" s="922" t="n"/>
      <c r="S412" s="922" t="n"/>
      <c r="U412" s="922" t="n"/>
      <c r="V412" s="922" t="n"/>
      <c r="X412" s="922" t="n"/>
      <c r="Y412" s="922" t="n"/>
      <c r="AA412" s="922" t="n"/>
      <c r="AB412" s="922" t="n"/>
    </row>
    <row r="413" ht="14.5" customHeight="1" s="828">
      <c r="C413" s="922" t="n"/>
      <c r="D413" s="922" t="n"/>
      <c r="F413" s="922" t="n"/>
      <c r="G413" s="922" t="n"/>
      <c r="I413" s="922" t="n"/>
      <c r="J413" s="922" t="n"/>
      <c r="L413" s="922" t="n"/>
      <c r="M413" s="922" t="n"/>
      <c r="O413" s="922" t="n"/>
      <c r="P413" s="922" t="n"/>
      <c r="R413" s="922" t="n"/>
      <c r="S413" s="922" t="n"/>
      <c r="U413" s="922" t="n"/>
      <c r="V413" s="922" t="n"/>
      <c r="X413" s="922" t="n"/>
      <c r="Y413" s="922" t="n"/>
      <c r="AA413" s="922" t="n"/>
      <c r="AB413" s="922" t="n"/>
    </row>
    <row r="414" ht="14.5" customHeight="1" s="828">
      <c r="C414" s="922" t="n"/>
      <c r="D414" s="922" t="n"/>
      <c r="F414" s="922" t="n"/>
      <c r="G414" s="922" t="n"/>
      <c r="I414" s="922" t="n"/>
      <c r="J414" s="922" t="n"/>
      <c r="L414" s="922" t="n"/>
      <c r="M414" s="922" t="n"/>
      <c r="O414" s="922" t="n"/>
      <c r="P414" s="922" t="n"/>
      <c r="R414" s="922" t="n"/>
      <c r="S414" s="922" t="n"/>
      <c r="U414" s="922" t="n"/>
      <c r="V414" s="922" t="n"/>
      <c r="X414" s="922" t="n"/>
      <c r="Y414" s="922" t="n"/>
      <c r="AA414" s="922" t="n"/>
      <c r="AB414" s="922" t="n"/>
    </row>
    <row r="415" ht="14.5" customHeight="1" s="828">
      <c r="C415" s="922" t="n"/>
      <c r="D415" s="922" t="n"/>
      <c r="F415" s="922" t="n"/>
      <c r="G415" s="922" t="n"/>
      <c r="I415" s="922" t="n"/>
      <c r="J415" s="922" t="n"/>
      <c r="L415" s="922" t="n"/>
      <c r="M415" s="922" t="n"/>
      <c r="O415" s="922" t="n"/>
      <c r="P415" s="922" t="n"/>
      <c r="R415" s="922" t="n"/>
      <c r="S415" s="922" t="n"/>
      <c r="U415" s="922" t="n"/>
      <c r="V415" s="922" t="n"/>
      <c r="X415" s="922" t="n"/>
      <c r="Y415" s="922" t="n"/>
      <c r="AA415" s="922" t="n"/>
      <c r="AB415" s="922" t="n"/>
    </row>
    <row r="416" ht="14.5" customHeight="1" s="828">
      <c r="C416" s="922" t="n"/>
      <c r="D416" s="922" t="n"/>
      <c r="F416" s="922" t="n"/>
      <c r="G416" s="922" t="n"/>
      <c r="I416" s="922" t="n"/>
      <c r="J416" s="922" t="n"/>
      <c r="L416" s="922" t="n"/>
      <c r="M416" s="922" t="n"/>
      <c r="O416" s="922" t="n"/>
      <c r="P416" s="922" t="n"/>
      <c r="R416" s="922" t="n"/>
      <c r="S416" s="922" t="n"/>
      <c r="U416" s="922" t="n"/>
      <c r="V416" s="922" t="n"/>
      <c r="X416" s="922" t="n"/>
      <c r="Y416" s="922" t="n"/>
      <c r="AA416" s="922" t="n"/>
      <c r="AB416" s="922" t="n"/>
    </row>
    <row r="417" ht="14.5" customHeight="1" s="828">
      <c r="C417" s="922" t="n"/>
      <c r="D417" s="922" t="n"/>
      <c r="F417" s="922" t="n"/>
      <c r="G417" s="922" t="n"/>
      <c r="I417" s="922" t="n"/>
      <c r="J417" s="922" t="n"/>
      <c r="L417" s="922" t="n"/>
      <c r="M417" s="922" t="n"/>
      <c r="O417" s="922" t="n"/>
      <c r="P417" s="922" t="n"/>
      <c r="R417" s="922" t="n"/>
      <c r="S417" s="922" t="n"/>
      <c r="U417" s="922" t="n"/>
      <c r="V417" s="922" t="n"/>
      <c r="X417" s="922" t="n"/>
      <c r="Y417" s="922" t="n"/>
      <c r="AA417" s="922" t="n"/>
      <c r="AB417" s="922" t="n"/>
    </row>
    <row r="418" ht="14.5" customHeight="1" s="828">
      <c r="C418" s="922" t="n"/>
      <c r="D418" s="922" t="n"/>
      <c r="F418" s="922" t="n"/>
      <c r="G418" s="922" t="n"/>
      <c r="I418" s="922" t="n"/>
      <c r="J418" s="922" t="n"/>
      <c r="L418" s="922" t="n"/>
      <c r="M418" s="922" t="n"/>
      <c r="O418" s="922" t="n"/>
      <c r="P418" s="922" t="n"/>
      <c r="R418" s="922" t="n"/>
      <c r="S418" s="922" t="n"/>
      <c r="U418" s="922" t="n"/>
      <c r="V418" s="922" t="n"/>
      <c r="X418" s="922" t="n"/>
      <c r="Y418" s="922" t="n"/>
      <c r="AA418" s="922" t="n"/>
      <c r="AB418" s="922" t="n"/>
    </row>
    <row r="419" ht="14.5" customHeight="1" s="828">
      <c r="C419" s="922" t="n"/>
      <c r="D419" s="922" t="n"/>
      <c r="F419" s="922" t="n"/>
      <c r="G419" s="922" t="n"/>
      <c r="I419" s="922" t="n"/>
      <c r="J419" s="922" t="n"/>
      <c r="L419" s="922" t="n"/>
      <c r="M419" s="922" t="n"/>
      <c r="O419" s="922" t="n"/>
      <c r="P419" s="922" t="n"/>
      <c r="R419" s="922" t="n"/>
      <c r="S419" s="922" t="n"/>
      <c r="U419" s="922" t="n"/>
      <c r="V419" s="922" t="n"/>
      <c r="X419" s="922" t="n"/>
      <c r="Y419" s="922" t="n"/>
      <c r="AA419" s="922" t="n"/>
      <c r="AB419" s="922" t="n"/>
    </row>
    <row r="420" ht="14.5" customHeight="1" s="828">
      <c r="C420" s="922" t="n"/>
      <c r="D420" s="922" t="n"/>
      <c r="F420" s="922" t="n"/>
      <c r="G420" s="922" t="n"/>
      <c r="I420" s="922" t="n"/>
      <c r="J420" s="922" t="n"/>
      <c r="L420" s="922" t="n"/>
      <c r="M420" s="922" t="n"/>
      <c r="O420" s="922" t="n"/>
      <c r="P420" s="922" t="n"/>
      <c r="R420" s="922" t="n"/>
      <c r="S420" s="922" t="n"/>
      <c r="U420" s="922" t="n"/>
      <c r="V420" s="922" t="n"/>
      <c r="X420" s="922" t="n"/>
      <c r="Y420" s="922" t="n"/>
      <c r="AA420" s="922" t="n"/>
      <c r="AB420" s="922" t="n"/>
    </row>
    <row r="421" ht="14.5" customHeight="1" s="828">
      <c r="C421" s="922" t="n"/>
      <c r="D421" s="922" t="n"/>
      <c r="F421" s="922" t="n"/>
      <c r="G421" s="922" t="n"/>
      <c r="I421" s="922" t="n"/>
      <c r="J421" s="922" t="n"/>
      <c r="L421" s="922" t="n"/>
      <c r="M421" s="922" t="n"/>
      <c r="O421" s="922" t="n"/>
      <c r="P421" s="922" t="n"/>
      <c r="R421" s="922" t="n"/>
      <c r="S421" s="922" t="n"/>
      <c r="U421" s="922" t="n"/>
      <c r="V421" s="922" t="n"/>
      <c r="X421" s="922" t="n"/>
      <c r="Y421" s="922" t="n"/>
      <c r="AA421" s="922" t="n"/>
      <c r="AB421" s="922" t="n"/>
    </row>
    <row r="422" ht="14.5" customHeight="1" s="828">
      <c r="C422" s="922" t="n"/>
      <c r="D422" s="922" t="n"/>
      <c r="F422" s="922" t="n"/>
      <c r="G422" s="922" t="n"/>
      <c r="I422" s="922" t="n"/>
      <c r="J422" s="922" t="n"/>
      <c r="L422" s="922" t="n"/>
      <c r="M422" s="922" t="n"/>
      <c r="O422" s="922" t="n"/>
      <c r="P422" s="922" t="n"/>
      <c r="R422" s="922" t="n"/>
      <c r="S422" s="922" t="n"/>
      <c r="U422" s="922" t="n"/>
      <c r="V422" s="922" t="n"/>
      <c r="X422" s="922" t="n"/>
      <c r="Y422" s="922" t="n"/>
      <c r="AA422" s="922" t="n"/>
      <c r="AB422" s="922" t="n"/>
    </row>
    <row r="423" ht="14.5" customHeight="1" s="828">
      <c r="C423" s="922" t="n"/>
      <c r="D423" s="922" t="n"/>
      <c r="F423" s="922" t="n"/>
      <c r="G423" s="922" t="n"/>
      <c r="I423" s="922" t="n"/>
      <c r="J423" s="922" t="n"/>
      <c r="L423" s="922" t="n"/>
      <c r="M423" s="922" t="n"/>
      <c r="O423" s="922" t="n"/>
      <c r="P423" s="922" t="n"/>
      <c r="R423" s="922" t="n"/>
      <c r="S423" s="922" t="n"/>
      <c r="U423" s="922" t="n"/>
      <c r="V423" s="922" t="n"/>
      <c r="X423" s="922" t="n"/>
      <c r="Y423" s="922" t="n"/>
      <c r="AA423" s="922" t="n"/>
      <c r="AB423" s="922" t="n"/>
    </row>
    <row r="424" ht="14.5" customHeight="1" s="828">
      <c r="C424" s="922" t="n"/>
      <c r="D424" s="922" t="n"/>
      <c r="F424" s="922" t="n"/>
      <c r="G424" s="922" t="n"/>
      <c r="I424" s="922" t="n"/>
      <c r="J424" s="922" t="n"/>
      <c r="L424" s="922" t="n"/>
      <c r="M424" s="922" t="n"/>
      <c r="O424" s="922" t="n"/>
      <c r="P424" s="922" t="n"/>
      <c r="R424" s="922" t="n"/>
      <c r="S424" s="922" t="n"/>
      <c r="U424" s="922" t="n"/>
      <c r="V424" s="922" t="n"/>
      <c r="X424" s="922" t="n"/>
      <c r="Y424" s="922" t="n"/>
      <c r="AA424" s="922" t="n"/>
      <c r="AB424" s="922" t="n"/>
    </row>
    <row r="425" ht="14.5" customHeight="1" s="828">
      <c r="C425" s="922" t="n"/>
      <c r="D425" s="922" t="n"/>
      <c r="F425" s="922" t="n"/>
      <c r="G425" s="922" t="n"/>
      <c r="I425" s="922" t="n"/>
      <c r="J425" s="922" t="n"/>
      <c r="L425" s="922" t="n"/>
      <c r="M425" s="922" t="n"/>
      <c r="O425" s="922" t="n"/>
      <c r="P425" s="922" t="n"/>
      <c r="R425" s="922" t="n"/>
      <c r="S425" s="922" t="n"/>
      <c r="U425" s="922" t="n"/>
      <c r="V425" s="922" t="n"/>
      <c r="X425" s="922" t="n"/>
      <c r="Y425" s="922" t="n"/>
      <c r="AA425" s="922" t="n"/>
      <c r="AB425" s="922" t="n"/>
    </row>
    <row r="426" ht="14.5" customHeight="1" s="828">
      <c r="C426" s="922" t="n"/>
      <c r="D426" s="922" t="n"/>
      <c r="F426" s="922" t="n"/>
      <c r="G426" s="922" t="n"/>
      <c r="I426" s="922" t="n"/>
      <c r="J426" s="922" t="n"/>
      <c r="L426" s="922" t="n"/>
      <c r="M426" s="922" t="n"/>
      <c r="O426" s="922" t="n"/>
      <c r="P426" s="922" t="n"/>
      <c r="R426" s="922" t="n"/>
      <c r="S426" s="922" t="n"/>
      <c r="U426" s="922" t="n"/>
      <c r="V426" s="922" t="n"/>
      <c r="X426" s="922" t="n"/>
      <c r="Y426" s="922" t="n"/>
      <c r="AA426" s="922" t="n"/>
      <c r="AB426" s="922" t="n"/>
    </row>
    <row r="427" ht="14.5" customHeight="1" s="828">
      <c r="C427" s="922" t="n"/>
      <c r="D427" s="922" t="n"/>
      <c r="F427" s="922" t="n"/>
      <c r="G427" s="922" t="n"/>
      <c r="I427" s="922" t="n"/>
      <c r="J427" s="922" t="n"/>
      <c r="L427" s="922" t="n"/>
      <c r="M427" s="922" t="n"/>
      <c r="O427" s="922" t="n"/>
      <c r="P427" s="922" t="n"/>
      <c r="R427" s="922" t="n"/>
      <c r="S427" s="922" t="n"/>
      <c r="U427" s="922" t="n"/>
      <c r="V427" s="922" t="n"/>
      <c r="X427" s="922" t="n"/>
      <c r="Y427" s="922" t="n"/>
      <c r="AA427" s="922" t="n"/>
      <c r="AB427" s="922" t="n"/>
    </row>
    <row r="428" ht="14.5" customHeight="1" s="828">
      <c r="C428" s="922" t="n"/>
      <c r="D428" s="922" t="n"/>
      <c r="F428" s="922" t="n"/>
      <c r="G428" s="922" t="n"/>
      <c r="I428" s="922" t="n"/>
      <c r="J428" s="922" t="n"/>
      <c r="L428" s="922" t="n"/>
      <c r="M428" s="922" t="n"/>
      <c r="O428" s="922" t="n"/>
      <c r="P428" s="922" t="n"/>
      <c r="R428" s="922" t="n"/>
      <c r="S428" s="922" t="n"/>
      <c r="U428" s="922" t="n"/>
      <c r="V428" s="922" t="n"/>
      <c r="X428" s="922" t="n"/>
      <c r="Y428" s="922" t="n"/>
      <c r="AA428" s="922" t="n"/>
      <c r="AB428" s="922" t="n"/>
    </row>
    <row r="429" ht="14.5" customHeight="1" s="828">
      <c r="C429" s="922" t="n"/>
      <c r="D429" s="922" t="n"/>
      <c r="F429" s="922" t="n"/>
      <c r="G429" s="922" t="n"/>
      <c r="I429" s="922" t="n"/>
      <c r="J429" s="922" t="n"/>
      <c r="L429" s="922" t="n"/>
      <c r="M429" s="922" t="n"/>
      <c r="O429" s="922" t="n"/>
      <c r="P429" s="922" t="n"/>
      <c r="R429" s="922" t="n"/>
      <c r="S429" s="922" t="n"/>
      <c r="U429" s="922" t="n"/>
      <c r="V429" s="922" t="n"/>
      <c r="X429" s="922" t="n"/>
      <c r="Y429" s="922" t="n"/>
      <c r="AA429" s="922" t="n"/>
      <c r="AB429" s="922" t="n"/>
    </row>
    <row r="430" ht="14.5" customHeight="1" s="828">
      <c r="C430" s="922" t="n"/>
      <c r="D430" s="922" t="n"/>
      <c r="F430" s="922" t="n"/>
      <c r="G430" s="922" t="n"/>
      <c r="I430" s="922" t="n"/>
      <c r="J430" s="922" t="n"/>
      <c r="L430" s="922" t="n"/>
      <c r="M430" s="922" t="n"/>
      <c r="O430" s="922" t="n"/>
      <c r="P430" s="922" t="n"/>
      <c r="R430" s="922" t="n"/>
      <c r="S430" s="922" t="n"/>
      <c r="U430" s="922" t="n"/>
      <c r="V430" s="922" t="n"/>
      <c r="X430" s="922" t="n"/>
      <c r="Y430" s="922" t="n"/>
      <c r="AA430" s="922" t="n"/>
      <c r="AB430" s="922" t="n"/>
    </row>
    <row r="431" ht="14.5" customHeight="1" s="828">
      <c r="C431" s="922" t="n"/>
      <c r="D431" s="922" t="n"/>
      <c r="F431" s="922" t="n"/>
      <c r="G431" s="922" t="n"/>
      <c r="I431" s="922" t="n"/>
      <c r="J431" s="922" t="n"/>
      <c r="L431" s="922" t="n"/>
      <c r="M431" s="922" t="n"/>
      <c r="O431" s="922" t="n"/>
      <c r="P431" s="922" t="n"/>
      <c r="R431" s="922" t="n"/>
      <c r="S431" s="922" t="n"/>
      <c r="U431" s="922" t="n"/>
      <c r="V431" s="922" t="n"/>
      <c r="X431" s="922" t="n"/>
      <c r="Y431" s="922" t="n"/>
      <c r="AA431" s="922" t="n"/>
      <c r="AB431" s="922" t="n"/>
    </row>
    <row r="432" ht="14.5" customHeight="1" s="828">
      <c r="C432" s="922" t="n"/>
      <c r="D432" s="922" t="n"/>
      <c r="F432" s="922" t="n"/>
      <c r="G432" s="922" t="n"/>
      <c r="I432" s="922" t="n"/>
      <c r="J432" s="922" t="n"/>
      <c r="L432" s="922" t="n"/>
      <c r="M432" s="922" t="n"/>
      <c r="O432" s="922" t="n"/>
      <c r="P432" s="922" t="n"/>
      <c r="R432" s="922" t="n"/>
      <c r="S432" s="922" t="n"/>
      <c r="U432" s="922" t="n"/>
      <c r="V432" s="922" t="n"/>
      <c r="X432" s="922" t="n"/>
      <c r="Y432" s="922" t="n"/>
      <c r="AA432" s="922" t="n"/>
      <c r="AB432" s="922" t="n"/>
    </row>
    <row r="433" ht="14.5" customHeight="1" s="828">
      <c r="C433" s="922" t="n"/>
      <c r="D433" s="922" t="n"/>
      <c r="F433" s="922" t="n"/>
      <c r="G433" s="922" t="n"/>
      <c r="I433" s="922" t="n"/>
      <c r="J433" s="922" t="n"/>
      <c r="L433" s="922" t="n"/>
      <c r="M433" s="922" t="n"/>
      <c r="O433" s="922" t="n"/>
      <c r="P433" s="922" t="n"/>
      <c r="R433" s="922" t="n"/>
      <c r="S433" s="922" t="n"/>
      <c r="U433" s="922" t="n"/>
      <c r="V433" s="922" t="n"/>
      <c r="X433" s="922" t="n"/>
      <c r="Y433" s="922" t="n"/>
      <c r="AA433" s="922" t="n"/>
      <c r="AB433" s="922" t="n"/>
    </row>
    <row r="434" ht="14.5" customHeight="1" s="828">
      <c r="C434" s="922" t="n"/>
      <c r="D434" s="922" t="n"/>
      <c r="F434" s="922" t="n"/>
      <c r="G434" s="922" t="n"/>
      <c r="I434" s="922" t="n"/>
      <c r="J434" s="922" t="n"/>
      <c r="L434" s="922" t="n"/>
      <c r="M434" s="922" t="n"/>
      <c r="O434" s="922" t="n"/>
      <c r="P434" s="922" t="n"/>
      <c r="R434" s="922" t="n"/>
      <c r="S434" s="922" t="n"/>
      <c r="U434" s="922" t="n"/>
      <c r="V434" s="922" t="n"/>
      <c r="X434" s="922" t="n"/>
      <c r="Y434" s="922" t="n"/>
      <c r="AA434" s="922" t="n"/>
      <c r="AB434" s="922" t="n"/>
    </row>
    <row r="435" ht="14.5" customHeight="1" s="828">
      <c r="C435" s="922" t="n"/>
      <c r="D435" s="922" t="n"/>
      <c r="F435" s="922" t="n"/>
      <c r="G435" s="922" t="n"/>
      <c r="I435" s="922" t="n"/>
      <c r="J435" s="922" t="n"/>
      <c r="L435" s="922" t="n"/>
      <c r="M435" s="922" t="n"/>
      <c r="O435" s="922" t="n"/>
      <c r="P435" s="922" t="n"/>
      <c r="R435" s="922" t="n"/>
      <c r="S435" s="922" t="n"/>
      <c r="U435" s="922" t="n"/>
      <c r="V435" s="922" t="n"/>
      <c r="X435" s="922" t="n"/>
      <c r="Y435" s="922" t="n"/>
      <c r="AA435" s="922" t="n"/>
      <c r="AB435" s="922" t="n"/>
    </row>
    <row r="436" ht="14.5" customHeight="1" s="828">
      <c r="C436" s="922" t="n"/>
      <c r="D436" s="922" t="n"/>
      <c r="F436" s="922" t="n"/>
      <c r="G436" s="922" t="n"/>
      <c r="I436" s="922" t="n"/>
      <c r="J436" s="922" t="n"/>
      <c r="L436" s="922" t="n"/>
      <c r="M436" s="922" t="n"/>
      <c r="O436" s="922" t="n"/>
      <c r="P436" s="922" t="n"/>
      <c r="R436" s="922" t="n"/>
      <c r="S436" s="922" t="n"/>
      <c r="U436" s="922" t="n"/>
      <c r="V436" s="922" t="n"/>
      <c r="X436" s="922" t="n"/>
      <c r="Y436" s="922" t="n"/>
      <c r="AA436" s="922" t="n"/>
      <c r="AB436" s="922" t="n"/>
    </row>
    <row r="437" ht="14.5" customHeight="1" s="828">
      <c r="C437" s="922" t="n"/>
      <c r="D437" s="922" t="n"/>
      <c r="F437" s="922" t="n"/>
      <c r="G437" s="922" t="n"/>
      <c r="I437" s="922" t="n"/>
      <c r="J437" s="922" t="n"/>
      <c r="L437" s="922" t="n"/>
      <c r="M437" s="922" t="n"/>
      <c r="O437" s="922" t="n"/>
      <c r="P437" s="922" t="n"/>
      <c r="R437" s="922" t="n"/>
      <c r="S437" s="922" t="n"/>
      <c r="U437" s="922" t="n"/>
      <c r="V437" s="922" t="n"/>
      <c r="X437" s="922" t="n"/>
      <c r="Y437" s="922" t="n"/>
      <c r="AA437" s="922" t="n"/>
      <c r="AB437" s="922" t="n"/>
    </row>
    <row r="438" ht="14.5" customHeight="1" s="828">
      <c r="C438" s="922" t="n"/>
      <c r="D438" s="922" t="n"/>
      <c r="F438" s="922" t="n"/>
      <c r="G438" s="922" t="n"/>
      <c r="I438" s="922" t="n"/>
      <c r="J438" s="922" t="n"/>
      <c r="L438" s="922" t="n"/>
      <c r="M438" s="922" t="n"/>
      <c r="O438" s="922" t="n"/>
      <c r="P438" s="922" t="n"/>
      <c r="R438" s="922" t="n"/>
      <c r="S438" s="922" t="n"/>
      <c r="U438" s="922" t="n"/>
      <c r="V438" s="922" t="n"/>
      <c r="X438" s="922" t="n"/>
      <c r="Y438" s="922" t="n"/>
      <c r="AA438" s="922" t="n"/>
      <c r="AB438" s="922" t="n"/>
    </row>
    <row r="439" ht="14.5" customHeight="1" s="828">
      <c r="C439" s="922" t="n"/>
      <c r="D439" s="922" t="n"/>
      <c r="F439" s="922" t="n"/>
      <c r="G439" s="922" t="n"/>
      <c r="I439" s="922" t="n"/>
      <c r="J439" s="922" t="n"/>
      <c r="L439" s="922" t="n"/>
      <c r="M439" s="922" t="n"/>
      <c r="O439" s="922" t="n"/>
      <c r="P439" s="922" t="n"/>
      <c r="R439" s="922" t="n"/>
      <c r="S439" s="922" t="n"/>
      <c r="U439" s="922" t="n"/>
      <c r="V439" s="922" t="n"/>
      <c r="X439" s="922" t="n"/>
      <c r="Y439" s="922" t="n"/>
      <c r="AA439" s="922" t="n"/>
      <c r="AB439" s="922" t="n"/>
    </row>
    <row r="440" ht="14.5" customHeight="1" s="828">
      <c r="C440" s="922" t="n"/>
      <c r="D440" s="922" t="n"/>
      <c r="F440" s="922" t="n"/>
      <c r="G440" s="922" t="n"/>
      <c r="I440" s="922" t="n"/>
      <c r="J440" s="922" t="n"/>
      <c r="L440" s="922" t="n"/>
      <c r="M440" s="922" t="n"/>
      <c r="O440" s="922" t="n"/>
      <c r="P440" s="922" t="n"/>
      <c r="R440" s="922" t="n"/>
      <c r="S440" s="922" t="n"/>
      <c r="U440" s="922" t="n"/>
      <c r="V440" s="922" t="n"/>
      <c r="X440" s="922" t="n"/>
      <c r="Y440" s="922" t="n"/>
      <c r="AA440" s="922" t="n"/>
      <c r="AB440" s="922" t="n"/>
    </row>
    <row r="441" ht="14.5" customHeight="1" s="828">
      <c r="C441" s="922" t="n"/>
      <c r="D441" s="922" t="n"/>
      <c r="F441" s="922" t="n"/>
      <c r="G441" s="922" t="n"/>
      <c r="I441" s="922" t="n"/>
      <c r="J441" s="922" t="n"/>
      <c r="L441" s="922" t="n"/>
      <c r="M441" s="922" t="n"/>
      <c r="O441" s="922" t="n"/>
      <c r="P441" s="922" t="n"/>
      <c r="R441" s="922" t="n"/>
      <c r="S441" s="922" t="n"/>
      <c r="U441" s="922" t="n"/>
      <c r="V441" s="922" t="n"/>
      <c r="X441" s="922" t="n"/>
      <c r="Y441" s="922" t="n"/>
      <c r="AA441" s="922" t="n"/>
      <c r="AB441" s="922" t="n"/>
    </row>
    <row r="442" ht="14.5" customHeight="1" s="828">
      <c r="C442" s="922" t="n"/>
      <c r="D442" s="922" t="n"/>
      <c r="F442" s="922" t="n"/>
      <c r="G442" s="922" t="n"/>
      <c r="I442" s="922" t="n"/>
      <c r="J442" s="922" t="n"/>
      <c r="L442" s="922" t="n"/>
      <c r="M442" s="922" t="n"/>
      <c r="O442" s="922" t="n"/>
      <c r="P442" s="922" t="n"/>
      <c r="R442" s="922" t="n"/>
      <c r="S442" s="922" t="n"/>
      <c r="U442" s="922" t="n"/>
      <c r="V442" s="922" t="n"/>
      <c r="X442" s="922" t="n"/>
      <c r="Y442" s="922" t="n"/>
      <c r="AA442" s="922" t="n"/>
      <c r="AB442" s="922" t="n"/>
    </row>
    <row r="443" ht="14.5" customHeight="1" s="828">
      <c r="C443" s="922" t="n"/>
      <c r="D443" s="922" t="n"/>
      <c r="F443" s="922" t="n"/>
      <c r="G443" s="922" t="n"/>
      <c r="I443" s="922" t="n"/>
      <c r="J443" s="922" t="n"/>
      <c r="L443" s="922" t="n"/>
      <c r="M443" s="922" t="n"/>
      <c r="O443" s="922" t="n"/>
      <c r="P443" s="922" t="n"/>
      <c r="R443" s="922" t="n"/>
      <c r="S443" s="922" t="n"/>
      <c r="U443" s="922" t="n"/>
      <c r="V443" s="922" t="n"/>
      <c r="X443" s="922" t="n"/>
      <c r="Y443" s="922" t="n"/>
      <c r="AA443" s="922" t="n"/>
      <c r="AB443" s="922" t="n"/>
    </row>
    <row r="444" ht="14.5" customHeight="1" s="828">
      <c r="C444" s="922" t="n"/>
      <c r="D444" s="922" t="n"/>
      <c r="F444" s="922" t="n"/>
      <c r="G444" s="922" t="n"/>
      <c r="I444" s="922" t="n"/>
      <c r="J444" s="922" t="n"/>
      <c r="L444" s="922" t="n"/>
      <c r="M444" s="922" t="n"/>
      <c r="O444" s="922" t="n"/>
      <c r="P444" s="922" t="n"/>
      <c r="R444" s="922" t="n"/>
      <c r="S444" s="922" t="n"/>
      <c r="U444" s="922" t="n"/>
      <c r="V444" s="922" t="n"/>
      <c r="X444" s="922" t="n"/>
      <c r="Y444" s="922" t="n"/>
      <c r="AA444" s="922" t="n"/>
      <c r="AB444" s="922" t="n"/>
    </row>
    <row r="445" ht="14.5" customHeight="1" s="828">
      <c r="C445" s="922" t="n"/>
      <c r="D445" s="922" t="n"/>
      <c r="F445" s="922" t="n"/>
      <c r="G445" s="922" t="n"/>
      <c r="I445" s="922" t="n"/>
      <c r="J445" s="922" t="n"/>
      <c r="L445" s="922" t="n"/>
      <c r="M445" s="922" t="n"/>
      <c r="O445" s="922" t="n"/>
      <c r="P445" s="922" t="n"/>
      <c r="R445" s="922" t="n"/>
      <c r="S445" s="922" t="n"/>
      <c r="U445" s="922" t="n"/>
      <c r="V445" s="922" t="n"/>
      <c r="X445" s="922" t="n"/>
      <c r="Y445" s="922" t="n"/>
      <c r="AA445" s="922" t="n"/>
      <c r="AB445" s="922" t="n"/>
    </row>
    <row r="446" ht="14.5" customHeight="1" s="828">
      <c r="C446" s="922" t="n"/>
      <c r="D446" s="922" t="n"/>
      <c r="F446" s="922" t="n"/>
      <c r="G446" s="922" t="n"/>
      <c r="I446" s="922" t="n"/>
      <c r="J446" s="922" t="n"/>
      <c r="L446" s="922" t="n"/>
      <c r="M446" s="922" t="n"/>
      <c r="O446" s="922" t="n"/>
      <c r="P446" s="922" t="n"/>
      <c r="R446" s="922" t="n"/>
      <c r="S446" s="922" t="n"/>
      <c r="U446" s="922" t="n"/>
      <c r="V446" s="922" t="n"/>
      <c r="X446" s="922" t="n"/>
      <c r="Y446" s="922" t="n"/>
      <c r="AA446" s="922" t="n"/>
      <c r="AB446" s="922" t="n"/>
    </row>
    <row r="447" ht="14.5" customHeight="1" s="828">
      <c r="C447" s="922" t="n"/>
      <c r="D447" s="922" t="n"/>
      <c r="F447" s="922" t="n"/>
      <c r="G447" s="922" t="n"/>
      <c r="I447" s="922" t="n"/>
      <c r="J447" s="922" t="n"/>
      <c r="L447" s="922" t="n"/>
      <c r="M447" s="922" t="n"/>
      <c r="O447" s="922" t="n"/>
      <c r="P447" s="922" t="n"/>
      <c r="R447" s="922" t="n"/>
      <c r="S447" s="922" t="n"/>
      <c r="U447" s="922" t="n"/>
      <c r="V447" s="922" t="n"/>
      <c r="X447" s="922" t="n"/>
      <c r="Y447" s="922" t="n"/>
      <c r="AA447" s="922" t="n"/>
      <c r="AB447" s="922" t="n"/>
    </row>
    <row r="448" ht="14.5" customHeight="1" s="828">
      <c r="C448" s="922" t="n"/>
      <c r="D448" s="922" t="n"/>
      <c r="F448" s="922" t="n"/>
      <c r="G448" s="922" t="n"/>
      <c r="I448" s="922" t="n"/>
      <c r="J448" s="922" t="n"/>
      <c r="L448" s="922" t="n"/>
      <c r="M448" s="922" t="n"/>
      <c r="O448" s="922" t="n"/>
      <c r="P448" s="922" t="n"/>
      <c r="R448" s="922" t="n"/>
      <c r="S448" s="922" t="n"/>
      <c r="U448" s="922" t="n"/>
      <c r="V448" s="922" t="n"/>
      <c r="X448" s="922" t="n"/>
      <c r="Y448" s="922" t="n"/>
      <c r="AA448" s="922" t="n"/>
      <c r="AB448" s="922" t="n"/>
    </row>
    <row r="449" ht="14.5" customHeight="1" s="828">
      <c r="C449" s="922" t="n"/>
      <c r="D449" s="922" t="n"/>
      <c r="F449" s="922" t="n"/>
      <c r="G449" s="922" t="n"/>
      <c r="I449" s="922" t="n"/>
      <c r="J449" s="922" t="n"/>
      <c r="L449" s="922" t="n"/>
      <c r="M449" s="922" t="n"/>
      <c r="O449" s="922" t="n"/>
      <c r="P449" s="922" t="n"/>
      <c r="R449" s="922" t="n"/>
      <c r="S449" s="922" t="n"/>
      <c r="U449" s="922" t="n"/>
      <c r="V449" s="922" t="n"/>
      <c r="X449" s="922" t="n"/>
      <c r="Y449" s="922" t="n"/>
      <c r="AA449" s="922" t="n"/>
      <c r="AB449" s="922" t="n"/>
    </row>
    <row r="450" ht="14.5" customHeight="1" s="828">
      <c r="C450" s="922" t="n"/>
      <c r="D450" s="922" t="n"/>
      <c r="F450" s="922" t="n"/>
      <c r="G450" s="922" t="n"/>
      <c r="I450" s="922" t="n"/>
      <c r="J450" s="922" t="n"/>
      <c r="L450" s="922" t="n"/>
      <c r="M450" s="922" t="n"/>
      <c r="O450" s="922" t="n"/>
      <c r="P450" s="922" t="n"/>
      <c r="R450" s="922" t="n"/>
      <c r="S450" s="922" t="n"/>
      <c r="U450" s="922" t="n"/>
      <c r="V450" s="922" t="n"/>
      <c r="X450" s="922" t="n"/>
      <c r="Y450" s="922" t="n"/>
      <c r="AA450" s="922" t="n"/>
      <c r="AB450" s="922" t="n"/>
    </row>
    <row r="451" ht="14.5" customHeight="1" s="828">
      <c r="C451" s="922" t="n"/>
      <c r="D451" s="922" t="n"/>
      <c r="F451" s="922" t="n"/>
      <c r="G451" s="922" t="n"/>
      <c r="I451" s="922" t="n"/>
      <c r="J451" s="922" t="n"/>
      <c r="L451" s="922" t="n"/>
      <c r="M451" s="922" t="n"/>
      <c r="O451" s="922" t="n"/>
      <c r="P451" s="922" t="n"/>
      <c r="R451" s="922" t="n"/>
      <c r="S451" s="922" t="n"/>
      <c r="U451" s="922" t="n"/>
      <c r="V451" s="922" t="n"/>
      <c r="X451" s="922" t="n"/>
      <c r="Y451" s="922" t="n"/>
      <c r="AA451" s="922" t="n"/>
      <c r="AB451" s="922" t="n"/>
    </row>
    <row r="452" ht="14.5" customHeight="1" s="828">
      <c r="C452" s="922" t="n"/>
      <c r="D452" s="922" t="n"/>
      <c r="F452" s="922" t="n"/>
      <c r="G452" s="922" t="n"/>
      <c r="I452" s="922" t="n"/>
      <c r="J452" s="922" t="n"/>
      <c r="L452" s="922" t="n"/>
      <c r="M452" s="922" t="n"/>
      <c r="O452" s="922" t="n"/>
      <c r="P452" s="922" t="n"/>
      <c r="R452" s="922" t="n"/>
      <c r="S452" s="922" t="n"/>
      <c r="U452" s="922" t="n"/>
      <c r="V452" s="922" t="n"/>
      <c r="X452" s="922" t="n"/>
      <c r="Y452" s="922" t="n"/>
      <c r="AA452" s="922" t="n"/>
      <c r="AB452" s="922" t="n"/>
    </row>
    <row r="453" ht="14.5" customHeight="1" s="828">
      <c r="C453" s="922" t="n"/>
      <c r="D453" s="922" t="n"/>
      <c r="F453" s="922" t="n"/>
      <c r="G453" s="922" t="n"/>
      <c r="I453" s="922" t="n"/>
      <c r="J453" s="922" t="n"/>
      <c r="L453" s="922" t="n"/>
      <c r="M453" s="922" t="n"/>
      <c r="O453" s="922" t="n"/>
      <c r="P453" s="922" t="n"/>
      <c r="R453" s="922" t="n"/>
      <c r="S453" s="922" t="n"/>
      <c r="U453" s="922" t="n"/>
      <c r="V453" s="922" t="n"/>
      <c r="X453" s="922" t="n"/>
      <c r="Y453" s="922" t="n"/>
      <c r="AA453" s="922" t="n"/>
      <c r="AB453" s="922" t="n"/>
    </row>
    <row r="454" ht="14.5" customHeight="1" s="828">
      <c r="C454" s="922" t="n"/>
      <c r="D454" s="922" t="n"/>
      <c r="F454" s="922" t="n"/>
      <c r="G454" s="922" t="n"/>
      <c r="I454" s="922" t="n"/>
      <c r="J454" s="922" t="n"/>
      <c r="L454" s="922" t="n"/>
      <c r="M454" s="922" t="n"/>
      <c r="O454" s="922" t="n"/>
      <c r="P454" s="922" t="n"/>
      <c r="R454" s="922" t="n"/>
      <c r="S454" s="922" t="n"/>
      <c r="U454" s="922" t="n"/>
      <c r="V454" s="922" t="n"/>
      <c r="X454" s="922" t="n"/>
      <c r="Y454" s="922" t="n"/>
      <c r="AA454" s="922" t="n"/>
      <c r="AB454" s="922" t="n"/>
    </row>
    <row r="455" ht="14.5" customHeight="1" s="828">
      <c r="C455" s="922" t="n"/>
      <c r="D455" s="922" t="n"/>
      <c r="F455" s="922" t="n"/>
      <c r="G455" s="922" t="n"/>
      <c r="I455" s="922" t="n"/>
      <c r="J455" s="922" t="n"/>
      <c r="L455" s="922" t="n"/>
      <c r="M455" s="922" t="n"/>
      <c r="O455" s="922" t="n"/>
      <c r="P455" s="922" t="n"/>
      <c r="R455" s="922" t="n"/>
      <c r="S455" s="922" t="n"/>
      <c r="U455" s="922" t="n"/>
      <c r="V455" s="922" t="n"/>
      <c r="X455" s="922" t="n"/>
      <c r="Y455" s="922" t="n"/>
      <c r="AA455" s="922" t="n"/>
      <c r="AB455" s="922" t="n"/>
    </row>
    <row r="456" ht="14.5" customHeight="1" s="828">
      <c r="C456" s="922" t="n"/>
      <c r="D456" s="922" t="n"/>
      <c r="F456" s="922" t="n"/>
      <c r="G456" s="922" t="n"/>
      <c r="I456" s="922" t="n"/>
      <c r="J456" s="922" t="n"/>
      <c r="L456" s="922" t="n"/>
      <c r="M456" s="922" t="n"/>
      <c r="O456" s="922" t="n"/>
      <c r="P456" s="922" t="n"/>
      <c r="R456" s="922" t="n"/>
      <c r="S456" s="922" t="n"/>
      <c r="U456" s="922" t="n"/>
      <c r="V456" s="922" t="n"/>
      <c r="X456" s="922" t="n"/>
      <c r="Y456" s="922" t="n"/>
      <c r="AA456" s="922" t="n"/>
      <c r="AB456" s="922" t="n"/>
    </row>
    <row r="457" ht="14.5" customHeight="1" s="828">
      <c r="C457" s="922" t="n"/>
      <c r="D457" s="922" t="n"/>
      <c r="F457" s="922" t="n"/>
      <c r="G457" s="922" t="n"/>
      <c r="I457" s="922" t="n"/>
      <c r="J457" s="922" t="n"/>
      <c r="L457" s="922" t="n"/>
      <c r="M457" s="922" t="n"/>
      <c r="O457" s="922" t="n"/>
      <c r="P457" s="922" t="n"/>
      <c r="R457" s="922" t="n"/>
      <c r="S457" s="922" t="n"/>
      <c r="U457" s="922" t="n"/>
      <c r="V457" s="922" t="n"/>
      <c r="X457" s="922" t="n"/>
      <c r="Y457" s="922" t="n"/>
      <c r="AA457" s="922" t="n"/>
      <c r="AB457" s="922" t="n"/>
    </row>
    <row r="458" ht="14.5" customHeight="1" s="828">
      <c r="C458" s="922" t="n"/>
      <c r="D458" s="922" t="n"/>
      <c r="F458" s="922" t="n"/>
      <c r="G458" s="922" t="n"/>
      <c r="I458" s="922" t="n"/>
      <c r="J458" s="922" t="n"/>
      <c r="L458" s="922" t="n"/>
      <c r="M458" s="922" t="n"/>
      <c r="O458" s="922" t="n"/>
      <c r="P458" s="922" t="n"/>
      <c r="R458" s="922" t="n"/>
      <c r="S458" s="922" t="n"/>
      <c r="U458" s="922" t="n"/>
      <c r="V458" s="922" t="n"/>
      <c r="X458" s="922" t="n"/>
      <c r="Y458" s="922" t="n"/>
      <c r="AA458" s="922" t="n"/>
      <c r="AB458" s="922" t="n"/>
    </row>
    <row r="459" ht="14.5" customHeight="1" s="828">
      <c r="C459" s="922" t="n"/>
      <c r="D459" s="922" t="n"/>
      <c r="F459" s="922" t="n"/>
      <c r="G459" s="922" t="n"/>
      <c r="I459" s="922" t="n"/>
      <c r="J459" s="922" t="n"/>
      <c r="L459" s="922" t="n"/>
      <c r="M459" s="922" t="n"/>
      <c r="O459" s="922" t="n"/>
      <c r="P459" s="922" t="n"/>
      <c r="R459" s="922" t="n"/>
      <c r="S459" s="922" t="n"/>
      <c r="U459" s="922" t="n"/>
      <c r="V459" s="922" t="n"/>
      <c r="X459" s="922" t="n"/>
      <c r="Y459" s="922" t="n"/>
      <c r="AA459" s="922" t="n"/>
      <c r="AB459" s="922" t="n"/>
    </row>
    <row r="460" ht="14.5" customHeight="1" s="828">
      <c r="C460" s="922" t="n"/>
      <c r="D460" s="922" t="n"/>
      <c r="F460" s="922" t="n"/>
      <c r="G460" s="922" t="n"/>
      <c r="I460" s="922" t="n"/>
      <c r="J460" s="922" t="n"/>
      <c r="L460" s="922" t="n"/>
      <c r="M460" s="922" t="n"/>
      <c r="O460" s="922" t="n"/>
      <c r="P460" s="922" t="n"/>
      <c r="R460" s="922" t="n"/>
      <c r="S460" s="922" t="n"/>
      <c r="U460" s="922" t="n"/>
      <c r="V460" s="922" t="n"/>
      <c r="X460" s="922" t="n"/>
      <c r="Y460" s="922" t="n"/>
      <c r="AA460" s="922" t="n"/>
      <c r="AB460" s="922" t="n"/>
    </row>
    <row r="461" ht="14.5" customHeight="1" s="828">
      <c r="C461" s="922" t="n"/>
      <c r="D461" s="922" t="n"/>
      <c r="F461" s="922" t="n"/>
      <c r="G461" s="922" t="n"/>
      <c r="I461" s="922" t="n"/>
      <c r="J461" s="922" t="n"/>
      <c r="L461" s="922" t="n"/>
      <c r="M461" s="922" t="n"/>
      <c r="O461" s="922" t="n"/>
      <c r="P461" s="922" t="n"/>
      <c r="R461" s="922" t="n"/>
      <c r="S461" s="922" t="n"/>
      <c r="U461" s="922" t="n"/>
      <c r="V461" s="922" t="n"/>
      <c r="X461" s="922" t="n"/>
      <c r="Y461" s="922" t="n"/>
      <c r="AA461" s="922" t="n"/>
      <c r="AB461" s="922" t="n"/>
    </row>
    <row r="462" ht="14.5" customHeight="1" s="828">
      <c r="C462" s="922" t="n"/>
      <c r="D462" s="922" t="n"/>
      <c r="F462" s="922" t="n"/>
      <c r="G462" s="922" t="n"/>
      <c r="I462" s="922" t="n"/>
      <c r="J462" s="922" t="n"/>
      <c r="L462" s="922" t="n"/>
      <c r="M462" s="922" t="n"/>
      <c r="O462" s="922" t="n"/>
      <c r="P462" s="922" t="n"/>
      <c r="R462" s="922" t="n"/>
      <c r="S462" s="922" t="n"/>
      <c r="U462" s="922" t="n"/>
      <c r="V462" s="922" t="n"/>
      <c r="X462" s="922" t="n"/>
      <c r="Y462" s="922" t="n"/>
      <c r="AA462" s="922" t="n"/>
      <c r="AB462" s="922" t="n"/>
    </row>
    <row r="463" ht="14.5" customHeight="1" s="828">
      <c r="C463" s="922" t="n"/>
      <c r="D463" s="922" t="n"/>
      <c r="F463" s="922" t="n"/>
      <c r="G463" s="922" t="n"/>
      <c r="I463" s="922" t="n"/>
      <c r="J463" s="922" t="n"/>
      <c r="L463" s="922" t="n"/>
      <c r="M463" s="922" t="n"/>
      <c r="O463" s="922" t="n"/>
      <c r="P463" s="922" t="n"/>
      <c r="R463" s="922" t="n"/>
      <c r="S463" s="922" t="n"/>
      <c r="U463" s="922" t="n"/>
      <c r="V463" s="922" t="n"/>
      <c r="X463" s="922" t="n"/>
      <c r="Y463" s="922" t="n"/>
      <c r="AA463" s="922" t="n"/>
      <c r="AB463" s="922" t="n"/>
    </row>
    <row r="464" ht="14.5" customHeight="1" s="828">
      <c r="C464" s="922" t="n"/>
      <c r="D464" s="922" t="n"/>
      <c r="F464" s="922" t="n"/>
      <c r="G464" s="922" t="n"/>
      <c r="I464" s="922" t="n"/>
      <c r="J464" s="922" t="n"/>
      <c r="L464" s="922" t="n"/>
      <c r="M464" s="922" t="n"/>
      <c r="O464" s="922" t="n"/>
      <c r="P464" s="922" t="n"/>
      <c r="R464" s="922" t="n"/>
      <c r="S464" s="922" t="n"/>
      <c r="U464" s="922" t="n"/>
      <c r="V464" s="922" t="n"/>
      <c r="X464" s="922" t="n"/>
      <c r="Y464" s="922" t="n"/>
      <c r="AA464" s="922" t="n"/>
      <c r="AB464" s="922" t="n"/>
    </row>
    <row r="465" ht="14.5" customHeight="1" s="828">
      <c r="C465" s="922" t="n"/>
      <c r="D465" s="922" t="n"/>
      <c r="F465" s="922" t="n"/>
      <c r="G465" s="922" t="n"/>
      <c r="I465" s="922" t="n"/>
      <c r="J465" s="922" t="n"/>
      <c r="L465" s="922" t="n"/>
      <c r="M465" s="922" t="n"/>
      <c r="O465" s="922" t="n"/>
      <c r="P465" s="922" t="n"/>
      <c r="R465" s="922" t="n"/>
      <c r="S465" s="922" t="n"/>
      <c r="U465" s="922" t="n"/>
      <c r="V465" s="922" t="n"/>
      <c r="X465" s="922" t="n"/>
      <c r="Y465" s="922" t="n"/>
      <c r="AA465" s="922" t="n"/>
      <c r="AB465" s="922" t="n"/>
    </row>
    <row r="466" ht="14.5" customHeight="1" s="828">
      <c r="C466" s="922" t="n"/>
      <c r="D466" s="922" t="n"/>
      <c r="F466" s="922" t="n"/>
      <c r="G466" s="922" t="n"/>
      <c r="I466" s="922" t="n"/>
      <c r="J466" s="922" t="n"/>
      <c r="L466" s="922" t="n"/>
      <c r="M466" s="922" t="n"/>
      <c r="O466" s="922" t="n"/>
      <c r="P466" s="922" t="n"/>
      <c r="R466" s="922" t="n"/>
      <c r="S466" s="922" t="n"/>
      <c r="U466" s="922" t="n"/>
      <c r="V466" s="922" t="n"/>
      <c r="X466" s="922" t="n"/>
      <c r="Y466" s="922" t="n"/>
      <c r="AA466" s="922" t="n"/>
      <c r="AB466" s="922" t="n"/>
    </row>
    <row r="467" ht="14.5" customHeight="1" s="828">
      <c r="C467" s="922" t="n"/>
      <c r="D467" s="922" t="n"/>
      <c r="F467" s="922" t="n"/>
      <c r="G467" s="922" t="n"/>
      <c r="I467" s="922" t="n"/>
      <c r="J467" s="922" t="n"/>
      <c r="L467" s="922" t="n"/>
      <c r="M467" s="922" t="n"/>
      <c r="O467" s="922" t="n"/>
      <c r="P467" s="922" t="n"/>
      <c r="R467" s="922" t="n"/>
      <c r="S467" s="922" t="n"/>
      <c r="U467" s="922" t="n"/>
      <c r="V467" s="922" t="n"/>
      <c r="X467" s="922" t="n"/>
      <c r="Y467" s="922" t="n"/>
      <c r="AA467" s="922" t="n"/>
      <c r="AB467" s="922" t="n"/>
    </row>
    <row r="468" ht="14.5" customHeight="1" s="828">
      <c r="C468" s="922" t="n"/>
      <c r="D468" s="922" t="n"/>
      <c r="F468" s="922" t="n"/>
      <c r="G468" s="922" t="n"/>
      <c r="I468" s="922" t="n"/>
      <c r="J468" s="922" t="n"/>
      <c r="L468" s="922" t="n"/>
      <c r="M468" s="922" t="n"/>
      <c r="O468" s="922" t="n"/>
      <c r="P468" s="922" t="n"/>
      <c r="R468" s="922" t="n"/>
      <c r="S468" s="922" t="n"/>
      <c r="U468" s="922" t="n"/>
      <c r="V468" s="922" t="n"/>
      <c r="X468" s="922" t="n"/>
      <c r="Y468" s="922" t="n"/>
      <c r="AA468" s="922" t="n"/>
      <c r="AB468" s="922" t="n"/>
    </row>
    <row r="469" ht="14.5" customHeight="1" s="828">
      <c r="C469" s="922" t="n"/>
      <c r="D469" s="922" t="n"/>
      <c r="F469" s="922" t="n"/>
      <c r="G469" s="922" t="n"/>
      <c r="I469" s="922" t="n"/>
      <c r="J469" s="922" t="n"/>
      <c r="L469" s="922" t="n"/>
      <c r="M469" s="922" t="n"/>
      <c r="O469" s="922" t="n"/>
      <c r="P469" s="922" t="n"/>
      <c r="R469" s="922" t="n"/>
      <c r="S469" s="922" t="n"/>
      <c r="U469" s="922" t="n"/>
      <c r="V469" s="922" t="n"/>
      <c r="X469" s="922" t="n"/>
      <c r="Y469" s="922" t="n"/>
      <c r="AA469" s="922" t="n"/>
      <c r="AB469" s="922" t="n"/>
    </row>
    <row r="470" ht="14.5" customHeight="1" s="828">
      <c r="C470" s="922" t="n"/>
      <c r="D470" s="922" t="n"/>
      <c r="F470" s="922" t="n"/>
      <c r="G470" s="922" t="n"/>
      <c r="I470" s="922" t="n"/>
      <c r="J470" s="922" t="n"/>
      <c r="L470" s="922" t="n"/>
      <c r="M470" s="922" t="n"/>
      <c r="O470" s="922" t="n"/>
      <c r="P470" s="922" t="n"/>
      <c r="R470" s="922" t="n"/>
      <c r="S470" s="922" t="n"/>
      <c r="U470" s="922" t="n"/>
      <c r="V470" s="922" t="n"/>
      <c r="X470" s="922" t="n"/>
      <c r="Y470" s="922" t="n"/>
      <c r="AA470" s="922" t="n"/>
      <c r="AB470" s="922" t="n"/>
    </row>
    <row r="471" ht="14.5" customHeight="1" s="828">
      <c r="C471" s="922" t="n"/>
      <c r="D471" s="922" t="n"/>
      <c r="F471" s="922" t="n"/>
      <c r="G471" s="922" t="n"/>
      <c r="I471" s="922" t="n"/>
      <c r="J471" s="922" t="n"/>
      <c r="L471" s="922" t="n"/>
      <c r="M471" s="922" t="n"/>
      <c r="O471" s="922" t="n"/>
      <c r="P471" s="922" t="n"/>
      <c r="R471" s="922" t="n"/>
      <c r="S471" s="922" t="n"/>
      <c r="U471" s="922" t="n"/>
      <c r="V471" s="922" t="n"/>
      <c r="X471" s="922" t="n"/>
      <c r="Y471" s="922" t="n"/>
      <c r="AA471" s="922" t="n"/>
      <c r="AB471" s="922" t="n"/>
    </row>
    <row r="472" ht="14.5" customHeight="1" s="828">
      <c r="C472" s="922" t="n"/>
      <c r="D472" s="922" t="n"/>
      <c r="F472" s="922" t="n"/>
      <c r="G472" s="922" t="n"/>
      <c r="I472" s="922" t="n"/>
      <c r="J472" s="922" t="n"/>
      <c r="L472" s="922" t="n"/>
      <c r="M472" s="922" t="n"/>
      <c r="O472" s="922" t="n"/>
      <c r="P472" s="922" t="n"/>
      <c r="R472" s="922" t="n"/>
      <c r="S472" s="922" t="n"/>
      <c r="U472" s="922" t="n"/>
      <c r="V472" s="922" t="n"/>
      <c r="X472" s="922" t="n"/>
      <c r="Y472" s="922" t="n"/>
      <c r="AA472" s="922" t="n"/>
      <c r="AB472" s="922" t="n"/>
    </row>
    <row r="473" ht="14.5" customHeight="1" s="828">
      <c r="C473" s="922" t="n"/>
      <c r="D473" s="922" t="n"/>
      <c r="F473" s="922" t="n"/>
      <c r="G473" s="922" t="n"/>
      <c r="I473" s="922" t="n"/>
      <c r="J473" s="922" t="n"/>
      <c r="L473" s="922" t="n"/>
      <c r="M473" s="922" t="n"/>
      <c r="O473" s="922" t="n"/>
      <c r="P473" s="922" t="n"/>
      <c r="R473" s="922" t="n"/>
      <c r="S473" s="922" t="n"/>
      <c r="U473" s="922" t="n"/>
      <c r="V473" s="922" t="n"/>
      <c r="X473" s="922" t="n"/>
      <c r="Y473" s="922" t="n"/>
      <c r="AA473" s="922" t="n"/>
      <c r="AB473" s="922" t="n"/>
    </row>
    <row r="474" ht="14.5" customHeight="1" s="828">
      <c r="C474" s="922" t="n"/>
      <c r="D474" s="922" t="n"/>
      <c r="F474" s="922" t="n"/>
      <c r="G474" s="922" t="n"/>
      <c r="I474" s="922" t="n"/>
      <c r="J474" s="922" t="n"/>
      <c r="L474" s="922" t="n"/>
      <c r="M474" s="922" t="n"/>
      <c r="O474" s="922" t="n"/>
      <c r="P474" s="922" t="n"/>
      <c r="R474" s="922" t="n"/>
      <c r="S474" s="922" t="n"/>
      <c r="U474" s="922" t="n"/>
      <c r="V474" s="922" t="n"/>
      <c r="X474" s="922" t="n"/>
      <c r="Y474" s="922" t="n"/>
      <c r="AA474" s="922" t="n"/>
      <c r="AB474" s="922" t="n"/>
    </row>
    <row r="475" ht="14.5" customHeight="1" s="828">
      <c r="C475" s="922" t="n"/>
      <c r="D475" s="922" t="n"/>
      <c r="F475" s="922" t="n"/>
      <c r="G475" s="922" t="n"/>
      <c r="I475" s="922" t="n"/>
      <c r="J475" s="922" t="n"/>
      <c r="L475" s="922" t="n"/>
      <c r="M475" s="922" t="n"/>
      <c r="O475" s="922" t="n"/>
      <c r="P475" s="922" t="n"/>
      <c r="R475" s="922" t="n"/>
      <c r="S475" s="922" t="n"/>
      <c r="U475" s="922" t="n"/>
      <c r="V475" s="922" t="n"/>
      <c r="X475" s="922" t="n"/>
      <c r="Y475" s="922" t="n"/>
      <c r="AA475" s="922" t="n"/>
      <c r="AB475" s="922" t="n"/>
    </row>
    <row r="476" ht="14.5" customHeight="1" s="828">
      <c r="C476" s="922" t="n"/>
      <c r="D476" s="922" t="n"/>
      <c r="F476" s="922" t="n"/>
      <c r="G476" s="922" t="n"/>
      <c r="I476" s="922" t="n"/>
      <c r="J476" s="922" t="n"/>
      <c r="L476" s="922" t="n"/>
      <c r="M476" s="922" t="n"/>
      <c r="O476" s="922" t="n"/>
      <c r="P476" s="922" t="n"/>
      <c r="R476" s="922" t="n"/>
      <c r="S476" s="922" t="n"/>
      <c r="U476" s="922" t="n"/>
      <c r="V476" s="922" t="n"/>
      <c r="X476" s="922" t="n"/>
      <c r="Y476" s="922" t="n"/>
      <c r="AA476" s="922" t="n"/>
      <c r="AB476" s="922" t="n"/>
    </row>
    <row r="477" ht="14.5" customHeight="1" s="828">
      <c r="C477" s="922" t="n"/>
      <c r="D477" s="922" t="n"/>
      <c r="F477" s="922" t="n"/>
      <c r="G477" s="922" t="n"/>
      <c r="I477" s="922" t="n"/>
      <c r="J477" s="922" t="n"/>
      <c r="L477" s="922" t="n"/>
      <c r="M477" s="922" t="n"/>
      <c r="O477" s="922" t="n"/>
      <c r="P477" s="922" t="n"/>
      <c r="R477" s="922" t="n"/>
      <c r="S477" s="922" t="n"/>
      <c r="U477" s="922" t="n"/>
      <c r="V477" s="922" t="n"/>
      <c r="X477" s="922" t="n"/>
      <c r="Y477" s="922" t="n"/>
      <c r="AA477" s="922" t="n"/>
      <c r="AB477" s="922" t="n"/>
    </row>
    <row r="478" ht="14.5" customHeight="1" s="828">
      <c r="C478" s="922" t="n"/>
      <c r="D478" s="922" t="n"/>
      <c r="F478" s="922" t="n"/>
      <c r="G478" s="922" t="n"/>
      <c r="I478" s="922" t="n"/>
      <c r="J478" s="922" t="n"/>
      <c r="L478" s="922" t="n"/>
      <c r="M478" s="922" t="n"/>
      <c r="O478" s="922" t="n"/>
      <c r="P478" s="922" t="n"/>
      <c r="R478" s="922" t="n"/>
      <c r="S478" s="922" t="n"/>
      <c r="U478" s="922" t="n"/>
      <c r="V478" s="922" t="n"/>
      <c r="X478" s="922" t="n"/>
      <c r="Y478" s="922" t="n"/>
      <c r="AA478" s="922" t="n"/>
      <c r="AB478" s="922" t="n"/>
    </row>
    <row r="479" ht="14.5" customHeight="1" s="828">
      <c r="C479" s="922" t="n"/>
      <c r="D479" s="922" t="n"/>
      <c r="F479" s="922" t="n"/>
      <c r="G479" s="922" t="n"/>
      <c r="I479" s="922" t="n"/>
      <c r="J479" s="922" t="n"/>
      <c r="L479" s="922" t="n"/>
      <c r="M479" s="922" t="n"/>
      <c r="O479" s="922" t="n"/>
      <c r="P479" s="922" t="n"/>
      <c r="R479" s="922" t="n"/>
      <c r="S479" s="922" t="n"/>
      <c r="U479" s="922" t="n"/>
      <c r="V479" s="922" t="n"/>
      <c r="X479" s="922" t="n"/>
      <c r="Y479" s="922" t="n"/>
      <c r="AA479" s="922" t="n"/>
      <c r="AB479" s="922" t="n"/>
    </row>
    <row r="480" ht="14.5" customHeight="1" s="828">
      <c r="C480" s="922" t="n"/>
      <c r="D480" s="922" t="n"/>
      <c r="F480" s="922" t="n"/>
      <c r="G480" s="922" t="n"/>
      <c r="I480" s="922" t="n"/>
      <c r="J480" s="922" t="n"/>
      <c r="L480" s="922" t="n"/>
      <c r="M480" s="922" t="n"/>
      <c r="O480" s="922" t="n"/>
      <c r="P480" s="922" t="n"/>
      <c r="R480" s="922" t="n"/>
      <c r="S480" s="922" t="n"/>
      <c r="U480" s="922" t="n"/>
      <c r="V480" s="922" t="n"/>
      <c r="X480" s="922" t="n"/>
      <c r="Y480" s="922" t="n"/>
      <c r="AA480" s="922" t="n"/>
      <c r="AB480" s="922" t="n"/>
    </row>
    <row r="481" ht="14.5" customHeight="1" s="828">
      <c r="C481" s="922" t="n"/>
      <c r="D481" s="922" t="n"/>
      <c r="F481" s="922" t="n"/>
      <c r="G481" s="922" t="n"/>
      <c r="I481" s="922" t="n"/>
      <c r="J481" s="922" t="n"/>
      <c r="L481" s="922" t="n"/>
      <c r="M481" s="922" t="n"/>
      <c r="O481" s="922" t="n"/>
      <c r="P481" s="922" t="n"/>
      <c r="R481" s="922" t="n"/>
      <c r="S481" s="922" t="n"/>
      <c r="U481" s="922" t="n"/>
      <c r="V481" s="922" t="n"/>
      <c r="X481" s="922" t="n"/>
      <c r="Y481" s="922" t="n"/>
      <c r="AA481" s="922" t="n"/>
      <c r="AB481" s="922" t="n"/>
    </row>
    <row r="482" ht="14.5" customHeight="1" s="828">
      <c r="C482" s="922" t="n"/>
      <c r="D482" s="922" t="n"/>
      <c r="F482" s="922" t="n"/>
      <c r="G482" s="922" t="n"/>
      <c r="I482" s="922" t="n"/>
      <c r="J482" s="922" t="n"/>
      <c r="L482" s="922" t="n"/>
      <c r="M482" s="922" t="n"/>
      <c r="O482" s="922" t="n"/>
      <c r="P482" s="922" t="n"/>
      <c r="R482" s="922" t="n"/>
      <c r="S482" s="922" t="n"/>
      <c r="U482" s="922" t="n"/>
      <c r="V482" s="922" t="n"/>
      <c r="X482" s="922" t="n"/>
      <c r="Y482" s="922" t="n"/>
      <c r="AA482" s="922" t="n"/>
      <c r="AB482" s="922" t="n"/>
    </row>
    <row r="483" ht="14.5" customHeight="1" s="828">
      <c r="C483" s="922" t="n"/>
      <c r="D483" s="922" t="n"/>
      <c r="F483" s="922" t="n"/>
      <c r="G483" s="922" t="n"/>
      <c r="I483" s="922" t="n"/>
      <c r="J483" s="922" t="n"/>
      <c r="L483" s="922" t="n"/>
      <c r="M483" s="922" t="n"/>
      <c r="O483" s="922" t="n"/>
      <c r="P483" s="922" t="n"/>
      <c r="R483" s="922" t="n"/>
      <c r="S483" s="922" t="n"/>
      <c r="U483" s="922" t="n"/>
      <c r="V483" s="922" t="n"/>
      <c r="X483" s="922" t="n"/>
      <c r="Y483" s="922" t="n"/>
      <c r="AA483" s="922" t="n"/>
      <c r="AB483" s="922" t="n"/>
    </row>
    <row r="484" ht="14.5" customHeight="1" s="828">
      <c r="C484" s="922" t="n"/>
      <c r="D484" s="922" t="n"/>
      <c r="F484" s="922" t="n"/>
      <c r="G484" s="922" t="n"/>
      <c r="I484" s="922" t="n"/>
      <c r="J484" s="922" t="n"/>
      <c r="L484" s="922" t="n"/>
      <c r="M484" s="922" t="n"/>
      <c r="O484" s="922" t="n"/>
      <c r="P484" s="922" t="n"/>
      <c r="R484" s="922" t="n"/>
      <c r="S484" s="922" t="n"/>
      <c r="U484" s="922" t="n"/>
      <c r="V484" s="922" t="n"/>
      <c r="X484" s="922" t="n"/>
      <c r="Y484" s="922" t="n"/>
      <c r="AA484" s="922" t="n"/>
      <c r="AB484" s="922" t="n"/>
    </row>
    <row r="485" ht="14.5" customHeight="1" s="828">
      <c r="C485" s="922" t="n"/>
      <c r="D485" s="922" t="n"/>
      <c r="F485" s="922" t="n"/>
      <c r="G485" s="922" t="n"/>
      <c r="I485" s="922" t="n"/>
      <c r="J485" s="922" t="n"/>
      <c r="L485" s="922" t="n"/>
      <c r="M485" s="922" t="n"/>
      <c r="O485" s="922" t="n"/>
      <c r="P485" s="922" t="n"/>
      <c r="R485" s="922" t="n"/>
      <c r="S485" s="922" t="n"/>
      <c r="U485" s="922" t="n"/>
      <c r="V485" s="922" t="n"/>
      <c r="X485" s="922" t="n"/>
      <c r="Y485" s="922" t="n"/>
      <c r="AA485" s="922" t="n"/>
      <c r="AB485" s="922" t="n"/>
    </row>
    <row r="486" ht="14.5" customHeight="1" s="828">
      <c r="C486" s="922" t="n"/>
      <c r="D486" s="922" t="n"/>
      <c r="F486" s="922" t="n"/>
      <c r="G486" s="922" t="n"/>
      <c r="I486" s="922" t="n"/>
      <c r="J486" s="922" t="n"/>
      <c r="L486" s="922" t="n"/>
      <c r="M486" s="922" t="n"/>
      <c r="O486" s="922" t="n"/>
      <c r="P486" s="922" t="n"/>
      <c r="R486" s="922" t="n"/>
      <c r="S486" s="922" t="n"/>
      <c r="U486" s="922" t="n"/>
      <c r="V486" s="922" t="n"/>
      <c r="X486" s="922" t="n"/>
      <c r="Y486" s="922" t="n"/>
      <c r="AA486" s="922" t="n"/>
      <c r="AB486" s="922" t="n"/>
    </row>
    <row r="487" ht="14.5" customHeight="1" s="828">
      <c r="C487" s="922" t="n"/>
      <c r="D487" s="922" t="n"/>
      <c r="F487" s="922" t="n"/>
      <c r="G487" s="922" t="n"/>
      <c r="I487" s="922" t="n"/>
      <c r="J487" s="922" t="n"/>
      <c r="L487" s="922" t="n"/>
      <c r="M487" s="922" t="n"/>
      <c r="O487" s="922" t="n"/>
      <c r="P487" s="922" t="n"/>
      <c r="R487" s="922" t="n"/>
      <c r="S487" s="922" t="n"/>
      <c r="U487" s="922" t="n"/>
      <c r="V487" s="922" t="n"/>
      <c r="X487" s="922" t="n"/>
      <c r="Y487" s="922" t="n"/>
      <c r="AA487" s="922" t="n"/>
      <c r="AB487" s="922" t="n"/>
    </row>
    <row r="488" ht="14.5" customHeight="1" s="828">
      <c r="C488" s="922" t="n"/>
      <c r="D488" s="922" t="n"/>
      <c r="F488" s="922" t="n"/>
      <c r="G488" s="922" t="n"/>
      <c r="I488" s="922" t="n"/>
      <c r="J488" s="922" t="n"/>
      <c r="L488" s="922" t="n"/>
      <c r="M488" s="922" t="n"/>
      <c r="O488" s="922" t="n"/>
      <c r="P488" s="922" t="n"/>
      <c r="R488" s="922" t="n"/>
      <c r="S488" s="922" t="n"/>
      <c r="U488" s="922" t="n"/>
      <c r="V488" s="922" t="n"/>
      <c r="X488" s="922" t="n"/>
      <c r="Y488" s="922" t="n"/>
      <c r="AA488" s="922" t="n"/>
      <c r="AB488" s="922" t="n"/>
    </row>
    <row r="489" ht="14.5" customHeight="1" s="828">
      <c r="C489" s="922" t="n"/>
      <c r="D489" s="922" t="n"/>
      <c r="F489" s="922" t="n"/>
      <c r="G489" s="922" t="n"/>
      <c r="I489" s="922" t="n"/>
      <c r="J489" s="922" t="n"/>
      <c r="L489" s="922" t="n"/>
      <c r="M489" s="922" t="n"/>
      <c r="O489" s="922" t="n"/>
      <c r="P489" s="922" t="n"/>
      <c r="R489" s="922" t="n"/>
      <c r="S489" s="922" t="n"/>
      <c r="U489" s="922" t="n"/>
      <c r="V489" s="922" t="n"/>
      <c r="X489" s="922" t="n"/>
      <c r="Y489" s="922" t="n"/>
      <c r="AA489" s="922" t="n"/>
      <c r="AB489" s="922" t="n"/>
    </row>
    <row r="490" ht="14.5" customHeight="1" s="828">
      <c r="C490" s="922" t="n"/>
      <c r="D490" s="922" t="n"/>
      <c r="F490" s="922" t="n"/>
      <c r="G490" s="922" t="n"/>
      <c r="I490" s="922" t="n"/>
      <c r="J490" s="922" t="n"/>
      <c r="L490" s="922" t="n"/>
      <c r="M490" s="922" t="n"/>
      <c r="O490" s="922" t="n"/>
      <c r="P490" s="922" t="n"/>
      <c r="R490" s="922" t="n"/>
      <c r="S490" s="922" t="n"/>
      <c r="U490" s="922" t="n"/>
      <c r="V490" s="922" t="n"/>
      <c r="X490" s="922" t="n"/>
      <c r="Y490" s="922" t="n"/>
      <c r="AA490" s="922" t="n"/>
      <c r="AB490" s="922" t="n"/>
    </row>
    <row r="491" ht="14.5" customHeight="1" s="828">
      <c r="C491" s="922" t="n"/>
      <c r="D491" s="922" t="n"/>
      <c r="F491" s="922" t="n"/>
      <c r="G491" s="922" t="n"/>
      <c r="I491" s="922" t="n"/>
      <c r="J491" s="922" t="n"/>
      <c r="L491" s="922" t="n"/>
      <c r="M491" s="922" t="n"/>
      <c r="O491" s="922" t="n"/>
      <c r="P491" s="922" t="n"/>
      <c r="R491" s="922" t="n"/>
      <c r="S491" s="922" t="n"/>
      <c r="U491" s="922" t="n"/>
      <c r="V491" s="922" t="n"/>
      <c r="X491" s="922" t="n"/>
      <c r="Y491" s="922" t="n"/>
      <c r="AA491" s="922" t="n"/>
      <c r="AB491" s="922" t="n"/>
    </row>
    <row r="492" ht="14.5" customHeight="1" s="828">
      <c r="C492" s="922" t="n"/>
      <c r="D492" s="922" t="n"/>
      <c r="F492" s="922" t="n"/>
      <c r="G492" s="922" t="n"/>
      <c r="I492" s="922" t="n"/>
      <c r="J492" s="922" t="n"/>
      <c r="L492" s="922" t="n"/>
      <c r="M492" s="922" t="n"/>
      <c r="O492" s="922" t="n"/>
      <c r="P492" s="922" t="n"/>
      <c r="R492" s="922" t="n"/>
      <c r="S492" s="922" t="n"/>
      <c r="U492" s="922" t="n"/>
      <c r="V492" s="922" t="n"/>
      <c r="X492" s="922" t="n"/>
      <c r="Y492" s="922" t="n"/>
      <c r="AA492" s="922" t="n"/>
      <c r="AB492" s="922" t="n"/>
    </row>
    <row r="493" ht="14.5" customHeight="1" s="828">
      <c r="C493" s="922" t="n"/>
      <c r="D493" s="922" t="n"/>
      <c r="F493" s="922" t="n"/>
      <c r="G493" s="922" t="n"/>
      <c r="I493" s="922" t="n"/>
      <c r="J493" s="922" t="n"/>
      <c r="L493" s="922" t="n"/>
      <c r="M493" s="922" t="n"/>
      <c r="O493" s="922" t="n"/>
      <c r="P493" s="922" t="n"/>
      <c r="R493" s="922" t="n"/>
      <c r="S493" s="922" t="n"/>
      <c r="U493" s="922" t="n"/>
      <c r="V493" s="922" t="n"/>
      <c r="X493" s="922" t="n"/>
      <c r="Y493" s="922" t="n"/>
      <c r="AA493" s="922" t="n"/>
      <c r="AB493" s="922" t="n"/>
    </row>
    <row r="494" ht="14.5" customHeight="1" s="828">
      <c r="C494" s="922" t="n"/>
      <c r="D494" s="922" t="n"/>
      <c r="F494" s="922" t="n"/>
      <c r="G494" s="922" t="n"/>
      <c r="I494" s="922" t="n"/>
      <c r="J494" s="922" t="n"/>
      <c r="L494" s="922" t="n"/>
      <c r="M494" s="922" t="n"/>
      <c r="O494" s="922" t="n"/>
      <c r="P494" s="922" t="n"/>
      <c r="R494" s="922" t="n"/>
      <c r="S494" s="922" t="n"/>
      <c r="U494" s="922" t="n"/>
      <c r="V494" s="922" t="n"/>
      <c r="X494" s="922" t="n"/>
      <c r="Y494" s="922" t="n"/>
      <c r="AA494" s="922" t="n"/>
      <c r="AB494" s="922" t="n"/>
    </row>
    <row r="495" ht="14.5" customHeight="1" s="828">
      <c r="C495" s="922" t="n"/>
      <c r="D495" s="922" t="n"/>
      <c r="F495" s="922" t="n"/>
      <c r="G495" s="922" t="n"/>
      <c r="I495" s="922" t="n"/>
      <c r="J495" s="922" t="n"/>
      <c r="L495" s="922" t="n"/>
      <c r="M495" s="922" t="n"/>
      <c r="O495" s="922" t="n"/>
      <c r="P495" s="922" t="n"/>
      <c r="R495" s="922" t="n"/>
      <c r="S495" s="922" t="n"/>
      <c r="U495" s="922" t="n"/>
      <c r="V495" s="922" t="n"/>
      <c r="X495" s="922" t="n"/>
      <c r="Y495" s="922" t="n"/>
      <c r="AA495" s="922" t="n"/>
      <c r="AB495" s="922" t="n"/>
    </row>
    <row r="496" ht="14.5" customHeight="1" s="828">
      <c r="C496" s="922" t="n"/>
      <c r="D496" s="922" t="n"/>
      <c r="F496" s="922" t="n"/>
      <c r="G496" s="922" t="n"/>
      <c r="I496" s="922" t="n"/>
      <c r="J496" s="922" t="n"/>
      <c r="L496" s="922" t="n"/>
      <c r="M496" s="922" t="n"/>
      <c r="O496" s="922" t="n"/>
      <c r="P496" s="922" t="n"/>
      <c r="R496" s="922" t="n"/>
      <c r="S496" s="922" t="n"/>
      <c r="U496" s="922" t="n"/>
      <c r="V496" s="922" t="n"/>
      <c r="X496" s="922" t="n"/>
      <c r="Y496" s="922" t="n"/>
      <c r="AA496" s="922" t="n"/>
      <c r="AB496" s="922" t="n"/>
    </row>
    <row r="497" ht="14.5" customHeight="1" s="828">
      <c r="C497" s="922" t="n"/>
      <c r="D497" s="922" t="n"/>
      <c r="F497" s="922" t="n"/>
      <c r="G497" s="922" t="n"/>
      <c r="I497" s="922" t="n"/>
      <c r="J497" s="922" t="n"/>
      <c r="L497" s="922" t="n"/>
      <c r="M497" s="922" t="n"/>
      <c r="O497" s="922" t="n"/>
      <c r="P497" s="922" t="n"/>
      <c r="R497" s="922" t="n"/>
      <c r="S497" s="922" t="n"/>
      <c r="U497" s="922" t="n"/>
      <c r="V497" s="922" t="n"/>
      <c r="X497" s="922" t="n"/>
      <c r="Y497" s="922" t="n"/>
      <c r="AA497" s="922" t="n"/>
      <c r="AB497" s="922" t="n"/>
    </row>
    <row r="498" ht="14.5" customHeight="1" s="828">
      <c r="C498" s="922" t="n"/>
      <c r="D498" s="922" t="n"/>
      <c r="F498" s="922" t="n"/>
      <c r="G498" s="922" t="n"/>
      <c r="I498" s="922" t="n"/>
      <c r="J498" s="922" t="n"/>
      <c r="L498" s="922" t="n"/>
      <c r="M498" s="922" t="n"/>
      <c r="O498" s="922" t="n"/>
      <c r="P498" s="922" t="n"/>
      <c r="R498" s="922" t="n"/>
      <c r="S498" s="922" t="n"/>
      <c r="U498" s="922" t="n"/>
      <c r="V498" s="922" t="n"/>
      <c r="X498" s="922" t="n"/>
      <c r="Y498" s="922" t="n"/>
      <c r="AA498" s="922" t="n"/>
      <c r="AB498" s="922" t="n"/>
    </row>
    <row r="499" ht="14.5" customHeight="1" s="828">
      <c r="C499" s="922" t="n"/>
      <c r="D499" s="922" t="n"/>
      <c r="F499" s="922" t="n"/>
      <c r="G499" s="922" t="n"/>
      <c r="I499" s="922" t="n"/>
      <c r="J499" s="922" t="n"/>
      <c r="L499" s="922" t="n"/>
      <c r="M499" s="922" t="n"/>
      <c r="O499" s="922" t="n"/>
      <c r="P499" s="922" t="n"/>
      <c r="R499" s="922" t="n"/>
      <c r="S499" s="922" t="n"/>
      <c r="U499" s="922" t="n"/>
      <c r="V499" s="922" t="n"/>
      <c r="X499" s="922" t="n"/>
      <c r="Y499" s="922" t="n"/>
      <c r="AA499" s="922" t="n"/>
      <c r="AB499" s="922" t="n"/>
    </row>
    <row r="500" ht="14.5" customHeight="1" s="828">
      <c r="C500" s="922" t="n"/>
      <c r="D500" s="922" t="n"/>
      <c r="F500" s="922" t="n"/>
      <c r="G500" s="922" t="n"/>
      <c r="I500" s="922" t="n"/>
      <c r="J500" s="922" t="n"/>
      <c r="L500" s="922" t="n"/>
      <c r="M500" s="922" t="n"/>
      <c r="O500" s="922" t="n"/>
      <c r="P500" s="922" t="n"/>
      <c r="R500" s="922" t="n"/>
      <c r="S500" s="922" t="n"/>
      <c r="U500" s="922" t="n"/>
      <c r="V500" s="922" t="n"/>
      <c r="X500" s="922" t="n"/>
      <c r="Y500" s="922" t="n"/>
      <c r="AA500" s="922" t="n"/>
      <c r="AB500" s="922" t="n"/>
    </row>
    <row r="501" ht="14.5" customHeight="1" s="828">
      <c r="C501" s="922" t="n"/>
      <c r="D501" s="922" t="n"/>
      <c r="F501" s="922" t="n"/>
      <c r="G501" s="922" t="n"/>
      <c r="I501" s="922" t="n"/>
      <c r="J501" s="922" t="n"/>
      <c r="L501" s="922" t="n"/>
      <c r="M501" s="922" t="n"/>
      <c r="O501" s="922" t="n"/>
      <c r="P501" s="922" t="n"/>
      <c r="R501" s="922" t="n"/>
      <c r="S501" s="922" t="n"/>
      <c r="U501" s="922" t="n"/>
      <c r="V501" s="922" t="n"/>
      <c r="X501" s="922" t="n"/>
      <c r="Y501" s="922" t="n"/>
      <c r="AA501" s="922" t="n"/>
      <c r="AB501" s="922" t="n"/>
    </row>
    <row r="502" ht="14.5" customHeight="1" s="828">
      <c r="C502" s="922" t="n"/>
      <c r="D502" s="922" t="n"/>
      <c r="F502" s="922" t="n"/>
      <c r="G502" s="922" t="n"/>
      <c r="I502" s="922" t="n"/>
      <c r="J502" s="922" t="n"/>
      <c r="L502" s="922" t="n"/>
      <c r="M502" s="922" t="n"/>
      <c r="O502" s="922" t="n"/>
      <c r="P502" s="922" t="n"/>
      <c r="R502" s="922" t="n"/>
      <c r="S502" s="922" t="n"/>
      <c r="U502" s="922" t="n"/>
      <c r="V502" s="922" t="n"/>
      <c r="X502" s="922" t="n"/>
      <c r="Y502" s="922" t="n"/>
      <c r="AA502" s="922" t="n"/>
      <c r="AB502" s="922" t="n"/>
    </row>
    <row r="503" ht="14.5" customHeight="1" s="828">
      <c r="C503" s="922" t="n"/>
      <c r="D503" s="922" t="n"/>
      <c r="F503" s="922" t="n"/>
      <c r="G503" s="922" t="n"/>
      <c r="I503" s="922" t="n"/>
      <c r="J503" s="922" t="n"/>
      <c r="L503" s="922" t="n"/>
      <c r="M503" s="922" t="n"/>
      <c r="O503" s="922" t="n"/>
      <c r="P503" s="922" t="n"/>
      <c r="R503" s="922" t="n"/>
      <c r="S503" s="922" t="n"/>
      <c r="U503" s="922" t="n"/>
      <c r="V503" s="922" t="n"/>
      <c r="X503" s="922" t="n"/>
      <c r="Y503" s="922" t="n"/>
      <c r="AA503" s="922" t="n"/>
      <c r="AB503" s="922" t="n"/>
    </row>
    <row r="504" ht="14.5" customHeight="1" s="828">
      <c r="C504" s="922" t="n"/>
      <c r="D504" s="922" t="n"/>
      <c r="F504" s="922" t="n"/>
      <c r="G504" s="922" t="n"/>
      <c r="I504" s="922" t="n"/>
      <c r="J504" s="922" t="n"/>
      <c r="L504" s="922" t="n"/>
      <c r="M504" s="922" t="n"/>
      <c r="O504" s="922" t="n"/>
      <c r="P504" s="922" t="n"/>
      <c r="R504" s="922" t="n"/>
      <c r="S504" s="922" t="n"/>
      <c r="U504" s="922" t="n"/>
      <c r="V504" s="922" t="n"/>
      <c r="X504" s="922" t="n"/>
      <c r="Y504" s="922" t="n"/>
      <c r="AA504" s="922" t="n"/>
      <c r="AB504" s="922" t="n"/>
    </row>
    <row r="505" ht="14.5" customHeight="1" s="828">
      <c r="C505" s="922" t="n"/>
      <c r="D505" s="922" t="n"/>
      <c r="F505" s="922" t="n"/>
      <c r="G505" s="922" t="n"/>
      <c r="I505" s="922" t="n"/>
      <c r="J505" s="922" t="n"/>
      <c r="L505" s="922" t="n"/>
      <c r="M505" s="922" t="n"/>
      <c r="O505" s="922" t="n"/>
      <c r="P505" s="922" t="n"/>
      <c r="R505" s="922" t="n"/>
      <c r="S505" s="922" t="n"/>
      <c r="U505" s="922" t="n"/>
      <c r="V505" s="922" t="n"/>
      <c r="X505" s="922" t="n"/>
      <c r="Y505" s="922" t="n"/>
      <c r="AA505" s="922" t="n"/>
      <c r="AB505" s="922" t="n"/>
    </row>
    <row r="506" ht="14.5" customHeight="1" s="828">
      <c r="C506" s="922" t="n"/>
      <c r="D506" s="922" t="n"/>
      <c r="F506" s="922" t="n"/>
      <c r="G506" s="922" t="n"/>
      <c r="I506" s="922" t="n"/>
      <c r="J506" s="922" t="n"/>
      <c r="L506" s="922" t="n"/>
      <c r="M506" s="922" t="n"/>
      <c r="O506" s="922" t="n"/>
      <c r="P506" s="922" t="n"/>
      <c r="R506" s="922" t="n"/>
      <c r="S506" s="922" t="n"/>
      <c r="U506" s="922" t="n"/>
      <c r="V506" s="922" t="n"/>
      <c r="X506" s="922" t="n"/>
      <c r="Y506" s="922" t="n"/>
      <c r="AA506" s="922" t="n"/>
      <c r="AB506" s="922" t="n"/>
    </row>
    <row r="507" ht="14.5" customHeight="1" s="828">
      <c r="C507" s="922" t="n"/>
      <c r="D507" s="922" t="n"/>
      <c r="F507" s="922" t="n"/>
      <c r="G507" s="922" t="n"/>
      <c r="I507" s="922" t="n"/>
      <c r="J507" s="922" t="n"/>
      <c r="L507" s="922" t="n"/>
      <c r="M507" s="922" t="n"/>
      <c r="O507" s="922" t="n"/>
      <c r="P507" s="922" t="n"/>
      <c r="R507" s="922" t="n"/>
      <c r="S507" s="922" t="n"/>
      <c r="U507" s="922" t="n"/>
      <c r="V507" s="922" t="n"/>
      <c r="X507" s="922" t="n"/>
      <c r="Y507" s="922" t="n"/>
      <c r="AA507" s="922" t="n"/>
      <c r="AB507" s="922" t="n"/>
    </row>
    <row r="508" ht="14.5" customHeight="1" s="828">
      <c r="C508" s="922" t="n"/>
      <c r="D508" s="922" t="n"/>
      <c r="F508" s="922" t="n"/>
      <c r="G508" s="922" t="n"/>
      <c r="I508" s="922" t="n"/>
      <c r="J508" s="922" t="n"/>
      <c r="L508" s="922" t="n"/>
      <c r="M508" s="922" t="n"/>
      <c r="O508" s="922" t="n"/>
      <c r="P508" s="922" t="n"/>
      <c r="R508" s="922" t="n"/>
      <c r="S508" s="922" t="n"/>
      <c r="U508" s="922" t="n"/>
      <c r="V508" s="922" t="n"/>
      <c r="X508" s="922" t="n"/>
      <c r="Y508" s="922" t="n"/>
      <c r="AA508" s="922" t="n"/>
      <c r="AB508" s="922" t="n"/>
    </row>
    <row r="509" ht="14.5" customHeight="1" s="828">
      <c r="C509" s="922" t="n"/>
      <c r="D509" s="922" t="n"/>
      <c r="F509" s="922" t="n"/>
      <c r="G509" s="922" t="n"/>
      <c r="I509" s="922" t="n"/>
      <c r="J509" s="922" t="n"/>
      <c r="L509" s="922" t="n"/>
      <c r="M509" s="922" t="n"/>
      <c r="O509" s="922" t="n"/>
      <c r="P509" s="922" t="n"/>
      <c r="R509" s="922" t="n"/>
      <c r="S509" s="922" t="n"/>
      <c r="U509" s="922" t="n"/>
      <c r="V509" s="922" t="n"/>
      <c r="X509" s="922" t="n"/>
      <c r="Y509" s="922" t="n"/>
      <c r="AA509" s="922" t="n"/>
      <c r="AB509" s="922" t="n"/>
    </row>
    <row r="510" ht="14.5" customHeight="1" s="828">
      <c r="C510" s="922" t="n"/>
      <c r="D510" s="922" t="n"/>
      <c r="F510" s="922" t="n"/>
      <c r="G510" s="922" t="n"/>
      <c r="I510" s="922" t="n"/>
      <c r="J510" s="922" t="n"/>
      <c r="L510" s="922" t="n"/>
      <c r="M510" s="922" t="n"/>
      <c r="O510" s="922" t="n"/>
      <c r="P510" s="922" t="n"/>
      <c r="R510" s="922" t="n"/>
      <c r="S510" s="922" t="n"/>
      <c r="U510" s="922" t="n"/>
      <c r="V510" s="922" t="n"/>
      <c r="X510" s="922" t="n"/>
      <c r="Y510" s="922" t="n"/>
      <c r="AA510" s="922" t="n"/>
      <c r="AB510" s="922" t="n"/>
    </row>
    <row r="511" ht="14.5" customHeight="1" s="828">
      <c r="C511" s="922" t="n"/>
      <c r="D511" s="922" t="n"/>
      <c r="F511" s="922" t="n"/>
      <c r="G511" s="922" t="n"/>
      <c r="I511" s="922" t="n"/>
      <c r="J511" s="922" t="n"/>
      <c r="L511" s="922" t="n"/>
      <c r="M511" s="922" t="n"/>
      <c r="O511" s="922" t="n"/>
      <c r="P511" s="922" t="n"/>
      <c r="R511" s="922" t="n"/>
      <c r="S511" s="922" t="n"/>
      <c r="U511" s="922" t="n"/>
      <c r="V511" s="922" t="n"/>
      <c r="X511" s="922" t="n"/>
      <c r="Y511" s="922" t="n"/>
      <c r="AA511" s="922" t="n"/>
      <c r="AB511" s="922" t="n"/>
    </row>
    <row r="512" ht="14.5" customHeight="1" s="828">
      <c r="C512" s="922" t="n"/>
      <c r="D512" s="922" t="n"/>
      <c r="F512" s="922" t="n"/>
      <c r="G512" s="922" t="n"/>
      <c r="I512" s="922" t="n"/>
      <c r="J512" s="922" t="n"/>
      <c r="L512" s="922" t="n"/>
      <c r="M512" s="922" t="n"/>
      <c r="O512" s="922" t="n"/>
      <c r="P512" s="922" t="n"/>
      <c r="R512" s="922" t="n"/>
      <c r="S512" s="922" t="n"/>
      <c r="U512" s="922" t="n"/>
      <c r="V512" s="922" t="n"/>
      <c r="X512" s="922" t="n"/>
      <c r="Y512" s="922" t="n"/>
      <c r="AA512" s="922" t="n"/>
      <c r="AB512" s="922" t="n"/>
    </row>
    <row r="513" ht="14.5" customHeight="1" s="828">
      <c r="C513" s="922" t="n"/>
      <c r="D513" s="922" t="n"/>
      <c r="F513" s="922" t="n"/>
      <c r="G513" s="922" t="n"/>
      <c r="I513" s="922" t="n"/>
      <c r="J513" s="922" t="n"/>
      <c r="L513" s="922" t="n"/>
      <c r="M513" s="922" t="n"/>
      <c r="O513" s="922" t="n"/>
      <c r="P513" s="922" t="n"/>
      <c r="R513" s="922" t="n"/>
      <c r="S513" s="922" t="n"/>
      <c r="U513" s="922" t="n"/>
      <c r="V513" s="922" t="n"/>
      <c r="X513" s="922" t="n"/>
      <c r="Y513" s="922" t="n"/>
      <c r="AA513" s="922" t="n"/>
      <c r="AB513" s="922" t="n"/>
    </row>
    <row r="514" ht="14.5" customHeight="1" s="828">
      <c r="C514" s="922" t="n"/>
      <c r="D514" s="922" t="n"/>
      <c r="F514" s="922" t="n"/>
      <c r="G514" s="922" t="n"/>
      <c r="I514" s="922" t="n"/>
      <c r="J514" s="922" t="n"/>
      <c r="L514" s="922" t="n"/>
      <c r="M514" s="922" t="n"/>
      <c r="O514" s="922" t="n"/>
      <c r="P514" s="922" t="n"/>
      <c r="R514" s="922" t="n"/>
      <c r="S514" s="922" t="n"/>
      <c r="U514" s="922" t="n"/>
      <c r="V514" s="922" t="n"/>
      <c r="X514" s="922" t="n"/>
      <c r="Y514" s="922" t="n"/>
      <c r="AA514" s="922" t="n"/>
      <c r="AB514" s="922" t="n"/>
    </row>
    <row r="515" ht="14.5" customHeight="1" s="828">
      <c r="C515" s="922" t="n"/>
      <c r="D515" s="922" t="n"/>
      <c r="F515" s="922" t="n"/>
      <c r="G515" s="922" t="n"/>
      <c r="I515" s="922" t="n"/>
      <c r="J515" s="922" t="n"/>
      <c r="L515" s="922" t="n"/>
      <c r="M515" s="922" t="n"/>
      <c r="O515" s="922" t="n"/>
      <c r="P515" s="922" t="n"/>
      <c r="R515" s="922" t="n"/>
      <c r="S515" s="922" t="n"/>
      <c r="U515" s="922" t="n"/>
      <c r="V515" s="922" t="n"/>
      <c r="X515" s="922" t="n"/>
      <c r="Y515" s="922" t="n"/>
      <c r="AA515" s="922" t="n"/>
      <c r="AB515" s="922" t="n"/>
    </row>
    <row r="516" ht="14.5" customHeight="1" s="828">
      <c r="C516" s="922" t="n"/>
      <c r="D516" s="922" t="n"/>
      <c r="F516" s="922" t="n"/>
      <c r="G516" s="922" t="n"/>
      <c r="I516" s="922" t="n"/>
      <c r="J516" s="922" t="n"/>
      <c r="L516" s="922" t="n"/>
      <c r="M516" s="922" t="n"/>
      <c r="O516" s="922" t="n"/>
      <c r="P516" s="922" t="n"/>
      <c r="R516" s="922" t="n"/>
      <c r="S516" s="922" t="n"/>
      <c r="U516" s="922" t="n"/>
      <c r="V516" s="922" t="n"/>
      <c r="X516" s="922" t="n"/>
      <c r="Y516" s="922" t="n"/>
      <c r="AA516" s="922" t="n"/>
      <c r="AB516" s="922" t="n"/>
    </row>
    <row r="517" ht="14.5" customHeight="1" s="828">
      <c r="C517" s="922" t="n"/>
      <c r="D517" s="922" t="n"/>
      <c r="F517" s="922" t="n"/>
      <c r="G517" s="922" t="n"/>
      <c r="I517" s="922" t="n"/>
      <c r="J517" s="922" t="n"/>
      <c r="L517" s="922" t="n"/>
      <c r="M517" s="922" t="n"/>
      <c r="O517" s="922" t="n"/>
      <c r="P517" s="922" t="n"/>
      <c r="R517" s="922" t="n"/>
      <c r="S517" s="922" t="n"/>
      <c r="U517" s="922" t="n"/>
      <c r="V517" s="922" t="n"/>
      <c r="X517" s="922" t="n"/>
      <c r="Y517" s="922" t="n"/>
      <c r="AA517" s="922" t="n"/>
      <c r="AB517" s="922" t="n"/>
    </row>
    <row r="518" ht="14.5" customHeight="1" s="828">
      <c r="C518" s="922" t="n"/>
      <c r="D518" s="922" t="n"/>
      <c r="F518" s="922" t="n"/>
      <c r="G518" s="922" t="n"/>
      <c r="I518" s="922" t="n"/>
      <c r="J518" s="922" t="n"/>
      <c r="L518" s="922" t="n"/>
      <c r="M518" s="922" t="n"/>
      <c r="O518" s="922" t="n"/>
      <c r="P518" s="922" t="n"/>
      <c r="R518" s="922" t="n"/>
      <c r="S518" s="922" t="n"/>
      <c r="U518" s="922" t="n"/>
      <c r="V518" s="922" t="n"/>
      <c r="X518" s="922" t="n"/>
      <c r="Y518" s="922" t="n"/>
      <c r="AA518" s="922" t="n"/>
      <c r="AB518" s="922" t="n"/>
    </row>
    <row r="519" ht="14.5" customHeight="1" s="828">
      <c r="C519" s="922" t="n"/>
      <c r="D519" s="922" t="n"/>
      <c r="F519" s="922" t="n"/>
      <c r="G519" s="922" t="n"/>
      <c r="I519" s="922" t="n"/>
      <c r="J519" s="922" t="n"/>
      <c r="L519" s="922" t="n"/>
      <c r="M519" s="922" t="n"/>
      <c r="O519" s="922" t="n"/>
      <c r="P519" s="922" t="n"/>
      <c r="R519" s="922" t="n"/>
      <c r="S519" s="922" t="n"/>
      <c r="U519" s="922" t="n"/>
      <c r="V519" s="922" t="n"/>
      <c r="X519" s="922" t="n"/>
      <c r="Y519" s="922" t="n"/>
      <c r="AA519" s="922" t="n"/>
      <c r="AB519" s="922" t="n"/>
    </row>
    <row r="520" ht="14.5" customHeight="1" s="828">
      <c r="C520" s="922" t="n"/>
      <c r="D520" s="922" t="n"/>
      <c r="F520" s="922" t="n"/>
      <c r="G520" s="922" t="n"/>
      <c r="I520" s="922" t="n"/>
      <c r="J520" s="922" t="n"/>
      <c r="L520" s="922" t="n"/>
      <c r="M520" s="922" t="n"/>
      <c r="O520" s="922" t="n"/>
      <c r="P520" s="922" t="n"/>
      <c r="R520" s="922" t="n"/>
      <c r="S520" s="922" t="n"/>
      <c r="U520" s="922" t="n"/>
      <c r="V520" s="922" t="n"/>
      <c r="X520" s="922" t="n"/>
      <c r="Y520" s="922" t="n"/>
      <c r="AA520" s="922" t="n"/>
      <c r="AB520" s="922" t="n"/>
    </row>
    <row r="521" ht="14.5" customHeight="1" s="828">
      <c r="C521" s="922" t="n"/>
      <c r="D521" s="922" t="n"/>
      <c r="F521" s="922" t="n"/>
      <c r="G521" s="922" t="n"/>
      <c r="I521" s="922" t="n"/>
      <c r="J521" s="922" t="n"/>
      <c r="L521" s="922" t="n"/>
      <c r="M521" s="922" t="n"/>
      <c r="O521" s="922" t="n"/>
      <c r="P521" s="922" t="n"/>
      <c r="R521" s="922" t="n"/>
      <c r="S521" s="922" t="n"/>
      <c r="U521" s="922" t="n"/>
      <c r="V521" s="922" t="n"/>
      <c r="X521" s="922" t="n"/>
      <c r="Y521" s="922" t="n"/>
      <c r="AA521" s="922" t="n"/>
      <c r="AB521" s="922" t="n"/>
    </row>
    <row r="522" ht="14.5" customHeight="1" s="828">
      <c r="C522" s="922" t="n"/>
      <c r="D522" s="922" t="n"/>
      <c r="F522" s="922" t="n"/>
      <c r="G522" s="922" t="n"/>
      <c r="I522" s="922" t="n"/>
      <c r="J522" s="922" t="n"/>
      <c r="L522" s="922" t="n"/>
      <c r="M522" s="922" t="n"/>
      <c r="O522" s="922" t="n"/>
      <c r="P522" s="922" t="n"/>
      <c r="R522" s="922" t="n"/>
      <c r="S522" s="922" t="n"/>
      <c r="U522" s="922" t="n"/>
      <c r="V522" s="922" t="n"/>
      <c r="X522" s="922" t="n"/>
      <c r="Y522" s="922" t="n"/>
      <c r="AA522" s="922" t="n"/>
      <c r="AB522" s="922" t="n"/>
    </row>
    <row r="523" ht="14.5" customHeight="1" s="828">
      <c r="C523" s="922" t="n"/>
      <c r="D523" s="922" t="n"/>
      <c r="F523" s="922" t="n"/>
      <c r="G523" s="922" t="n"/>
      <c r="I523" s="922" t="n"/>
      <c r="J523" s="922" t="n"/>
      <c r="L523" s="922" t="n"/>
      <c r="M523" s="922" t="n"/>
      <c r="O523" s="922" t="n"/>
      <c r="P523" s="922" t="n"/>
      <c r="R523" s="922" t="n"/>
      <c r="S523" s="922" t="n"/>
      <c r="U523" s="922" t="n"/>
      <c r="V523" s="922" t="n"/>
      <c r="X523" s="922" t="n"/>
      <c r="Y523" s="922" t="n"/>
      <c r="AA523" s="922" t="n"/>
      <c r="AB523" s="922" t="n"/>
    </row>
    <row r="524" ht="14.5" customHeight="1" s="828">
      <c r="C524" s="922" t="n"/>
      <c r="D524" s="922" t="n"/>
      <c r="F524" s="922" t="n"/>
      <c r="G524" s="922" t="n"/>
      <c r="I524" s="922" t="n"/>
      <c r="J524" s="922" t="n"/>
      <c r="L524" s="922" t="n"/>
      <c r="M524" s="922" t="n"/>
      <c r="O524" s="922" t="n"/>
      <c r="P524" s="922" t="n"/>
      <c r="R524" s="922" t="n"/>
      <c r="S524" s="922" t="n"/>
      <c r="U524" s="922" t="n"/>
      <c r="V524" s="922" t="n"/>
      <c r="X524" s="922" t="n"/>
      <c r="Y524" s="922" t="n"/>
      <c r="AA524" s="922" t="n"/>
      <c r="AB524" s="922" t="n"/>
    </row>
    <row r="525" ht="14.5" customHeight="1" s="828">
      <c r="C525" s="922" t="n"/>
      <c r="D525" s="922" t="n"/>
      <c r="F525" s="922" t="n"/>
      <c r="G525" s="922" t="n"/>
      <c r="I525" s="922" t="n"/>
      <c r="J525" s="922" t="n"/>
      <c r="L525" s="922" t="n"/>
      <c r="M525" s="922" t="n"/>
      <c r="O525" s="922" t="n"/>
      <c r="P525" s="922" t="n"/>
      <c r="R525" s="922" t="n"/>
      <c r="S525" s="922" t="n"/>
      <c r="U525" s="922" t="n"/>
      <c r="V525" s="922" t="n"/>
      <c r="X525" s="922" t="n"/>
      <c r="Y525" s="922" t="n"/>
      <c r="AA525" s="922" t="n"/>
      <c r="AB525" s="922" t="n"/>
    </row>
    <row r="526" ht="14.5" customHeight="1" s="828">
      <c r="C526" s="922" t="n"/>
      <c r="D526" s="922" t="n"/>
      <c r="F526" s="922" t="n"/>
      <c r="G526" s="922" t="n"/>
      <c r="I526" s="922" t="n"/>
      <c r="J526" s="922" t="n"/>
      <c r="L526" s="922" t="n"/>
      <c r="M526" s="922" t="n"/>
      <c r="O526" s="922" t="n"/>
      <c r="P526" s="922" t="n"/>
      <c r="R526" s="922" t="n"/>
      <c r="S526" s="922" t="n"/>
      <c r="U526" s="922" t="n"/>
      <c r="V526" s="922" t="n"/>
      <c r="X526" s="922" t="n"/>
      <c r="Y526" s="922" t="n"/>
      <c r="AA526" s="922" t="n"/>
      <c r="AB526" s="922" t="n"/>
    </row>
    <row r="527" ht="14.5" customHeight="1" s="828">
      <c r="C527" s="922" t="n"/>
      <c r="D527" s="922" t="n"/>
      <c r="F527" s="922" t="n"/>
      <c r="G527" s="922" t="n"/>
      <c r="I527" s="922" t="n"/>
      <c r="J527" s="922" t="n"/>
      <c r="L527" s="922" t="n"/>
      <c r="M527" s="922" t="n"/>
      <c r="O527" s="922" t="n"/>
      <c r="P527" s="922" t="n"/>
      <c r="R527" s="922" t="n"/>
      <c r="S527" s="922" t="n"/>
      <c r="U527" s="922" t="n"/>
      <c r="V527" s="922" t="n"/>
      <c r="X527" s="922" t="n"/>
      <c r="Y527" s="922" t="n"/>
      <c r="AA527" s="922" t="n"/>
      <c r="AB527" s="922" t="n"/>
    </row>
    <row r="528" ht="14.5" customHeight="1" s="828">
      <c r="C528" s="922" t="n"/>
      <c r="D528" s="922" t="n"/>
      <c r="F528" s="922" t="n"/>
      <c r="G528" s="922" t="n"/>
      <c r="I528" s="922" t="n"/>
      <c r="J528" s="922" t="n"/>
      <c r="L528" s="922" t="n"/>
      <c r="M528" s="922" t="n"/>
      <c r="O528" s="922" t="n"/>
      <c r="P528" s="922" t="n"/>
      <c r="R528" s="922" t="n"/>
      <c r="S528" s="922" t="n"/>
      <c r="U528" s="922" t="n"/>
      <c r="V528" s="922" t="n"/>
      <c r="X528" s="922" t="n"/>
      <c r="Y528" s="922" t="n"/>
      <c r="AA528" s="922" t="n"/>
      <c r="AB528" s="922" t="n"/>
    </row>
    <row r="529" ht="14.5" customHeight="1" s="828">
      <c r="C529" s="922" t="n"/>
      <c r="D529" s="922" t="n"/>
      <c r="F529" s="922" t="n"/>
      <c r="G529" s="922" t="n"/>
      <c r="I529" s="922" t="n"/>
      <c r="J529" s="922" t="n"/>
      <c r="L529" s="922" t="n"/>
      <c r="M529" s="922" t="n"/>
      <c r="O529" s="922" t="n"/>
      <c r="P529" s="922" t="n"/>
      <c r="R529" s="922" t="n"/>
      <c r="S529" s="922" t="n"/>
      <c r="U529" s="922" t="n"/>
      <c r="V529" s="922" t="n"/>
      <c r="X529" s="922" t="n"/>
      <c r="Y529" s="922" t="n"/>
      <c r="AA529" s="922" t="n"/>
      <c r="AB529" s="922" t="n"/>
    </row>
    <row r="530" ht="14.5" customHeight="1" s="828">
      <c r="C530" s="922" t="n"/>
      <c r="D530" s="922" t="n"/>
      <c r="F530" s="922" t="n"/>
      <c r="G530" s="922" t="n"/>
      <c r="I530" s="922" t="n"/>
      <c r="J530" s="922" t="n"/>
      <c r="L530" s="922" t="n"/>
      <c r="M530" s="922" t="n"/>
      <c r="O530" s="922" t="n"/>
      <c r="P530" s="922" t="n"/>
      <c r="R530" s="922" t="n"/>
      <c r="S530" s="922" t="n"/>
      <c r="U530" s="922" t="n"/>
      <c r="V530" s="922" t="n"/>
      <c r="X530" s="922" t="n"/>
      <c r="Y530" s="922" t="n"/>
      <c r="AA530" s="922" t="n"/>
      <c r="AB530" s="922" t="n"/>
    </row>
    <row r="531" ht="14.5" customHeight="1" s="828">
      <c r="C531" s="922" t="n"/>
      <c r="D531" s="922" t="n"/>
      <c r="F531" s="922" t="n"/>
      <c r="G531" s="922" t="n"/>
      <c r="I531" s="922" t="n"/>
      <c r="J531" s="922" t="n"/>
      <c r="L531" s="922" t="n"/>
      <c r="M531" s="922" t="n"/>
      <c r="O531" s="922" t="n"/>
      <c r="P531" s="922" t="n"/>
      <c r="R531" s="922" t="n"/>
      <c r="S531" s="922" t="n"/>
      <c r="U531" s="922" t="n"/>
      <c r="V531" s="922" t="n"/>
      <c r="X531" s="922" t="n"/>
      <c r="Y531" s="922" t="n"/>
      <c r="AA531" s="922" t="n"/>
      <c r="AB531" s="922" t="n"/>
    </row>
    <row r="532" ht="14.5" customHeight="1" s="828">
      <c r="C532" s="922" t="n"/>
      <c r="D532" s="922" t="n"/>
      <c r="F532" s="922" t="n"/>
      <c r="G532" s="922" t="n"/>
      <c r="I532" s="922" t="n"/>
      <c r="J532" s="922" t="n"/>
      <c r="L532" s="922" t="n"/>
      <c r="M532" s="922" t="n"/>
      <c r="O532" s="922" t="n"/>
      <c r="P532" s="922" t="n"/>
      <c r="R532" s="922" t="n"/>
      <c r="S532" s="922" t="n"/>
      <c r="U532" s="922" t="n"/>
      <c r="V532" s="922" t="n"/>
      <c r="X532" s="922" t="n"/>
      <c r="Y532" s="922" t="n"/>
      <c r="AA532" s="922" t="n"/>
      <c r="AB532" s="922" t="n"/>
    </row>
  </sheetData>
  <mergeCells count="57">
    <mergeCell ref="W15:W16"/>
    <mergeCell ref="L2:M2"/>
    <mergeCell ref="Q14:S14"/>
    <mergeCell ref="B14:D14"/>
    <mergeCell ref="W1:Y1"/>
    <mergeCell ref="C15:D15"/>
    <mergeCell ref="I15:J15"/>
    <mergeCell ref="B1:D1"/>
    <mergeCell ref="U15:V15"/>
    <mergeCell ref="X2:Y2"/>
    <mergeCell ref="N14:P14"/>
    <mergeCell ref="I2:J2"/>
    <mergeCell ref="O15:P15"/>
    <mergeCell ref="N1:P1"/>
    <mergeCell ref="B2:B3"/>
    <mergeCell ref="N2:N3"/>
    <mergeCell ref="Q1:S1"/>
    <mergeCell ref="H11:J11"/>
    <mergeCell ref="H2:H3"/>
    <mergeCell ref="AA15:AB15"/>
    <mergeCell ref="T1:V1"/>
    <mergeCell ref="F15:G15"/>
    <mergeCell ref="Z14:AB14"/>
    <mergeCell ref="R15:S15"/>
    <mergeCell ref="U2:V2"/>
    <mergeCell ref="K14:M14"/>
    <mergeCell ref="L15:M15"/>
    <mergeCell ref="E15:E16"/>
    <mergeCell ref="Z2:Z3"/>
    <mergeCell ref="T2:T3"/>
    <mergeCell ref="Q15:Q16"/>
    <mergeCell ref="E2:E3"/>
    <mergeCell ref="K2:K3"/>
    <mergeCell ref="B15:B16"/>
    <mergeCell ref="W2:W3"/>
    <mergeCell ref="Z1:AB1"/>
    <mergeCell ref="F2:G2"/>
    <mergeCell ref="W14:Y14"/>
    <mergeCell ref="C2:D2"/>
    <mergeCell ref="H14:J14"/>
    <mergeCell ref="X15:Y15"/>
    <mergeCell ref="E11:F11"/>
    <mergeCell ref="Q2:Q3"/>
    <mergeCell ref="H15:H16"/>
    <mergeCell ref="N15:N16"/>
    <mergeCell ref="H1:J1"/>
    <mergeCell ref="T15:T16"/>
    <mergeCell ref="Z15:Z16"/>
    <mergeCell ref="O2:P2"/>
    <mergeCell ref="T14:V14"/>
    <mergeCell ref="E14:G14"/>
    <mergeCell ref="AA2:AB2"/>
    <mergeCell ref="R2:S2"/>
    <mergeCell ref="L11:M11"/>
    <mergeCell ref="K15:K16"/>
    <mergeCell ref="E1:G1"/>
    <mergeCell ref="K1:M1"/>
  </mergeCells>
  <hyperlinks>
    <hyperlink xmlns:r="http://schemas.openxmlformats.org/officeDocument/2006/relationships" ref="C12" r:id="rId1"/>
  </hyperlinks>
  <pageMargins left="0.75" right="0.75" top="1" bottom="1" header="0.5" footer="0.5"/>
  <pageSetup orientation="portrait" paperSize="9"/>
</worksheet>
</file>

<file path=xl/worksheets/sheet12.xml><?xml version="1.0" encoding="utf-8"?>
<worksheet xmlns="http://schemas.openxmlformats.org/spreadsheetml/2006/main">
  <sheetPr codeName="Sheet20">
    <tabColor rgb="FF00B0F0"/>
    <outlinePr summaryBelow="1" summaryRight="1"/>
    <pageSetUpPr fitToPage="1"/>
  </sheetPr>
  <dimension ref="A1:N1155"/>
  <sheetViews>
    <sheetView workbookViewId="0">
      <selection activeCell="A1" sqref="A1"/>
    </sheetView>
  </sheetViews>
  <sheetFormatPr baseColWidth="8" defaultColWidth="8.81640625" defaultRowHeight="14.5"/>
  <cols>
    <col width="23.1796875" customWidth="1" style="828" min="1" max="1"/>
    <col width="31.26953125" customWidth="1" style="828" min="2" max="2"/>
    <col width="27.81640625" customWidth="1" style="828" min="3" max="3"/>
    <col width="27.54296875" customWidth="1" style="828" min="4" max="4"/>
    <col width="28.453125" bestFit="1" customWidth="1" style="828" min="5" max="5"/>
    <col width="15.81640625" customWidth="1" style="828" min="6" max="6"/>
    <col width="30.81640625" customWidth="1" style="828" min="7" max="7"/>
    <col width="20.81640625" customWidth="1" style="828" min="8" max="8"/>
    <col width="13.81640625" customWidth="1" style="828" min="9" max="9"/>
  </cols>
  <sheetData>
    <row r="1">
      <c r="B1" s="490" t="inlineStr">
        <is>
          <t xml:space="preserve">Working days lost (thousands) </t>
        </is>
      </c>
      <c r="C1" s="389" t="inlineStr">
        <is>
          <t>Number of stoppages 1,2</t>
        </is>
      </c>
      <c r="D1" s="389" t="inlineStr">
        <is>
          <t>Workers involved (thousands) 3</t>
        </is>
      </c>
    </row>
    <row r="2" ht="15" customHeight="1" s="828" thickBot="1">
      <c r="A2" s="443" t="inlineStr">
        <is>
          <t>Current  (singular month)</t>
        </is>
      </c>
      <c r="B2" s="1060">
        <f t="array" ref="B2">INDEX(B$16:B$1048576,COUNTA(B$16:B$1048576))</f>
        <v/>
      </c>
      <c r="C2" s="489">
        <f t="array" ref="C2">INDEX(C$16:C$1048576,COUNTA(C$16:C$1048576))</f>
        <v/>
      </c>
      <c r="D2" s="267">
        <f t="array" ref="D2">INDEX(D$16:D$1048576,COUNTA(D$16:D$1048576))</f>
        <v/>
      </c>
    </row>
    <row r="3" ht="27" customHeight="1" s="828" thickBot="1">
      <c r="A3" s="419" t="inlineStr">
        <is>
          <t>Change on quarter  (3mo avg)</t>
        </is>
      </c>
      <c r="B3" s="584">
        <f>(AVERAGE(OFFSET(INDEX(B$16:B$1048576,COUNTA(B$16:B$1048576)),-2,0,3,1))-AVERAGE(OFFSET(INDEX(B$16:B$1048576,COUNTA(B$16:B$1048576)),-5,0,3,1)))*52</f>
        <v/>
      </c>
      <c r="C3" s="1060">
        <f>AVERAGE(OFFSET(INDEX(C$16:C$1048576,COUNTA(C$16:C$1048576)),-2,0,3,1))-AVERAGE(OFFSET(INDEX(C$16:C$1048576,COUNTA(C$16:C$1048576)),-5,0,3,1))</f>
        <v/>
      </c>
      <c r="D3" s="1060">
        <f>AVERAGE(OFFSET(INDEX(D$16:D$1048576,COUNTA(D$16:D$1048576)),-2,0,3,1))-AVERAGE(OFFSET(INDEX(D$16:D$1048576,COUNTA(D$16:D$1048576)),-5,0,3,1))</f>
        <v/>
      </c>
    </row>
    <row r="4" ht="26.5" customHeight="1" s="828">
      <c r="A4" s="419" t="inlineStr">
        <is>
          <t>Change since Covid-19 (2019 average)</t>
        </is>
      </c>
      <c r="B4" s="1060">
        <f>(AVERAGE(OFFSET(INDEX(B$16:B$1048576,COUNTA(B$16:B$1048576)),-2,0,3,1))-AVERAGE(B$1072:B$1083))*52</f>
        <v/>
      </c>
      <c r="C4" s="1060">
        <f>AVERAGE(OFFSET(INDEX(C$16:C$1048576,COUNTA(C$16:C$1048576)),-2,0,3,1))-AVERAGE(C$1072:C$1083)</f>
        <v/>
      </c>
      <c r="D4" s="1060">
        <f>AVERAGE(OFFSET(INDEX(D$16:D$1048576,COUNTA(D$16:D$1048576)),-2,0,3,1))-AVERAGE(D$1072:D$1083)</f>
        <v/>
      </c>
    </row>
    <row r="5" ht="27" customHeight="1" s="828" thickBot="1">
      <c r="A5" s="419" t="inlineStr">
        <is>
          <t>Change since 2024 election (3mo avg)</t>
        </is>
      </c>
      <c r="B5" s="1061">
        <f>(AVERAGE(OFFSET(INDEX(B$16:B$1048576,COUNTA(B$16:B$1048576)),-2,0,3,1))-AVERAGE(B$1135:B$1137))*52</f>
        <v/>
      </c>
      <c r="C5" s="1060">
        <f>AVERAGE(OFFSET(INDEX(C$16:C$1048576,COUNTA(C$16:C$1048576)),-2,0,3,1))-AVERAGE(C$1135:C$1137)</f>
        <v/>
      </c>
      <c r="D5" s="1060">
        <f>AVERAGE(OFFSET(INDEX(D$16:D$1048576,COUNTA(D$16:D$1048576)),-2,0,3,1))-AVERAGE(D$1135:D$1137)</f>
        <v/>
      </c>
    </row>
    <row r="6" ht="15" customHeight="1" s="828" thickBot="1">
      <c r="A6" s="443" t="inlineStr">
        <is>
          <t>2019 average</t>
        </is>
      </c>
      <c r="B6" s="1062">
        <f>AVERAGE(B$1072:B$1083)</f>
        <v/>
      </c>
      <c r="C6" s="492">
        <f>AVERAGE(C$1072:C$1083)</f>
        <v/>
      </c>
      <c r="D6" s="425">
        <f>AVERAGE(D$1072:D$1083)</f>
        <v/>
      </c>
    </row>
    <row r="7">
      <c r="A7" s="419" t="inlineStr">
        <is>
          <t>2023 average</t>
        </is>
      </c>
      <c r="B7" s="1063">
        <f>AVERAGE(B$1120:B$1131)</f>
        <v/>
      </c>
      <c r="C7" s="425">
        <f>AVERAGE(C$1120:C$1131)</f>
        <v/>
      </c>
      <c r="D7" s="425">
        <f>AVERAGE(D$1120:D$1131)</f>
        <v/>
      </c>
    </row>
    <row r="9" ht="15.5" customHeight="1" s="828">
      <c r="A9" s="11" t="inlineStr">
        <is>
          <t>Table 18:  Labour Disputes summary, UK (not seasonally adjusted)</t>
        </is>
      </c>
      <c r="B9" s="11" t="n"/>
      <c r="C9" s="11" t="n"/>
      <c r="D9" s="11" t="n"/>
      <c r="E9" s="11" t="n"/>
      <c r="F9" s="11" t="n"/>
      <c r="G9" s="20" t="n"/>
      <c r="H9" s="11" t="n"/>
      <c r="I9" s="11" t="n"/>
      <c r="J9" s="11" t="n"/>
      <c r="K9" s="11" t="n"/>
      <c r="L9" s="11" t="n"/>
      <c r="M9" s="11" t="n"/>
      <c r="N9" s="74" t="n"/>
    </row>
    <row r="10" ht="15.5" customHeight="1" s="828">
      <c r="A10" s="75" t="n"/>
      <c r="B10" s="954" t="n"/>
      <c r="D10" s="75" t="n"/>
      <c r="E10" s="1044" t="n"/>
      <c r="G10" s="1044" t="n"/>
      <c r="I10" s="817" t="n"/>
      <c r="J10" s="76" t="n"/>
      <c r="K10" s="76" t="n"/>
      <c r="L10" s="76" t="n"/>
      <c r="M10" s="76" t="n"/>
    </row>
    <row r="11" ht="15.5" customHeight="1" s="828">
      <c r="A11" s="77" t="n"/>
      <c r="B11" s="19" t="n"/>
      <c r="C11" s="19" t="n"/>
      <c r="D11" s="75" t="n"/>
      <c r="E11" s="78" t="n"/>
      <c r="F11" s="16" t="n"/>
      <c r="H11" s="11" t="n"/>
      <c r="I11" s="11" t="n"/>
      <c r="J11" s="20" t="n"/>
      <c r="K11" s="16" t="n"/>
      <c r="L11" s="16" t="n"/>
      <c r="M11" s="16" t="n"/>
      <c r="N11" s="74" t="n"/>
    </row>
    <row r="12"/>
    <row r="13" ht="15.5" customHeight="1" s="828">
      <c r="B13" s="1064" t="n"/>
      <c r="C13" s="853" t="n"/>
    </row>
    <row r="14" ht="65.15000000000001" customHeight="1" s="828">
      <c r="A14" s="80" t="n"/>
      <c r="B14" s="1065" t="n"/>
      <c r="C14" s="1065" t="n"/>
      <c r="D14" s="1065" t="n"/>
      <c r="F14" s="80" t="n"/>
      <c r="G14" s="1065" t="n"/>
    </row>
    <row r="15" ht="15.5" customHeight="1" s="828">
      <c r="A15" s="1066" t="n"/>
      <c r="B15" s="1067" t="n"/>
      <c r="C15" s="1067" t="n"/>
      <c r="D15" s="1067" t="n"/>
      <c r="F15" s="1066" t="n"/>
      <c r="G15" s="1067" t="n"/>
    </row>
    <row r="16" ht="15.5" customHeight="1" s="828">
      <c r="A16" s="1068" t="n"/>
      <c r="B16" s="667" t="n"/>
      <c r="C16" s="667" t="n"/>
      <c r="D16" s="1069" t="n"/>
      <c r="F16" s="1070" t="n"/>
      <c r="G16" s="85" t="n"/>
    </row>
    <row r="17" ht="15.5" customHeight="1" s="828">
      <c r="A17" s="1068" t="n"/>
      <c r="B17" s="725" t="n"/>
      <c r="C17" s="725" t="n"/>
      <c r="D17" s="1069" t="n"/>
      <c r="F17" s="1070" t="n"/>
      <c r="G17" s="85" t="n"/>
    </row>
    <row r="18" ht="15.5" customHeight="1" s="828">
      <c r="A18" s="1068" t="n"/>
      <c r="B18" s="725" t="n"/>
      <c r="C18" s="725" t="n"/>
      <c r="D18" s="1069" t="n"/>
      <c r="F18" s="1070" t="n"/>
      <c r="G18" s="85" t="n"/>
    </row>
    <row r="19" ht="15.5" customHeight="1" s="828">
      <c r="A19" s="1068" t="n"/>
      <c r="B19" s="725" t="n"/>
      <c r="C19" s="725" t="n"/>
      <c r="D19" s="1069" t="n"/>
      <c r="F19" s="1070" t="n"/>
      <c r="G19" s="85" t="n"/>
    </row>
    <row r="20" ht="15.5" customHeight="1" s="828">
      <c r="A20" s="1068" t="n"/>
      <c r="B20" s="725" t="n"/>
      <c r="C20" s="725" t="n"/>
      <c r="D20" s="1069" t="n"/>
      <c r="F20" s="1070" t="n"/>
      <c r="G20" s="85" t="n"/>
    </row>
    <row r="21" ht="15.5" customHeight="1" s="828">
      <c r="A21" s="1068" t="n"/>
      <c r="B21" s="725" t="n"/>
      <c r="C21" s="725" t="n"/>
      <c r="D21" s="1069" t="n"/>
      <c r="F21" s="1070" t="n"/>
      <c r="G21" s="85" t="n"/>
    </row>
    <row r="22" ht="15.5" customHeight="1" s="828">
      <c r="A22" s="1068" t="n"/>
      <c r="B22" s="725" t="n"/>
      <c r="C22" s="725" t="n"/>
      <c r="D22" s="1069" t="n"/>
      <c r="F22" s="1070" t="n"/>
      <c r="G22" s="85" t="n"/>
    </row>
    <row r="23" ht="15.5" customHeight="1" s="828">
      <c r="A23" s="1068" t="n"/>
      <c r="B23" s="725" t="n"/>
      <c r="C23" s="725" t="n"/>
      <c r="D23" s="1069" t="n"/>
      <c r="F23" s="1070" t="n"/>
      <c r="G23" s="85" t="n"/>
    </row>
    <row r="24" ht="15.5" customHeight="1" s="828">
      <c r="A24" s="1068" t="n"/>
      <c r="B24" s="725" t="n"/>
      <c r="C24" s="725" t="n"/>
      <c r="D24" s="1069" t="n"/>
      <c r="F24" s="1070" t="n"/>
      <c r="G24" s="85" t="n"/>
    </row>
    <row r="25" ht="15.5" customHeight="1" s="828">
      <c r="A25" s="1068" t="n"/>
      <c r="B25" s="725" t="n"/>
      <c r="C25" s="725" t="n"/>
      <c r="D25" s="1069" t="n"/>
      <c r="F25" s="1070" t="n"/>
      <c r="G25" s="85" t="n"/>
    </row>
    <row r="26" ht="15.5" customHeight="1" s="828">
      <c r="A26" s="1068" t="n"/>
      <c r="B26" s="725" t="n"/>
      <c r="C26" s="725" t="n"/>
      <c r="D26" s="1069" t="n"/>
      <c r="F26" s="1070" t="n"/>
      <c r="G26" s="85" t="n"/>
    </row>
    <row r="27" ht="15.5" customHeight="1" s="828">
      <c r="A27" s="1068" t="n"/>
      <c r="B27" s="725" t="n"/>
      <c r="C27" s="725" t="n"/>
      <c r="D27" s="1069" t="n"/>
      <c r="F27" s="238" t="n"/>
      <c r="G27" s="85" t="n"/>
    </row>
    <row r="28" ht="15.5" customHeight="1" s="828">
      <c r="A28" s="1068" t="n"/>
      <c r="B28" s="725" t="n"/>
      <c r="C28" s="725" t="n"/>
      <c r="D28" s="1069" t="n"/>
      <c r="F28" s="1070" t="n"/>
      <c r="G28" s="85" t="n"/>
    </row>
    <row r="29" ht="15.5" customHeight="1" s="828">
      <c r="A29" s="1068" t="n"/>
      <c r="B29" s="725" t="n"/>
      <c r="C29" s="725" t="n"/>
      <c r="D29" s="1069" t="n"/>
      <c r="F29" s="1070" t="n"/>
      <c r="G29" s="85" t="n"/>
    </row>
    <row r="30" ht="15.5" customHeight="1" s="828">
      <c r="A30" s="1068" t="n"/>
      <c r="B30" s="725" t="n"/>
      <c r="C30" s="725" t="n"/>
      <c r="D30" s="1069" t="n"/>
      <c r="F30" s="1070" t="n"/>
      <c r="G30" s="85" t="n"/>
    </row>
    <row r="31" ht="15.5" customHeight="1" s="828">
      <c r="A31" s="1068" t="n"/>
      <c r="B31" s="725" t="n"/>
      <c r="C31" s="725" t="n"/>
      <c r="D31" s="1069" t="n"/>
      <c r="F31" s="1070" t="n"/>
      <c r="G31" s="85" t="n"/>
    </row>
    <row r="32" ht="15.5" customHeight="1" s="828">
      <c r="A32" s="1068" t="n"/>
      <c r="B32" s="725" t="n"/>
      <c r="C32" s="725" t="n"/>
      <c r="D32" s="1069" t="n"/>
      <c r="F32" s="1070" t="n"/>
      <c r="G32" s="85" t="n"/>
    </row>
    <row r="33" ht="15.5" customHeight="1" s="828">
      <c r="A33" s="1068" t="n"/>
      <c r="B33" s="725" t="n"/>
      <c r="C33" s="725" t="n"/>
      <c r="D33" s="1069" t="n"/>
      <c r="F33" s="1070" t="n"/>
      <c r="G33" s="85" t="n"/>
    </row>
    <row r="34" ht="15.5" customHeight="1" s="828">
      <c r="A34" s="1068" t="n"/>
      <c r="B34" s="725" t="n"/>
      <c r="C34" s="725" t="n"/>
      <c r="D34" s="1069" t="n"/>
      <c r="F34" s="1070" t="n"/>
      <c r="G34" s="85" t="n"/>
    </row>
    <row r="35" ht="15.5" customHeight="1" s="828">
      <c r="A35" s="1068" t="n"/>
      <c r="B35" s="725" t="n"/>
      <c r="C35" s="725" t="n"/>
      <c r="D35" s="1069" t="n"/>
      <c r="F35" s="1070" t="n"/>
      <c r="G35" s="85" t="n"/>
    </row>
    <row r="36" ht="15.5" customHeight="1" s="828">
      <c r="A36" s="1068" t="n"/>
      <c r="B36" s="725" t="n"/>
      <c r="C36" s="725" t="n"/>
      <c r="D36" s="1069" t="n"/>
      <c r="F36" s="1070" t="n"/>
      <c r="G36" s="85" t="n"/>
    </row>
    <row r="37" ht="15.5" customHeight="1" s="828">
      <c r="A37" s="1068" t="n"/>
      <c r="B37" s="725" t="n"/>
      <c r="C37" s="725" t="n"/>
      <c r="D37" s="1069" t="n"/>
      <c r="F37" s="1070" t="n"/>
      <c r="G37" s="85" t="n"/>
    </row>
    <row r="38" ht="15.5" customHeight="1" s="828">
      <c r="A38" s="1068" t="n"/>
      <c r="B38" s="725" t="n"/>
      <c r="C38" s="725" t="n"/>
      <c r="D38" s="1069" t="n"/>
      <c r="F38" s="1070" t="n"/>
      <c r="G38" s="85" t="n"/>
    </row>
    <row r="39" ht="15.5" customHeight="1" s="828">
      <c r="A39" s="1068" t="n"/>
      <c r="B39" s="725" t="n"/>
      <c r="C39" s="725" t="n"/>
      <c r="D39" s="1069" t="n"/>
      <c r="F39" s="238" t="n"/>
      <c r="G39" s="85" t="n"/>
    </row>
    <row r="40" ht="15.5" customHeight="1" s="828">
      <c r="A40" s="1068" t="n"/>
      <c r="B40" s="725" t="n"/>
      <c r="C40" s="725" t="n"/>
      <c r="D40" s="1069" t="n"/>
      <c r="F40" s="1070" t="n"/>
      <c r="G40" s="85" t="n"/>
    </row>
    <row r="41" ht="15.5" customHeight="1" s="828">
      <c r="A41" s="1068" t="n"/>
      <c r="B41" s="725" t="n"/>
      <c r="C41" s="725" t="n"/>
      <c r="D41" s="1069" t="n"/>
      <c r="F41" s="1070" t="n"/>
      <c r="G41" s="85" t="n"/>
    </row>
    <row r="42" ht="15.5" customHeight="1" s="828">
      <c r="A42" s="1068" t="n"/>
      <c r="B42" s="725" t="n"/>
      <c r="C42" s="725" t="n"/>
      <c r="D42" s="1069" t="n"/>
      <c r="F42" s="1070" t="n"/>
      <c r="G42" s="85" t="n"/>
    </row>
    <row r="43" ht="15.5" customHeight="1" s="828">
      <c r="A43" s="1068" t="n"/>
      <c r="B43" s="725" t="n"/>
      <c r="C43" s="725" t="n"/>
      <c r="D43" s="1069" t="n"/>
      <c r="F43" s="1070" t="n"/>
      <c r="G43" s="85" t="n"/>
    </row>
    <row r="44" ht="15.5" customHeight="1" s="828">
      <c r="A44" s="1068" t="n"/>
      <c r="B44" s="725" t="n"/>
      <c r="C44" s="725" t="n"/>
      <c r="D44" s="1069" t="n"/>
      <c r="F44" s="1070" t="n"/>
      <c r="G44" s="85" t="n"/>
    </row>
    <row r="45" ht="15.5" customHeight="1" s="828">
      <c r="A45" s="1068" t="n"/>
      <c r="B45" s="725" t="n"/>
      <c r="C45" s="725" t="n"/>
      <c r="D45" s="1069" t="n"/>
      <c r="F45" s="1070" t="n"/>
      <c r="G45" s="85" t="n"/>
    </row>
    <row r="46" ht="15.5" customHeight="1" s="828">
      <c r="A46" s="1068" t="n"/>
      <c r="B46" s="725" t="n"/>
      <c r="C46" s="725" t="n"/>
      <c r="D46" s="1069" t="n"/>
      <c r="F46" s="1070" t="n"/>
      <c r="G46" s="85" t="n"/>
    </row>
    <row r="47" ht="15.5" customHeight="1" s="828">
      <c r="A47" s="1068" t="n"/>
      <c r="B47" s="725" t="n"/>
      <c r="C47" s="725" t="n"/>
      <c r="D47" s="1069" t="n"/>
      <c r="F47" s="1070" t="n"/>
      <c r="G47" s="85" t="n"/>
    </row>
    <row r="48" ht="15.5" customHeight="1" s="828">
      <c r="A48" s="1068" t="n"/>
      <c r="B48" s="725" t="n"/>
      <c r="C48" s="725" t="n"/>
      <c r="D48" s="1069" t="n"/>
      <c r="F48" s="1070" t="n"/>
      <c r="G48" s="85" t="n"/>
    </row>
    <row r="49" ht="15.5" customHeight="1" s="828">
      <c r="A49" s="1068" t="n"/>
      <c r="B49" s="725" t="n"/>
      <c r="C49" s="725" t="n"/>
      <c r="D49" s="1069" t="n"/>
      <c r="F49" s="1070" t="n"/>
      <c r="G49" s="85" t="n"/>
    </row>
    <row r="50" ht="15.5" customHeight="1" s="828">
      <c r="A50" s="1068" t="n"/>
      <c r="B50" s="725" t="n"/>
      <c r="C50" s="725" t="n"/>
      <c r="D50" s="1069" t="n"/>
      <c r="F50" s="1070" t="n"/>
      <c r="G50" s="85" t="n"/>
    </row>
    <row r="51" ht="15.5" customHeight="1" s="828">
      <c r="A51" s="1068" t="n"/>
      <c r="B51" s="725" t="n"/>
      <c r="C51" s="725" t="n"/>
      <c r="D51" s="1069" t="n"/>
      <c r="F51" s="238" t="n"/>
      <c r="G51" s="85" t="n"/>
    </row>
    <row r="52" ht="15.5" customHeight="1" s="828">
      <c r="A52" s="1068" t="n"/>
      <c r="B52" s="725" t="n"/>
      <c r="C52" s="725" t="n"/>
      <c r="D52" s="1069" t="n"/>
      <c r="F52" s="1070" t="n"/>
      <c r="G52" s="85" t="n"/>
    </row>
    <row r="53" ht="15.5" customHeight="1" s="828">
      <c r="A53" s="1068" t="n"/>
      <c r="B53" s="725" t="n"/>
      <c r="C53" s="725" t="n"/>
      <c r="D53" s="1069" t="n"/>
      <c r="F53" s="1070" t="n"/>
      <c r="G53" s="85" t="n"/>
    </row>
    <row r="54" ht="15.5" customHeight="1" s="828">
      <c r="A54" s="1068" t="n"/>
      <c r="B54" s="725" t="n"/>
      <c r="C54" s="725" t="n"/>
      <c r="D54" s="1069" t="n"/>
      <c r="F54" s="1070" t="n"/>
      <c r="G54" s="85" t="n"/>
    </row>
    <row r="55" ht="15.5" customHeight="1" s="828">
      <c r="A55" s="1068" t="n"/>
      <c r="B55" s="725" t="n"/>
      <c r="C55" s="725" t="n"/>
      <c r="D55" s="1069" t="n"/>
      <c r="F55" s="1070" t="n"/>
      <c r="G55" s="85" t="n"/>
    </row>
    <row r="56" ht="15.5" customHeight="1" s="828">
      <c r="A56" s="1068" t="n"/>
      <c r="B56" s="725" t="n"/>
      <c r="C56" s="725" t="n"/>
      <c r="D56" s="1069" t="n"/>
      <c r="F56" s="1070" t="n"/>
      <c r="G56" s="85" t="n"/>
    </row>
    <row r="57" ht="15.5" customHeight="1" s="828">
      <c r="A57" s="1068" t="n"/>
      <c r="B57" s="725" t="n"/>
      <c r="C57" s="725" t="n"/>
      <c r="D57" s="1069" t="n"/>
      <c r="F57" s="1070" t="n"/>
      <c r="G57" s="85" t="n"/>
    </row>
    <row r="58" ht="15.5" customHeight="1" s="828">
      <c r="A58" s="1068" t="n"/>
      <c r="B58" s="725" t="n"/>
      <c r="C58" s="725" t="n"/>
      <c r="D58" s="1069" t="n"/>
      <c r="F58" s="1070" t="n"/>
      <c r="G58" s="85" t="n"/>
    </row>
    <row r="59" ht="15.5" customHeight="1" s="828">
      <c r="A59" s="1068" t="n"/>
      <c r="B59" s="725" t="n"/>
      <c r="C59" s="725" t="n"/>
      <c r="D59" s="1069" t="n"/>
      <c r="F59" s="1070" t="n"/>
      <c r="G59" s="85" t="n"/>
    </row>
    <row r="60" ht="15.5" customHeight="1" s="828">
      <c r="A60" s="1068" t="n"/>
      <c r="B60" s="725" t="n"/>
      <c r="C60" s="725" t="n"/>
      <c r="D60" s="1069" t="n"/>
      <c r="F60" s="1070" t="n"/>
      <c r="G60" s="85" t="n"/>
    </row>
    <row r="61" ht="15.5" customHeight="1" s="828">
      <c r="A61" s="1068" t="n"/>
      <c r="B61" s="725" t="n"/>
      <c r="C61" s="725" t="n"/>
      <c r="D61" s="1069" t="n"/>
      <c r="F61" s="1070" t="n"/>
      <c r="G61" s="85" t="n"/>
    </row>
    <row r="62" ht="15.5" customHeight="1" s="828">
      <c r="A62" s="1068" t="n"/>
      <c r="B62" s="725" t="n"/>
      <c r="C62" s="725" t="n"/>
      <c r="D62" s="1069" t="n"/>
      <c r="F62" s="1070" t="n"/>
      <c r="G62" s="85" t="n"/>
    </row>
    <row r="63" ht="15.5" customHeight="1" s="828">
      <c r="A63" s="1068" t="n"/>
      <c r="B63" s="725" t="n"/>
      <c r="C63" s="725" t="n"/>
      <c r="D63" s="1069" t="n"/>
      <c r="F63" s="238" t="n"/>
      <c r="G63" s="85" t="n"/>
    </row>
    <row r="64" ht="15.5" customHeight="1" s="828">
      <c r="A64" s="1068" t="n"/>
      <c r="B64" s="725" t="n"/>
      <c r="C64" s="725" t="n"/>
      <c r="D64" s="1069" t="n"/>
      <c r="F64" s="1070" t="n"/>
      <c r="G64" s="85" t="n"/>
    </row>
    <row r="65" ht="15.5" customHeight="1" s="828">
      <c r="A65" s="1068" t="n"/>
      <c r="B65" s="725" t="n"/>
      <c r="C65" s="725" t="n"/>
      <c r="D65" s="1069" t="n"/>
      <c r="F65" s="1070" t="n"/>
      <c r="G65" s="85" t="n"/>
    </row>
    <row r="66" ht="15.5" customHeight="1" s="828">
      <c r="A66" s="1068" t="n"/>
      <c r="B66" s="725" t="n"/>
      <c r="C66" s="725" t="n"/>
      <c r="D66" s="1069" t="n"/>
      <c r="F66" s="1070" t="n"/>
      <c r="G66" s="85" t="n"/>
    </row>
    <row r="67" ht="15.5" customHeight="1" s="828">
      <c r="A67" s="1068" t="n"/>
      <c r="B67" s="725" t="n"/>
      <c r="C67" s="725" t="n"/>
      <c r="D67" s="1069" t="n"/>
      <c r="F67" s="1070" t="n"/>
      <c r="G67" s="85" t="n"/>
    </row>
    <row r="68" ht="15.5" customHeight="1" s="828">
      <c r="A68" s="1068" t="n"/>
      <c r="B68" s="725" t="n"/>
      <c r="C68" s="725" t="n"/>
      <c r="D68" s="1069" t="n"/>
      <c r="F68" s="1070" t="n"/>
      <c r="G68" s="85" t="n"/>
    </row>
    <row r="69" ht="15.5" customHeight="1" s="828">
      <c r="A69" s="1068" t="n"/>
      <c r="B69" s="725" t="n"/>
      <c r="C69" s="725" t="n"/>
      <c r="D69" s="1069" t="n"/>
      <c r="F69" s="1070" t="n"/>
      <c r="G69" s="85" t="n"/>
    </row>
    <row r="70" ht="15.5" customHeight="1" s="828">
      <c r="A70" s="1068" t="n"/>
      <c r="B70" s="725" t="n"/>
      <c r="C70" s="725" t="n"/>
      <c r="D70" s="1069" t="n"/>
      <c r="F70" s="1070" t="n"/>
      <c r="G70" s="85" t="n"/>
    </row>
    <row r="71" ht="15.5" customHeight="1" s="828">
      <c r="A71" s="1068" t="n"/>
      <c r="B71" s="725" t="n"/>
      <c r="C71" s="725" t="n"/>
      <c r="D71" s="1069" t="n"/>
      <c r="F71" s="1070" t="n"/>
      <c r="G71" s="85" t="n"/>
    </row>
    <row r="72" ht="15.5" customHeight="1" s="828">
      <c r="A72" s="1068" t="n"/>
      <c r="B72" s="725" t="n"/>
      <c r="C72" s="725" t="n"/>
      <c r="D72" s="1069" t="n"/>
      <c r="F72" s="1070" t="n"/>
      <c r="G72" s="85" t="n"/>
    </row>
    <row r="73" ht="15.5" customHeight="1" s="828">
      <c r="A73" s="1068" t="n"/>
      <c r="B73" s="725" t="n"/>
      <c r="C73" s="725" t="n"/>
      <c r="D73" s="1069" t="n"/>
      <c r="F73" s="1070" t="n"/>
      <c r="G73" s="85" t="n"/>
    </row>
    <row r="74" ht="15.5" customHeight="1" s="828">
      <c r="A74" s="1068" t="n"/>
      <c r="B74" s="725" t="n"/>
      <c r="C74" s="725" t="n"/>
      <c r="D74" s="1069" t="n"/>
      <c r="F74" s="1070" t="n"/>
      <c r="G74" s="85" t="n"/>
    </row>
    <row r="75" ht="15.5" customHeight="1" s="828">
      <c r="A75" s="1068" t="n"/>
      <c r="B75" s="725" t="n"/>
      <c r="C75" s="725" t="n"/>
      <c r="D75" s="1069" t="n"/>
      <c r="F75" s="238" t="n"/>
      <c r="G75" s="85" t="n"/>
    </row>
    <row r="76" ht="15.5" customHeight="1" s="828">
      <c r="A76" s="1068" t="n"/>
      <c r="B76" s="725" t="n"/>
      <c r="C76" s="725" t="n"/>
      <c r="D76" s="1069" t="n"/>
      <c r="F76" s="1070" t="n"/>
      <c r="G76" s="85" t="n"/>
    </row>
    <row r="77" ht="15.5" customHeight="1" s="828">
      <c r="A77" s="1068" t="n"/>
      <c r="B77" s="725" t="n"/>
      <c r="C77" s="725" t="n"/>
      <c r="D77" s="1069" t="n"/>
      <c r="F77" s="1070" t="n"/>
      <c r="G77" s="85" t="n"/>
    </row>
    <row r="78" ht="15.5" customHeight="1" s="828">
      <c r="A78" s="1068" t="n"/>
      <c r="B78" s="725" t="n"/>
      <c r="C78" s="725" t="n"/>
      <c r="D78" s="1069" t="n"/>
      <c r="F78" s="1070" t="n"/>
      <c r="G78" s="85" t="n"/>
    </row>
    <row r="79" ht="15.5" customHeight="1" s="828">
      <c r="A79" s="1068" t="n"/>
      <c r="B79" s="725" t="n"/>
      <c r="C79" s="725" t="n"/>
      <c r="D79" s="1069" t="n"/>
      <c r="F79" s="1070" t="n"/>
      <c r="G79" s="85" t="n"/>
    </row>
    <row r="80" ht="15.5" customHeight="1" s="828">
      <c r="A80" s="1068" t="n"/>
      <c r="B80" s="725" t="n"/>
      <c r="C80" s="725" t="n"/>
      <c r="D80" s="1069" t="n"/>
      <c r="F80" s="1070" t="n"/>
      <c r="G80" s="85" t="n"/>
    </row>
    <row r="81" ht="15.5" customHeight="1" s="828">
      <c r="A81" s="1068" t="n"/>
      <c r="B81" s="725" t="n"/>
      <c r="C81" s="725" t="n"/>
      <c r="D81" s="1069" t="n"/>
      <c r="F81" s="1070" t="n"/>
      <c r="G81" s="85" t="n"/>
    </row>
    <row r="82" ht="15.5" customHeight="1" s="828">
      <c r="A82" s="1068" t="n"/>
      <c r="B82" s="725" t="n"/>
      <c r="C82" s="725" t="n"/>
      <c r="D82" s="1069" t="n"/>
      <c r="F82" s="1070" t="n"/>
      <c r="G82" s="85" t="n"/>
    </row>
    <row r="83" ht="15.5" customHeight="1" s="828">
      <c r="A83" s="1068" t="n"/>
      <c r="B83" s="725" t="n"/>
      <c r="C83" s="725" t="n"/>
      <c r="D83" s="1069" t="n"/>
      <c r="F83" s="1070" t="n"/>
      <c r="G83" s="85" t="n"/>
    </row>
    <row r="84" ht="15.5" customHeight="1" s="828">
      <c r="A84" s="1068" t="n"/>
      <c r="B84" s="725" t="n"/>
      <c r="C84" s="725" t="n"/>
      <c r="D84" s="1069" t="n"/>
      <c r="F84" s="1070" t="n"/>
      <c r="G84" s="85" t="n"/>
    </row>
    <row r="85" ht="15.5" customHeight="1" s="828">
      <c r="A85" s="1068" t="n"/>
      <c r="B85" s="725" t="n"/>
      <c r="C85" s="725" t="n"/>
      <c r="D85" s="1069" t="n"/>
      <c r="F85" s="1070" t="n"/>
      <c r="G85" s="85" t="n"/>
    </row>
    <row r="86" ht="15.5" customHeight="1" s="828">
      <c r="A86" s="1068" t="n"/>
      <c r="B86" s="725" t="n"/>
      <c r="C86" s="725" t="n"/>
      <c r="D86" s="1069" t="n"/>
      <c r="F86" s="1070" t="n"/>
      <c r="G86" s="85" t="n"/>
    </row>
    <row r="87" ht="15.5" customHeight="1" s="828">
      <c r="A87" s="1068" t="n"/>
      <c r="B87" s="725" t="n"/>
      <c r="C87" s="725" t="n"/>
      <c r="D87" s="1069" t="n"/>
      <c r="F87" s="238" t="n"/>
      <c r="G87" s="85" t="n"/>
    </row>
    <row r="88" ht="15.5" customHeight="1" s="828">
      <c r="A88" s="1068" t="n"/>
      <c r="B88" s="725" t="n"/>
      <c r="C88" s="725" t="n"/>
      <c r="D88" s="1069" t="n"/>
      <c r="F88" s="1070" t="n"/>
      <c r="G88" s="85" t="n"/>
    </row>
    <row r="89" ht="15.5" customHeight="1" s="828">
      <c r="A89" s="1068" t="n"/>
      <c r="B89" s="725" t="n"/>
      <c r="C89" s="725" t="n"/>
      <c r="D89" s="1069" t="n"/>
      <c r="F89" s="1070" t="n"/>
      <c r="G89" s="85" t="n"/>
    </row>
    <row r="90" ht="15.5" customHeight="1" s="828">
      <c r="A90" s="1068" t="n"/>
      <c r="B90" s="725" t="n"/>
      <c r="C90" s="725" t="n"/>
      <c r="D90" s="1069" t="n"/>
      <c r="F90" s="1070" t="n"/>
      <c r="G90" s="85" t="n"/>
    </row>
    <row r="91" ht="15.5" customHeight="1" s="828">
      <c r="A91" s="1068" t="n"/>
      <c r="B91" s="725" t="n"/>
      <c r="C91" s="725" t="n"/>
      <c r="D91" s="1069" t="n"/>
      <c r="F91" s="1070" t="n"/>
      <c r="G91" s="85" t="n"/>
    </row>
    <row r="92" ht="15.5" customHeight="1" s="828">
      <c r="A92" s="1068" t="n"/>
      <c r="B92" s="725" t="n"/>
      <c r="C92" s="725" t="n"/>
      <c r="D92" s="1069" t="n"/>
      <c r="F92" s="1070" t="n"/>
      <c r="G92" s="85" t="n"/>
    </row>
    <row r="93" ht="15.5" customHeight="1" s="828">
      <c r="A93" s="1068" t="n"/>
      <c r="B93" s="725" t="n"/>
      <c r="C93" s="725" t="n"/>
      <c r="D93" s="1069" t="n"/>
      <c r="F93" s="1070" t="n"/>
      <c r="G93" s="85" t="n"/>
    </row>
    <row r="94" ht="15.5" customHeight="1" s="828">
      <c r="A94" s="1068" t="n"/>
      <c r="B94" s="725" t="n"/>
      <c r="C94" s="725" t="n"/>
      <c r="D94" s="1069" t="n"/>
      <c r="F94" s="1070" t="n"/>
      <c r="G94" s="85" t="n"/>
    </row>
    <row r="95" ht="15.5" customHeight="1" s="828">
      <c r="A95" s="1068" t="n"/>
      <c r="B95" s="725" t="n"/>
      <c r="C95" s="725" t="n"/>
      <c r="D95" s="1069" t="n"/>
      <c r="F95" s="1070" t="n"/>
      <c r="G95" s="85" t="n"/>
    </row>
    <row r="96" ht="15.5" customHeight="1" s="828">
      <c r="A96" s="1068" t="n"/>
      <c r="B96" s="725" t="n"/>
      <c r="C96" s="725" t="n"/>
      <c r="D96" s="1069" t="n"/>
      <c r="F96" s="1070" t="n"/>
      <c r="G96" s="85" t="n"/>
    </row>
    <row r="97" ht="15.5" customHeight="1" s="828">
      <c r="A97" s="1068" t="n"/>
      <c r="B97" s="725" t="n"/>
      <c r="C97" s="725" t="n"/>
      <c r="D97" s="1069" t="n"/>
      <c r="F97" s="1070" t="n"/>
      <c r="G97" s="85" t="n"/>
    </row>
    <row r="98" ht="15.5" customHeight="1" s="828">
      <c r="A98" s="1068" t="n"/>
      <c r="B98" s="725" t="n"/>
      <c r="C98" s="725" t="n"/>
      <c r="D98" s="1069" t="n"/>
      <c r="F98" s="1070" t="n"/>
      <c r="G98" s="85" t="n"/>
    </row>
    <row r="99" ht="15.5" customHeight="1" s="828">
      <c r="A99" s="1068" t="n"/>
      <c r="B99" s="725" t="n"/>
      <c r="C99" s="725" t="n"/>
      <c r="D99" s="1069" t="n"/>
      <c r="F99" s="238" t="n"/>
      <c r="G99" s="85" t="n"/>
    </row>
    <row r="100" ht="15.5" customHeight="1" s="828">
      <c r="A100" s="1068" t="n"/>
      <c r="B100" s="725" t="n"/>
      <c r="C100" s="725" t="n"/>
      <c r="D100" s="1069" t="n"/>
      <c r="F100" s="1070" t="n"/>
      <c r="G100" s="85" t="n"/>
    </row>
    <row r="101" ht="15.5" customHeight="1" s="828">
      <c r="A101" s="1068" t="n"/>
      <c r="B101" s="725" t="n"/>
      <c r="C101" s="725" t="n"/>
      <c r="D101" s="1069" t="n"/>
      <c r="F101" s="1070" t="n"/>
      <c r="G101" s="85" t="n"/>
    </row>
    <row r="102" ht="15.5" customHeight="1" s="828">
      <c r="A102" s="1068" t="n"/>
      <c r="B102" s="725" t="n"/>
      <c r="C102" s="725" t="n"/>
      <c r="D102" s="1069" t="n"/>
      <c r="F102" s="1070" t="n"/>
      <c r="G102" s="85" t="n"/>
    </row>
    <row r="103" ht="15.5" customHeight="1" s="828">
      <c r="A103" s="1068" t="n"/>
      <c r="B103" s="725" t="n"/>
      <c r="C103" s="725" t="n"/>
      <c r="D103" s="1069" t="n"/>
      <c r="F103" s="1070" t="n"/>
      <c r="G103" s="85" t="n"/>
    </row>
    <row r="104" ht="15.5" customHeight="1" s="828">
      <c r="A104" s="1068" t="n"/>
      <c r="B104" s="725" t="n"/>
      <c r="C104" s="725" t="n"/>
      <c r="D104" s="1069" t="n"/>
      <c r="F104" s="1070" t="n"/>
      <c r="G104" s="85" t="n"/>
    </row>
    <row r="105" ht="15.5" customHeight="1" s="828">
      <c r="A105" s="1068" t="n"/>
      <c r="B105" s="725" t="n"/>
      <c r="C105" s="725" t="n"/>
      <c r="D105" s="1069" t="n"/>
      <c r="F105" s="1070" t="n"/>
      <c r="G105" s="85" t="n"/>
    </row>
    <row r="106" ht="15.5" customHeight="1" s="828">
      <c r="A106" s="1068" t="n"/>
      <c r="B106" s="725" t="n"/>
      <c r="C106" s="725" t="n"/>
      <c r="D106" s="1069" t="n"/>
      <c r="F106" s="1070" t="n"/>
      <c r="G106" s="85" t="n"/>
    </row>
    <row r="107" ht="15.5" customHeight="1" s="828">
      <c r="A107" s="1068" t="n"/>
      <c r="B107" s="725" t="n"/>
      <c r="C107" s="725" t="n"/>
      <c r="D107" s="1069" t="n"/>
      <c r="F107" s="1070" t="n"/>
      <c r="G107" s="85" t="n"/>
    </row>
    <row r="108" ht="15.5" customHeight="1" s="828">
      <c r="A108" s="1068" t="n"/>
      <c r="B108" s="725" t="n"/>
      <c r="C108" s="725" t="n"/>
      <c r="D108" s="1069" t="n"/>
      <c r="F108" s="1070" t="n"/>
      <c r="G108" s="85" t="n"/>
    </row>
    <row r="109" ht="15.5" customHeight="1" s="828">
      <c r="A109" s="1068" t="n"/>
      <c r="B109" s="725" t="n"/>
      <c r="C109" s="725" t="n"/>
      <c r="D109" s="1069" t="n"/>
      <c r="F109" s="1070" t="n"/>
      <c r="G109" s="85" t="n"/>
    </row>
    <row r="110" ht="15.5" customHeight="1" s="828">
      <c r="A110" s="1068" t="n"/>
      <c r="B110" s="725" t="n"/>
      <c r="C110" s="725" t="n"/>
      <c r="D110" s="1069" t="n"/>
      <c r="F110" s="1070" t="n"/>
      <c r="G110" s="85" t="n"/>
    </row>
    <row r="111" ht="15.5" customHeight="1" s="828">
      <c r="A111" s="1068" t="n"/>
      <c r="B111" s="725" t="n"/>
      <c r="C111" s="725" t="n"/>
      <c r="D111" s="1069" t="n"/>
      <c r="F111" s="238" t="n"/>
      <c r="G111" s="85" t="n"/>
    </row>
    <row r="112" ht="15.5" customHeight="1" s="828">
      <c r="A112" s="1068" t="n"/>
      <c r="B112" s="725" t="n"/>
      <c r="C112" s="725" t="n"/>
      <c r="D112" s="1069" t="n"/>
      <c r="F112" s="1070" t="n"/>
      <c r="G112" s="85" t="n"/>
    </row>
    <row r="113" ht="15.5" customHeight="1" s="828">
      <c r="A113" s="1068" t="n"/>
      <c r="B113" s="725" t="n"/>
      <c r="C113" s="725" t="n"/>
      <c r="D113" s="1069" t="n"/>
      <c r="F113" s="1070" t="n"/>
      <c r="G113" s="85" t="n"/>
    </row>
    <row r="114" ht="15.5" customHeight="1" s="828">
      <c r="A114" s="1068" t="n"/>
      <c r="B114" s="725" t="n"/>
      <c r="C114" s="725" t="n"/>
      <c r="D114" s="1069" t="n"/>
      <c r="F114" s="1070" t="n"/>
      <c r="G114" s="85" t="n"/>
    </row>
    <row r="115" ht="15.5" customHeight="1" s="828">
      <c r="A115" s="1068" t="n"/>
      <c r="B115" s="725" t="n"/>
      <c r="C115" s="725" t="n"/>
      <c r="D115" s="1069" t="n"/>
      <c r="F115" s="1070" t="n"/>
      <c r="G115" s="85" t="n"/>
    </row>
    <row r="116" ht="15.5" customHeight="1" s="828">
      <c r="A116" s="1068" t="n"/>
      <c r="B116" s="725" t="n"/>
      <c r="C116" s="725" t="n"/>
      <c r="D116" s="1069" t="n"/>
      <c r="F116" s="1070" t="n"/>
      <c r="G116" s="85" t="n"/>
    </row>
    <row r="117" ht="15.5" customHeight="1" s="828">
      <c r="A117" s="1068" t="n"/>
      <c r="B117" s="725" t="n"/>
      <c r="C117" s="725" t="n"/>
      <c r="D117" s="1069" t="n"/>
      <c r="F117" s="1070" t="n"/>
      <c r="G117" s="85" t="n"/>
    </row>
    <row r="118" ht="15.5" customHeight="1" s="828">
      <c r="A118" s="1068" t="n"/>
      <c r="B118" s="725" t="n"/>
      <c r="C118" s="725" t="n"/>
      <c r="D118" s="1069" t="n"/>
      <c r="F118" s="1070" t="n"/>
      <c r="G118" s="85" t="n"/>
    </row>
    <row r="119" ht="15.5" customHeight="1" s="828">
      <c r="A119" s="1068" t="n"/>
      <c r="B119" s="725" t="n"/>
      <c r="C119" s="725" t="n"/>
      <c r="D119" s="1069" t="n"/>
      <c r="F119" s="1070" t="n"/>
      <c r="G119" s="85" t="n"/>
    </row>
    <row r="120" ht="15.5" customHeight="1" s="828">
      <c r="A120" s="1068" t="n"/>
      <c r="B120" s="725" t="n"/>
      <c r="C120" s="725" t="n"/>
      <c r="D120" s="1069" t="n"/>
      <c r="F120" s="1070" t="n"/>
      <c r="G120" s="85" t="n"/>
    </row>
    <row r="121" ht="15.5" customHeight="1" s="828">
      <c r="A121" s="1068" t="n"/>
      <c r="B121" s="725" t="n"/>
      <c r="C121" s="725" t="n"/>
      <c r="D121" s="1069" t="n"/>
      <c r="F121" s="1070" t="n"/>
      <c r="G121" s="85" t="n"/>
    </row>
    <row r="122" ht="15.5" customHeight="1" s="828">
      <c r="A122" s="1068" t="n"/>
      <c r="B122" s="725" t="n"/>
      <c r="C122" s="725" t="n"/>
      <c r="D122" s="1069" t="n"/>
      <c r="F122" s="1070" t="n"/>
      <c r="G122" s="85" t="n"/>
    </row>
    <row r="123" ht="15.5" customHeight="1" s="828">
      <c r="A123" s="1068" t="n"/>
      <c r="B123" s="725" t="n"/>
      <c r="C123" s="725" t="n"/>
      <c r="D123" s="1069" t="n"/>
      <c r="F123" s="238" t="n"/>
      <c r="G123" s="85" t="n"/>
    </row>
    <row r="124" ht="15.5" customHeight="1" s="828">
      <c r="A124" s="1068" t="n"/>
      <c r="B124" s="725" t="n"/>
      <c r="C124" s="725" t="n"/>
      <c r="D124" s="1069" t="n"/>
      <c r="F124" s="1070" t="n"/>
      <c r="G124" s="85" t="n"/>
    </row>
    <row r="125" ht="15.5" customHeight="1" s="828">
      <c r="A125" s="1068" t="n"/>
      <c r="B125" s="725" t="n"/>
      <c r="C125" s="725" t="n"/>
      <c r="D125" s="1069" t="n"/>
      <c r="F125" s="1070" t="n"/>
      <c r="G125" s="85" t="n"/>
    </row>
    <row r="126" ht="15.5" customHeight="1" s="828">
      <c r="A126" s="1068" t="n"/>
      <c r="B126" s="725" t="n"/>
      <c r="C126" s="725" t="n"/>
      <c r="D126" s="1069" t="n"/>
      <c r="F126" s="1070" t="n"/>
      <c r="G126" s="85" t="n"/>
    </row>
    <row r="127" ht="15.5" customHeight="1" s="828">
      <c r="A127" s="1068" t="n"/>
      <c r="B127" s="725" t="n"/>
      <c r="C127" s="725" t="n"/>
      <c r="D127" s="1069" t="n"/>
      <c r="F127" s="1070" t="n"/>
      <c r="G127" s="85" t="n"/>
    </row>
    <row r="128" ht="15.5" customHeight="1" s="828">
      <c r="A128" s="1068" t="n"/>
      <c r="B128" s="725" t="n"/>
      <c r="C128" s="725" t="n"/>
      <c r="D128" s="1069" t="n"/>
      <c r="F128" s="1070" t="n"/>
      <c r="G128" s="85" t="n"/>
    </row>
    <row r="129" ht="15.5" customHeight="1" s="828">
      <c r="A129" s="1068" t="n"/>
      <c r="B129" s="725" t="n"/>
      <c r="C129" s="725" t="n"/>
      <c r="D129" s="1069" t="n"/>
      <c r="F129" s="1070" t="n"/>
      <c r="G129" s="85" t="n"/>
    </row>
    <row r="130" ht="15.5" customHeight="1" s="828">
      <c r="A130" s="1068" t="n"/>
      <c r="B130" s="725" t="n"/>
      <c r="C130" s="725" t="n"/>
      <c r="D130" s="1069" t="n"/>
      <c r="F130" s="1070" t="n"/>
      <c r="G130" s="85" t="n"/>
    </row>
    <row r="131" ht="15.5" customHeight="1" s="828">
      <c r="A131" s="1068" t="n"/>
      <c r="B131" s="725" t="n"/>
      <c r="C131" s="725" t="n"/>
      <c r="D131" s="1069" t="n"/>
      <c r="F131" s="1070" t="n"/>
      <c r="G131" s="85" t="n"/>
    </row>
    <row r="132" ht="15.5" customHeight="1" s="828">
      <c r="A132" s="1068" t="n"/>
      <c r="B132" s="725" t="n"/>
      <c r="C132" s="725" t="n"/>
      <c r="D132" s="1069" t="n"/>
      <c r="F132" s="1070" t="n"/>
      <c r="G132" s="85" t="n"/>
    </row>
    <row r="133" ht="15.5" customHeight="1" s="828">
      <c r="A133" s="1068" t="n"/>
      <c r="B133" s="725" t="n"/>
      <c r="C133" s="725" t="n"/>
      <c r="D133" s="1069" t="n"/>
      <c r="F133" s="1070" t="n"/>
      <c r="G133" s="85" t="n"/>
    </row>
    <row r="134" ht="15.5" customHeight="1" s="828">
      <c r="A134" s="1068" t="n"/>
      <c r="B134" s="725" t="n"/>
      <c r="C134" s="725" t="n"/>
      <c r="D134" s="1069" t="n"/>
      <c r="F134" s="1070" t="n"/>
      <c r="G134" s="85" t="n"/>
    </row>
    <row r="135" ht="15.5" customHeight="1" s="828">
      <c r="A135" s="1068" t="n"/>
      <c r="B135" s="725" t="n"/>
      <c r="C135" s="725" t="n"/>
      <c r="D135" s="1069" t="n"/>
      <c r="F135" s="238" t="n"/>
      <c r="G135" s="85" t="n"/>
    </row>
    <row r="136" ht="15.5" customHeight="1" s="828">
      <c r="A136" s="1068" t="n"/>
      <c r="B136" s="725" t="n"/>
      <c r="C136" s="725" t="n"/>
      <c r="D136" s="1069" t="n"/>
      <c r="F136" s="1070" t="n"/>
      <c r="G136" s="85" t="n"/>
    </row>
    <row r="137" ht="15.5" customHeight="1" s="828">
      <c r="A137" s="1068" t="n"/>
      <c r="B137" s="725" t="n"/>
      <c r="C137" s="725" t="n"/>
      <c r="D137" s="1069" t="n"/>
      <c r="F137" s="1070" t="n"/>
      <c r="G137" s="85" t="n"/>
    </row>
    <row r="138" ht="15.5" customHeight="1" s="828">
      <c r="A138" s="1068" t="n"/>
      <c r="B138" s="725" t="n"/>
      <c r="C138" s="725" t="n"/>
      <c r="D138" s="1069" t="n"/>
      <c r="F138" s="1070" t="n"/>
      <c r="G138" s="85" t="n"/>
    </row>
    <row r="139" ht="15.5" customHeight="1" s="828">
      <c r="A139" s="1068" t="n"/>
      <c r="B139" s="725" t="n"/>
      <c r="C139" s="725" t="n"/>
      <c r="D139" s="1069" t="n"/>
      <c r="F139" s="1070" t="n"/>
      <c r="G139" s="85" t="n"/>
    </row>
    <row r="140" ht="15.5" customHeight="1" s="828">
      <c r="A140" s="1068" t="n"/>
      <c r="B140" s="725" t="n"/>
      <c r="C140" s="725" t="n"/>
      <c r="D140" s="1069" t="n"/>
      <c r="F140" s="1070" t="n"/>
      <c r="G140" s="85" t="n"/>
    </row>
    <row r="141" ht="15.5" customHeight="1" s="828">
      <c r="A141" s="1068" t="n"/>
      <c r="B141" s="725" t="n"/>
      <c r="C141" s="725" t="n"/>
      <c r="D141" s="1069" t="n"/>
      <c r="F141" s="1070" t="n"/>
      <c r="G141" s="85" t="n"/>
    </row>
    <row r="142" ht="15.5" customHeight="1" s="828">
      <c r="A142" s="1068" t="n"/>
      <c r="B142" s="725" t="n"/>
      <c r="C142" s="725" t="n"/>
      <c r="D142" s="1069" t="n"/>
      <c r="F142" s="1070" t="n"/>
      <c r="G142" s="85" t="n"/>
    </row>
    <row r="143" ht="15.5" customHeight="1" s="828">
      <c r="A143" s="1068" t="n"/>
      <c r="B143" s="725" t="n"/>
      <c r="C143" s="725" t="n"/>
      <c r="D143" s="1069" t="n"/>
      <c r="F143" s="1070" t="n"/>
      <c r="G143" s="85" t="n"/>
    </row>
    <row r="144" ht="15.5" customHeight="1" s="828">
      <c r="A144" s="1068" t="n"/>
      <c r="B144" s="725" t="n"/>
      <c r="C144" s="725" t="n"/>
      <c r="D144" s="1069" t="n"/>
      <c r="F144" s="1070" t="n"/>
      <c r="G144" s="85" t="n"/>
    </row>
    <row r="145" ht="15.5" customHeight="1" s="828">
      <c r="A145" s="1068" t="n"/>
      <c r="B145" s="725" t="n"/>
      <c r="C145" s="725" t="n"/>
      <c r="D145" s="1069" t="n"/>
      <c r="F145" s="1070" t="n"/>
      <c r="G145" s="85" t="n"/>
    </row>
    <row r="146" ht="15.5" customHeight="1" s="828">
      <c r="A146" s="1068" t="n"/>
      <c r="B146" s="725" t="n"/>
      <c r="C146" s="725" t="n"/>
      <c r="D146" s="1069" t="n"/>
      <c r="F146" s="1070" t="n"/>
      <c r="G146" s="85" t="n"/>
    </row>
    <row r="147" ht="15.5" customHeight="1" s="828">
      <c r="A147" s="1068" t="n"/>
      <c r="B147" s="725" t="n"/>
      <c r="C147" s="725" t="n"/>
      <c r="D147" s="1069" t="n"/>
      <c r="F147" s="238" t="n"/>
      <c r="G147" s="85" t="n"/>
    </row>
    <row r="148" ht="15.5" customHeight="1" s="828">
      <c r="A148" s="1068" t="n"/>
      <c r="B148" s="725" t="n"/>
      <c r="C148" s="725" t="n"/>
      <c r="D148" s="1069" t="n"/>
      <c r="F148" s="1070" t="n"/>
      <c r="G148" s="85" t="n"/>
    </row>
    <row r="149" ht="15.5" customHeight="1" s="828">
      <c r="A149" s="1068" t="n"/>
      <c r="B149" s="725" t="n"/>
      <c r="C149" s="725" t="n"/>
      <c r="D149" s="1069" t="n"/>
      <c r="F149" s="1070" t="n"/>
      <c r="G149" s="85" t="n"/>
    </row>
    <row r="150" ht="15.5" customHeight="1" s="828">
      <c r="A150" s="1068" t="n"/>
      <c r="B150" s="725" t="n"/>
      <c r="C150" s="725" t="n"/>
      <c r="D150" s="1069" t="n"/>
      <c r="F150" s="1070" t="n"/>
      <c r="G150" s="85" t="n"/>
    </row>
    <row r="151" ht="15.5" customHeight="1" s="828">
      <c r="A151" s="1068" t="n"/>
      <c r="B151" s="725" t="n"/>
      <c r="C151" s="725" t="n"/>
      <c r="D151" s="1069" t="n"/>
      <c r="F151" s="1070" t="n"/>
      <c r="G151" s="85" t="n"/>
    </row>
    <row r="152" ht="15.5" customHeight="1" s="828">
      <c r="A152" s="1068" t="n"/>
      <c r="B152" s="725" t="n"/>
      <c r="C152" s="725" t="n"/>
      <c r="D152" s="1069" t="n"/>
      <c r="F152" s="1070" t="n"/>
      <c r="G152" s="85" t="n"/>
    </row>
    <row r="153" ht="15.5" customHeight="1" s="828">
      <c r="A153" s="1068" t="n"/>
      <c r="B153" s="725" t="n"/>
      <c r="C153" s="725" t="n"/>
      <c r="D153" s="1069" t="n"/>
      <c r="F153" s="1070" t="n"/>
      <c r="G153" s="85" t="n"/>
    </row>
    <row r="154" ht="15.5" customHeight="1" s="828">
      <c r="A154" s="1068" t="n"/>
      <c r="B154" s="725" t="n"/>
      <c r="C154" s="725" t="n"/>
      <c r="D154" s="1069" t="n"/>
      <c r="F154" s="1070" t="n"/>
      <c r="G154" s="85" t="n"/>
    </row>
    <row r="155" ht="15.5" customHeight="1" s="828">
      <c r="A155" s="1068" t="n"/>
      <c r="B155" s="725" t="n"/>
      <c r="C155" s="725" t="n"/>
      <c r="D155" s="1069" t="n"/>
      <c r="F155" s="1070" t="n"/>
      <c r="G155" s="85" t="n"/>
    </row>
    <row r="156" ht="15.5" customHeight="1" s="828">
      <c r="A156" s="1068" t="n"/>
      <c r="B156" s="725" t="n"/>
      <c r="C156" s="725" t="n"/>
      <c r="D156" s="1069" t="n"/>
      <c r="F156" s="1070" t="n"/>
      <c r="G156" s="85" t="n"/>
    </row>
    <row r="157" ht="15.5" customHeight="1" s="828">
      <c r="A157" s="1068" t="n"/>
      <c r="B157" s="725" t="n"/>
      <c r="C157" s="725" t="n"/>
      <c r="D157" s="1069" t="n"/>
      <c r="F157" s="1070" t="n"/>
      <c r="G157" s="85" t="n"/>
    </row>
    <row r="158" ht="15.5" customHeight="1" s="828">
      <c r="A158" s="1068" t="n"/>
      <c r="B158" s="725" t="n"/>
      <c r="C158" s="725" t="n"/>
      <c r="D158" s="1069" t="n"/>
      <c r="F158" s="1070" t="n"/>
      <c r="G158" s="85" t="n"/>
    </row>
    <row r="159" ht="15.5" customHeight="1" s="828">
      <c r="A159" s="1068" t="n"/>
      <c r="B159" s="725" t="n"/>
      <c r="C159" s="725" t="n"/>
      <c r="D159" s="1069" t="n"/>
      <c r="F159" s="238" t="n"/>
      <c r="G159" s="85" t="n"/>
    </row>
    <row r="160" ht="15.5" customHeight="1" s="828">
      <c r="A160" s="1068" t="n"/>
      <c r="B160" s="725" t="n"/>
      <c r="C160" s="725" t="n"/>
      <c r="D160" s="1069" t="n"/>
      <c r="F160" s="1070" t="n"/>
      <c r="G160" s="85" t="n"/>
    </row>
    <row r="161" ht="15.5" customHeight="1" s="828">
      <c r="A161" s="1068" t="n"/>
      <c r="B161" s="725" t="n"/>
      <c r="C161" s="725" t="n"/>
      <c r="D161" s="1069" t="n"/>
      <c r="F161" s="1070" t="n"/>
      <c r="G161" s="85" t="n"/>
    </row>
    <row r="162" ht="15.5" customHeight="1" s="828">
      <c r="A162" s="1068" t="n"/>
      <c r="B162" s="725" t="n"/>
      <c r="C162" s="725" t="n"/>
      <c r="D162" s="1069" t="n"/>
      <c r="F162" s="1070" t="n"/>
      <c r="G162" s="85" t="n"/>
    </row>
    <row r="163" ht="15.5" customHeight="1" s="828">
      <c r="A163" s="1068" t="n"/>
      <c r="B163" s="725" t="n"/>
      <c r="C163" s="725" t="n"/>
      <c r="D163" s="1069" t="n"/>
      <c r="F163" s="1070" t="n"/>
      <c r="G163" s="85" t="n"/>
    </row>
    <row r="164" ht="15.5" customHeight="1" s="828">
      <c r="A164" s="1068" t="n"/>
      <c r="B164" s="725" t="n"/>
      <c r="C164" s="725" t="n"/>
      <c r="D164" s="1069" t="n"/>
      <c r="F164" s="1070" t="n"/>
      <c r="G164" s="85" t="n"/>
    </row>
    <row r="165" ht="15.5" customHeight="1" s="828">
      <c r="A165" s="1068" t="n"/>
      <c r="B165" s="725" t="n"/>
      <c r="C165" s="725" t="n"/>
      <c r="D165" s="1069" t="n"/>
      <c r="F165" s="1070" t="n"/>
      <c r="G165" s="85" t="n"/>
    </row>
    <row r="166" ht="15.5" customHeight="1" s="828">
      <c r="A166" s="1068" t="n"/>
      <c r="B166" s="725" t="n"/>
      <c r="C166" s="725" t="n"/>
      <c r="D166" s="1069" t="n"/>
      <c r="F166" s="1070" t="n"/>
      <c r="G166" s="85" t="n"/>
    </row>
    <row r="167" ht="15.5" customHeight="1" s="828">
      <c r="A167" s="1068" t="n"/>
      <c r="B167" s="725" t="n"/>
      <c r="C167" s="725" t="n"/>
      <c r="D167" s="1069" t="n"/>
      <c r="F167" s="1070" t="n"/>
      <c r="G167" s="85" t="n"/>
    </row>
    <row r="168" ht="15.5" customHeight="1" s="828">
      <c r="A168" s="1068" t="n"/>
      <c r="B168" s="725" t="n"/>
      <c r="C168" s="725" t="n"/>
      <c r="D168" s="1069" t="n"/>
      <c r="F168" s="1070" t="n"/>
      <c r="G168" s="85" t="n"/>
    </row>
    <row r="169" ht="15.5" customHeight="1" s="828">
      <c r="A169" s="1068" t="n"/>
      <c r="B169" s="725" t="n"/>
      <c r="C169" s="725" t="n"/>
      <c r="D169" s="1069" t="n"/>
      <c r="F169" s="1070" t="n"/>
      <c r="G169" s="85" t="n"/>
    </row>
    <row r="170" ht="15.5" customHeight="1" s="828">
      <c r="A170" s="1068" t="n"/>
      <c r="B170" s="725" t="n"/>
      <c r="C170" s="725" t="n"/>
      <c r="D170" s="1069" t="n"/>
      <c r="F170" s="1070" t="n"/>
      <c r="G170" s="85" t="n"/>
    </row>
    <row r="171" ht="15.5" customHeight="1" s="828">
      <c r="A171" s="1068" t="n"/>
      <c r="B171" s="725" t="n"/>
      <c r="C171" s="725" t="n"/>
      <c r="D171" s="1069" t="n"/>
      <c r="F171" s="238" t="n"/>
      <c r="G171" s="85" t="n"/>
    </row>
    <row r="172" ht="15.5" customHeight="1" s="828">
      <c r="A172" s="1068" t="n"/>
      <c r="B172" s="725" t="n"/>
      <c r="C172" s="725" t="n"/>
      <c r="D172" s="1069" t="n"/>
      <c r="F172" s="1070" t="n"/>
      <c r="G172" s="85" t="n"/>
    </row>
    <row r="173" ht="15.5" customHeight="1" s="828">
      <c r="A173" s="1068" t="n"/>
      <c r="B173" s="725" t="n"/>
      <c r="C173" s="725" t="n"/>
      <c r="D173" s="1069" t="n"/>
      <c r="F173" s="1070" t="n"/>
      <c r="G173" s="85" t="n"/>
    </row>
    <row r="174" ht="15.5" customHeight="1" s="828">
      <c r="A174" s="1068" t="n"/>
      <c r="B174" s="725" t="n"/>
      <c r="C174" s="725" t="n"/>
      <c r="D174" s="1069" t="n"/>
      <c r="F174" s="1070" t="n"/>
      <c r="G174" s="85" t="n"/>
    </row>
    <row r="175" ht="15.5" customHeight="1" s="828">
      <c r="A175" s="1068" t="n"/>
      <c r="B175" s="725" t="n"/>
      <c r="C175" s="725" t="n"/>
      <c r="D175" s="1069" t="n"/>
      <c r="F175" s="1070" t="n"/>
      <c r="G175" s="85" t="n"/>
    </row>
    <row r="176" ht="15.5" customHeight="1" s="828">
      <c r="A176" s="1068" t="n"/>
      <c r="B176" s="725" t="n"/>
      <c r="C176" s="725" t="n"/>
      <c r="D176" s="1069" t="n"/>
      <c r="F176" s="1070" t="n"/>
      <c r="G176" s="85" t="n"/>
    </row>
    <row r="177" ht="15.5" customHeight="1" s="828">
      <c r="A177" s="1068" t="n"/>
      <c r="B177" s="725" t="n"/>
      <c r="C177" s="725" t="n"/>
      <c r="D177" s="1069" t="n"/>
      <c r="F177" s="1070" t="n"/>
      <c r="G177" s="85" t="n"/>
    </row>
    <row r="178" ht="15.5" customHeight="1" s="828">
      <c r="A178" s="1068" t="n"/>
      <c r="B178" s="725" t="n"/>
      <c r="C178" s="725" t="n"/>
      <c r="D178" s="1069" t="n"/>
      <c r="F178" s="1070" t="n"/>
      <c r="G178" s="85" t="n"/>
    </row>
    <row r="179" ht="15.5" customHeight="1" s="828">
      <c r="A179" s="1068" t="n"/>
      <c r="B179" s="725" t="n"/>
      <c r="C179" s="725" t="n"/>
      <c r="D179" s="1069" t="n"/>
      <c r="F179" s="1070" t="n"/>
      <c r="G179" s="85" t="n"/>
    </row>
    <row r="180" ht="15.5" customHeight="1" s="828">
      <c r="A180" s="1068" t="n"/>
      <c r="B180" s="725" t="n"/>
      <c r="C180" s="725" t="n"/>
      <c r="D180" s="1069" t="n"/>
      <c r="F180" s="1070" t="n"/>
      <c r="G180" s="85" t="n"/>
    </row>
    <row r="181" ht="15.5" customHeight="1" s="828">
      <c r="A181" s="1068" t="n"/>
      <c r="B181" s="725" t="n"/>
      <c r="C181" s="725" t="n"/>
      <c r="D181" s="1069" t="n"/>
      <c r="F181" s="1070" t="n"/>
      <c r="G181" s="85" t="n"/>
    </row>
    <row r="182" ht="15.5" customHeight="1" s="828">
      <c r="A182" s="1068" t="n"/>
      <c r="B182" s="725" t="n"/>
      <c r="C182" s="725" t="n"/>
      <c r="D182" s="1069" t="n"/>
      <c r="F182" s="1070" t="n"/>
      <c r="G182" s="85" t="n"/>
    </row>
    <row r="183" ht="15.5" customHeight="1" s="828">
      <c r="A183" s="1068" t="n"/>
      <c r="B183" s="725" t="n"/>
      <c r="C183" s="725" t="n"/>
      <c r="D183" s="1069" t="n"/>
      <c r="F183" s="238" t="n"/>
      <c r="G183" s="85" t="n"/>
    </row>
    <row r="184" ht="15.5" customHeight="1" s="828">
      <c r="A184" s="1068" t="n"/>
      <c r="B184" s="725" t="n"/>
      <c r="C184" s="725" t="n"/>
      <c r="D184" s="1069" t="n"/>
      <c r="F184" s="1070" t="n"/>
      <c r="G184" s="85" t="n"/>
    </row>
    <row r="185" ht="15.5" customHeight="1" s="828">
      <c r="A185" s="1068" t="n"/>
      <c r="B185" s="725" t="n"/>
      <c r="C185" s="725" t="n"/>
      <c r="D185" s="1069" t="n"/>
      <c r="F185" s="1070" t="n"/>
      <c r="G185" s="85" t="n"/>
    </row>
    <row r="186" ht="15.5" customHeight="1" s="828">
      <c r="A186" s="1068" t="n"/>
      <c r="B186" s="725" t="n"/>
      <c r="C186" s="725" t="n"/>
      <c r="D186" s="1069" t="n"/>
      <c r="F186" s="1070" t="n"/>
      <c r="G186" s="85" t="n"/>
    </row>
    <row r="187" ht="15.5" customHeight="1" s="828">
      <c r="A187" s="1068" t="n"/>
      <c r="B187" s="725" t="n"/>
      <c r="C187" s="725" t="n"/>
      <c r="D187" s="1069" t="n"/>
      <c r="F187" s="1070" t="n"/>
      <c r="G187" s="85" t="n"/>
    </row>
    <row r="188" ht="15.5" customHeight="1" s="828">
      <c r="A188" s="1068" t="n"/>
      <c r="B188" s="725" t="n"/>
      <c r="C188" s="725" t="n"/>
      <c r="D188" s="1069" t="n"/>
      <c r="F188" s="1070" t="n"/>
      <c r="G188" s="85" t="n"/>
    </row>
    <row r="189" ht="15.5" customHeight="1" s="828">
      <c r="A189" s="1068" t="n"/>
      <c r="B189" s="725" t="n"/>
      <c r="C189" s="725" t="n"/>
      <c r="D189" s="1069" t="n"/>
      <c r="F189" s="1070" t="n"/>
      <c r="G189" s="85" t="n"/>
    </row>
    <row r="190" ht="15.5" customHeight="1" s="828">
      <c r="A190" s="1068" t="n"/>
      <c r="B190" s="725" t="n"/>
      <c r="C190" s="725" t="n"/>
      <c r="D190" s="1069" t="n"/>
      <c r="F190" s="1070" t="n"/>
      <c r="G190" s="85" t="n"/>
    </row>
    <row r="191" ht="15.5" customHeight="1" s="828">
      <c r="A191" s="1068" t="n"/>
      <c r="B191" s="725" t="n"/>
      <c r="C191" s="725" t="n"/>
      <c r="D191" s="1069" t="n"/>
      <c r="F191" s="1070" t="n"/>
      <c r="G191" s="85" t="n"/>
    </row>
    <row r="192" ht="15.5" customHeight="1" s="828">
      <c r="A192" s="1068" t="n"/>
      <c r="B192" s="725" t="n"/>
      <c r="C192" s="725" t="n"/>
      <c r="D192" s="1069" t="n"/>
      <c r="F192" s="1070" t="n"/>
      <c r="G192" s="85" t="n"/>
    </row>
    <row r="193" ht="15.5" customHeight="1" s="828">
      <c r="A193" s="1068" t="n"/>
      <c r="B193" s="725" t="n"/>
      <c r="C193" s="725" t="n"/>
      <c r="D193" s="1069" t="n"/>
      <c r="F193" s="1070" t="n"/>
      <c r="G193" s="85" t="n"/>
    </row>
    <row r="194" ht="15.5" customHeight="1" s="828">
      <c r="A194" s="1068" t="n"/>
      <c r="B194" s="725" t="n"/>
      <c r="C194" s="725" t="n"/>
      <c r="D194" s="1069" t="n"/>
      <c r="F194" s="1070" t="n"/>
      <c r="G194" s="85" t="n"/>
    </row>
    <row r="195" ht="15.5" customHeight="1" s="828">
      <c r="A195" s="1068" t="n"/>
      <c r="B195" s="725" t="n"/>
      <c r="C195" s="725" t="n"/>
      <c r="D195" s="1069" t="n"/>
      <c r="F195" s="238" t="n"/>
      <c r="G195" s="85" t="n"/>
    </row>
    <row r="196" ht="15.5" customHeight="1" s="828">
      <c r="A196" s="1068" t="n"/>
      <c r="B196" s="725" t="n"/>
      <c r="C196" s="725" t="n"/>
      <c r="D196" s="1069" t="n"/>
      <c r="F196" s="1070" t="n"/>
      <c r="G196" s="85" t="n"/>
    </row>
    <row r="197" ht="15.5" customHeight="1" s="828">
      <c r="A197" s="1068" t="n"/>
      <c r="B197" s="725" t="n"/>
      <c r="C197" s="725" t="n"/>
      <c r="D197" s="1069" t="n"/>
      <c r="F197" s="1070" t="n"/>
      <c r="G197" s="85" t="n"/>
    </row>
    <row r="198" ht="15.5" customHeight="1" s="828">
      <c r="A198" s="1068" t="n"/>
      <c r="B198" s="725" t="n"/>
      <c r="C198" s="725" t="n"/>
      <c r="D198" s="1069" t="n"/>
      <c r="F198" s="1070" t="n"/>
      <c r="G198" s="85" t="n"/>
    </row>
    <row r="199" ht="15.5" customHeight="1" s="828">
      <c r="A199" s="1068" t="n"/>
      <c r="B199" s="725" t="n"/>
      <c r="C199" s="725" t="n"/>
      <c r="D199" s="1069" t="n"/>
      <c r="F199" s="1070" t="n"/>
      <c r="G199" s="85" t="n"/>
    </row>
    <row r="200" ht="15.5" customHeight="1" s="828">
      <c r="A200" s="1068" t="n"/>
      <c r="B200" s="725" t="n"/>
      <c r="C200" s="725" t="n"/>
      <c r="D200" s="1069" t="n"/>
      <c r="F200" s="1070" t="n"/>
      <c r="G200" s="85" t="n"/>
    </row>
    <row r="201" ht="15.5" customHeight="1" s="828">
      <c r="A201" s="1068" t="n"/>
      <c r="B201" s="725" t="n"/>
      <c r="C201" s="725" t="n"/>
      <c r="D201" s="1069" t="n"/>
      <c r="F201" s="1070" t="n"/>
      <c r="G201" s="85" t="n"/>
    </row>
    <row r="202" ht="15.5" customHeight="1" s="828">
      <c r="A202" s="1068" t="n"/>
      <c r="B202" s="725" t="n"/>
      <c r="C202" s="725" t="n"/>
      <c r="D202" s="1069" t="n"/>
      <c r="F202" s="1070" t="n"/>
      <c r="G202" s="85" t="n"/>
    </row>
    <row r="203" ht="15.5" customHeight="1" s="828">
      <c r="A203" s="1068" t="n"/>
      <c r="B203" s="725" t="n"/>
      <c r="C203" s="725" t="n"/>
      <c r="D203" s="1069" t="n"/>
      <c r="F203" s="1070" t="n"/>
      <c r="G203" s="85" t="n"/>
    </row>
    <row r="204" ht="15.5" customHeight="1" s="828">
      <c r="A204" s="1068" t="n"/>
      <c r="B204" s="725" t="n"/>
      <c r="C204" s="725" t="n"/>
      <c r="D204" s="1069" t="n"/>
      <c r="F204" s="1070" t="n"/>
      <c r="G204" s="85" t="n"/>
    </row>
    <row r="205" ht="15.5" customHeight="1" s="828">
      <c r="A205" s="1068" t="n"/>
      <c r="B205" s="725" t="n"/>
      <c r="C205" s="725" t="n"/>
      <c r="D205" s="1069" t="n"/>
      <c r="F205" s="1070" t="n"/>
      <c r="G205" s="85" t="n"/>
    </row>
    <row r="206" ht="15.5" customHeight="1" s="828">
      <c r="A206" s="1068" t="n"/>
      <c r="B206" s="725" t="n"/>
      <c r="C206" s="725" t="n"/>
      <c r="D206" s="1069" t="n"/>
      <c r="F206" s="1070" t="n"/>
      <c r="G206" s="85" t="n"/>
    </row>
    <row r="207" ht="15.5" customHeight="1" s="828">
      <c r="A207" s="1068" t="n"/>
      <c r="B207" s="725" t="n"/>
      <c r="C207" s="725" t="n"/>
      <c r="D207" s="1069" t="n"/>
      <c r="F207" s="238" t="n"/>
      <c r="G207" s="85" t="n"/>
    </row>
    <row r="208" ht="15.5" customHeight="1" s="828">
      <c r="A208" s="1068" t="n"/>
      <c r="B208" s="725" t="n"/>
      <c r="C208" s="725" t="n"/>
      <c r="D208" s="1069" t="n"/>
      <c r="F208" s="1070" t="n"/>
      <c r="G208" s="85" t="n"/>
    </row>
    <row r="209" ht="15.5" customHeight="1" s="828">
      <c r="A209" s="1068" t="n"/>
      <c r="B209" s="725" t="n"/>
      <c r="C209" s="725" t="n"/>
      <c r="D209" s="1069" t="n"/>
      <c r="F209" s="1070" t="n"/>
      <c r="G209" s="85" t="n"/>
    </row>
    <row r="210" ht="15.5" customHeight="1" s="828">
      <c r="A210" s="1068" t="n"/>
      <c r="B210" s="725" t="n"/>
      <c r="C210" s="725" t="n"/>
      <c r="D210" s="1069" t="n"/>
      <c r="F210" s="1070" t="n"/>
      <c r="G210" s="85" t="n"/>
    </row>
    <row r="211" ht="15.5" customHeight="1" s="828">
      <c r="A211" s="1068" t="n"/>
      <c r="B211" s="725" t="n"/>
      <c r="C211" s="725" t="n"/>
      <c r="D211" s="1069" t="n"/>
      <c r="F211" s="1070" t="n"/>
      <c r="G211" s="85" t="n"/>
    </row>
    <row r="212" ht="15.5" customHeight="1" s="828">
      <c r="A212" s="1068" t="n"/>
      <c r="B212" s="725" t="n"/>
      <c r="C212" s="725" t="n"/>
      <c r="D212" s="1069" t="n"/>
      <c r="F212" s="1070" t="n"/>
      <c r="G212" s="85" t="n"/>
    </row>
    <row r="213" ht="15.5" customHeight="1" s="828">
      <c r="A213" s="1068" t="n"/>
      <c r="B213" s="725" t="n"/>
      <c r="C213" s="725" t="n"/>
      <c r="D213" s="1069" t="n"/>
      <c r="F213" s="1070" t="n"/>
      <c r="G213" s="85" t="n"/>
    </row>
    <row r="214" ht="15.5" customHeight="1" s="828">
      <c r="A214" s="1068" t="n"/>
      <c r="B214" s="725" t="n"/>
      <c r="C214" s="725" t="n"/>
      <c r="D214" s="1069" t="n"/>
      <c r="F214" s="1070" t="n"/>
      <c r="G214" s="85" t="n"/>
    </row>
    <row r="215" ht="15.5" customHeight="1" s="828">
      <c r="A215" s="1068" t="n"/>
      <c r="B215" s="725" t="n"/>
      <c r="C215" s="725" t="n"/>
      <c r="D215" s="1069" t="n"/>
      <c r="F215" s="1070" t="n"/>
      <c r="G215" s="85" t="n"/>
    </row>
    <row r="216" ht="15.5" customHeight="1" s="828">
      <c r="A216" s="1068" t="n"/>
      <c r="B216" s="725" t="n"/>
      <c r="C216" s="725" t="n"/>
      <c r="D216" s="1069" t="n"/>
      <c r="F216" s="1070" t="n"/>
      <c r="G216" s="85" t="n"/>
    </row>
    <row r="217" ht="15.5" customHeight="1" s="828">
      <c r="A217" s="1068" t="n"/>
      <c r="B217" s="725" t="n"/>
      <c r="C217" s="725" t="n"/>
      <c r="D217" s="1069" t="n"/>
      <c r="F217" s="1070" t="n"/>
      <c r="G217" s="85" t="n"/>
    </row>
    <row r="218" ht="15.5" customHeight="1" s="828">
      <c r="A218" s="1068" t="n"/>
      <c r="B218" s="725" t="n"/>
      <c r="C218" s="725" t="n"/>
      <c r="D218" s="1069" t="n"/>
      <c r="F218" s="1070" t="n"/>
      <c r="G218" s="85" t="n"/>
    </row>
    <row r="219" ht="15.5" customHeight="1" s="828">
      <c r="A219" s="1068" t="n"/>
      <c r="B219" s="725" t="n"/>
      <c r="C219" s="725" t="n"/>
      <c r="D219" s="1069" t="n"/>
      <c r="F219" s="238" t="n"/>
      <c r="G219" s="85" t="n"/>
    </row>
    <row r="220" ht="15.5" customHeight="1" s="828">
      <c r="A220" s="1068" t="n"/>
      <c r="B220" s="725" t="n"/>
      <c r="C220" s="725" t="n"/>
      <c r="D220" s="1069" t="n"/>
      <c r="F220" s="1070" t="n"/>
      <c r="G220" s="85" t="n"/>
    </row>
    <row r="221" ht="15.5" customHeight="1" s="828">
      <c r="A221" s="1068" t="n"/>
      <c r="B221" s="725" t="n"/>
      <c r="C221" s="725" t="n"/>
      <c r="D221" s="1069" t="n"/>
      <c r="F221" s="1070" t="n"/>
      <c r="G221" s="85" t="n"/>
    </row>
    <row r="222" ht="15.5" customHeight="1" s="828">
      <c r="A222" s="1068" t="n"/>
      <c r="B222" s="725" t="n"/>
      <c r="C222" s="725" t="n"/>
      <c r="D222" s="1069" t="n"/>
      <c r="F222" s="1070" t="n"/>
      <c r="G222" s="85" t="n"/>
    </row>
    <row r="223" ht="15.5" customHeight="1" s="828">
      <c r="A223" s="1068" t="n"/>
      <c r="B223" s="725" t="n"/>
      <c r="C223" s="725" t="n"/>
      <c r="D223" s="1069" t="n"/>
      <c r="F223" s="1070" t="n"/>
      <c r="G223" s="85" t="n"/>
    </row>
    <row r="224" ht="15.5" customHeight="1" s="828">
      <c r="A224" s="1068" t="n"/>
      <c r="B224" s="725" t="n"/>
      <c r="C224" s="725" t="n"/>
      <c r="D224" s="1069" t="n"/>
      <c r="F224" s="1070" t="n"/>
      <c r="G224" s="85" t="n"/>
    </row>
    <row r="225" ht="15.5" customHeight="1" s="828">
      <c r="A225" s="1068" t="n"/>
      <c r="B225" s="725" t="n"/>
      <c r="C225" s="725" t="n"/>
      <c r="D225" s="1069" t="n"/>
      <c r="F225" s="1070" t="n"/>
      <c r="G225" s="85" t="n"/>
    </row>
    <row r="226" ht="15.5" customHeight="1" s="828">
      <c r="A226" s="1068" t="n"/>
      <c r="B226" s="725" t="n"/>
      <c r="C226" s="725" t="n"/>
      <c r="D226" s="1069" t="n"/>
      <c r="F226" s="1070" t="n"/>
      <c r="G226" s="85" t="n"/>
    </row>
    <row r="227" ht="15.5" customHeight="1" s="828">
      <c r="A227" s="1068" t="n"/>
      <c r="B227" s="725" t="n"/>
      <c r="C227" s="725" t="n"/>
      <c r="D227" s="1069" t="n"/>
      <c r="F227" s="1070" t="n"/>
      <c r="G227" s="85" t="n"/>
    </row>
    <row r="228" ht="15.5" customHeight="1" s="828">
      <c r="A228" s="1068" t="n"/>
      <c r="B228" s="725" t="n"/>
      <c r="C228" s="725" t="n"/>
      <c r="D228" s="1069" t="n"/>
      <c r="F228" s="1070" t="n"/>
      <c r="G228" s="85" t="n"/>
    </row>
    <row r="229" ht="15.5" customHeight="1" s="828">
      <c r="A229" s="1068" t="n"/>
      <c r="B229" s="725" t="n"/>
      <c r="C229" s="725" t="n"/>
      <c r="D229" s="1069" t="n"/>
      <c r="F229" s="1070" t="n"/>
      <c r="G229" s="85" t="n"/>
    </row>
    <row r="230" ht="15.5" customHeight="1" s="828">
      <c r="A230" s="1068" t="n"/>
      <c r="B230" s="725" t="n"/>
      <c r="C230" s="725" t="n"/>
      <c r="D230" s="1069" t="n"/>
      <c r="F230" s="1070" t="n"/>
      <c r="G230" s="85" t="n"/>
    </row>
    <row r="231" ht="15.5" customHeight="1" s="828">
      <c r="A231" s="1068" t="n"/>
      <c r="B231" s="725" t="n"/>
      <c r="C231" s="725" t="n"/>
      <c r="D231" s="1069" t="n"/>
      <c r="F231" s="238" t="n"/>
      <c r="G231" s="85" t="n"/>
    </row>
    <row r="232" ht="15.5" customHeight="1" s="828">
      <c r="A232" s="1068" t="n"/>
      <c r="B232" s="725" t="n"/>
      <c r="C232" s="725" t="n"/>
      <c r="D232" s="1069" t="n"/>
      <c r="F232" s="1070" t="n"/>
      <c r="G232" s="85" t="n"/>
    </row>
    <row r="233" ht="15.5" customHeight="1" s="828">
      <c r="A233" s="1068" t="n"/>
      <c r="B233" s="725" t="n"/>
      <c r="C233" s="725" t="n"/>
      <c r="D233" s="1069" t="n"/>
      <c r="F233" s="1070" t="n"/>
      <c r="G233" s="85" t="n"/>
    </row>
    <row r="234" ht="15.5" customHeight="1" s="828">
      <c r="A234" s="1068" t="n"/>
      <c r="B234" s="725" t="n"/>
      <c r="C234" s="725" t="n"/>
      <c r="D234" s="1069" t="n"/>
      <c r="F234" s="1070" t="n"/>
      <c r="G234" s="85" t="n"/>
    </row>
    <row r="235" ht="15.5" customHeight="1" s="828">
      <c r="A235" s="1068" t="n"/>
      <c r="B235" s="725" t="n"/>
      <c r="C235" s="725" t="n"/>
      <c r="D235" s="1069" t="n"/>
      <c r="F235" s="1070" t="n"/>
      <c r="G235" s="85" t="n"/>
    </row>
    <row r="236" ht="15.5" customHeight="1" s="828">
      <c r="A236" s="1068" t="n"/>
      <c r="B236" s="725" t="n"/>
      <c r="C236" s="725" t="n"/>
      <c r="D236" s="1069" t="n"/>
      <c r="F236" s="1070" t="n"/>
      <c r="G236" s="85" t="n"/>
    </row>
    <row r="237" ht="15.5" customHeight="1" s="828">
      <c r="A237" s="1068" t="n"/>
      <c r="B237" s="725" t="n"/>
      <c r="C237" s="725" t="n"/>
      <c r="D237" s="1069" t="n"/>
      <c r="F237" s="1070" t="n"/>
      <c r="G237" s="85" t="n"/>
    </row>
    <row r="238" ht="15.5" customHeight="1" s="828">
      <c r="A238" s="1068" t="n"/>
      <c r="B238" s="725" t="n"/>
      <c r="C238" s="725" t="n"/>
      <c r="D238" s="1069" t="n"/>
      <c r="F238" s="1070" t="n"/>
      <c r="G238" s="85" t="n"/>
    </row>
    <row r="239" ht="15.5" customHeight="1" s="828">
      <c r="A239" s="1068" t="n"/>
      <c r="B239" s="725" t="n"/>
      <c r="C239" s="725" t="n"/>
      <c r="D239" s="1069" t="n"/>
      <c r="F239" s="1070" t="n"/>
      <c r="G239" s="85" t="n"/>
    </row>
    <row r="240" ht="15.5" customHeight="1" s="828">
      <c r="A240" s="1068" t="n"/>
      <c r="B240" s="725" t="n"/>
      <c r="C240" s="725" t="n"/>
      <c r="D240" s="1069" t="n"/>
      <c r="F240" s="1070" t="n"/>
      <c r="G240" s="85" t="n"/>
    </row>
    <row r="241" ht="15.5" customHeight="1" s="828">
      <c r="A241" s="1068" t="n"/>
      <c r="B241" s="725" t="n"/>
      <c r="C241" s="725" t="n"/>
      <c r="D241" s="1069" t="n"/>
      <c r="F241" s="1070" t="n"/>
      <c r="G241" s="85" t="n"/>
    </row>
    <row r="242" ht="15.5" customHeight="1" s="828">
      <c r="A242" s="1068" t="n"/>
      <c r="B242" s="725" t="n"/>
      <c r="C242" s="725" t="n"/>
      <c r="D242" s="1069" t="n"/>
      <c r="F242" s="1070" t="n"/>
      <c r="G242" s="85" t="n"/>
    </row>
    <row r="243" ht="15.5" customHeight="1" s="828">
      <c r="A243" s="1068" t="n"/>
      <c r="B243" s="725" t="n"/>
      <c r="C243" s="725" t="n"/>
      <c r="D243" s="1069" t="n"/>
      <c r="F243" s="238" t="n"/>
      <c r="G243" s="85" t="n"/>
    </row>
    <row r="244" ht="15.5" customHeight="1" s="828">
      <c r="A244" s="1068" t="n"/>
      <c r="B244" s="725" t="n"/>
      <c r="C244" s="725" t="n"/>
      <c r="D244" s="1069" t="n"/>
      <c r="F244" s="1070" t="n"/>
      <c r="G244" s="85" t="n"/>
    </row>
    <row r="245" ht="15.5" customHeight="1" s="828">
      <c r="A245" s="1068" t="n"/>
      <c r="B245" s="725" t="n"/>
      <c r="C245" s="725" t="n"/>
      <c r="D245" s="1069" t="n"/>
      <c r="F245" s="1070" t="n"/>
      <c r="G245" s="85" t="n"/>
    </row>
    <row r="246" ht="15.5" customHeight="1" s="828">
      <c r="A246" s="1068" t="n"/>
      <c r="B246" s="725" t="n"/>
      <c r="C246" s="725" t="n"/>
      <c r="D246" s="1069" t="n"/>
      <c r="F246" s="1070" t="n"/>
      <c r="G246" s="85" t="n"/>
    </row>
    <row r="247" ht="15.5" customHeight="1" s="828">
      <c r="A247" s="1068" t="n"/>
      <c r="B247" s="725" t="n"/>
      <c r="C247" s="725" t="n"/>
      <c r="D247" s="1069" t="n"/>
      <c r="F247" s="1070" t="n"/>
      <c r="G247" s="85" t="n"/>
    </row>
    <row r="248" ht="15.5" customHeight="1" s="828">
      <c r="A248" s="1068" t="n"/>
      <c r="B248" s="725" t="n"/>
      <c r="C248" s="725" t="n"/>
      <c r="D248" s="1069" t="n"/>
      <c r="F248" s="1070" t="n"/>
      <c r="G248" s="85" t="n"/>
    </row>
    <row r="249" ht="15.5" customHeight="1" s="828">
      <c r="A249" s="1068" t="n"/>
      <c r="B249" s="725" t="n"/>
      <c r="C249" s="725" t="n"/>
      <c r="D249" s="1069" t="n"/>
      <c r="F249" s="1070" t="n"/>
      <c r="G249" s="85" t="n"/>
    </row>
    <row r="250" ht="15.5" customHeight="1" s="828">
      <c r="A250" s="1068" t="n"/>
      <c r="B250" s="725" t="n"/>
      <c r="C250" s="725" t="n"/>
      <c r="D250" s="1069" t="n"/>
      <c r="F250" s="1070" t="n"/>
      <c r="G250" s="85" t="n"/>
    </row>
    <row r="251" ht="15.5" customHeight="1" s="828">
      <c r="A251" s="1068" t="n"/>
      <c r="B251" s="725" t="n"/>
      <c r="C251" s="725" t="n"/>
      <c r="D251" s="1069" t="n"/>
      <c r="F251" s="1070" t="n"/>
      <c r="G251" s="85" t="n"/>
    </row>
    <row r="252" ht="15.5" customHeight="1" s="828">
      <c r="A252" s="1068" t="n"/>
      <c r="B252" s="725" t="n"/>
      <c r="C252" s="725" t="n"/>
      <c r="D252" s="1069" t="n"/>
      <c r="F252" s="1070" t="n"/>
      <c r="G252" s="85" t="n"/>
    </row>
    <row r="253" ht="15.5" customHeight="1" s="828">
      <c r="A253" s="1068" t="n"/>
      <c r="B253" s="725" t="n"/>
      <c r="C253" s="725" t="n"/>
      <c r="D253" s="1069" t="n"/>
      <c r="F253" s="1070" t="n"/>
      <c r="G253" s="85" t="n"/>
    </row>
    <row r="254" ht="15.5" customHeight="1" s="828">
      <c r="A254" s="1068" t="n"/>
      <c r="B254" s="725" t="n"/>
      <c r="C254" s="725" t="n"/>
      <c r="D254" s="1069" t="n"/>
      <c r="F254" s="1070" t="n"/>
      <c r="G254" s="85" t="n"/>
    </row>
    <row r="255" ht="15.5" customHeight="1" s="828">
      <c r="A255" s="1068" t="n"/>
      <c r="B255" s="725" t="n"/>
      <c r="C255" s="725" t="n"/>
      <c r="D255" s="1069" t="n"/>
      <c r="F255" s="238" t="n"/>
      <c r="G255" s="85" t="n"/>
    </row>
    <row r="256" ht="15.5" customHeight="1" s="828">
      <c r="A256" s="1068" t="n"/>
      <c r="B256" s="725" t="n"/>
      <c r="C256" s="725" t="n"/>
      <c r="D256" s="1069" t="n"/>
      <c r="F256" s="1070" t="n"/>
      <c r="G256" s="85" t="n"/>
    </row>
    <row r="257" ht="15.5" customHeight="1" s="828">
      <c r="A257" s="1068" t="n"/>
      <c r="B257" s="725" t="n"/>
      <c r="C257" s="725" t="n"/>
      <c r="D257" s="1069" t="n"/>
      <c r="F257" s="1070" t="n"/>
      <c r="G257" s="85" t="n"/>
    </row>
    <row r="258" ht="15.5" customHeight="1" s="828">
      <c r="A258" s="1068" t="n"/>
      <c r="B258" s="725" t="n"/>
      <c r="C258" s="725" t="n"/>
      <c r="D258" s="1069" t="n"/>
      <c r="F258" s="1070" t="n"/>
      <c r="G258" s="85" t="n"/>
    </row>
    <row r="259" ht="15.5" customHeight="1" s="828">
      <c r="A259" s="1068" t="n"/>
      <c r="B259" s="725" t="n"/>
      <c r="C259" s="725" t="n"/>
      <c r="D259" s="1069" t="n"/>
      <c r="F259" s="1070" t="n"/>
      <c r="G259" s="85" t="n"/>
    </row>
    <row r="260" ht="15.5" customHeight="1" s="828">
      <c r="A260" s="1068" t="n"/>
      <c r="B260" s="725" t="n"/>
      <c r="C260" s="725" t="n"/>
      <c r="D260" s="1069" t="n"/>
      <c r="F260" s="1070" t="n"/>
      <c r="G260" s="85" t="n"/>
    </row>
    <row r="261" ht="15.5" customHeight="1" s="828">
      <c r="A261" s="1068" t="n"/>
      <c r="B261" s="725" t="n"/>
      <c r="C261" s="725" t="n"/>
      <c r="D261" s="1069" t="n"/>
      <c r="F261" s="1070" t="n"/>
      <c r="G261" s="85" t="n"/>
    </row>
    <row r="262" ht="15.5" customHeight="1" s="828">
      <c r="A262" s="1068" t="n"/>
      <c r="B262" s="725" t="n"/>
      <c r="C262" s="725" t="n"/>
      <c r="D262" s="1069" t="n"/>
      <c r="F262" s="1070" t="n"/>
      <c r="G262" s="85" t="n"/>
    </row>
    <row r="263" ht="15.5" customHeight="1" s="828">
      <c r="A263" s="1068" t="n"/>
      <c r="B263" s="725" t="n"/>
      <c r="C263" s="725" t="n"/>
      <c r="D263" s="1069" t="n"/>
      <c r="F263" s="1070" t="n"/>
      <c r="G263" s="85" t="n"/>
    </row>
    <row r="264" ht="15.5" customHeight="1" s="828">
      <c r="A264" s="1068" t="n"/>
      <c r="B264" s="725" t="n"/>
      <c r="C264" s="725" t="n"/>
      <c r="D264" s="1069" t="n"/>
      <c r="F264" s="1070" t="n"/>
      <c r="G264" s="85" t="n"/>
    </row>
    <row r="265" ht="15.5" customHeight="1" s="828">
      <c r="A265" s="1068" t="n"/>
      <c r="B265" s="725" t="n"/>
      <c r="C265" s="725" t="n"/>
      <c r="D265" s="1069" t="n"/>
      <c r="F265" s="1070" t="n"/>
      <c r="G265" s="85" t="n"/>
    </row>
    <row r="266" ht="15.5" customHeight="1" s="828">
      <c r="A266" s="1068" t="n"/>
      <c r="B266" s="725" t="n"/>
      <c r="C266" s="725" t="n"/>
      <c r="D266" s="1069" t="n"/>
      <c r="F266" s="1070" t="n"/>
      <c r="G266" s="85" t="n"/>
    </row>
    <row r="267" ht="15.5" customHeight="1" s="828">
      <c r="A267" s="1068" t="n"/>
      <c r="B267" s="725" t="n"/>
      <c r="C267" s="725" t="n"/>
      <c r="D267" s="1069" t="n"/>
      <c r="F267" s="238" t="n"/>
      <c r="G267" s="85" t="n"/>
    </row>
    <row r="268" ht="15.5" customHeight="1" s="828">
      <c r="A268" s="1068" t="n"/>
      <c r="B268" s="725" t="n"/>
      <c r="C268" s="725" t="n"/>
      <c r="D268" s="1069" t="n"/>
      <c r="F268" s="1070" t="n"/>
      <c r="G268" s="85" t="n"/>
    </row>
    <row r="269" ht="15.5" customHeight="1" s="828">
      <c r="A269" s="1068" t="n"/>
      <c r="B269" s="725" t="n"/>
      <c r="C269" s="725" t="n"/>
      <c r="D269" s="1069" t="n"/>
      <c r="F269" s="1070" t="n"/>
      <c r="G269" s="85" t="n"/>
    </row>
    <row r="270" ht="15.5" customHeight="1" s="828">
      <c r="A270" s="1068" t="n"/>
      <c r="B270" s="725" t="n"/>
      <c r="C270" s="725" t="n"/>
      <c r="D270" s="1069" t="n"/>
      <c r="F270" s="1070" t="n"/>
      <c r="G270" s="85" t="n"/>
    </row>
    <row r="271" ht="15.5" customHeight="1" s="828">
      <c r="A271" s="1068" t="n"/>
      <c r="B271" s="725" t="n"/>
      <c r="C271" s="725" t="n"/>
      <c r="D271" s="1069" t="n"/>
      <c r="F271" s="1070" t="n"/>
      <c r="G271" s="85" t="n"/>
    </row>
    <row r="272" ht="15.5" customHeight="1" s="828">
      <c r="A272" s="1068" t="n"/>
      <c r="B272" s="725" t="n"/>
      <c r="C272" s="725" t="n"/>
      <c r="D272" s="1069" t="n"/>
      <c r="F272" s="1070" t="n"/>
      <c r="G272" s="85" t="n"/>
    </row>
    <row r="273" ht="15.5" customHeight="1" s="828">
      <c r="A273" s="1068" t="n"/>
      <c r="B273" s="725" t="n"/>
      <c r="C273" s="725" t="n"/>
      <c r="D273" s="1069" t="n"/>
      <c r="F273" s="1070" t="n"/>
      <c r="G273" s="85" t="n"/>
    </row>
    <row r="274" ht="15.5" customHeight="1" s="828">
      <c r="A274" s="1068" t="n"/>
      <c r="B274" s="725" t="n"/>
      <c r="C274" s="725" t="n"/>
      <c r="D274" s="1069" t="n"/>
      <c r="F274" s="1070" t="n"/>
      <c r="G274" s="85" t="n"/>
    </row>
    <row r="275" ht="15.5" customHeight="1" s="828">
      <c r="A275" s="1068" t="n"/>
      <c r="B275" s="725" t="n"/>
      <c r="C275" s="725" t="n"/>
      <c r="D275" s="1069" t="n"/>
      <c r="F275" s="1070" t="n"/>
      <c r="G275" s="85" t="n"/>
    </row>
    <row r="276" ht="15.5" customHeight="1" s="828">
      <c r="A276" s="1068" t="n"/>
      <c r="B276" s="725" t="n"/>
      <c r="C276" s="725" t="n"/>
      <c r="D276" s="1069" t="n"/>
      <c r="F276" s="1070" t="n"/>
      <c r="G276" s="85" t="n"/>
    </row>
    <row r="277" ht="15.5" customHeight="1" s="828">
      <c r="A277" s="1068" t="n"/>
      <c r="B277" s="725" t="n"/>
      <c r="C277" s="725" t="n"/>
      <c r="D277" s="1069" t="n"/>
      <c r="F277" s="1070" t="n"/>
      <c r="G277" s="85" t="n"/>
    </row>
    <row r="278" ht="15.5" customHeight="1" s="828">
      <c r="A278" s="1068" t="n"/>
      <c r="B278" s="725" t="n"/>
      <c r="C278" s="725" t="n"/>
      <c r="D278" s="1069" t="n"/>
      <c r="F278" s="1070" t="n"/>
      <c r="G278" s="85" t="n"/>
    </row>
    <row r="279" ht="15.5" customHeight="1" s="828">
      <c r="A279" s="1068" t="n"/>
      <c r="B279" s="725" t="n"/>
      <c r="C279" s="725" t="n"/>
      <c r="D279" s="1069" t="n"/>
      <c r="F279" s="238" t="n"/>
      <c r="G279" s="85" t="n"/>
    </row>
    <row r="280" ht="15.5" customHeight="1" s="828">
      <c r="A280" s="1068" t="n"/>
      <c r="B280" s="725" t="n"/>
      <c r="C280" s="725" t="n"/>
      <c r="D280" s="1069" t="n"/>
      <c r="F280" s="1070" t="n"/>
      <c r="G280" s="85" t="n"/>
    </row>
    <row r="281" ht="15.5" customHeight="1" s="828">
      <c r="A281" s="1068" t="n"/>
      <c r="B281" s="725" t="n"/>
      <c r="C281" s="725" t="n"/>
      <c r="D281" s="1069" t="n"/>
      <c r="F281" s="1070" t="n"/>
      <c r="G281" s="85" t="n"/>
    </row>
    <row r="282" ht="15.5" customHeight="1" s="828">
      <c r="A282" s="1068" t="n"/>
      <c r="B282" s="725" t="n"/>
      <c r="C282" s="725" t="n"/>
      <c r="D282" s="1069" t="n"/>
      <c r="F282" s="1070" t="n"/>
      <c r="G282" s="85" t="n"/>
    </row>
    <row r="283" ht="15.5" customHeight="1" s="828">
      <c r="A283" s="1068" t="n"/>
      <c r="B283" s="725" t="n"/>
      <c r="C283" s="725" t="n"/>
      <c r="D283" s="1069" t="n"/>
      <c r="F283" s="1070" t="n"/>
      <c r="G283" s="85" t="n"/>
    </row>
    <row r="284" ht="15.5" customHeight="1" s="828">
      <c r="A284" s="1068" t="n"/>
      <c r="B284" s="725" t="n"/>
      <c r="C284" s="725" t="n"/>
      <c r="D284" s="1069" t="n"/>
      <c r="F284" s="1070" t="n"/>
      <c r="G284" s="85" t="n"/>
    </row>
    <row r="285" ht="15.5" customHeight="1" s="828">
      <c r="A285" s="1068" t="n"/>
      <c r="B285" s="725" t="n"/>
      <c r="C285" s="725" t="n"/>
      <c r="D285" s="1069" t="n"/>
      <c r="F285" s="1070" t="n"/>
      <c r="G285" s="85" t="n"/>
    </row>
    <row r="286" ht="15.5" customHeight="1" s="828">
      <c r="A286" s="1068" t="n"/>
      <c r="B286" s="725" t="n"/>
      <c r="C286" s="725" t="n"/>
      <c r="D286" s="1069" t="n"/>
      <c r="F286" s="1070" t="n"/>
      <c r="G286" s="85" t="n"/>
    </row>
    <row r="287" ht="15.5" customHeight="1" s="828">
      <c r="A287" s="1068" t="n"/>
      <c r="B287" s="725" t="n"/>
      <c r="C287" s="725" t="n"/>
      <c r="D287" s="1069" t="n"/>
      <c r="F287" s="1070" t="n"/>
      <c r="G287" s="85" t="n"/>
    </row>
    <row r="288" ht="15.5" customHeight="1" s="828">
      <c r="A288" s="1068" t="n"/>
      <c r="B288" s="725" t="n"/>
      <c r="C288" s="725" t="n"/>
      <c r="D288" s="1069" t="n"/>
      <c r="F288" s="1070" t="n"/>
      <c r="G288" s="85" t="n"/>
    </row>
    <row r="289" ht="15.5" customHeight="1" s="828">
      <c r="A289" s="1068" t="n"/>
      <c r="B289" s="725" t="n"/>
      <c r="C289" s="725" t="n"/>
      <c r="D289" s="1069" t="n"/>
      <c r="F289" s="1070" t="n"/>
      <c r="G289" s="85" t="n"/>
    </row>
    <row r="290" ht="15.5" customHeight="1" s="828">
      <c r="A290" s="1068" t="n"/>
      <c r="B290" s="725" t="n"/>
      <c r="C290" s="725" t="n"/>
      <c r="D290" s="1069" t="n"/>
      <c r="F290" s="1070" t="n"/>
      <c r="G290" s="85" t="n"/>
    </row>
    <row r="291" ht="15.5" customHeight="1" s="828">
      <c r="A291" s="1068" t="n"/>
      <c r="B291" s="725" t="n"/>
      <c r="C291" s="725" t="n"/>
      <c r="D291" s="1069" t="n"/>
      <c r="F291" s="238" t="n"/>
      <c r="G291" s="85" t="n"/>
    </row>
    <row r="292" ht="15.5" customHeight="1" s="828">
      <c r="A292" s="1068" t="n"/>
      <c r="B292" s="725" t="n"/>
      <c r="C292" s="725" t="n"/>
      <c r="D292" s="1069" t="n"/>
      <c r="F292" s="1070" t="n"/>
      <c r="G292" s="85" t="n"/>
    </row>
    <row r="293" ht="15.5" customHeight="1" s="828">
      <c r="A293" s="1068" t="n"/>
      <c r="B293" s="725" t="n"/>
      <c r="C293" s="725" t="n"/>
      <c r="D293" s="1069" t="n"/>
      <c r="F293" s="1070" t="n"/>
      <c r="G293" s="85" t="n"/>
    </row>
    <row r="294" ht="15.5" customHeight="1" s="828">
      <c r="A294" s="1068" t="n"/>
      <c r="B294" s="725" t="n"/>
      <c r="C294" s="725" t="n"/>
      <c r="D294" s="1069" t="n"/>
      <c r="F294" s="1070" t="n"/>
      <c r="G294" s="85" t="n"/>
    </row>
    <row r="295" ht="15.5" customHeight="1" s="828">
      <c r="A295" s="1068" t="n"/>
      <c r="B295" s="725" t="n"/>
      <c r="C295" s="725" t="n"/>
      <c r="D295" s="1069" t="n"/>
      <c r="F295" s="1070" t="n"/>
      <c r="G295" s="85" t="n"/>
    </row>
    <row r="296" ht="15.5" customHeight="1" s="828">
      <c r="A296" s="1068" t="n"/>
      <c r="B296" s="725" t="n"/>
      <c r="C296" s="725" t="n"/>
      <c r="D296" s="1069" t="n"/>
      <c r="F296" s="1070" t="n"/>
      <c r="G296" s="85" t="n"/>
    </row>
    <row r="297" ht="15.5" customHeight="1" s="828">
      <c r="A297" s="1068" t="n"/>
      <c r="B297" s="725" t="n"/>
      <c r="C297" s="725" t="n"/>
      <c r="D297" s="1069" t="n"/>
      <c r="F297" s="1070" t="n"/>
      <c r="G297" s="85" t="n"/>
    </row>
    <row r="298" ht="15.5" customHeight="1" s="828">
      <c r="A298" s="1068" t="n"/>
      <c r="B298" s="725" t="n"/>
      <c r="C298" s="725" t="n"/>
      <c r="D298" s="1069" t="n"/>
      <c r="F298" s="1070" t="n"/>
      <c r="G298" s="85" t="n"/>
    </row>
    <row r="299" ht="15.5" customHeight="1" s="828">
      <c r="A299" s="1068" t="n"/>
      <c r="B299" s="725" t="n"/>
      <c r="C299" s="725" t="n"/>
      <c r="D299" s="1069" t="n"/>
      <c r="F299" s="1070" t="n"/>
      <c r="G299" s="85" t="n"/>
    </row>
    <row r="300" ht="15.5" customHeight="1" s="828">
      <c r="A300" s="1068" t="n"/>
      <c r="B300" s="725" t="n"/>
      <c r="C300" s="725" t="n"/>
      <c r="D300" s="1069" t="n"/>
      <c r="F300" s="1070" t="n"/>
      <c r="G300" s="85" t="n"/>
    </row>
    <row r="301" ht="15.5" customHeight="1" s="828">
      <c r="A301" s="1068" t="n"/>
      <c r="B301" s="725" t="n"/>
      <c r="C301" s="725" t="n"/>
      <c r="D301" s="1069" t="n"/>
      <c r="F301" s="1070" t="n"/>
      <c r="G301" s="85" t="n"/>
    </row>
    <row r="302" ht="15.5" customHeight="1" s="828">
      <c r="A302" s="1068" t="n"/>
      <c r="B302" s="725" t="n"/>
      <c r="C302" s="725" t="n"/>
      <c r="D302" s="1069" t="n"/>
      <c r="F302" s="1070" t="n"/>
      <c r="G302" s="85" t="n"/>
    </row>
    <row r="303" ht="15.5" customHeight="1" s="828">
      <c r="A303" s="1068" t="n"/>
      <c r="B303" s="725" t="n"/>
      <c r="C303" s="725" t="n"/>
      <c r="D303" s="1069" t="n"/>
      <c r="F303" s="238" t="n"/>
      <c r="G303" s="85" t="n"/>
    </row>
    <row r="304" ht="15.5" customHeight="1" s="828">
      <c r="A304" s="1068" t="n"/>
      <c r="B304" s="725" t="n"/>
      <c r="C304" s="725" t="n"/>
      <c r="D304" s="1069" t="n"/>
      <c r="F304" s="1070" t="n"/>
      <c r="G304" s="85" t="n"/>
    </row>
    <row r="305" ht="15.5" customHeight="1" s="828">
      <c r="A305" s="1068" t="n"/>
      <c r="B305" s="725" t="n"/>
      <c r="C305" s="725" t="n"/>
      <c r="D305" s="1069" t="n"/>
      <c r="F305" s="1070" t="n"/>
      <c r="G305" s="85" t="n"/>
    </row>
    <row r="306" ht="15.5" customHeight="1" s="828">
      <c r="A306" s="1068" t="n"/>
      <c r="B306" s="725" t="n"/>
      <c r="C306" s="725" t="n"/>
      <c r="D306" s="1069" t="n"/>
      <c r="F306" s="1070" t="n"/>
      <c r="G306" s="85" t="n"/>
    </row>
    <row r="307" ht="15.5" customHeight="1" s="828">
      <c r="A307" s="1068" t="n"/>
      <c r="B307" s="725" t="n"/>
      <c r="C307" s="725" t="n"/>
      <c r="D307" s="1069" t="n"/>
      <c r="F307" s="1070" t="n"/>
      <c r="G307" s="85" t="n"/>
    </row>
    <row r="308" ht="15.5" customHeight="1" s="828">
      <c r="A308" s="1068" t="n"/>
      <c r="B308" s="725" t="n"/>
      <c r="C308" s="725" t="n"/>
      <c r="D308" s="1069" t="n"/>
      <c r="F308" s="1070" t="n"/>
      <c r="G308" s="85" t="n"/>
    </row>
    <row r="309" ht="15.5" customHeight="1" s="828">
      <c r="A309" s="1068" t="n"/>
      <c r="B309" s="725" t="n"/>
      <c r="C309" s="725" t="n"/>
      <c r="D309" s="1069" t="n"/>
      <c r="F309" s="1070" t="n"/>
      <c r="G309" s="85" t="n"/>
    </row>
    <row r="310" ht="15.5" customHeight="1" s="828">
      <c r="A310" s="1068" t="n"/>
      <c r="B310" s="725" t="n"/>
      <c r="C310" s="725" t="n"/>
      <c r="D310" s="1069" t="n"/>
      <c r="F310" s="1070" t="n"/>
      <c r="G310" s="85" t="n"/>
    </row>
    <row r="311" ht="15.5" customHeight="1" s="828">
      <c r="A311" s="1068" t="n"/>
      <c r="B311" s="725" t="n"/>
      <c r="C311" s="725" t="n"/>
      <c r="D311" s="1069" t="n"/>
      <c r="F311" s="1070" t="n"/>
      <c r="G311" s="85" t="n"/>
    </row>
    <row r="312" ht="15.5" customHeight="1" s="828">
      <c r="A312" s="1068" t="n"/>
      <c r="B312" s="725" t="n"/>
      <c r="C312" s="725" t="n"/>
      <c r="D312" s="1069" t="n"/>
      <c r="F312" s="1070" t="n"/>
      <c r="G312" s="85" t="n"/>
    </row>
    <row r="313" ht="15.5" customHeight="1" s="828">
      <c r="A313" s="1068" t="n"/>
      <c r="B313" s="725" t="n"/>
      <c r="C313" s="725" t="n"/>
      <c r="D313" s="1069" t="n"/>
      <c r="F313" s="1070" t="n"/>
      <c r="G313" s="85" t="n"/>
    </row>
    <row r="314" ht="15.5" customHeight="1" s="828">
      <c r="A314" s="1068" t="n"/>
      <c r="B314" s="725" t="n"/>
      <c r="C314" s="725" t="n"/>
      <c r="D314" s="1069" t="n"/>
      <c r="F314" s="1070" t="n"/>
      <c r="G314" s="85" t="n"/>
    </row>
    <row r="315" ht="15.5" customHeight="1" s="828">
      <c r="A315" s="1068" t="n"/>
      <c r="B315" s="725" t="n"/>
      <c r="C315" s="725" t="n"/>
      <c r="D315" s="1069" t="n"/>
      <c r="F315" s="238" t="n"/>
      <c r="G315" s="85" t="n"/>
    </row>
    <row r="316" ht="15.5" customHeight="1" s="828">
      <c r="A316" s="1068" t="n"/>
      <c r="B316" s="725" t="n"/>
      <c r="C316" s="725" t="n"/>
      <c r="D316" s="1069" t="n"/>
      <c r="F316" s="1070" t="n"/>
      <c r="G316" s="85" t="n"/>
    </row>
    <row r="317" ht="15.5" customHeight="1" s="828">
      <c r="A317" s="1068" t="n"/>
      <c r="B317" s="725" t="n"/>
      <c r="C317" s="725" t="n"/>
      <c r="D317" s="1069" t="n"/>
      <c r="F317" s="1070" t="n"/>
      <c r="G317" s="85" t="n"/>
    </row>
    <row r="318" ht="15.5" customHeight="1" s="828">
      <c r="A318" s="1068" t="n"/>
      <c r="B318" s="725" t="n"/>
      <c r="C318" s="725" t="n"/>
      <c r="D318" s="1069" t="n"/>
      <c r="F318" s="1070" t="n"/>
      <c r="G318" s="85" t="n"/>
    </row>
    <row r="319" ht="15.5" customHeight="1" s="828">
      <c r="A319" s="1068" t="n"/>
      <c r="B319" s="725" t="n"/>
      <c r="C319" s="725" t="n"/>
      <c r="D319" s="1069" t="n"/>
      <c r="F319" s="1070" t="n"/>
      <c r="G319" s="85" t="n"/>
    </row>
    <row r="320" ht="15.5" customHeight="1" s="828">
      <c r="A320" s="1068" t="n"/>
      <c r="B320" s="725" t="n"/>
      <c r="C320" s="725" t="n"/>
      <c r="D320" s="1069" t="n"/>
      <c r="F320" s="1070" t="n"/>
      <c r="G320" s="85" t="n"/>
    </row>
    <row r="321" ht="15.5" customHeight="1" s="828">
      <c r="A321" s="1068" t="n"/>
      <c r="B321" s="725" t="n"/>
      <c r="C321" s="725" t="n"/>
      <c r="D321" s="1069" t="n"/>
      <c r="F321" s="1070" t="n"/>
      <c r="G321" s="85" t="n"/>
    </row>
    <row r="322" ht="15.5" customHeight="1" s="828">
      <c r="A322" s="1068" t="n"/>
      <c r="B322" s="725" t="n"/>
      <c r="C322" s="725" t="n"/>
      <c r="D322" s="1069" t="n"/>
      <c r="F322" s="1070" t="n"/>
      <c r="G322" s="85" t="n"/>
    </row>
    <row r="323" ht="15.5" customHeight="1" s="828">
      <c r="A323" s="1068" t="n"/>
      <c r="B323" s="725" t="n"/>
      <c r="C323" s="725" t="n"/>
      <c r="D323" s="1069" t="n"/>
      <c r="F323" s="1070" t="n"/>
      <c r="G323" s="85" t="n"/>
    </row>
    <row r="324" ht="15.5" customHeight="1" s="828">
      <c r="A324" s="1068" t="n"/>
      <c r="B324" s="725" t="n"/>
      <c r="C324" s="725" t="n"/>
      <c r="D324" s="1069" t="n"/>
      <c r="F324" s="1070" t="n"/>
      <c r="G324" s="85" t="n"/>
    </row>
    <row r="325" ht="15.5" customHeight="1" s="828">
      <c r="A325" s="1068" t="n"/>
      <c r="B325" s="725" t="n"/>
      <c r="C325" s="725" t="n"/>
      <c r="D325" s="1069" t="n"/>
      <c r="F325" s="1070" t="n"/>
      <c r="G325" s="85" t="n"/>
    </row>
    <row r="326" ht="15.5" customHeight="1" s="828">
      <c r="A326" s="1068" t="n"/>
      <c r="B326" s="725" t="n"/>
      <c r="C326" s="725" t="n"/>
      <c r="D326" s="1069" t="n"/>
      <c r="F326" s="1070" t="n"/>
      <c r="G326" s="85" t="n"/>
    </row>
    <row r="327" ht="15.5" customHeight="1" s="828">
      <c r="A327" s="1068" t="n"/>
      <c r="B327" s="725" t="n"/>
      <c r="C327" s="725" t="n"/>
      <c r="D327" s="1069" t="n"/>
      <c r="F327" s="238" t="n"/>
      <c r="G327" s="85" t="n"/>
    </row>
    <row r="328" ht="15.5" customHeight="1" s="828">
      <c r="A328" s="1068" t="n"/>
      <c r="B328" s="725" t="n"/>
      <c r="C328" s="725" t="n"/>
      <c r="D328" s="1069" t="n"/>
      <c r="F328" s="1070" t="n"/>
      <c r="G328" s="85" t="n"/>
    </row>
    <row r="329" ht="15.5" customHeight="1" s="828">
      <c r="A329" s="1068" t="n"/>
      <c r="B329" s="725" t="n"/>
      <c r="C329" s="725" t="n"/>
      <c r="D329" s="1069" t="n"/>
      <c r="F329" s="1070" t="n"/>
      <c r="G329" s="85" t="n"/>
    </row>
    <row r="330" ht="15.5" customHeight="1" s="828">
      <c r="A330" s="1068" t="n"/>
      <c r="B330" s="725" t="n"/>
      <c r="C330" s="725" t="n"/>
      <c r="D330" s="1069" t="n"/>
      <c r="F330" s="1070" t="n"/>
      <c r="G330" s="85" t="n"/>
    </row>
    <row r="331" ht="15.5" customHeight="1" s="828">
      <c r="A331" s="1068" t="n"/>
      <c r="B331" s="725" t="n"/>
      <c r="C331" s="725" t="n"/>
      <c r="D331" s="1069" t="n"/>
      <c r="F331" s="1070" t="n"/>
      <c r="G331" s="85" t="n"/>
    </row>
    <row r="332" ht="15.5" customHeight="1" s="828">
      <c r="A332" s="1068" t="n"/>
      <c r="B332" s="725" t="n"/>
      <c r="C332" s="725" t="n"/>
      <c r="D332" s="1069" t="n"/>
      <c r="F332" s="1070" t="n"/>
      <c r="G332" s="85" t="n"/>
    </row>
    <row r="333" ht="15.5" customHeight="1" s="828">
      <c r="A333" s="1068" t="n"/>
      <c r="B333" s="725" t="n"/>
      <c r="C333" s="725" t="n"/>
      <c r="D333" s="1069" t="n"/>
      <c r="F333" s="1070" t="n"/>
      <c r="G333" s="85" t="n"/>
    </row>
    <row r="334" ht="15.5" customHeight="1" s="828">
      <c r="A334" s="1068" t="n"/>
      <c r="B334" s="725" t="n"/>
      <c r="C334" s="725" t="n"/>
      <c r="D334" s="1069" t="n"/>
      <c r="F334" s="1070" t="n"/>
      <c r="G334" s="85" t="n"/>
    </row>
    <row r="335" ht="15.5" customHeight="1" s="828">
      <c r="A335" s="1068" t="n"/>
      <c r="B335" s="725" t="n"/>
      <c r="C335" s="725" t="n"/>
      <c r="D335" s="1069" t="n"/>
      <c r="F335" s="1070" t="n"/>
      <c r="G335" s="85" t="n"/>
    </row>
    <row r="336" ht="15.5" customHeight="1" s="828">
      <c r="A336" s="1068" t="n"/>
      <c r="B336" s="725" t="n"/>
      <c r="C336" s="725" t="n"/>
      <c r="D336" s="1069" t="n"/>
      <c r="F336" s="1070" t="n"/>
      <c r="G336" s="85" t="n"/>
    </row>
    <row r="337" ht="15.5" customHeight="1" s="828">
      <c r="A337" s="1068" t="n"/>
      <c r="B337" s="725" t="n"/>
      <c r="C337" s="725" t="n"/>
      <c r="D337" s="1069" t="n"/>
      <c r="F337" s="1070" t="n"/>
      <c r="G337" s="85" t="n"/>
    </row>
    <row r="338" ht="15.5" customHeight="1" s="828">
      <c r="A338" s="1068" t="n"/>
      <c r="B338" s="725" t="n"/>
      <c r="C338" s="725" t="n"/>
      <c r="D338" s="1069" t="n"/>
      <c r="F338" s="1070" t="n"/>
      <c r="G338" s="85" t="n"/>
    </row>
    <row r="339" ht="15.5" customHeight="1" s="828">
      <c r="A339" s="1068" t="n"/>
      <c r="B339" s="725" t="n"/>
      <c r="C339" s="725" t="n"/>
      <c r="D339" s="1069" t="n"/>
      <c r="F339" s="238" t="n"/>
      <c r="G339" s="85" t="n"/>
    </row>
    <row r="340" ht="15.5" customHeight="1" s="828">
      <c r="A340" s="1068" t="n"/>
      <c r="B340" s="725" t="n"/>
      <c r="C340" s="725" t="n"/>
      <c r="D340" s="1069" t="n"/>
      <c r="F340" s="1070" t="n"/>
      <c r="G340" s="85" t="n"/>
    </row>
    <row r="341" ht="15.5" customHeight="1" s="828">
      <c r="A341" s="1068" t="n"/>
      <c r="B341" s="725" t="n"/>
      <c r="C341" s="725" t="n"/>
      <c r="D341" s="1069" t="n"/>
      <c r="F341" s="1070" t="n"/>
      <c r="G341" s="85" t="n"/>
    </row>
    <row r="342" ht="15.5" customHeight="1" s="828">
      <c r="A342" s="1068" t="n"/>
      <c r="B342" s="725" t="n"/>
      <c r="C342" s="725" t="n"/>
      <c r="D342" s="1069" t="n"/>
      <c r="F342" s="1070" t="n"/>
      <c r="G342" s="85" t="n"/>
    </row>
    <row r="343" ht="15.5" customHeight="1" s="828">
      <c r="A343" s="1068" t="n"/>
      <c r="B343" s="725" t="n"/>
      <c r="C343" s="725" t="n"/>
      <c r="D343" s="1069" t="n"/>
      <c r="F343" s="1070" t="n"/>
      <c r="G343" s="85" t="n"/>
    </row>
    <row r="344" ht="15.5" customHeight="1" s="828">
      <c r="A344" s="1068" t="n"/>
      <c r="B344" s="725" t="n"/>
      <c r="C344" s="725" t="n"/>
      <c r="D344" s="1069" t="n"/>
      <c r="F344" s="1070" t="n"/>
      <c r="G344" s="85" t="n"/>
    </row>
    <row r="345" ht="15.5" customHeight="1" s="828">
      <c r="A345" s="1068" t="n"/>
      <c r="B345" s="725" t="n"/>
      <c r="C345" s="725" t="n"/>
      <c r="D345" s="1069" t="n"/>
      <c r="F345" s="1070" t="n"/>
      <c r="G345" s="85" t="n"/>
    </row>
    <row r="346" ht="15.5" customHeight="1" s="828">
      <c r="A346" s="1068" t="n"/>
      <c r="B346" s="725" t="n"/>
      <c r="C346" s="725" t="n"/>
      <c r="D346" s="1069" t="n"/>
      <c r="F346" s="1070" t="n"/>
      <c r="G346" s="85" t="n"/>
    </row>
    <row r="347" ht="15.5" customHeight="1" s="828">
      <c r="A347" s="1068" t="n"/>
      <c r="B347" s="725" t="n"/>
      <c r="C347" s="725" t="n"/>
      <c r="D347" s="1069" t="n"/>
      <c r="F347" s="1070" t="n"/>
      <c r="G347" s="85" t="n"/>
    </row>
    <row r="348" ht="15.5" customHeight="1" s="828">
      <c r="A348" s="1068" t="n"/>
      <c r="B348" s="725" t="n"/>
      <c r="C348" s="725" t="n"/>
      <c r="D348" s="1069" t="n"/>
      <c r="F348" s="1070" t="n"/>
      <c r="G348" s="85" t="n"/>
    </row>
    <row r="349" ht="15.5" customHeight="1" s="828">
      <c r="A349" s="1068" t="n"/>
      <c r="B349" s="725" t="n"/>
      <c r="C349" s="725" t="n"/>
      <c r="D349" s="1069" t="n"/>
      <c r="F349" s="1070" t="n"/>
      <c r="G349" s="85" t="n"/>
    </row>
    <row r="350" ht="15.5" customHeight="1" s="828">
      <c r="A350" s="1068" t="n"/>
      <c r="B350" s="725" t="n"/>
      <c r="C350" s="725" t="n"/>
      <c r="D350" s="1069" t="n"/>
      <c r="F350" s="1070" t="n"/>
      <c r="G350" s="85" t="n"/>
    </row>
    <row r="351" ht="15.5" customHeight="1" s="828">
      <c r="A351" s="1068" t="n"/>
      <c r="B351" s="725" t="n"/>
      <c r="C351" s="725" t="n"/>
      <c r="D351" s="1069" t="n"/>
      <c r="F351" s="238" t="n"/>
      <c r="G351" s="85" t="n"/>
    </row>
    <row r="352" ht="15.5" customHeight="1" s="828">
      <c r="A352" s="1068" t="n"/>
      <c r="B352" s="725" t="n"/>
      <c r="C352" s="725" t="n"/>
      <c r="D352" s="1069" t="n"/>
      <c r="F352" s="1070" t="n"/>
      <c r="G352" s="85" t="n"/>
    </row>
    <row r="353" ht="15.5" customHeight="1" s="828">
      <c r="A353" s="1068" t="n"/>
      <c r="B353" s="725" t="n"/>
      <c r="C353" s="725" t="n"/>
      <c r="D353" s="1069" t="n"/>
      <c r="F353" s="1070" t="n"/>
      <c r="G353" s="85" t="n"/>
    </row>
    <row r="354" ht="15.5" customHeight="1" s="828">
      <c r="A354" s="1068" t="n"/>
      <c r="B354" s="725" t="n"/>
      <c r="C354" s="725" t="n"/>
      <c r="D354" s="1069" t="n"/>
      <c r="F354" s="1070" t="n"/>
      <c r="G354" s="85" t="n"/>
    </row>
    <row r="355" ht="15.5" customHeight="1" s="828">
      <c r="A355" s="1068" t="n"/>
      <c r="B355" s="725" t="n"/>
      <c r="C355" s="725" t="n"/>
      <c r="D355" s="1069" t="n"/>
      <c r="F355" s="1070" t="n"/>
      <c r="G355" s="85" t="n"/>
    </row>
    <row r="356" ht="15.5" customHeight="1" s="828">
      <c r="A356" s="1068" t="n"/>
      <c r="B356" s="725" t="n"/>
      <c r="C356" s="725" t="n"/>
      <c r="D356" s="1069" t="n"/>
      <c r="F356" s="1070" t="n"/>
      <c r="G356" s="85" t="n"/>
    </row>
    <row r="357" ht="15.5" customHeight="1" s="828">
      <c r="A357" s="1068" t="n"/>
      <c r="B357" s="725" t="n"/>
      <c r="C357" s="725" t="n"/>
      <c r="D357" s="1069" t="n"/>
      <c r="F357" s="1070" t="n"/>
      <c r="G357" s="85" t="n"/>
    </row>
    <row r="358" ht="15.5" customHeight="1" s="828">
      <c r="A358" s="1068" t="n"/>
      <c r="B358" s="725" t="n"/>
      <c r="C358" s="725" t="n"/>
      <c r="D358" s="1069" t="n"/>
      <c r="F358" s="1070" t="n"/>
      <c r="G358" s="85" t="n"/>
    </row>
    <row r="359" ht="15.5" customHeight="1" s="828">
      <c r="A359" s="1068" t="n"/>
      <c r="B359" s="725" t="n"/>
      <c r="C359" s="725" t="n"/>
      <c r="D359" s="1069" t="n"/>
      <c r="F359" s="1070" t="n"/>
      <c r="G359" s="85" t="n"/>
    </row>
    <row r="360" ht="15.5" customHeight="1" s="828">
      <c r="A360" s="1068" t="n"/>
      <c r="B360" s="725" t="n"/>
      <c r="C360" s="725" t="n"/>
      <c r="D360" s="1069" t="n"/>
      <c r="F360" s="1070" t="n"/>
      <c r="G360" s="85" t="n"/>
    </row>
    <row r="361" ht="15.5" customHeight="1" s="828">
      <c r="A361" s="1068" t="n"/>
      <c r="B361" s="725" t="n"/>
      <c r="C361" s="725" t="n"/>
      <c r="D361" s="1069" t="n"/>
      <c r="F361" s="1070" t="n"/>
      <c r="G361" s="85" t="n"/>
    </row>
    <row r="362" ht="15.5" customHeight="1" s="828">
      <c r="A362" s="1068" t="n"/>
      <c r="B362" s="725" t="n"/>
      <c r="C362" s="725" t="n"/>
      <c r="D362" s="1069" t="n"/>
      <c r="F362" s="1070" t="n"/>
      <c r="G362" s="85" t="n"/>
    </row>
    <row r="363" ht="15.5" customHeight="1" s="828">
      <c r="A363" s="1068" t="n"/>
      <c r="B363" s="725" t="n"/>
      <c r="C363" s="725" t="n"/>
      <c r="D363" s="1069" t="n"/>
      <c r="F363" s="238" t="n"/>
      <c r="G363" s="85" t="n"/>
    </row>
    <row r="364" ht="15.5" customHeight="1" s="828">
      <c r="A364" s="1068" t="n"/>
      <c r="B364" s="725" t="n"/>
      <c r="C364" s="725" t="n"/>
      <c r="D364" s="1069" t="n"/>
      <c r="F364" s="1070" t="n"/>
      <c r="G364" s="85" t="n"/>
    </row>
    <row r="365" ht="15.5" customHeight="1" s="828">
      <c r="A365" s="1068" t="n"/>
      <c r="B365" s="725" t="n"/>
      <c r="C365" s="725" t="n"/>
      <c r="D365" s="1069" t="n"/>
      <c r="F365" s="1070" t="n"/>
      <c r="G365" s="85" t="n"/>
    </row>
    <row r="366" ht="15.5" customHeight="1" s="828">
      <c r="A366" s="1068" t="n"/>
      <c r="B366" s="725" t="n"/>
      <c r="C366" s="725" t="n"/>
      <c r="D366" s="1069" t="n"/>
      <c r="F366" s="1070" t="n"/>
      <c r="G366" s="85" t="n"/>
    </row>
    <row r="367" ht="15.5" customHeight="1" s="828">
      <c r="A367" s="1068" t="n"/>
      <c r="B367" s="725" t="n"/>
      <c r="C367" s="725" t="n"/>
      <c r="D367" s="1069" t="n"/>
      <c r="F367" s="1070" t="n"/>
      <c r="G367" s="85" t="n"/>
    </row>
    <row r="368" ht="15.5" customHeight="1" s="828">
      <c r="A368" s="1068" t="n"/>
      <c r="B368" s="725" t="n"/>
      <c r="C368" s="725" t="n"/>
      <c r="D368" s="1069" t="n"/>
      <c r="F368" s="1070" t="n"/>
      <c r="G368" s="85" t="n"/>
    </row>
    <row r="369" ht="15.5" customHeight="1" s="828">
      <c r="A369" s="1068" t="n"/>
      <c r="B369" s="725" t="n"/>
      <c r="C369" s="725" t="n"/>
      <c r="D369" s="1069" t="n"/>
      <c r="F369" s="1070" t="n"/>
      <c r="G369" s="85" t="n"/>
    </row>
    <row r="370" ht="15.5" customHeight="1" s="828">
      <c r="A370" s="1068" t="n"/>
      <c r="B370" s="725" t="n"/>
      <c r="C370" s="725" t="n"/>
      <c r="D370" s="1069" t="n"/>
      <c r="F370" s="1070" t="n"/>
      <c r="G370" s="85" t="n"/>
    </row>
    <row r="371" ht="15.5" customHeight="1" s="828">
      <c r="A371" s="1068" t="n"/>
      <c r="B371" s="725" t="n"/>
      <c r="C371" s="725" t="n"/>
      <c r="D371" s="1069" t="n"/>
      <c r="F371" s="1070" t="n"/>
      <c r="G371" s="85" t="n"/>
    </row>
    <row r="372" ht="15.5" customHeight="1" s="828">
      <c r="A372" s="1068" t="n"/>
      <c r="B372" s="725" t="n"/>
      <c r="C372" s="725" t="n"/>
      <c r="D372" s="1069" t="n"/>
      <c r="F372" s="1070" t="n"/>
      <c r="G372" s="85" t="n"/>
    </row>
    <row r="373" ht="15.5" customHeight="1" s="828">
      <c r="A373" s="1068" t="n"/>
      <c r="B373" s="725" t="n"/>
      <c r="C373" s="725" t="n"/>
      <c r="D373" s="1069" t="n"/>
      <c r="F373" s="1070" t="n"/>
      <c r="G373" s="85" t="n"/>
    </row>
    <row r="374" ht="15.5" customHeight="1" s="828">
      <c r="A374" s="1068" t="n"/>
      <c r="B374" s="725" t="n"/>
      <c r="C374" s="725" t="n"/>
      <c r="D374" s="1069" t="n"/>
      <c r="F374" s="1070" t="n"/>
      <c r="G374" s="85" t="n"/>
    </row>
    <row r="375" ht="15.5" customHeight="1" s="828">
      <c r="A375" s="1068" t="n"/>
      <c r="B375" s="725" t="n"/>
      <c r="C375" s="725" t="n"/>
      <c r="D375" s="1069" t="n"/>
      <c r="F375" s="238" t="n"/>
      <c r="G375" s="85" t="n"/>
    </row>
    <row r="376" ht="15.5" customHeight="1" s="828">
      <c r="A376" s="1068" t="n"/>
      <c r="B376" s="725" t="n"/>
      <c r="C376" s="725" t="n"/>
      <c r="D376" s="1069" t="n"/>
      <c r="F376" s="1070" t="n"/>
      <c r="G376" s="85" t="n"/>
    </row>
    <row r="377" ht="15.5" customHeight="1" s="828">
      <c r="A377" s="1068" t="n"/>
      <c r="B377" s="725" t="n"/>
      <c r="C377" s="725" t="n"/>
      <c r="D377" s="1069" t="n"/>
      <c r="F377" s="1070" t="n"/>
      <c r="G377" s="85" t="n"/>
    </row>
    <row r="378" ht="15.5" customHeight="1" s="828">
      <c r="A378" s="1068" t="n"/>
      <c r="B378" s="725" t="n"/>
      <c r="C378" s="725" t="n"/>
      <c r="D378" s="1069" t="n"/>
      <c r="F378" s="1070" t="n"/>
      <c r="G378" s="85" t="n"/>
    </row>
    <row r="379" ht="15.5" customHeight="1" s="828">
      <c r="A379" s="1068" t="n"/>
      <c r="B379" s="725" t="n"/>
      <c r="C379" s="725" t="n"/>
      <c r="D379" s="1069" t="n"/>
      <c r="F379" s="1070" t="n"/>
      <c r="G379" s="85" t="n"/>
    </row>
    <row r="380" ht="15.5" customHeight="1" s="828">
      <c r="A380" s="1068" t="n"/>
      <c r="B380" s="725" t="n"/>
      <c r="C380" s="725" t="n"/>
      <c r="D380" s="1069" t="n"/>
      <c r="F380" s="1070" t="n"/>
      <c r="G380" s="85" t="n"/>
    </row>
    <row r="381" ht="15.5" customHeight="1" s="828">
      <c r="A381" s="1068" t="n"/>
      <c r="B381" s="725" t="n"/>
      <c r="C381" s="725" t="n"/>
      <c r="D381" s="1069" t="n"/>
      <c r="F381" s="1070" t="n"/>
      <c r="G381" s="85" t="n"/>
    </row>
    <row r="382" ht="15.5" customHeight="1" s="828">
      <c r="A382" s="1068" t="n"/>
      <c r="B382" s="725" t="n"/>
      <c r="C382" s="725" t="n"/>
      <c r="D382" s="1069" t="n"/>
      <c r="F382" s="1070" t="n"/>
      <c r="G382" s="85" t="n"/>
    </row>
    <row r="383" ht="15.5" customHeight="1" s="828">
      <c r="A383" s="1068" t="n"/>
      <c r="B383" s="725" t="n"/>
      <c r="C383" s="725" t="n"/>
      <c r="D383" s="1069" t="n"/>
      <c r="F383" s="1070" t="n"/>
      <c r="G383" s="85" t="n"/>
    </row>
    <row r="384" ht="15.5" customHeight="1" s="828">
      <c r="A384" s="1068" t="n"/>
      <c r="B384" s="725" t="n"/>
      <c r="C384" s="725" t="n"/>
      <c r="D384" s="1069" t="n"/>
      <c r="F384" s="1070" t="n"/>
      <c r="G384" s="85" t="n"/>
    </row>
    <row r="385" ht="15.5" customHeight="1" s="828">
      <c r="A385" s="1068" t="n"/>
      <c r="B385" s="725" t="n"/>
      <c r="C385" s="725" t="n"/>
      <c r="D385" s="1069" t="n"/>
      <c r="F385" s="1070" t="n"/>
      <c r="G385" s="85" t="n"/>
    </row>
    <row r="386" ht="15.5" customHeight="1" s="828">
      <c r="A386" s="1068" t="n"/>
      <c r="B386" s="725" t="n"/>
      <c r="C386" s="725" t="n"/>
      <c r="D386" s="1069" t="n"/>
      <c r="F386" s="1070" t="n"/>
      <c r="G386" s="85" t="n"/>
    </row>
    <row r="387" ht="15.5" customHeight="1" s="828">
      <c r="A387" s="1068" t="n"/>
      <c r="B387" s="725" t="n"/>
      <c r="C387" s="725" t="n"/>
      <c r="D387" s="1069" t="n"/>
      <c r="F387" s="238" t="n"/>
      <c r="G387" s="85" t="n"/>
    </row>
    <row r="388" ht="15.5" customHeight="1" s="828">
      <c r="A388" s="1068" t="n"/>
      <c r="B388" s="725" t="n"/>
      <c r="C388" s="725" t="n"/>
      <c r="D388" s="1069" t="n"/>
      <c r="F388" s="1070" t="n"/>
      <c r="G388" s="85" t="n"/>
    </row>
    <row r="389" ht="15.5" customHeight="1" s="828">
      <c r="A389" s="1068" t="n"/>
      <c r="B389" s="725" t="n"/>
      <c r="C389" s="725" t="n"/>
      <c r="D389" s="1069" t="n"/>
      <c r="F389" s="1070" t="n"/>
      <c r="G389" s="85" t="n"/>
    </row>
    <row r="390" ht="15.5" customHeight="1" s="828">
      <c r="A390" s="1068" t="n"/>
      <c r="B390" s="725" t="n"/>
      <c r="C390" s="725" t="n"/>
      <c r="D390" s="1069" t="n"/>
      <c r="F390" s="1070" t="n"/>
      <c r="G390" s="85" t="n"/>
    </row>
    <row r="391" ht="15.5" customHeight="1" s="828">
      <c r="A391" s="1068" t="n"/>
      <c r="B391" s="725" t="n"/>
      <c r="C391" s="725" t="n"/>
      <c r="D391" s="1069" t="n"/>
      <c r="F391" s="1070" t="n"/>
      <c r="G391" s="85" t="n"/>
    </row>
    <row r="392" ht="15.5" customHeight="1" s="828">
      <c r="A392" s="1068" t="n"/>
      <c r="B392" s="725" t="n"/>
      <c r="C392" s="725" t="n"/>
      <c r="D392" s="1069" t="n"/>
      <c r="F392" s="1070" t="n"/>
      <c r="G392" s="85" t="n"/>
    </row>
    <row r="393" ht="15.5" customHeight="1" s="828">
      <c r="A393" s="1068" t="n"/>
      <c r="B393" s="725" t="n"/>
      <c r="C393" s="725" t="n"/>
      <c r="D393" s="1069" t="n"/>
      <c r="F393" s="1070" t="n"/>
      <c r="G393" s="85" t="n"/>
    </row>
    <row r="394" ht="15.5" customHeight="1" s="828">
      <c r="A394" s="1068" t="n"/>
      <c r="B394" s="725" t="n"/>
      <c r="C394" s="725" t="n"/>
      <c r="D394" s="1069" t="n"/>
      <c r="F394" s="1070" t="n"/>
      <c r="G394" s="85" t="n"/>
    </row>
    <row r="395" ht="15.5" customHeight="1" s="828">
      <c r="A395" s="1068" t="n"/>
      <c r="B395" s="725" t="n"/>
      <c r="C395" s="725" t="n"/>
      <c r="D395" s="1069" t="n"/>
      <c r="F395" s="1070" t="n"/>
      <c r="G395" s="85" t="n"/>
    </row>
    <row r="396" ht="15.5" customHeight="1" s="828">
      <c r="A396" s="1068" t="n"/>
      <c r="B396" s="725" t="n"/>
      <c r="C396" s="725" t="n"/>
      <c r="D396" s="1069" t="n"/>
      <c r="F396" s="1070" t="n"/>
      <c r="G396" s="85" t="n"/>
    </row>
    <row r="397" ht="15.5" customHeight="1" s="828">
      <c r="A397" s="1068" t="n"/>
      <c r="B397" s="725" t="n"/>
      <c r="C397" s="725" t="n"/>
      <c r="D397" s="1069" t="n"/>
      <c r="F397" s="1070" t="n"/>
      <c r="G397" s="85" t="n"/>
    </row>
    <row r="398" ht="15.5" customHeight="1" s="828">
      <c r="A398" s="1068" t="n"/>
      <c r="B398" s="725" t="n"/>
      <c r="C398" s="725" t="n"/>
      <c r="D398" s="1069" t="n"/>
      <c r="F398" s="1070" t="n"/>
      <c r="G398" s="85" t="n"/>
    </row>
    <row r="399" ht="15.5" customHeight="1" s="828">
      <c r="A399" s="1068" t="n"/>
      <c r="B399" s="725" t="n"/>
      <c r="C399" s="725" t="n"/>
      <c r="D399" s="1069" t="n"/>
      <c r="F399" s="238" t="n"/>
      <c r="G399" s="85" t="n"/>
    </row>
    <row r="400" ht="15.5" customHeight="1" s="828">
      <c r="A400" s="1068" t="n"/>
      <c r="B400" s="725" t="n"/>
      <c r="C400" s="725" t="n"/>
      <c r="D400" s="1069" t="n"/>
      <c r="F400" s="1070" t="n"/>
      <c r="G400" s="85" t="n"/>
    </row>
    <row r="401" ht="15.5" customHeight="1" s="828">
      <c r="A401" s="1068" t="n"/>
      <c r="B401" s="725" t="n"/>
      <c r="C401" s="725" t="n"/>
      <c r="D401" s="1069" t="n"/>
      <c r="F401" s="1070" t="n"/>
      <c r="G401" s="85" t="n"/>
    </row>
    <row r="402" ht="15.5" customHeight="1" s="828">
      <c r="A402" s="1068" t="n"/>
      <c r="B402" s="725" t="n"/>
      <c r="C402" s="725" t="n"/>
      <c r="D402" s="1069" t="n"/>
      <c r="F402" s="1070" t="n"/>
      <c r="G402" s="85" t="n"/>
    </row>
    <row r="403" ht="15.5" customHeight="1" s="828">
      <c r="A403" s="1068" t="n"/>
      <c r="B403" s="725" t="n"/>
      <c r="C403" s="725" t="n"/>
      <c r="D403" s="1069" t="n"/>
      <c r="F403" s="1070" t="n"/>
      <c r="G403" s="85" t="n"/>
    </row>
    <row r="404" ht="15.5" customHeight="1" s="828">
      <c r="A404" s="1068" t="n"/>
      <c r="B404" s="725" t="n"/>
      <c r="C404" s="725" t="n"/>
      <c r="D404" s="1069" t="n"/>
      <c r="F404" s="1070" t="n"/>
      <c r="G404" s="85" t="n"/>
    </row>
    <row r="405" ht="15.5" customHeight="1" s="828">
      <c r="A405" s="1068" t="n"/>
      <c r="B405" s="725" t="n"/>
      <c r="C405" s="725" t="n"/>
      <c r="D405" s="1069" t="n"/>
      <c r="F405" s="1070" t="n"/>
      <c r="G405" s="85" t="n"/>
    </row>
    <row r="406" ht="15.5" customHeight="1" s="828">
      <c r="A406" s="1068" t="n"/>
      <c r="B406" s="725" t="n"/>
      <c r="C406" s="725" t="n"/>
      <c r="D406" s="1069" t="n"/>
      <c r="F406" s="1070" t="n"/>
      <c r="G406" s="85" t="n"/>
    </row>
    <row r="407" ht="15.5" customHeight="1" s="828">
      <c r="A407" s="1068" t="n"/>
      <c r="B407" s="725" t="n"/>
      <c r="C407" s="725" t="n"/>
      <c r="D407" s="1069" t="n"/>
      <c r="F407" s="1070" t="n"/>
      <c r="G407" s="85" t="n"/>
    </row>
    <row r="408" ht="15.5" customHeight="1" s="828">
      <c r="A408" s="1068" t="n"/>
      <c r="B408" s="725" t="n"/>
      <c r="C408" s="725" t="n"/>
      <c r="D408" s="1069" t="n"/>
      <c r="F408" s="1070" t="n"/>
      <c r="G408" s="85" t="n"/>
    </row>
    <row r="409" ht="15.5" customHeight="1" s="828">
      <c r="A409" s="1068" t="n"/>
      <c r="B409" s="725" t="n"/>
      <c r="C409" s="725" t="n"/>
      <c r="D409" s="1069" t="n"/>
      <c r="F409" s="1070" t="n"/>
      <c r="G409" s="85" t="n"/>
    </row>
    <row r="410" ht="15.5" customHeight="1" s="828">
      <c r="A410" s="1068" t="n"/>
      <c r="B410" s="725" t="n"/>
      <c r="C410" s="725" t="n"/>
      <c r="D410" s="1069" t="n"/>
      <c r="F410" s="1070" t="n"/>
      <c r="G410" s="85" t="n"/>
    </row>
    <row r="411" ht="15.5" customHeight="1" s="828">
      <c r="A411" s="1068" t="n"/>
      <c r="B411" s="725" t="n"/>
      <c r="C411" s="725" t="n"/>
      <c r="D411" s="1069" t="n"/>
      <c r="F411" s="238" t="n"/>
      <c r="G411" s="85" t="n"/>
    </row>
    <row r="412" ht="15.5" customHeight="1" s="828">
      <c r="A412" s="1068" t="n"/>
      <c r="B412" s="725" t="n"/>
      <c r="C412" s="725" t="n"/>
      <c r="D412" s="1069" t="n"/>
      <c r="F412" s="1070" t="n"/>
      <c r="G412" s="85" t="n"/>
    </row>
    <row r="413" ht="15.5" customHeight="1" s="828">
      <c r="A413" s="1068" t="n"/>
      <c r="B413" s="725" t="n"/>
      <c r="C413" s="725" t="n"/>
      <c r="D413" s="1069" t="n"/>
      <c r="F413" s="1070" t="n"/>
      <c r="G413" s="85" t="n"/>
    </row>
    <row r="414" ht="15.5" customHeight="1" s="828">
      <c r="A414" s="1068" t="n"/>
      <c r="B414" s="725" t="n"/>
      <c r="C414" s="725" t="n"/>
      <c r="D414" s="1069" t="n"/>
      <c r="F414" s="1070" t="n"/>
      <c r="G414" s="85" t="n"/>
    </row>
    <row r="415" ht="15.5" customHeight="1" s="828">
      <c r="A415" s="1068" t="n"/>
      <c r="B415" s="725" t="n"/>
      <c r="C415" s="725" t="n"/>
      <c r="D415" s="1069" t="n"/>
      <c r="F415" s="1070" t="n"/>
      <c r="G415" s="85" t="n"/>
    </row>
    <row r="416" ht="15.5" customHeight="1" s="828">
      <c r="A416" s="1068" t="n"/>
      <c r="B416" s="725" t="n"/>
      <c r="C416" s="725" t="n"/>
      <c r="D416" s="1069" t="n"/>
      <c r="F416" s="1070" t="n"/>
      <c r="G416" s="85" t="n"/>
    </row>
    <row r="417" ht="15.5" customHeight="1" s="828">
      <c r="A417" s="1068" t="n"/>
      <c r="B417" s="725" t="n"/>
      <c r="C417" s="725" t="n"/>
      <c r="D417" s="1069" t="n"/>
      <c r="F417" s="1070" t="n"/>
      <c r="G417" s="85" t="n"/>
    </row>
    <row r="418" ht="15.5" customHeight="1" s="828">
      <c r="A418" s="1068" t="n"/>
      <c r="B418" s="725" t="n"/>
      <c r="C418" s="725" t="n"/>
      <c r="D418" s="1069" t="n"/>
      <c r="F418" s="1070" t="n"/>
      <c r="G418" s="85" t="n"/>
    </row>
    <row r="419" ht="15.5" customHeight="1" s="828">
      <c r="A419" s="1068" t="n"/>
      <c r="B419" s="725" t="n"/>
      <c r="C419" s="725" t="n"/>
      <c r="D419" s="1069" t="n"/>
      <c r="F419" s="1070" t="n"/>
      <c r="G419" s="85" t="n"/>
    </row>
    <row r="420" ht="15.5" customHeight="1" s="828">
      <c r="A420" s="1068" t="n"/>
      <c r="B420" s="725" t="n"/>
      <c r="C420" s="725" t="n"/>
      <c r="D420" s="1069" t="n"/>
      <c r="F420" s="1070" t="n"/>
      <c r="G420" s="85" t="n"/>
    </row>
    <row r="421" ht="15.5" customHeight="1" s="828">
      <c r="A421" s="1068" t="n"/>
      <c r="B421" s="725" t="n"/>
      <c r="C421" s="725" t="n"/>
      <c r="D421" s="1069" t="n"/>
      <c r="F421" s="1070" t="n"/>
      <c r="G421" s="85" t="n"/>
    </row>
    <row r="422" ht="15.5" customHeight="1" s="828">
      <c r="A422" s="1068" t="n"/>
      <c r="B422" s="725" t="n"/>
      <c r="C422" s="725" t="n"/>
      <c r="D422" s="1069" t="n"/>
      <c r="F422" s="1070" t="n"/>
      <c r="G422" s="85" t="n"/>
    </row>
    <row r="423" ht="15.5" customHeight="1" s="828">
      <c r="A423" s="1068" t="n"/>
      <c r="B423" s="725" t="n"/>
      <c r="C423" s="725" t="n"/>
      <c r="D423" s="1069" t="n"/>
      <c r="F423" s="238" t="n"/>
      <c r="G423" s="85" t="n"/>
    </row>
    <row r="424" ht="15.5" customHeight="1" s="828">
      <c r="A424" s="1068" t="n"/>
      <c r="B424" s="725" t="n"/>
      <c r="C424" s="725" t="n"/>
      <c r="D424" s="1069" t="n"/>
      <c r="F424" s="1070" t="n"/>
      <c r="G424" s="85" t="n"/>
    </row>
    <row r="425" ht="15.5" customHeight="1" s="828">
      <c r="A425" s="1068" t="n"/>
      <c r="B425" s="725" t="n"/>
      <c r="C425" s="725" t="n"/>
      <c r="D425" s="1069" t="n"/>
      <c r="F425" s="1070" t="n"/>
      <c r="G425" s="85" t="n"/>
    </row>
    <row r="426" ht="15.5" customHeight="1" s="828">
      <c r="A426" s="1068" t="n"/>
      <c r="B426" s="725" t="n"/>
      <c r="C426" s="725" t="n"/>
      <c r="D426" s="1069" t="n"/>
      <c r="F426" s="1070" t="n"/>
      <c r="G426" s="85" t="n"/>
    </row>
    <row r="427" ht="15.5" customHeight="1" s="828">
      <c r="A427" s="1068" t="n"/>
      <c r="B427" s="725" t="n"/>
      <c r="C427" s="725" t="n"/>
      <c r="D427" s="1069" t="n"/>
      <c r="F427" s="1070" t="n"/>
      <c r="G427" s="85" t="n"/>
    </row>
    <row r="428" ht="15.5" customHeight="1" s="828">
      <c r="A428" s="1068" t="n"/>
      <c r="B428" s="725" t="n"/>
      <c r="C428" s="725" t="n"/>
      <c r="D428" s="1069" t="n"/>
      <c r="F428" s="1070" t="n"/>
      <c r="G428" s="85" t="n"/>
    </row>
    <row r="429" ht="15.5" customHeight="1" s="828">
      <c r="A429" s="1068" t="n"/>
      <c r="B429" s="725" t="n"/>
      <c r="C429" s="725" t="n"/>
      <c r="D429" s="1069" t="n"/>
      <c r="F429" s="1070" t="n"/>
      <c r="G429" s="85" t="n"/>
    </row>
    <row r="430" ht="15.5" customHeight="1" s="828">
      <c r="A430" s="1068" t="n"/>
      <c r="B430" s="725" t="n"/>
      <c r="C430" s="725" t="n"/>
      <c r="D430" s="1069" t="n"/>
      <c r="F430" s="1070" t="n"/>
      <c r="G430" s="85" t="n"/>
    </row>
    <row r="431" ht="15.5" customHeight="1" s="828">
      <c r="A431" s="1068" t="n"/>
      <c r="B431" s="725" t="n"/>
      <c r="C431" s="725" t="n"/>
      <c r="D431" s="1069" t="n"/>
      <c r="F431" s="1070" t="n"/>
      <c r="G431" s="85" t="n"/>
    </row>
    <row r="432" ht="15.5" customHeight="1" s="828">
      <c r="A432" s="1068" t="n"/>
      <c r="B432" s="725" t="n"/>
      <c r="C432" s="725" t="n"/>
      <c r="D432" s="1069" t="n"/>
      <c r="F432" s="1070" t="n"/>
      <c r="G432" s="85" t="n"/>
    </row>
    <row r="433" ht="15.5" customHeight="1" s="828">
      <c r="A433" s="1068" t="n"/>
      <c r="B433" s="725" t="n"/>
      <c r="C433" s="725" t="n"/>
      <c r="D433" s="1069" t="n"/>
      <c r="F433" s="1070" t="n"/>
      <c r="G433" s="85" t="n"/>
    </row>
    <row r="434" ht="15.5" customHeight="1" s="828">
      <c r="A434" s="1068" t="n"/>
      <c r="B434" s="725" t="n"/>
      <c r="C434" s="725" t="n"/>
      <c r="D434" s="1069" t="n"/>
      <c r="F434" s="1070" t="n"/>
      <c r="G434" s="85" t="n"/>
    </row>
    <row r="435" ht="15.5" customHeight="1" s="828">
      <c r="A435" s="1068" t="n"/>
      <c r="B435" s="725" t="n"/>
      <c r="C435" s="725" t="n"/>
      <c r="D435" s="1069" t="n"/>
      <c r="F435" s="238" t="n"/>
      <c r="G435" s="85" t="n"/>
    </row>
    <row r="436" ht="15.5" customHeight="1" s="828">
      <c r="A436" s="1068" t="n"/>
      <c r="B436" s="725" t="n"/>
      <c r="C436" s="725" t="n"/>
      <c r="D436" s="1069" t="n"/>
      <c r="F436" s="1070" t="n"/>
      <c r="G436" s="85" t="n"/>
    </row>
    <row r="437" ht="15.5" customHeight="1" s="828">
      <c r="A437" s="1068" t="n"/>
      <c r="B437" s="725" t="n"/>
      <c r="C437" s="725" t="n"/>
      <c r="D437" s="1069" t="n"/>
      <c r="F437" s="1070" t="n"/>
      <c r="G437" s="85" t="n"/>
    </row>
    <row r="438" ht="15.5" customHeight="1" s="828">
      <c r="A438" s="1068" t="n"/>
      <c r="B438" s="725" t="n"/>
      <c r="C438" s="725" t="n"/>
      <c r="D438" s="1069" t="n"/>
      <c r="F438" s="1070" t="n"/>
      <c r="G438" s="85" t="n"/>
    </row>
    <row r="439" ht="15.5" customHeight="1" s="828">
      <c r="A439" s="1068" t="n"/>
      <c r="B439" s="725" t="n"/>
      <c r="C439" s="725" t="n"/>
      <c r="D439" s="1069" t="n"/>
      <c r="F439" s="1070" t="n"/>
      <c r="G439" s="85" t="n"/>
    </row>
    <row r="440" ht="15.5" customHeight="1" s="828">
      <c r="A440" s="1068" t="n"/>
      <c r="B440" s="725" t="n"/>
      <c r="C440" s="725" t="n"/>
      <c r="D440" s="1069" t="n"/>
      <c r="F440" s="1070" t="n"/>
      <c r="G440" s="85" t="n"/>
    </row>
    <row r="441" ht="15.5" customHeight="1" s="828">
      <c r="A441" s="1068" t="n"/>
      <c r="B441" s="725" t="n"/>
      <c r="C441" s="725" t="n"/>
      <c r="D441" s="1069" t="n"/>
      <c r="F441" s="1070" t="n"/>
      <c r="G441" s="85" t="n"/>
    </row>
    <row r="442" ht="15.5" customHeight="1" s="828">
      <c r="A442" s="1068" t="n"/>
      <c r="B442" s="725" t="n"/>
      <c r="C442" s="725" t="n"/>
      <c r="D442" s="1069" t="n"/>
      <c r="F442" s="1070" t="n"/>
      <c r="G442" s="85" t="n"/>
    </row>
    <row r="443" ht="15.5" customHeight="1" s="828">
      <c r="A443" s="1068" t="n"/>
      <c r="B443" s="725" t="n"/>
      <c r="C443" s="725" t="n"/>
      <c r="D443" s="1069" t="n"/>
      <c r="F443" s="1070" t="n"/>
      <c r="G443" s="85" t="n"/>
    </row>
    <row r="444" ht="15.5" customHeight="1" s="828">
      <c r="A444" s="1068" t="n"/>
      <c r="B444" s="725" t="n"/>
      <c r="C444" s="725" t="n"/>
      <c r="D444" s="1069" t="n"/>
      <c r="F444" s="1070" t="n"/>
      <c r="G444" s="85" t="n"/>
    </row>
    <row r="445" ht="15.5" customHeight="1" s="828">
      <c r="A445" s="1068" t="n"/>
      <c r="B445" s="725" t="n"/>
      <c r="C445" s="725" t="n"/>
      <c r="D445" s="1069" t="n"/>
      <c r="F445" s="1070" t="n"/>
      <c r="G445" s="85" t="n"/>
    </row>
    <row r="446" ht="15.5" customHeight="1" s="828">
      <c r="A446" s="1068" t="n"/>
      <c r="B446" s="725" t="n"/>
      <c r="C446" s="725" t="n"/>
      <c r="D446" s="1069" t="n"/>
      <c r="F446" s="1070" t="n"/>
      <c r="G446" s="85" t="n"/>
    </row>
    <row r="447" ht="15.5" customHeight="1" s="828">
      <c r="A447" s="1068" t="n"/>
      <c r="B447" s="725" t="n"/>
      <c r="C447" s="725" t="n"/>
      <c r="D447" s="1069" t="n"/>
      <c r="F447" s="238" t="n"/>
      <c r="G447" s="85" t="n"/>
    </row>
    <row r="448" ht="15.5" customHeight="1" s="828">
      <c r="A448" s="1068" t="n"/>
      <c r="B448" s="725" t="n"/>
      <c r="C448" s="725" t="n"/>
      <c r="D448" s="1069" t="n"/>
      <c r="F448" s="1070" t="n"/>
      <c r="G448" s="85" t="n"/>
    </row>
    <row r="449" ht="15.5" customHeight="1" s="828">
      <c r="A449" s="1068" t="n"/>
      <c r="B449" s="725" t="n"/>
      <c r="C449" s="725" t="n"/>
      <c r="D449" s="1069" t="n"/>
      <c r="F449" s="1070" t="n"/>
      <c r="G449" s="85" t="n"/>
    </row>
    <row r="450" ht="15.5" customHeight="1" s="828">
      <c r="A450" s="1068" t="n"/>
      <c r="B450" s="725" t="n"/>
      <c r="C450" s="725" t="n"/>
      <c r="D450" s="1069" t="n"/>
      <c r="F450" s="1070" t="n"/>
      <c r="G450" s="85" t="n"/>
    </row>
    <row r="451" ht="15.5" customHeight="1" s="828">
      <c r="A451" s="1068" t="n"/>
      <c r="B451" s="725" t="n"/>
      <c r="C451" s="725" t="n"/>
      <c r="D451" s="1069" t="n"/>
      <c r="F451" s="1070" t="n"/>
      <c r="G451" s="85" t="n"/>
    </row>
    <row r="452" ht="15.5" customHeight="1" s="828">
      <c r="A452" s="1068" t="n"/>
      <c r="B452" s="725" t="n"/>
      <c r="C452" s="725" t="n"/>
      <c r="D452" s="1069" t="n"/>
      <c r="F452" s="1070" t="n"/>
      <c r="G452" s="85" t="n"/>
    </row>
    <row r="453" ht="15.5" customHeight="1" s="828">
      <c r="A453" s="1068" t="n"/>
      <c r="B453" s="725" t="n"/>
      <c r="C453" s="725" t="n"/>
      <c r="D453" s="1069" t="n"/>
      <c r="F453" s="1070" t="n"/>
      <c r="G453" s="85" t="n"/>
    </row>
    <row r="454" ht="15.5" customHeight="1" s="828">
      <c r="A454" s="1068" t="n"/>
      <c r="B454" s="725" t="n"/>
      <c r="C454" s="725" t="n"/>
      <c r="D454" s="1069" t="n"/>
      <c r="F454" s="1070" t="n"/>
      <c r="G454" s="85" t="n"/>
    </row>
    <row r="455" ht="15.5" customHeight="1" s="828">
      <c r="A455" s="1068" t="n"/>
      <c r="B455" s="725" t="n"/>
      <c r="C455" s="725" t="n"/>
      <c r="D455" s="1069" t="n"/>
      <c r="F455" s="1070" t="n"/>
      <c r="G455" s="85" t="n"/>
    </row>
    <row r="456" ht="15.5" customHeight="1" s="828">
      <c r="A456" s="1068" t="n"/>
      <c r="B456" s="725" t="n"/>
      <c r="C456" s="725" t="n"/>
      <c r="D456" s="1069" t="n"/>
      <c r="F456" s="1070" t="n"/>
      <c r="G456" s="85" t="n"/>
    </row>
    <row r="457" ht="15.5" customHeight="1" s="828">
      <c r="A457" s="1068" t="n"/>
      <c r="B457" s="725" t="n"/>
      <c r="C457" s="725" t="n"/>
      <c r="D457" s="1069" t="n"/>
      <c r="F457" s="1070" t="n"/>
      <c r="G457" s="85" t="n"/>
    </row>
    <row r="458" ht="15.5" customHeight="1" s="828">
      <c r="A458" s="1068" t="n"/>
      <c r="B458" s="725" t="n"/>
      <c r="C458" s="725" t="n"/>
      <c r="D458" s="1069" t="n"/>
      <c r="F458" s="1070" t="n"/>
      <c r="G458" s="85" t="n"/>
    </row>
    <row r="459" ht="15.5" customHeight="1" s="828">
      <c r="A459" s="1068" t="n"/>
      <c r="B459" s="725" t="n"/>
      <c r="C459" s="725" t="n"/>
      <c r="D459" s="1069" t="n"/>
      <c r="F459" s="238" t="n"/>
      <c r="G459" s="85" t="n"/>
    </row>
    <row r="460" ht="15.5" customHeight="1" s="828">
      <c r="A460" s="1068" t="n"/>
      <c r="B460" s="725" t="n"/>
      <c r="C460" s="725" t="n"/>
      <c r="D460" s="1069" t="n"/>
      <c r="F460" s="1070" t="n"/>
      <c r="G460" s="85" t="n"/>
    </row>
    <row r="461" ht="15.5" customHeight="1" s="828">
      <c r="A461" s="1068" t="n"/>
      <c r="B461" s="725" t="n"/>
      <c r="C461" s="725" t="n"/>
      <c r="D461" s="1069" t="n"/>
      <c r="F461" s="1070" t="n"/>
      <c r="G461" s="85" t="n"/>
    </row>
    <row r="462" ht="15.5" customHeight="1" s="828">
      <c r="A462" s="1068" t="n"/>
      <c r="B462" s="725" t="n"/>
      <c r="C462" s="725" t="n"/>
      <c r="D462" s="1069" t="n"/>
      <c r="F462" s="1070" t="n"/>
      <c r="G462" s="85" t="n"/>
    </row>
    <row r="463" ht="15.5" customHeight="1" s="828">
      <c r="A463" s="1068" t="n"/>
      <c r="B463" s="725" t="n"/>
      <c r="C463" s="725" t="n"/>
      <c r="D463" s="1069" t="n"/>
      <c r="F463" s="1070" t="n"/>
      <c r="G463" s="85" t="n"/>
    </row>
    <row r="464" ht="15.5" customHeight="1" s="828">
      <c r="A464" s="1068" t="n"/>
      <c r="B464" s="725" t="n"/>
      <c r="C464" s="725" t="n"/>
      <c r="D464" s="1069" t="n"/>
      <c r="F464" s="1070" t="n"/>
      <c r="G464" s="85" t="n"/>
    </row>
    <row r="465" ht="15.5" customHeight="1" s="828">
      <c r="A465" s="1068" t="n"/>
      <c r="B465" s="725" t="n"/>
      <c r="C465" s="725" t="n"/>
      <c r="D465" s="1069" t="n"/>
      <c r="F465" s="1070" t="n"/>
      <c r="G465" s="85" t="n"/>
    </row>
    <row r="466" ht="15.5" customHeight="1" s="828">
      <c r="A466" s="1068" t="n"/>
      <c r="B466" s="725" t="n"/>
      <c r="C466" s="725" t="n"/>
      <c r="D466" s="1069" t="n"/>
      <c r="F466" s="1070" t="n"/>
      <c r="G466" s="85" t="n"/>
    </row>
    <row r="467" ht="15.5" customHeight="1" s="828">
      <c r="A467" s="1068" t="n"/>
      <c r="B467" s="725" t="n"/>
      <c r="C467" s="725" t="n"/>
      <c r="D467" s="1069" t="n"/>
      <c r="F467" s="1070" t="n"/>
      <c r="G467" s="85" t="n"/>
    </row>
    <row r="468" ht="15.5" customHeight="1" s="828">
      <c r="A468" s="1068" t="n"/>
      <c r="B468" s="725" t="n"/>
      <c r="C468" s="725" t="n"/>
      <c r="D468" s="1069" t="n"/>
      <c r="F468" s="1070" t="n"/>
      <c r="G468" s="85" t="n"/>
    </row>
    <row r="469" ht="15.5" customHeight="1" s="828">
      <c r="A469" s="1068" t="n"/>
      <c r="B469" s="725" t="n"/>
      <c r="C469" s="725" t="n"/>
      <c r="D469" s="1069" t="n"/>
      <c r="F469" s="1070" t="n"/>
      <c r="G469" s="85" t="n"/>
    </row>
    <row r="470" ht="15.5" customHeight="1" s="828">
      <c r="A470" s="1068" t="n"/>
      <c r="B470" s="725" t="n"/>
      <c r="C470" s="725" t="n"/>
      <c r="D470" s="1069" t="n"/>
      <c r="F470" s="1070" t="n"/>
      <c r="G470" s="85" t="n"/>
    </row>
    <row r="471" ht="15.5" customHeight="1" s="828">
      <c r="A471" s="1068" t="n"/>
      <c r="B471" s="725" t="n"/>
      <c r="C471" s="725" t="n"/>
      <c r="D471" s="1069" t="n"/>
      <c r="F471" s="238" t="n"/>
      <c r="G471" s="85" t="n"/>
    </row>
    <row r="472" ht="15.5" customHeight="1" s="828">
      <c r="A472" s="1068" t="n"/>
      <c r="B472" s="725" t="n"/>
      <c r="C472" s="725" t="n"/>
      <c r="D472" s="1069" t="n"/>
      <c r="F472" s="1070" t="n"/>
      <c r="G472" s="85" t="n"/>
    </row>
    <row r="473" ht="15.5" customHeight="1" s="828">
      <c r="A473" s="1068" t="n"/>
      <c r="B473" s="725" t="n"/>
      <c r="C473" s="725" t="n"/>
      <c r="D473" s="1069" t="n"/>
      <c r="F473" s="1070" t="n"/>
      <c r="G473" s="85" t="n"/>
    </row>
    <row r="474" ht="15.5" customHeight="1" s="828">
      <c r="A474" s="1068" t="n"/>
      <c r="B474" s="725" t="n"/>
      <c r="C474" s="725" t="n"/>
      <c r="D474" s="1069" t="n"/>
      <c r="F474" s="1070" t="n"/>
      <c r="G474" s="85" t="n"/>
    </row>
    <row r="475" ht="15.5" customHeight="1" s="828">
      <c r="A475" s="1068" t="n"/>
      <c r="B475" s="725" t="n"/>
      <c r="C475" s="725" t="n"/>
      <c r="D475" s="1069" t="n"/>
      <c r="F475" s="1070" t="n"/>
      <c r="G475" s="85" t="n"/>
    </row>
    <row r="476" ht="15.5" customHeight="1" s="828">
      <c r="A476" s="1068" t="n"/>
      <c r="B476" s="725" t="n"/>
      <c r="C476" s="725" t="n"/>
      <c r="D476" s="1069" t="n"/>
      <c r="F476" s="1070" t="n"/>
      <c r="G476" s="85" t="n"/>
    </row>
    <row r="477" ht="15.5" customHeight="1" s="828">
      <c r="A477" s="1068" t="n"/>
      <c r="B477" s="725" t="n"/>
      <c r="C477" s="725" t="n"/>
      <c r="D477" s="1069" t="n"/>
      <c r="F477" s="1070" t="n"/>
      <c r="G477" s="85" t="n"/>
    </row>
    <row r="478" ht="15.5" customHeight="1" s="828">
      <c r="A478" s="1068" t="n"/>
      <c r="B478" s="725" t="n"/>
      <c r="C478" s="725" t="n"/>
      <c r="D478" s="1069" t="n"/>
      <c r="F478" s="1070" t="n"/>
      <c r="G478" s="85" t="n"/>
    </row>
    <row r="479" ht="15.5" customHeight="1" s="828">
      <c r="A479" s="1068" t="n"/>
      <c r="B479" s="725" t="n"/>
      <c r="C479" s="725" t="n"/>
      <c r="D479" s="1069" t="n"/>
      <c r="F479" s="1070" t="n"/>
      <c r="G479" s="85" t="n"/>
    </row>
    <row r="480" ht="15.5" customHeight="1" s="828">
      <c r="A480" s="1068" t="n"/>
      <c r="B480" s="725" t="n"/>
      <c r="C480" s="725" t="n"/>
      <c r="D480" s="1069" t="n"/>
      <c r="F480" s="1070" t="n"/>
      <c r="G480" s="85" t="n"/>
    </row>
    <row r="481" ht="15.5" customHeight="1" s="828">
      <c r="A481" s="1068" t="n"/>
      <c r="B481" s="725" t="n"/>
      <c r="C481" s="725" t="n"/>
      <c r="D481" s="1069" t="n"/>
      <c r="F481" s="1070" t="n"/>
      <c r="G481" s="85" t="n"/>
    </row>
    <row r="482" ht="15.5" customHeight="1" s="828">
      <c r="A482" s="1068" t="n"/>
      <c r="B482" s="725" t="n"/>
      <c r="C482" s="725" t="n"/>
      <c r="D482" s="1069" t="n"/>
      <c r="F482" s="1070" t="n"/>
      <c r="G482" s="85" t="n"/>
    </row>
    <row r="483" ht="15.5" customHeight="1" s="828">
      <c r="A483" s="1068" t="n"/>
      <c r="B483" s="725" t="n"/>
      <c r="C483" s="725" t="n"/>
      <c r="D483" s="1069" t="n"/>
      <c r="F483" s="238" t="n"/>
      <c r="G483" s="85" t="n"/>
    </row>
    <row r="484" ht="15.5" customHeight="1" s="828">
      <c r="A484" s="1068" t="n"/>
      <c r="B484" s="725" t="n"/>
      <c r="C484" s="725" t="n"/>
      <c r="D484" s="1069" t="n"/>
      <c r="F484" s="1070" t="n"/>
      <c r="G484" s="85" t="n"/>
    </row>
    <row r="485" ht="15.5" customHeight="1" s="828">
      <c r="A485" s="1068" t="n"/>
      <c r="B485" s="725" t="n"/>
      <c r="C485" s="725" t="n"/>
      <c r="D485" s="1069" t="n"/>
      <c r="F485" s="1070" t="n"/>
      <c r="G485" s="85" t="n"/>
    </row>
    <row r="486" ht="15.5" customHeight="1" s="828">
      <c r="A486" s="1068" t="n"/>
      <c r="B486" s="725" t="n"/>
      <c r="C486" s="725" t="n"/>
      <c r="D486" s="1069" t="n"/>
      <c r="F486" s="1070" t="n"/>
      <c r="G486" s="85" t="n"/>
    </row>
    <row r="487" ht="15.5" customHeight="1" s="828">
      <c r="A487" s="1068" t="n"/>
      <c r="B487" s="725" t="n"/>
      <c r="C487" s="725" t="n"/>
      <c r="D487" s="1069" t="n"/>
      <c r="F487" s="1070" t="n"/>
      <c r="G487" s="85" t="n"/>
    </row>
    <row r="488" ht="15.5" customHeight="1" s="828">
      <c r="A488" s="1068" t="n"/>
      <c r="B488" s="725" t="n"/>
      <c r="C488" s="725" t="n"/>
      <c r="D488" s="1069" t="n"/>
      <c r="F488" s="1070" t="n"/>
      <c r="G488" s="85" t="n"/>
    </row>
    <row r="489" ht="15.5" customHeight="1" s="828">
      <c r="A489" s="1068" t="n"/>
      <c r="B489" s="725" t="n"/>
      <c r="C489" s="725" t="n"/>
      <c r="D489" s="1069" t="n"/>
      <c r="F489" s="1070" t="n"/>
      <c r="G489" s="85" t="n"/>
    </row>
    <row r="490" ht="15.5" customHeight="1" s="828">
      <c r="A490" s="1068" t="n"/>
      <c r="B490" s="725" t="n"/>
      <c r="C490" s="725" t="n"/>
      <c r="D490" s="1069" t="n"/>
      <c r="F490" s="1070" t="n"/>
      <c r="G490" s="85" t="n"/>
    </row>
    <row r="491" ht="15.5" customHeight="1" s="828">
      <c r="A491" s="1068" t="n"/>
      <c r="B491" s="725" t="n"/>
      <c r="C491" s="725" t="n"/>
      <c r="D491" s="1069" t="n"/>
      <c r="F491" s="1070" t="n"/>
      <c r="G491" s="85" t="n"/>
    </row>
    <row r="492" ht="15.5" customHeight="1" s="828">
      <c r="A492" s="1068" t="n"/>
      <c r="B492" s="725" t="n"/>
      <c r="C492" s="725" t="n"/>
      <c r="D492" s="1069" t="n"/>
      <c r="F492" s="1070" t="n"/>
      <c r="G492" s="85" t="n"/>
    </row>
    <row r="493" ht="15.5" customHeight="1" s="828">
      <c r="A493" s="1068" t="n"/>
      <c r="B493" s="725" t="n"/>
      <c r="C493" s="725" t="n"/>
      <c r="D493" s="1069" t="n"/>
      <c r="F493" s="1070" t="n"/>
      <c r="G493" s="85" t="n"/>
    </row>
    <row r="494" ht="15.5" customHeight="1" s="828">
      <c r="A494" s="1068" t="n"/>
      <c r="B494" s="725" t="n"/>
      <c r="C494" s="725" t="n"/>
      <c r="D494" s="1069" t="n"/>
      <c r="F494" s="1070" t="n"/>
      <c r="G494" s="85" t="n"/>
    </row>
    <row r="495" ht="15.5" customHeight="1" s="828">
      <c r="A495" s="1068" t="n"/>
      <c r="B495" s="725" t="n"/>
      <c r="C495" s="725" t="n"/>
      <c r="D495" s="1069" t="n"/>
      <c r="F495" s="238" t="n"/>
      <c r="G495" s="85" t="n"/>
    </row>
    <row r="496" ht="15.5" customHeight="1" s="828">
      <c r="A496" s="1068" t="n"/>
      <c r="B496" s="725" t="n"/>
      <c r="C496" s="725" t="n"/>
      <c r="D496" s="1069" t="n"/>
      <c r="F496" s="1070" t="n"/>
      <c r="G496" s="85" t="n"/>
    </row>
    <row r="497" ht="15.5" customHeight="1" s="828">
      <c r="A497" s="1068" t="n"/>
      <c r="B497" s="725" t="n"/>
      <c r="C497" s="725" t="n"/>
      <c r="D497" s="1069" t="n"/>
      <c r="F497" s="1070" t="n"/>
      <c r="G497" s="85" t="n"/>
    </row>
    <row r="498" ht="15.5" customHeight="1" s="828">
      <c r="A498" s="1068" t="n"/>
      <c r="B498" s="725" t="n"/>
      <c r="C498" s="725" t="n"/>
      <c r="D498" s="1069" t="n"/>
      <c r="F498" s="1070" t="n"/>
      <c r="G498" s="85" t="n"/>
    </row>
    <row r="499" ht="15.5" customHeight="1" s="828">
      <c r="A499" s="1068" t="n"/>
      <c r="B499" s="725" t="n"/>
      <c r="C499" s="725" t="n"/>
      <c r="D499" s="1069" t="n"/>
      <c r="F499" s="1070" t="n"/>
      <c r="G499" s="85" t="n"/>
    </row>
    <row r="500" ht="15.5" customHeight="1" s="828">
      <c r="A500" s="1068" t="n"/>
      <c r="B500" s="725" t="n"/>
      <c r="C500" s="725" t="n"/>
      <c r="D500" s="1069" t="n"/>
      <c r="F500" s="1070" t="n"/>
      <c r="G500" s="85" t="n"/>
    </row>
    <row r="501" ht="15.5" customHeight="1" s="828">
      <c r="A501" s="1068" t="n"/>
      <c r="B501" s="725" t="n"/>
      <c r="C501" s="725" t="n"/>
      <c r="D501" s="1069" t="n"/>
      <c r="F501" s="1070" t="n"/>
      <c r="G501" s="85" t="n"/>
    </row>
    <row r="502" ht="15.5" customHeight="1" s="828">
      <c r="A502" s="1068" t="n"/>
      <c r="B502" s="725" t="n"/>
      <c r="C502" s="725" t="n"/>
      <c r="D502" s="1069" t="n"/>
      <c r="F502" s="1070" t="n"/>
      <c r="G502" s="85" t="n"/>
    </row>
    <row r="503" ht="15.5" customHeight="1" s="828">
      <c r="A503" s="1068" t="n"/>
      <c r="B503" s="725" t="n"/>
      <c r="C503" s="725" t="n"/>
      <c r="D503" s="1069" t="n"/>
      <c r="F503" s="1070" t="n"/>
      <c r="G503" s="85" t="n"/>
    </row>
    <row r="504" ht="15.5" customHeight="1" s="828">
      <c r="A504" s="1068" t="n"/>
      <c r="B504" s="725" t="n"/>
      <c r="C504" s="725" t="n"/>
      <c r="D504" s="1069" t="n"/>
      <c r="F504" s="1070" t="n"/>
      <c r="G504" s="85" t="n"/>
    </row>
    <row r="505" ht="15.5" customHeight="1" s="828">
      <c r="A505" s="1068" t="n"/>
      <c r="B505" s="725" t="n"/>
      <c r="C505" s="725" t="n"/>
      <c r="D505" s="1069" t="n"/>
      <c r="F505" s="1070" t="n"/>
      <c r="G505" s="85" t="n"/>
    </row>
    <row r="506" ht="15.5" customHeight="1" s="828">
      <c r="A506" s="1068" t="n"/>
      <c r="B506" s="725" t="n"/>
      <c r="C506" s="725" t="n"/>
      <c r="D506" s="1069" t="n"/>
      <c r="F506" s="1070" t="n"/>
      <c r="G506" s="85" t="n"/>
    </row>
    <row r="507" ht="15.5" customHeight="1" s="828">
      <c r="A507" s="1068" t="n"/>
      <c r="B507" s="725" t="n"/>
      <c r="C507" s="725" t="n"/>
      <c r="D507" s="1069" t="n"/>
      <c r="F507" s="238" t="n"/>
      <c r="G507" s="85" t="n"/>
    </row>
    <row r="508" ht="15.5" customHeight="1" s="828">
      <c r="A508" s="1068" t="n"/>
      <c r="B508" s="725" t="n"/>
      <c r="C508" s="725" t="n"/>
      <c r="D508" s="1069" t="n"/>
      <c r="F508" s="1070" t="n"/>
      <c r="G508" s="85" t="n"/>
    </row>
    <row r="509" ht="15.5" customHeight="1" s="828">
      <c r="A509" s="1068" t="n"/>
      <c r="B509" s="725" t="n"/>
      <c r="C509" s="725" t="n"/>
      <c r="D509" s="1069" t="n"/>
      <c r="F509" s="1070" t="n"/>
      <c r="G509" s="85" t="n"/>
    </row>
    <row r="510" ht="15.5" customHeight="1" s="828">
      <c r="A510" s="1068" t="n"/>
      <c r="B510" s="725" t="n"/>
      <c r="C510" s="725" t="n"/>
      <c r="D510" s="1069" t="n"/>
      <c r="F510" s="1070" t="n"/>
      <c r="G510" s="85" t="n"/>
    </row>
    <row r="511" ht="15.5" customHeight="1" s="828">
      <c r="A511" s="1068" t="n"/>
      <c r="B511" s="725" t="n"/>
      <c r="C511" s="725" t="n"/>
      <c r="D511" s="1069" t="n"/>
      <c r="F511" s="1070" t="n"/>
      <c r="G511" s="85" t="n"/>
    </row>
    <row r="512" ht="15.5" customHeight="1" s="828">
      <c r="A512" s="1068" t="n"/>
      <c r="B512" s="725" t="n"/>
      <c r="C512" s="725" t="n"/>
      <c r="D512" s="1069" t="n"/>
      <c r="F512" s="1070" t="n"/>
      <c r="G512" s="85" t="n"/>
    </row>
    <row r="513" ht="15.5" customHeight="1" s="828">
      <c r="A513" s="1068" t="n"/>
      <c r="B513" s="725" t="n"/>
      <c r="C513" s="725" t="n"/>
      <c r="D513" s="1069" t="n"/>
      <c r="F513" s="1070" t="n"/>
      <c r="G513" s="85" t="n"/>
    </row>
    <row r="514" ht="15.5" customHeight="1" s="828">
      <c r="A514" s="1068" t="n"/>
      <c r="B514" s="725" t="n"/>
      <c r="C514" s="725" t="n"/>
      <c r="D514" s="1069" t="n"/>
      <c r="F514" s="1070" t="n"/>
      <c r="G514" s="85" t="n"/>
    </row>
    <row r="515" ht="15.5" customHeight="1" s="828">
      <c r="A515" s="1068" t="n"/>
      <c r="B515" s="725" t="n"/>
      <c r="C515" s="725" t="n"/>
      <c r="D515" s="1069" t="n"/>
      <c r="F515" s="1070" t="n"/>
      <c r="G515" s="85" t="n"/>
    </row>
    <row r="516" ht="15.5" customHeight="1" s="828">
      <c r="A516" s="1068" t="n"/>
      <c r="B516" s="725" t="n"/>
      <c r="C516" s="725" t="n"/>
      <c r="D516" s="1069" t="n"/>
      <c r="F516" s="1070" t="n"/>
      <c r="G516" s="85" t="n"/>
    </row>
    <row r="517" ht="15.5" customHeight="1" s="828">
      <c r="A517" s="1068" t="n"/>
      <c r="B517" s="725" t="n"/>
      <c r="C517" s="725" t="n"/>
      <c r="D517" s="1069" t="n"/>
      <c r="F517" s="1070" t="n"/>
      <c r="G517" s="85" t="n"/>
    </row>
    <row r="518" ht="15.5" customHeight="1" s="828">
      <c r="A518" s="1068" t="n"/>
      <c r="B518" s="725" t="n"/>
      <c r="C518" s="725" t="n"/>
      <c r="D518" s="1069" t="n"/>
      <c r="F518" s="1070" t="n"/>
      <c r="G518" s="85" t="n"/>
    </row>
    <row r="519" ht="15.5" customHeight="1" s="828">
      <c r="A519" s="1068" t="n"/>
      <c r="B519" s="725" t="n"/>
      <c r="C519" s="725" t="n"/>
      <c r="D519" s="1069" t="n"/>
      <c r="F519" s="238" t="n"/>
      <c r="G519" s="85" t="n"/>
    </row>
    <row r="520" ht="15.5" customHeight="1" s="828">
      <c r="A520" s="1068" t="n"/>
      <c r="B520" s="725" t="n"/>
      <c r="C520" s="725" t="n"/>
      <c r="D520" s="1069" t="n"/>
      <c r="F520" s="1070" t="n"/>
      <c r="G520" s="85" t="n"/>
    </row>
    <row r="521" ht="15.5" customHeight="1" s="828">
      <c r="A521" s="1068" t="n"/>
      <c r="B521" s="725" t="n"/>
      <c r="C521" s="725" t="n"/>
      <c r="D521" s="1069" t="n"/>
      <c r="F521" s="1070" t="n"/>
      <c r="G521" s="85" t="n"/>
    </row>
    <row r="522" ht="15.5" customHeight="1" s="828">
      <c r="A522" s="1068" t="n"/>
      <c r="B522" s="725" t="n"/>
      <c r="C522" s="725" t="n"/>
      <c r="D522" s="1069" t="n"/>
      <c r="F522" s="1070" t="n"/>
      <c r="G522" s="85" t="n"/>
    </row>
    <row r="523" ht="15.5" customHeight="1" s="828">
      <c r="A523" s="1068" t="n"/>
      <c r="B523" s="725" t="n"/>
      <c r="C523" s="725" t="n"/>
      <c r="D523" s="1069" t="n"/>
      <c r="F523" s="1070" t="n"/>
      <c r="G523" s="85" t="n"/>
    </row>
    <row r="524" ht="15.5" customHeight="1" s="828">
      <c r="A524" s="1068" t="n"/>
      <c r="B524" s="725" t="n"/>
      <c r="C524" s="725" t="n"/>
      <c r="D524" s="1069" t="n"/>
      <c r="F524" s="1070" t="n"/>
      <c r="G524" s="85" t="n"/>
    </row>
    <row r="525" ht="15.5" customHeight="1" s="828">
      <c r="A525" s="1068" t="n"/>
      <c r="B525" s="725" t="n"/>
      <c r="C525" s="725" t="n"/>
      <c r="D525" s="1069" t="n"/>
      <c r="F525" s="1070" t="n"/>
      <c r="G525" s="85" t="n"/>
    </row>
    <row r="526" ht="15.5" customHeight="1" s="828">
      <c r="A526" s="1068" t="n"/>
      <c r="B526" s="725" t="n"/>
      <c r="C526" s="725" t="n"/>
      <c r="D526" s="1069" t="n"/>
      <c r="F526" s="1070" t="n"/>
      <c r="G526" s="85" t="n"/>
    </row>
    <row r="527" ht="15.5" customHeight="1" s="828">
      <c r="A527" s="1068" t="n"/>
      <c r="B527" s="725" t="n"/>
      <c r="C527" s="725" t="n"/>
      <c r="D527" s="1069" t="n"/>
      <c r="F527" s="1070" t="n"/>
      <c r="G527" s="85" t="n"/>
    </row>
    <row r="528" ht="15.5" customHeight="1" s="828">
      <c r="A528" s="1068" t="n"/>
      <c r="B528" s="725" t="n"/>
      <c r="C528" s="725" t="n"/>
      <c r="D528" s="1069" t="n"/>
      <c r="F528" s="1070" t="n"/>
      <c r="G528" s="85" t="n"/>
    </row>
    <row r="529" ht="15.5" customHeight="1" s="828">
      <c r="A529" s="1068" t="n"/>
      <c r="B529" s="725" t="n"/>
      <c r="C529" s="725" t="n"/>
      <c r="D529" s="1069" t="n"/>
      <c r="F529" s="1070" t="n"/>
      <c r="G529" s="85" t="n"/>
    </row>
    <row r="530" ht="15.5" customHeight="1" s="828">
      <c r="A530" s="1068" t="n"/>
      <c r="B530" s="725" t="n"/>
      <c r="C530" s="725" t="n"/>
      <c r="D530" s="1069" t="n"/>
      <c r="F530" s="1070" t="n"/>
      <c r="G530" s="85" t="n"/>
    </row>
    <row r="531" ht="15.5" customHeight="1" s="828">
      <c r="A531" s="1068" t="n"/>
      <c r="B531" s="725" t="n"/>
      <c r="C531" s="725" t="n"/>
      <c r="D531" s="1069" t="n"/>
      <c r="F531" s="238" t="n"/>
      <c r="G531" s="85" t="n"/>
    </row>
    <row r="532" ht="15.5" customHeight="1" s="828">
      <c r="A532" s="1068" t="n"/>
      <c r="B532" s="725" t="n"/>
      <c r="C532" s="725" t="n"/>
      <c r="D532" s="1069" t="n"/>
      <c r="F532" s="1070" t="n"/>
      <c r="G532" s="85" t="n"/>
    </row>
    <row r="533" ht="15.5" customHeight="1" s="828">
      <c r="A533" s="1068" t="n"/>
      <c r="B533" s="725" t="n"/>
      <c r="C533" s="725" t="n"/>
      <c r="D533" s="1069" t="n"/>
      <c r="F533" s="1070" t="n"/>
      <c r="G533" s="85" t="n"/>
    </row>
    <row r="534" ht="15.5" customHeight="1" s="828">
      <c r="A534" s="1068" t="n"/>
      <c r="B534" s="725" t="n"/>
      <c r="C534" s="725" t="n"/>
      <c r="D534" s="1069" t="n"/>
      <c r="F534" s="1070" t="n"/>
      <c r="G534" s="85" t="n"/>
    </row>
    <row r="535" ht="15.5" customHeight="1" s="828">
      <c r="A535" s="1068" t="n"/>
      <c r="B535" s="725" t="n"/>
      <c r="C535" s="725" t="n"/>
      <c r="D535" s="1069" t="n"/>
      <c r="F535" s="1070" t="n"/>
      <c r="G535" s="85" t="n"/>
    </row>
    <row r="536" ht="15.5" customHeight="1" s="828">
      <c r="A536" s="1068" t="n"/>
      <c r="B536" s="725" t="n"/>
      <c r="C536" s="725" t="n"/>
      <c r="D536" s="1069" t="n"/>
      <c r="F536" s="1070" t="n"/>
      <c r="G536" s="85" t="n"/>
    </row>
    <row r="537" ht="15.5" customHeight="1" s="828">
      <c r="A537" s="1068" t="n"/>
      <c r="B537" s="725" t="n"/>
      <c r="C537" s="725" t="n"/>
      <c r="D537" s="1069" t="n"/>
      <c r="F537" s="1070" t="n"/>
      <c r="G537" s="85" t="n"/>
    </row>
    <row r="538" ht="15.5" customHeight="1" s="828">
      <c r="A538" s="1068" t="n"/>
      <c r="B538" s="725" t="n"/>
      <c r="C538" s="725" t="n"/>
      <c r="D538" s="1069" t="n"/>
      <c r="F538" s="1070" t="n"/>
      <c r="G538" s="85" t="n"/>
    </row>
    <row r="539" ht="15.5" customHeight="1" s="828">
      <c r="A539" s="1068" t="n"/>
      <c r="B539" s="725" t="n"/>
      <c r="C539" s="725" t="n"/>
      <c r="D539" s="1069" t="n"/>
      <c r="F539" s="1070" t="n"/>
      <c r="G539" s="85" t="n"/>
    </row>
    <row r="540" ht="15.5" customHeight="1" s="828">
      <c r="A540" s="1068" t="n"/>
      <c r="B540" s="725" t="n"/>
      <c r="C540" s="725" t="n"/>
      <c r="D540" s="1069" t="n"/>
      <c r="F540" s="1070" t="n"/>
      <c r="G540" s="85" t="n"/>
    </row>
    <row r="541" ht="15.5" customHeight="1" s="828">
      <c r="A541" s="1068" t="n"/>
      <c r="B541" s="725" t="n"/>
      <c r="C541" s="725" t="n"/>
      <c r="D541" s="1069" t="n"/>
      <c r="F541" s="1070" t="n"/>
      <c r="G541" s="85" t="n"/>
    </row>
    <row r="542" ht="15.5" customHeight="1" s="828">
      <c r="A542" s="1068" t="n"/>
      <c r="B542" s="725" t="n"/>
      <c r="C542" s="725" t="n"/>
      <c r="D542" s="1069" t="n"/>
      <c r="F542" s="1070" t="n"/>
      <c r="G542" s="85" t="n"/>
    </row>
    <row r="543" ht="15.5" customHeight="1" s="828">
      <c r="A543" s="1068" t="n"/>
      <c r="B543" s="725" t="n"/>
      <c r="C543" s="725" t="n"/>
      <c r="D543" s="1069" t="n"/>
      <c r="F543" s="238" t="n"/>
      <c r="G543" s="85" t="n"/>
    </row>
    <row r="544" ht="15.5" customHeight="1" s="828">
      <c r="A544" s="1068" t="n"/>
      <c r="B544" s="725" t="n"/>
      <c r="C544" s="725" t="n"/>
      <c r="D544" s="1069" t="n"/>
      <c r="F544" s="1070" t="n"/>
      <c r="G544" s="85" t="n"/>
    </row>
    <row r="545" ht="15.5" customHeight="1" s="828">
      <c r="A545" s="1068" t="n"/>
      <c r="B545" s="725" t="n"/>
      <c r="C545" s="725" t="n"/>
      <c r="D545" s="1069" t="n"/>
      <c r="F545" s="1070" t="n"/>
      <c r="G545" s="85" t="n"/>
    </row>
    <row r="546" ht="15.5" customHeight="1" s="828">
      <c r="A546" s="1068" t="n"/>
      <c r="B546" s="725" t="n"/>
      <c r="C546" s="725" t="n"/>
      <c r="D546" s="1069" t="n"/>
      <c r="F546" s="1070" t="n"/>
      <c r="G546" s="85" t="n"/>
    </row>
    <row r="547" ht="15.5" customHeight="1" s="828">
      <c r="A547" s="1068" t="n"/>
      <c r="B547" s="725" t="n"/>
      <c r="C547" s="725" t="n"/>
      <c r="D547" s="1069" t="n"/>
      <c r="F547" s="1070" t="n"/>
      <c r="G547" s="85" t="n"/>
    </row>
    <row r="548" ht="15.5" customHeight="1" s="828">
      <c r="A548" s="1068" t="n"/>
      <c r="B548" s="725" t="n"/>
      <c r="C548" s="725" t="n"/>
      <c r="D548" s="1069" t="n"/>
      <c r="F548" s="1070" t="n"/>
      <c r="G548" s="85" t="n"/>
    </row>
    <row r="549" ht="15.5" customHeight="1" s="828">
      <c r="A549" s="1068" t="n"/>
      <c r="B549" s="725" t="n"/>
      <c r="C549" s="725" t="n"/>
      <c r="D549" s="1069" t="n"/>
      <c r="F549" s="1070" t="n"/>
      <c r="G549" s="85" t="n"/>
    </row>
    <row r="550" ht="15.5" customHeight="1" s="828">
      <c r="A550" s="1068" t="n"/>
      <c r="B550" s="725" t="n"/>
      <c r="C550" s="725" t="n"/>
      <c r="D550" s="1069" t="n"/>
      <c r="F550" s="1070" t="n"/>
      <c r="G550" s="85" t="n"/>
    </row>
    <row r="551" ht="15.5" customHeight="1" s="828">
      <c r="A551" s="1068" t="n"/>
      <c r="B551" s="725" t="n"/>
      <c r="C551" s="725" t="n"/>
      <c r="D551" s="1069" t="n"/>
      <c r="F551" s="1070" t="n"/>
      <c r="G551" s="85" t="n"/>
    </row>
    <row r="552" ht="15.5" customHeight="1" s="828">
      <c r="A552" s="1068" t="n"/>
      <c r="B552" s="725" t="n"/>
      <c r="C552" s="725" t="n"/>
      <c r="D552" s="1069" t="n"/>
      <c r="F552" s="1070" t="n"/>
      <c r="G552" s="85" t="n"/>
    </row>
    <row r="553" ht="15.5" customHeight="1" s="828">
      <c r="A553" s="1068" t="n"/>
      <c r="B553" s="725" t="n"/>
      <c r="C553" s="725" t="n"/>
      <c r="D553" s="1069" t="n"/>
      <c r="F553" s="1070" t="n"/>
      <c r="G553" s="85" t="n"/>
    </row>
    <row r="554" ht="15.5" customHeight="1" s="828">
      <c r="A554" s="1068" t="n"/>
      <c r="B554" s="725" t="n"/>
      <c r="C554" s="725" t="n"/>
      <c r="D554" s="1069" t="n"/>
      <c r="F554" s="1070" t="n"/>
      <c r="G554" s="85" t="n"/>
    </row>
    <row r="555" ht="15.5" customHeight="1" s="828">
      <c r="A555" s="1068" t="n"/>
      <c r="B555" s="725" t="n"/>
      <c r="C555" s="725" t="n"/>
      <c r="D555" s="1069" t="n"/>
      <c r="F555" s="238" t="n"/>
      <c r="G555" s="85" t="n"/>
    </row>
    <row r="556" ht="15.5" customHeight="1" s="828">
      <c r="A556" s="1068" t="n"/>
      <c r="B556" s="725" t="n"/>
      <c r="C556" s="725" t="n"/>
      <c r="D556" s="1069" t="n"/>
      <c r="F556" s="1070" t="n"/>
      <c r="G556" s="85" t="n"/>
    </row>
    <row r="557" ht="15.5" customHeight="1" s="828">
      <c r="A557" s="1068" t="n"/>
      <c r="B557" s="725" t="n"/>
      <c r="C557" s="725" t="n"/>
      <c r="D557" s="1069" t="n"/>
      <c r="F557" s="1070" t="n"/>
      <c r="G557" s="85" t="n"/>
    </row>
    <row r="558" ht="15.5" customHeight="1" s="828">
      <c r="A558" s="1068" t="n"/>
      <c r="B558" s="725" t="n"/>
      <c r="C558" s="725" t="n"/>
      <c r="D558" s="1069" t="n"/>
      <c r="F558" s="1070" t="n"/>
      <c r="G558" s="85" t="n"/>
    </row>
    <row r="559" ht="15.5" customHeight="1" s="828">
      <c r="A559" s="1068" t="n"/>
      <c r="B559" s="725" t="n"/>
      <c r="C559" s="725" t="n"/>
      <c r="D559" s="1069" t="n"/>
      <c r="F559" s="1070" t="n"/>
      <c r="G559" s="85" t="n"/>
    </row>
    <row r="560" ht="15.5" customHeight="1" s="828">
      <c r="A560" s="1068" t="n"/>
      <c r="B560" s="725" t="n"/>
      <c r="C560" s="725" t="n"/>
      <c r="D560" s="1069" t="n"/>
      <c r="F560" s="1070" t="n"/>
      <c r="G560" s="85" t="n"/>
    </row>
    <row r="561" ht="15.5" customHeight="1" s="828">
      <c r="A561" s="1068" t="n"/>
      <c r="B561" s="725" t="n"/>
      <c r="C561" s="725" t="n"/>
      <c r="D561" s="1069" t="n"/>
      <c r="F561" s="1070" t="n"/>
      <c r="G561" s="85" t="n"/>
    </row>
    <row r="562" ht="15.5" customHeight="1" s="828">
      <c r="A562" s="1068" t="n"/>
      <c r="B562" s="725" t="n"/>
      <c r="C562" s="725" t="n"/>
      <c r="D562" s="1069" t="n"/>
      <c r="F562" s="1070" t="n"/>
      <c r="G562" s="85" t="n"/>
    </row>
    <row r="563" ht="15.5" customHeight="1" s="828">
      <c r="A563" s="1068" t="n"/>
      <c r="B563" s="725" t="n"/>
      <c r="C563" s="725" t="n"/>
      <c r="D563" s="1069" t="n"/>
      <c r="F563" s="1070" t="n"/>
      <c r="G563" s="85" t="n"/>
    </row>
    <row r="564" ht="15.5" customHeight="1" s="828">
      <c r="A564" s="1068" t="n"/>
      <c r="B564" s="725" t="n"/>
      <c r="C564" s="725" t="n"/>
      <c r="D564" s="1069" t="n"/>
      <c r="F564" s="1070" t="n"/>
      <c r="G564" s="85" t="n"/>
    </row>
    <row r="565" ht="15.5" customHeight="1" s="828">
      <c r="A565" s="1068" t="n"/>
      <c r="B565" s="725" t="n"/>
      <c r="C565" s="725" t="n"/>
      <c r="D565" s="1069" t="n"/>
      <c r="F565" s="1070" t="n"/>
      <c r="G565" s="85" t="n"/>
    </row>
    <row r="566" ht="15.5" customHeight="1" s="828">
      <c r="A566" s="1068" t="n"/>
      <c r="B566" s="725" t="n"/>
      <c r="C566" s="725" t="n"/>
      <c r="D566" s="1069" t="n"/>
      <c r="F566" s="1070" t="n"/>
      <c r="G566" s="85" t="n"/>
    </row>
    <row r="567" ht="15.5" customHeight="1" s="828">
      <c r="A567" s="1068" t="n"/>
      <c r="B567" s="725" t="n"/>
      <c r="C567" s="725" t="n"/>
      <c r="D567" s="1069" t="n"/>
      <c r="F567" s="238" t="n"/>
      <c r="G567" s="85" t="n"/>
    </row>
    <row r="568" ht="15.5" customHeight="1" s="828">
      <c r="A568" s="1068" t="n"/>
      <c r="B568" s="725" t="n"/>
      <c r="C568" s="725" t="n"/>
      <c r="D568" s="1069" t="n"/>
      <c r="F568" s="1070" t="n"/>
      <c r="G568" s="85" t="n"/>
    </row>
    <row r="569" ht="15.5" customHeight="1" s="828">
      <c r="A569" s="1068" t="n"/>
      <c r="B569" s="725" t="n"/>
      <c r="C569" s="725" t="n"/>
      <c r="D569" s="1069" t="n"/>
      <c r="F569" s="1070" t="n"/>
      <c r="G569" s="85" t="n"/>
    </row>
    <row r="570" ht="15.5" customHeight="1" s="828">
      <c r="A570" s="1068" t="n"/>
      <c r="B570" s="725" t="n"/>
      <c r="C570" s="725" t="n"/>
      <c r="D570" s="1069" t="n"/>
      <c r="F570" s="1070" t="n"/>
      <c r="G570" s="85" t="n"/>
    </row>
    <row r="571" ht="15.5" customHeight="1" s="828">
      <c r="A571" s="1068" t="n"/>
      <c r="B571" s="725" t="n"/>
      <c r="C571" s="725" t="n"/>
      <c r="D571" s="1069" t="n"/>
      <c r="F571" s="1070" t="n"/>
      <c r="G571" s="85" t="n"/>
    </row>
    <row r="572" ht="15.5" customHeight="1" s="828">
      <c r="A572" s="1068" t="n"/>
      <c r="B572" s="725" t="n"/>
      <c r="C572" s="725" t="n"/>
      <c r="D572" s="1069" t="n"/>
      <c r="F572" s="1070" t="n"/>
      <c r="G572" s="85" t="n"/>
    </row>
    <row r="573" ht="15.5" customHeight="1" s="828">
      <c r="A573" s="1068" t="n"/>
      <c r="B573" s="725" t="n"/>
      <c r="C573" s="725" t="n"/>
      <c r="D573" s="1069" t="n"/>
      <c r="F573" s="1070" t="n"/>
      <c r="G573" s="85" t="n"/>
    </row>
    <row r="574" ht="15.5" customHeight="1" s="828">
      <c r="A574" s="1068" t="n"/>
      <c r="B574" s="725" t="n"/>
      <c r="C574" s="725" t="n"/>
      <c r="D574" s="1069" t="n"/>
      <c r="F574" s="1070" t="n"/>
      <c r="G574" s="85" t="n"/>
    </row>
    <row r="575" ht="15.5" customHeight="1" s="828">
      <c r="A575" s="1068" t="n"/>
      <c r="B575" s="725" t="n"/>
      <c r="C575" s="725" t="n"/>
      <c r="D575" s="1069" t="n"/>
      <c r="F575" s="1070" t="n"/>
      <c r="G575" s="85" t="n"/>
    </row>
    <row r="576" ht="15.5" customHeight="1" s="828">
      <c r="A576" s="1068" t="n"/>
      <c r="B576" s="725" t="n"/>
      <c r="C576" s="725" t="n"/>
      <c r="D576" s="1069" t="n"/>
      <c r="F576" s="1070" t="n"/>
      <c r="G576" s="85" t="n"/>
    </row>
    <row r="577" ht="15.5" customHeight="1" s="828">
      <c r="A577" s="1068" t="n"/>
      <c r="B577" s="725" t="n"/>
      <c r="C577" s="725" t="n"/>
      <c r="D577" s="1069" t="n"/>
      <c r="F577" s="1070" t="n"/>
      <c r="G577" s="85" t="n"/>
    </row>
    <row r="578" ht="15.5" customHeight="1" s="828">
      <c r="A578" s="1068" t="n"/>
      <c r="B578" s="725" t="n"/>
      <c r="C578" s="725" t="n"/>
      <c r="D578" s="1069" t="n"/>
      <c r="F578" s="1070" t="n"/>
      <c r="G578" s="85" t="n"/>
    </row>
    <row r="579" ht="15.5" customHeight="1" s="828">
      <c r="A579" s="1068" t="n"/>
      <c r="B579" s="725" t="n"/>
      <c r="C579" s="725" t="n"/>
      <c r="D579" s="1069" t="n"/>
      <c r="F579" s="238" t="n"/>
      <c r="G579" s="85" t="n"/>
    </row>
    <row r="580" ht="15.5" customHeight="1" s="828">
      <c r="A580" s="1068" t="n"/>
      <c r="B580" s="725" t="n"/>
      <c r="C580" s="725" t="n"/>
      <c r="D580" s="1069" t="n"/>
      <c r="F580" s="1070" t="n"/>
      <c r="G580" s="85" t="n"/>
    </row>
    <row r="581" ht="15.5" customHeight="1" s="828">
      <c r="A581" s="1068" t="n"/>
      <c r="B581" s="725" t="n"/>
      <c r="C581" s="725" t="n"/>
      <c r="D581" s="1069" t="n"/>
      <c r="F581" s="1070" t="n"/>
      <c r="G581" s="85" t="n"/>
    </row>
    <row r="582" ht="15.5" customHeight="1" s="828">
      <c r="A582" s="1068" t="n"/>
      <c r="B582" s="725" t="n"/>
      <c r="C582" s="725" t="n"/>
      <c r="D582" s="1069" t="n"/>
      <c r="F582" s="1070" t="n"/>
      <c r="G582" s="85" t="n"/>
    </row>
    <row r="583" ht="15.5" customHeight="1" s="828">
      <c r="A583" s="1068" t="n"/>
      <c r="B583" s="725" t="n"/>
      <c r="C583" s="725" t="n"/>
      <c r="D583" s="1069" t="n"/>
      <c r="F583" s="1070" t="n"/>
      <c r="G583" s="85" t="n"/>
    </row>
    <row r="584" ht="15.5" customHeight="1" s="828">
      <c r="A584" s="1068" t="n"/>
      <c r="B584" s="725" t="n"/>
      <c r="C584" s="725" t="n"/>
      <c r="D584" s="1069" t="n"/>
      <c r="F584" s="1070" t="n"/>
      <c r="G584" s="85" t="n"/>
    </row>
    <row r="585" ht="15.5" customHeight="1" s="828">
      <c r="A585" s="1068" t="n"/>
      <c r="B585" s="725" t="n"/>
      <c r="C585" s="725" t="n"/>
      <c r="D585" s="1069" t="n"/>
      <c r="F585" s="1070" t="n"/>
      <c r="G585" s="85" t="n"/>
    </row>
    <row r="586" ht="15.5" customHeight="1" s="828">
      <c r="A586" s="1068" t="n"/>
      <c r="B586" s="725" t="n"/>
      <c r="C586" s="725" t="n"/>
      <c r="D586" s="1069" t="n"/>
      <c r="F586" s="1070" t="n"/>
      <c r="G586" s="85" t="n"/>
    </row>
    <row r="587" ht="15.5" customHeight="1" s="828">
      <c r="A587" s="1068" t="n"/>
      <c r="B587" s="725" t="n"/>
      <c r="C587" s="725" t="n"/>
      <c r="D587" s="1069" t="n"/>
      <c r="F587" s="1070" t="n"/>
      <c r="G587" s="85" t="n"/>
    </row>
    <row r="588" ht="15.5" customHeight="1" s="828">
      <c r="A588" s="1068" t="n"/>
      <c r="B588" s="725" t="n"/>
      <c r="C588" s="725" t="n"/>
      <c r="D588" s="1069" t="n"/>
      <c r="F588" s="1070" t="n"/>
      <c r="G588" s="85" t="n"/>
    </row>
    <row r="589" ht="15.5" customHeight="1" s="828">
      <c r="A589" s="1068" t="n"/>
      <c r="B589" s="725" t="n"/>
      <c r="C589" s="725" t="n"/>
      <c r="D589" s="1069" t="n"/>
      <c r="F589" s="1070" t="n"/>
      <c r="G589" s="85" t="n"/>
    </row>
    <row r="590" ht="15.5" customHeight="1" s="828">
      <c r="A590" s="1068" t="n"/>
      <c r="B590" s="725" t="n"/>
      <c r="C590" s="725" t="n"/>
      <c r="D590" s="1069" t="n"/>
      <c r="F590" s="1070" t="n"/>
      <c r="G590" s="85" t="n"/>
    </row>
    <row r="591" ht="15.5" customHeight="1" s="828">
      <c r="A591" s="1068" t="n"/>
      <c r="B591" s="725" t="n"/>
      <c r="C591" s="725" t="n"/>
      <c r="D591" s="1069" t="n"/>
      <c r="F591" s="238" t="n"/>
      <c r="G591" s="85" t="n"/>
    </row>
    <row r="592" ht="15.5" customHeight="1" s="828">
      <c r="A592" s="1068" t="n"/>
      <c r="B592" s="725" t="n"/>
      <c r="C592" s="725" t="n"/>
      <c r="D592" s="1069" t="n"/>
      <c r="F592" s="1070" t="n"/>
      <c r="G592" s="85" t="n"/>
    </row>
    <row r="593" ht="15.5" customHeight="1" s="828">
      <c r="A593" s="1068" t="n"/>
      <c r="B593" s="725" t="n"/>
      <c r="C593" s="725" t="n"/>
      <c r="D593" s="1069" t="n"/>
      <c r="F593" s="1070" t="n"/>
      <c r="G593" s="85" t="n"/>
    </row>
    <row r="594" ht="15.5" customHeight="1" s="828">
      <c r="A594" s="1068" t="n"/>
      <c r="B594" s="725" t="n"/>
      <c r="C594" s="725" t="n"/>
      <c r="D594" s="1069" t="n"/>
      <c r="F594" s="1070" t="n"/>
      <c r="G594" s="85" t="n"/>
    </row>
    <row r="595" ht="15.5" customHeight="1" s="828">
      <c r="A595" s="1068" t="n"/>
      <c r="B595" s="725" t="n"/>
      <c r="C595" s="725" t="n"/>
      <c r="D595" s="1069" t="n"/>
      <c r="F595" s="1070" t="n"/>
      <c r="G595" s="85" t="n"/>
    </row>
    <row r="596" ht="15.5" customHeight="1" s="828">
      <c r="A596" s="1068" t="n"/>
      <c r="B596" s="725" t="n"/>
      <c r="C596" s="725" t="n"/>
      <c r="D596" s="1069" t="n"/>
      <c r="F596" s="1070" t="n"/>
      <c r="G596" s="85" t="n"/>
    </row>
    <row r="597" ht="15.5" customHeight="1" s="828">
      <c r="A597" s="1068" t="n"/>
      <c r="B597" s="725" t="n"/>
      <c r="C597" s="725" t="n"/>
      <c r="D597" s="1069" t="n"/>
      <c r="F597" s="1070" t="n"/>
      <c r="G597" s="85" t="n"/>
    </row>
    <row r="598" ht="15.5" customHeight="1" s="828">
      <c r="A598" s="1068" t="n"/>
      <c r="B598" s="725" t="n"/>
      <c r="C598" s="725" t="n"/>
      <c r="D598" s="1069" t="n"/>
      <c r="F598" s="1070" t="n"/>
      <c r="G598" s="85" t="n"/>
    </row>
    <row r="599" ht="15.5" customHeight="1" s="828">
      <c r="A599" s="1068" t="n"/>
      <c r="B599" s="725" t="n"/>
      <c r="C599" s="725" t="n"/>
      <c r="D599" s="1069" t="n"/>
      <c r="F599" s="1070" t="n"/>
      <c r="G599" s="85" t="n"/>
    </row>
    <row r="600" ht="15.5" customHeight="1" s="828">
      <c r="A600" s="1068" t="n"/>
      <c r="B600" s="725" t="n"/>
      <c r="C600" s="725" t="n"/>
      <c r="D600" s="1069" t="n"/>
      <c r="F600" s="1070" t="n"/>
      <c r="G600" s="85" t="n"/>
    </row>
    <row r="601" ht="15.5" customHeight="1" s="828">
      <c r="A601" s="1068" t="n"/>
      <c r="B601" s="725" t="n"/>
      <c r="C601" s="725" t="n"/>
      <c r="D601" s="1069" t="n"/>
      <c r="F601" s="1070" t="n"/>
      <c r="G601" s="85" t="n"/>
    </row>
    <row r="602" ht="15.5" customHeight="1" s="828">
      <c r="A602" s="1068" t="n"/>
      <c r="B602" s="725" t="n"/>
      <c r="C602" s="725" t="n"/>
      <c r="D602" s="1069" t="n"/>
      <c r="F602" s="1070" t="n"/>
      <c r="G602" s="85" t="n"/>
    </row>
    <row r="603" ht="15.5" customHeight="1" s="828">
      <c r="A603" s="1068" t="n"/>
      <c r="B603" s="725" t="n"/>
      <c r="C603" s="725" t="n"/>
      <c r="D603" s="1069" t="n"/>
      <c r="F603" s="238" t="n"/>
      <c r="G603" s="85" t="n"/>
    </row>
    <row r="604" ht="15.5" customHeight="1" s="828">
      <c r="A604" s="1068" t="n"/>
      <c r="B604" s="725" t="n"/>
      <c r="C604" s="725" t="n"/>
      <c r="D604" s="1069" t="n"/>
      <c r="F604" s="1070" t="n"/>
      <c r="G604" s="85" t="n"/>
    </row>
    <row r="605" ht="15.5" customHeight="1" s="828">
      <c r="A605" s="1068" t="n"/>
      <c r="B605" s="725" t="n"/>
      <c r="C605" s="725" t="n"/>
      <c r="D605" s="1069" t="n"/>
      <c r="F605" s="1070" t="n"/>
      <c r="G605" s="85" t="n"/>
    </row>
    <row r="606" ht="15.5" customHeight="1" s="828">
      <c r="A606" s="1068" t="n"/>
      <c r="B606" s="725" t="n"/>
      <c r="C606" s="725" t="n"/>
      <c r="D606" s="1069" t="n"/>
      <c r="F606" s="1070" t="n"/>
      <c r="G606" s="85" t="n"/>
    </row>
    <row r="607" ht="15.5" customHeight="1" s="828">
      <c r="A607" s="1068" t="n"/>
      <c r="B607" s="725" t="n"/>
      <c r="C607" s="725" t="n"/>
      <c r="D607" s="1069" t="n"/>
      <c r="F607" s="1070" t="n"/>
      <c r="G607" s="85" t="n"/>
    </row>
    <row r="608" ht="15.5" customHeight="1" s="828">
      <c r="A608" s="1068" t="n"/>
      <c r="B608" s="725" t="n"/>
      <c r="C608" s="725" t="n"/>
      <c r="D608" s="1069" t="n"/>
      <c r="F608" s="1070" t="n"/>
      <c r="G608" s="85" t="n"/>
    </row>
    <row r="609" ht="15.5" customHeight="1" s="828">
      <c r="A609" s="1068" t="n"/>
      <c r="B609" s="725" t="n"/>
      <c r="C609" s="725" t="n"/>
      <c r="D609" s="1069" t="n"/>
      <c r="F609" s="1070" t="n"/>
      <c r="G609" s="85" t="n"/>
    </row>
    <row r="610" ht="15.5" customHeight="1" s="828">
      <c r="A610" s="1068" t="n"/>
      <c r="B610" s="725" t="n"/>
      <c r="C610" s="725" t="n"/>
      <c r="D610" s="1069" t="n"/>
      <c r="F610" s="1070" t="n"/>
      <c r="G610" s="85" t="n"/>
    </row>
    <row r="611" ht="15.5" customHeight="1" s="828">
      <c r="A611" s="1068" t="n"/>
      <c r="B611" s="725" t="n"/>
      <c r="C611" s="725" t="n"/>
      <c r="D611" s="1069" t="n"/>
      <c r="F611" s="1070" t="n"/>
      <c r="G611" s="85" t="n"/>
    </row>
    <row r="612" ht="15.5" customHeight="1" s="828">
      <c r="A612" s="1068" t="n"/>
      <c r="B612" s="725" t="n"/>
      <c r="C612" s="725" t="n"/>
      <c r="D612" s="1069" t="n"/>
      <c r="F612" s="1070" t="n"/>
      <c r="G612" s="85" t="n"/>
    </row>
    <row r="613" ht="15.5" customHeight="1" s="828">
      <c r="A613" s="1068" t="n"/>
      <c r="B613" s="725" t="n"/>
      <c r="C613" s="725" t="n"/>
      <c r="D613" s="1069" t="n"/>
      <c r="F613" s="1070" t="n"/>
      <c r="G613" s="85" t="n"/>
    </row>
    <row r="614" ht="15.5" customHeight="1" s="828">
      <c r="A614" s="1068" t="n"/>
      <c r="B614" s="725" t="n"/>
      <c r="C614" s="725" t="n"/>
      <c r="D614" s="1069" t="n"/>
      <c r="F614" s="1070" t="n"/>
      <c r="G614" s="85" t="n"/>
    </row>
    <row r="615" ht="15.5" customHeight="1" s="828">
      <c r="A615" s="1068" t="n"/>
      <c r="B615" s="725" t="n"/>
      <c r="C615" s="725" t="n"/>
      <c r="D615" s="1069" t="n"/>
      <c r="F615" s="238" t="n"/>
      <c r="G615" s="85" t="n"/>
    </row>
    <row r="616" ht="15.5" customHeight="1" s="828">
      <c r="A616" s="1068" t="n"/>
      <c r="B616" s="725" t="n"/>
      <c r="C616" s="725" t="n"/>
      <c r="D616" s="1069" t="n"/>
      <c r="F616" s="1070" t="n"/>
      <c r="G616" s="85" t="n"/>
    </row>
    <row r="617" ht="15.5" customHeight="1" s="828">
      <c r="A617" s="1068" t="n"/>
      <c r="B617" s="725" t="n"/>
      <c r="C617" s="725" t="n"/>
      <c r="D617" s="1069" t="n"/>
      <c r="F617" s="1070" t="n"/>
      <c r="G617" s="85" t="n"/>
    </row>
    <row r="618" ht="15.5" customHeight="1" s="828">
      <c r="A618" s="1068" t="n"/>
      <c r="B618" s="725" t="n"/>
      <c r="C618" s="725" t="n"/>
      <c r="D618" s="1069" t="n"/>
      <c r="F618" s="1070" t="n"/>
      <c r="G618" s="85" t="n"/>
    </row>
    <row r="619" ht="15.5" customHeight="1" s="828">
      <c r="A619" s="1068" t="n"/>
      <c r="B619" s="725" t="n"/>
      <c r="C619" s="725" t="n"/>
      <c r="D619" s="1069" t="n"/>
      <c r="F619" s="1070" t="n"/>
      <c r="G619" s="85" t="n"/>
    </row>
    <row r="620" ht="15.5" customHeight="1" s="828">
      <c r="A620" s="1068" t="n"/>
      <c r="B620" s="725" t="n"/>
      <c r="C620" s="725" t="n"/>
      <c r="D620" s="1069" t="n"/>
      <c r="F620" s="1070" t="n"/>
      <c r="G620" s="85" t="n"/>
    </row>
    <row r="621" ht="15.5" customHeight="1" s="828">
      <c r="A621" s="1068" t="n"/>
      <c r="B621" s="725" t="n"/>
      <c r="C621" s="725" t="n"/>
      <c r="D621" s="1069" t="n"/>
      <c r="F621" s="1070" t="n"/>
      <c r="G621" s="85" t="n"/>
    </row>
    <row r="622" ht="15.5" customHeight="1" s="828">
      <c r="A622" s="1068" t="n"/>
      <c r="B622" s="725" t="n"/>
      <c r="C622" s="725" t="n"/>
      <c r="D622" s="1069" t="n"/>
      <c r="F622" s="1070" t="n"/>
      <c r="G622" s="85" t="n"/>
    </row>
    <row r="623" ht="15.5" customHeight="1" s="828">
      <c r="A623" s="1068" t="n"/>
      <c r="B623" s="725" t="n"/>
      <c r="C623" s="725" t="n"/>
      <c r="D623" s="1069" t="n"/>
      <c r="F623" s="1070" t="n"/>
      <c r="G623" s="85" t="n"/>
    </row>
    <row r="624" ht="15.5" customHeight="1" s="828">
      <c r="A624" s="1068" t="n"/>
      <c r="B624" s="725" t="n"/>
      <c r="C624" s="725" t="n"/>
      <c r="D624" s="1069" t="n"/>
      <c r="F624" s="1070" t="n"/>
      <c r="G624" s="85" t="n"/>
    </row>
    <row r="625" ht="15.5" customHeight="1" s="828">
      <c r="A625" s="1068" t="n"/>
      <c r="B625" s="725" t="n"/>
      <c r="C625" s="725" t="n"/>
      <c r="D625" s="1069" t="n"/>
      <c r="F625" s="1070" t="n"/>
      <c r="G625" s="85" t="n"/>
    </row>
    <row r="626" ht="15.5" customHeight="1" s="828">
      <c r="A626" s="1068" t="n"/>
      <c r="B626" s="725" t="n"/>
      <c r="C626" s="725" t="n"/>
      <c r="D626" s="1069" t="n"/>
      <c r="F626" s="1070" t="n"/>
      <c r="G626" s="85" t="n"/>
    </row>
    <row r="627" ht="15.5" customHeight="1" s="828">
      <c r="A627" s="1068" t="n"/>
      <c r="B627" s="725" t="n"/>
      <c r="C627" s="725" t="n"/>
      <c r="D627" s="1069" t="n"/>
      <c r="F627" s="238" t="n"/>
      <c r="G627" s="85" t="n"/>
    </row>
    <row r="628" ht="15.5" customHeight="1" s="828">
      <c r="A628" s="1068" t="n"/>
      <c r="B628" s="725" t="n"/>
      <c r="C628" s="725" t="n"/>
      <c r="D628" s="1069" t="n"/>
      <c r="F628" s="1070" t="n"/>
      <c r="G628" s="85" t="n"/>
    </row>
    <row r="629" ht="15.5" customHeight="1" s="828">
      <c r="A629" s="1068" t="n"/>
      <c r="B629" s="725" t="n"/>
      <c r="C629" s="725" t="n"/>
      <c r="D629" s="1069" t="n"/>
      <c r="F629" s="1070" t="n"/>
      <c r="G629" s="85" t="n"/>
    </row>
    <row r="630" ht="15.5" customHeight="1" s="828">
      <c r="A630" s="1068" t="n"/>
      <c r="B630" s="725" t="n"/>
      <c r="C630" s="725" t="n"/>
      <c r="D630" s="1069" t="n"/>
      <c r="F630" s="1070" t="n"/>
      <c r="G630" s="85" t="n"/>
    </row>
    <row r="631" ht="15.5" customHeight="1" s="828">
      <c r="A631" s="1068" t="n"/>
      <c r="B631" s="725" t="n"/>
      <c r="C631" s="725" t="n"/>
      <c r="D631" s="1069" t="n"/>
      <c r="F631" s="1070" t="n"/>
      <c r="G631" s="85" t="n"/>
    </row>
    <row r="632" ht="15.5" customHeight="1" s="828">
      <c r="A632" s="1068" t="n"/>
      <c r="B632" s="725" t="n"/>
      <c r="C632" s="725" t="n"/>
      <c r="D632" s="1069" t="n"/>
      <c r="F632" s="1070" t="n"/>
      <c r="G632" s="85" t="n"/>
    </row>
    <row r="633" ht="15.5" customHeight="1" s="828">
      <c r="A633" s="1068" t="n"/>
      <c r="B633" s="725" t="n"/>
      <c r="C633" s="725" t="n"/>
      <c r="D633" s="1069" t="n"/>
      <c r="F633" s="1070" t="n"/>
      <c r="G633" s="85" t="n"/>
    </row>
    <row r="634" ht="15.5" customHeight="1" s="828">
      <c r="A634" s="1068" t="n"/>
      <c r="B634" s="725" t="n"/>
      <c r="C634" s="725" t="n"/>
      <c r="D634" s="1069" t="n"/>
      <c r="F634" s="1070" t="n"/>
      <c r="G634" s="85" t="n"/>
    </row>
    <row r="635" ht="15.5" customHeight="1" s="828">
      <c r="A635" s="1068" t="n"/>
      <c r="B635" s="725" t="n"/>
      <c r="C635" s="725" t="n"/>
      <c r="D635" s="1069" t="n"/>
      <c r="F635" s="1070" t="n"/>
      <c r="G635" s="85" t="n"/>
    </row>
    <row r="636" ht="15.5" customHeight="1" s="828">
      <c r="A636" s="1068" t="n"/>
      <c r="B636" s="725" t="n"/>
      <c r="C636" s="725" t="n"/>
      <c r="D636" s="1069" t="n"/>
      <c r="F636" s="1070" t="n"/>
      <c r="G636" s="85" t="n"/>
    </row>
    <row r="637" ht="15.5" customHeight="1" s="828">
      <c r="A637" s="1068" t="n"/>
      <c r="B637" s="725" t="n"/>
      <c r="C637" s="725" t="n"/>
      <c r="D637" s="1069" t="n"/>
      <c r="F637" s="1070" t="n"/>
      <c r="G637" s="85" t="n"/>
    </row>
    <row r="638" ht="15.5" customHeight="1" s="828">
      <c r="A638" s="1068" t="n"/>
      <c r="B638" s="725" t="n"/>
      <c r="C638" s="725" t="n"/>
      <c r="D638" s="1069" t="n"/>
      <c r="F638" s="1070" t="n"/>
      <c r="G638" s="85" t="n"/>
    </row>
    <row r="639" ht="15.5" customHeight="1" s="828">
      <c r="A639" s="1068" t="n"/>
      <c r="B639" s="725" t="n"/>
      <c r="C639" s="725" t="n"/>
      <c r="D639" s="1069" t="n"/>
      <c r="F639" s="238" t="n"/>
      <c r="G639" s="85" t="n"/>
    </row>
    <row r="640" ht="15.5" customHeight="1" s="828">
      <c r="A640" s="1068" t="n"/>
      <c r="B640" s="725" t="n"/>
      <c r="C640" s="725" t="n"/>
      <c r="D640" s="1069" t="n"/>
      <c r="F640" s="1070" t="n"/>
      <c r="G640" s="85" t="n"/>
    </row>
    <row r="641" ht="15.5" customHeight="1" s="828">
      <c r="A641" s="1068" t="n"/>
      <c r="B641" s="725" t="n"/>
      <c r="C641" s="725" t="n"/>
      <c r="D641" s="1069" t="n"/>
      <c r="F641" s="1070" t="n"/>
      <c r="G641" s="85" t="n"/>
    </row>
    <row r="642" ht="15.5" customHeight="1" s="828">
      <c r="A642" s="1068" t="n"/>
      <c r="B642" s="725" t="n"/>
      <c r="C642" s="725" t="n"/>
      <c r="D642" s="1069" t="n"/>
      <c r="F642" s="1070" t="n"/>
      <c r="G642" s="85" t="n"/>
    </row>
    <row r="643" ht="15.5" customHeight="1" s="828">
      <c r="A643" s="1068" t="n"/>
      <c r="B643" s="725" t="n"/>
      <c r="C643" s="725" t="n"/>
      <c r="D643" s="1069" t="n"/>
      <c r="F643" s="1070" t="n"/>
      <c r="G643" s="85" t="n"/>
    </row>
    <row r="644" ht="15.5" customHeight="1" s="828">
      <c r="A644" s="1068" t="n"/>
      <c r="B644" s="725" t="n"/>
      <c r="C644" s="725" t="n"/>
      <c r="D644" s="1069" t="n"/>
      <c r="F644" s="1070" t="n"/>
      <c r="G644" s="85" t="n"/>
    </row>
    <row r="645" ht="15.5" customHeight="1" s="828">
      <c r="A645" s="1068" t="n"/>
      <c r="B645" s="725" t="n"/>
      <c r="C645" s="725" t="n"/>
      <c r="D645" s="1069" t="n"/>
      <c r="F645" s="1070" t="n"/>
      <c r="G645" s="85" t="n"/>
    </row>
    <row r="646" ht="15.5" customHeight="1" s="828">
      <c r="A646" s="1068" t="n"/>
      <c r="B646" s="725" t="n"/>
      <c r="C646" s="725" t="n"/>
      <c r="D646" s="1069" t="n"/>
      <c r="F646" s="1070" t="n"/>
      <c r="G646" s="85" t="n"/>
    </row>
    <row r="647" ht="15.5" customHeight="1" s="828">
      <c r="A647" s="1068" t="n"/>
      <c r="B647" s="725" t="n"/>
      <c r="C647" s="725" t="n"/>
      <c r="D647" s="1069" t="n"/>
      <c r="F647" s="1070" t="n"/>
      <c r="G647" s="85" t="n"/>
    </row>
    <row r="648" ht="15.5" customHeight="1" s="828">
      <c r="A648" s="1068" t="n"/>
      <c r="B648" s="725" t="n"/>
      <c r="C648" s="725" t="n"/>
      <c r="D648" s="1069" t="n"/>
      <c r="F648" s="1070" t="n"/>
      <c r="G648" s="85" t="n"/>
    </row>
    <row r="649" ht="15.5" customHeight="1" s="828">
      <c r="A649" s="1068" t="n"/>
      <c r="B649" s="725" t="n"/>
      <c r="C649" s="725" t="n"/>
      <c r="D649" s="1069" t="n"/>
      <c r="F649" s="1070" t="n"/>
      <c r="G649" s="85" t="n"/>
    </row>
    <row r="650" ht="15.5" customHeight="1" s="828">
      <c r="A650" s="1068" t="n"/>
      <c r="B650" s="725" t="n"/>
      <c r="C650" s="725" t="n"/>
      <c r="D650" s="1069" t="n"/>
      <c r="F650" s="1070" t="n"/>
      <c r="G650" s="85" t="n"/>
    </row>
    <row r="651" ht="15.5" customHeight="1" s="828">
      <c r="A651" s="1068" t="n"/>
      <c r="B651" s="725" t="n"/>
      <c r="C651" s="725" t="n"/>
      <c r="D651" s="1069" t="n"/>
      <c r="F651" s="238" t="n"/>
      <c r="G651" s="85" t="n"/>
    </row>
    <row r="652" ht="15.5" customHeight="1" s="828">
      <c r="A652" s="1068" t="n"/>
      <c r="B652" s="725" t="n"/>
      <c r="C652" s="725" t="n"/>
      <c r="D652" s="1069" t="n"/>
      <c r="F652" s="1070" t="n"/>
      <c r="G652" s="85" t="n"/>
    </row>
    <row r="653" ht="15.5" customHeight="1" s="828">
      <c r="A653" s="1068" t="n"/>
      <c r="B653" s="725" t="n"/>
      <c r="C653" s="725" t="n"/>
      <c r="D653" s="1069" t="n"/>
      <c r="F653" s="1070" t="n"/>
      <c r="G653" s="85" t="n"/>
    </row>
    <row r="654" ht="15.5" customHeight="1" s="828">
      <c r="A654" s="1068" t="n"/>
      <c r="B654" s="725" t="n"/>
      <c r="C654" s="725" t="n"/>
      <c r="D654" s="1069" t="n"/>
      <c r="F654" s="1070" t="n"/>
      <c r="G654" s="85" t="n"/>
    </row>
    <row r="655" ht="15.5" customHeight="1" s="828">
      <c r="A655" s="1068" t="n"/>
      <c r="B655" s="725" t="n"/>
      <c r="C655" s="725" t="n"/>
      <c r="D655" s="1069" t="n"/>
      <c r="F655" s="1070" t="n"/>
      <c r="G655" s="85" t="n"/>
    </row>
    <row r="656" ht="15.5" customHeight="1" s="828">
      <c r="A656" s="1068" t="n"/>
      <c r="B656" s="725" t="n"/>
      <c r="C656" s="725" t="n"/>
      <c r="D656" s="1069" t="n"/>
      <c r="F656" s="1070" t="n"/>
      <c r="G656" s="85" t="n"/>
    </row>
    <row r="657" ht="15.5" customHeight="1" s="828">
      <c r="A657" s="1068" t="n"/>
      <c r="B657" s="725" t="n"/>
      <c r="C657" s="725" t="n"/>
      <c r="D657" s="1069" t="n"/>
      <c r="F657" s="1070" t="n"/>
      <c r="G657" s="85" t="n"/>
    </row>
    <row r="658" ht="15.5" customHeight="1" s="828">
      <c r="A658" s="1068" t="n"/>
      <c r="B658" s="725" t="n"/>
      <c r="C658" s="725" t="n"/>
      <c r="D658" s="1069" t="n"/>
      <c r="F658" s="1070" t="n"/>
      <c r="G658" s="85" t="n"/>
    </row>
    <row r="659" ht="15.5" customHeight="1" s="828">
      <c r="A659" s="1068" t="n"/>
      <c r="B659" s="725" t="n"/>
      <c r="C659" s="725" t="n"/>
      <c r="D659" s="1069" t="n"/>
      <c r="F659" s="1070" t="n"/>
      <c r="G659" s="85" t="n"/>
    </row>
    <row r="660" ht="15.5" customHeight="1" s="828">
      <c r="A660" s="1068" t="n"/>
      <c r="B660" s="725" t="n"/>
      <c r="C660" s="725" t="n"/>
      <c r="D660" s="1069" t="n"/>
      <c r="F660" s="1070" t="n"/>
      <c r="G660" s="85" t="n"/>
    </row>
    <row r="661" ht="15.5" customHeight="1" s="828">
      <c r="A661" s="1068" t="n"/>
      <c r="B661" s="725" t="n"/>
      <c r="C661" s="725" t="n"/>
      <c r="D661" s="1069" t="n"/>
      <c r="F661" s="1070" t="n"/>
      <c r="G661" s="85" t="n"/>
    </row>
    <row r="662" ht="15.5" customHeight="1" s="828">
      <c r="A662" s="1068" t="n"/>
      <c r="B662" s="725" t="n"/>
      <c r="C662" s="725" t="n"/>
      <c r="D662" s="1069" t="n"/>
      <c r="F662" s="1070" t="n"/>
      <c r="G662" s="85" t="n"/>
    </row>
    <row r="663" ht="15.5" customHeight="1" s="828">
      <c r="A663" s="1068" t="n"/>
      <c r="B663" s="725" t="n"/>
      <c r="C663" s="725" t="n"/>
      <c r="D663" s="1069" t="n"/>
      <c r="F663" s="238" t="n"/>
      <c r="G663" s="85" t="n"/>
    </row>
    <row r="664" ht="15.5" customHeight="1" s="828">
      <c r="A664" s="1068" t="n"/>
      <c r="B664" s="725" t="n"/>
      <c r="C664" s="725" t="n"/>
      <c r="D664" s="1069" t="n"/>
      <c r="F664" s="1070" t="n"/>
      <c r="G664" s="85" t="n"/>
    </row>
    <row r="665" ht="15.5" customHeight="1" s="828">
      <c r="A665" s="1068" t="n"/>
      <c r="B665" s="725" t="n"/>
      <c r="C665" s="725" t="n"/>
      <c r="D665" s="1069" t="n"/>
      <c r="F665" s="1070" t="n"/>
      <c r="G665" s="85" t="n"/>
    </row>
    <row r="666" ht="15.5" customHeight="1" s="828">
      <c r="A666" s="1068" t="n"/>
      <c r="B666" s="725" t="n"/>
      <c r="C666" s="725" t="n"/>
      <c r="D666" s="1069" t="n"/>
      <c r="F666" s="1070" t="n"/>
      <c r="G666" s="85" t="n"/>
    </row>
    <row r="667" ht="15.5" customHeight="1" s="828">
      <c r="A667" s="1068" t="n"/>
      <c r="B667" s="725" t="n"/>
      <c r="C667" s="725" t="n"/>
      <c r="D667" s="1069" t="n"/>
      <c r="F667" s="1070" t="n"/>
      <c r="G667" s="85" t="n"/>
    </row>
    <row r="668" ht="15.5" customHeight="1" s="828">
      <c r="A668" s="1068" t="n"/>
      <c r="B668" s="725" t="n"/>
      <c r="C668" s="725" t="n"/>
      <c r="D668" s="1069" t="n"/>
      <c r="F668" s="1070" t="n"/>
      <c r="G668" s="85" t="n"/>
    </row>
    <row r="669" ht="15.5" customHeight="1" s="828">
      <c r="A669" s="1068" t="n"/>
      <c r="B669" s="725" t="n"/>
      <c r="C669" s="725" t="n"/>
      <c r="D669" s="1069" t="n"/>
      <c r="F669" s="1070" t="n"/>
      <c r="G669" s="85" t="n"/>
    </row>
    <row r="670" ht="15.5" customHeight="1" s="828">
      <c r="A670" s="1068" t="n"/>
      <c r="B670" s="725" t="n"/>
      <c r="C670" s="725" t="n"/>
      <c r="D670" s="1069" t="n"/>
      <c r="F670" s="1070" t="n"/>
      <c r="G670" s="85" t="n"/>
    </row>
    <row r="671" ht="15.5" customHeight="1" s="828">
      <c r="A671" s="1068" t="n"/>
      <c r="B671" s="725" t="n"/>
      <c r="C671" s="725" t="n"/>
      <c r="D671" s="1069" t="n"/>
      <c r="F671" s="1070" t="n"/>
      <c r="G671" s="85" t="n"/>
    </row>
    <row r="672" ht="15.5" customHeight="1" s="828">
      <c r="A672" s="1068" t="n"/>
      <c r="B672" s="725" t="n"/>
      <c r="C672" s="725" t="n"/>
      <c r="D672" s="1069" t="n"/>
      <c r="F672" s="1070" t="n"/>
      <c r="G672" s="85" t="n"/>
    </row>
    <row r="673" ht="15.5" customHeight="1" s="828">
      <c r="A673" s="1068" t="n"/>
      <c r="B673" s="725" t="n"/>
      <c r="C673" s="725" t="n"/>
      <c r="D673" s="1069" t="n"/>
      <c r="F673" s="1070" t="n"/>
      <c r="G673" s="85" t="n"/>
    </row>
    <row r="674" ht="15.5" customHeight="1" s="828">
      <c r="A674" s="1068" t="n"/>
      <c r="B674" s="725" t="n"/>
      <c r="C674" s="725" t="n"/>
      <c r="D674" s="1069" t="n"/>
      <c r="F674" s="1070" t="n"/>
      <c r="G674" s="85" t="n"/>
    </row>
    <row r="675" ht="15.5" customHeight="1" s="828">
      <c r="A675" s="1068" t="n"/>
      <c r="B675" s="725" t="n"/>
      <c r="C675" s="725" t="n"/>
      <c r="D675" s="1069" t="n"/>
      <c r="F675" s="238" t="n"/>
      <c r="G675" s="85" t="n"/>
    </row>
    <row r="676" ht="15.5" customHeight="1" s="828">
      <c r="A676" s="1068" t="n"/>
      <c r="B676" s="725" t="n"/>
      <c r="C676" s="725" t="n"/>
      <c r="D676" s="726" t="n"/>
      <c r="F676" s="1070" t="n"/>
      <c r="G676" s="85" t="n"/>
    </row>
    <row r="677" ht="15.5" customHeight="1" s="828">
      <c r="A677" s="1068" t="n"/>
      <c r="B677" s="725" t="n"/>
      <c r="C677" s="725" t="n"/>
      <c r="D677" s="726" t="n"/>
      <c r="F677" s="1070" t="n"/>
      <c r="G677" s="85" t="n"/>
    </row>
    <row r="678" ht="15.5" customHeight="1" s="828">
      <c r="A678" s="1068" t="n"/>
      <c r="B678" s="725" t="n"/>
      <c r="C678" s="725" t="n"/>
      <c r="D678" s="726" t="n"/>
      <c r="F678" s="1070" t="n"/>
      <c r="G678" s="85" t="n"/>
    </row>
    <row r="679" ht="15.5" customHeight="1" s="828">
      <c r="A679" s="1068" t="n"/>
      <c r="B679" s="725" t="n"/>
      <c r="C679" s="725" t="n"/>
      <c r="D679" s="726" t="n"/>
      <c r="F679" s="1070" t="n"/>
      <c r="G679" s="85" t="n"/>
    </row>
    <row r="680" ht="15.5" customHeight="1" s="828">
      <c r="A680" s="1068" t="n"/>
      <c r="B680" s="725" t="n"/>
      <c r="C680" s="725" t="n"/>
      <c r="D680" s="726" t="n"/>
      <c r="F680" s="1070" t="n"/>
      <c r="G680" s="85" t="n"/>
    </row>
    <row r="681" ht="15.5" customHeight="1" s="828">
      <c r="A681" s="1068" t="n"/>
      <c r="B681" s="725" t="n"/>
      <c r="C681" s="725" t="n"/>
      <c r="D681" s="726" t="n"/>
      <c r="F681" s="1070" t="n"/>
      <c r="G681" s="85" t="n"/>
    </row>
    <row r="682" ht="15.5" customHeight="1" s="828">
      <c r="A682" s="1068" t="n"/>
      <c r="B682" s="725" t="n"/>
      <c r="C682" s="725" t="n"/>
      <c r="D682" s="726" t="n"/>
      <c r="F682" s="1070" t="n"/>
      <c r="G682" s="85" t="n"/>
    </row>
    <row r="683" ht="15.5" customHeight="1" s="828">
      <c r="A683" s="1068" t="n"/>
      <c r="B683" s="725" t="n"/>
      <c r="C683" s="725" t="n"/>
      <c r="D683" s="726" t="n"/>
      <c r="F683" s="1070" t="n"/>
      <c r="G683" s="85" t="n"/>
    </row>
    <row r="684" ht="15.5" customHeight="1" s="828">
      <c r="A684" s="1068" t="n"/>
      <c r="B684" s="725" t="n"/>
      <c r="C684" s="725" t="n"/>
      <c r="D684" s="726" t="n"/>
      <c r="F684" s="1070" t="n"/>
      <c r="G684" s="85" t="n"/>
    </row>
    <row r="685" ht="15.5" customHeight="1" s="828">
      <c r="A685" s="1068" t="n"/>
      <c r="B685" s="725" t="n"/>
      <c r="C685" s="725" t="n"/>
      <c r="D685" s="726" t="n"/>
      <c r="F685" s="1070" t="n"/>
      <c r="G685" s="85" t="n"/>
    </row>
    <row r="686" ht="15.5" customHeight="1" s="828">
      <c r="A686" s="1068" t="n"/>
      <c r="B686" s="725" t="n"/>
      <c r="C686" s="725" t="n"/>
      <c r="D686" s="726" t="n"/>
      <c r="F686" s="1070" t="n"/>
      <c r="G686" s="85" t="n"/>
    </row>
    <row r="687" ht="15.5" customHeight="1" s="828">
      <c r="A687" s="1068" t="n"/>
      <c r="B687" s="725" t="n"/>
      <c r="C687" s="725" t="n"/>
      <c r="D687" s="726" t="n"/>
      <c r="F687" s="238" t="n"/>
      <c r="G687" s="85" t="n"/>
    </row>
    <row r="688" ht="15.5" customHeight="1" s="828">
      <c r="A688" s="1068" t="n"/>
      <c r="B688" s="725" t="n"/>
      <c r="C688" s="725" t="n"/>
      <c r="D688" s="726" t="n"/>
      <c r="F688" s="1070" t="n"/>
      <c r="G688" s="85" t="n"/>
    </row>
    <row r="689" ht="15.5" customHeight="1" s="828">
      <c r="A689" s="1068" t="n"/>
      <c r="B689" s="725" t="n"/>
      <c r="C689" s="725" t="n"/>
      <c r="D689" s="726" t="n"/>
      <c r="F689" s="1070" t="n"/>
      <c r="G689" s="85" t="n"/>
    </row>
    <row r="690" ht="15.5" customHeight="1" s="828">
      <c r="A690" s="1068" t="n"/>
      <c r="B690" s="725" t="n"/>
      <c r="C690" s="725" t="n"/>
      <c r="D690" s="726" t="n"/>
      <c r="F690" s="1070" t="n"/>
      <c r="G690" s="85" t="n"/>
    </row>
    <row r="691" ht="15.5" customHeight="1" s="828">
      <c r="A691" s="1068" t="n"/>
      <c r="B691" s="725" t="n"/>
      <c r="C691" s="725" t="n"/>
      <c r="D691" s="726" t="n"/>
      <c r="F691" s="1070" t="n"/>
      <c r="G691" s="85" t="n"/>
    </row>
    <row r="692" ht="15.5" customHeight="1" s="828">
      <c r="A692" s="1068" t="n"/>
      <c r="B692" s="725" t="n"/>
      <c r="C692" s="725" t="n"/>
      <c r="D692" s="726" t="n"/>
      <c r="F692" s="1070" t="n"/>
      <c r="G692" s="85" t="n"/>
    </row>
    <row r="693" ht="15.5" customHeight="1" s="828">
      <c r="A693" s="1068" t="n"/>
      <c r="B693" s="725" t="n"/>
      <c r="C693" s="725" t="n"/>
      <c r="D693" s="726" t="n"/>
      <c r="F693" s="1070" t="n"/>
      <c r="G693" s="85" t="n"/>
    </row>
    <row r="694" ht="15.5" customHeight="1" s="828">
      <c r="A694" s="1068" t="n"/>
      <c r="B694" s="725" t="n"/>
      <c r="C694" s="725" t="n"/>
      <c r="D694" s="726" t="n"/>
      <c r="F694" s="1070" t="n"/>
      <c r="G694" s="85" t="n"/>
    </row>
    <row r="695" ht="15.5" customHeight="1" s="828">
      <c r="A695" s="1068" t="n"/>
      <c r="B695" s="725" t="n"/>
      <c r="C695" s="725" t="n"/>
      <c r="D695" s="726" t="n"/>
      <c r="F695" s="1070" t="n"/>
      <c r="G695" s="85" t="n"/>
    </row>
    <row r="696" ht="15.5" customHeight="1" s="828">
      <c r="A696" s="1068" t="n"/>
      <c r="B696" s="725" t="n"/>
      <c r="C696" s="725" t="n"/>
      <c r="D696" s="726" t="n"/>
      <c r="F696" s="1070" t="n"/>
      <c r="G696" s="85" t="n"/>
    </row>
    <row r="697" ht="15.5" customHeight="1" s="828">
      <c r="A697" s="1068" t="n"/>
      <c r="B697" s="725" t="n"/>
      <c r="C697" s="725" t="n"/>
      <c r="D697" s="726" t="n"/>
      <c r="F697" s="1070" t="n"/>
      <c r="G697" s="85" t="n"/>
    </row>
    <row r="698" ht="15.5" customHeight="1" s="828">
      <c r="A698" s="1068" t="n"/>
      <c r="B698" s="725" t="n"/>
      <c r="C698" s="725" t="n"/>
      <c r="D698" s="726" t="n"/>
      <c r="F698" s="1070" t="n"/>
      <c r="G698" s="85" t="n"/>
    </row>
    <row r="699" ht="15.5" customHeight="1" s="828">
      <c r="A699" s="1068" t="n"/>
      <c r="B699" s="725" t="n"/>
      <c r="C699" s="725" t="n"/>
      <c r="D699" s="726" t="n"/>
      <c r="F699" s="238" t="n"/>
      <c r="G699" s="85" t="n"/>
    </row>
    <row r="700" ht="15.5" customHeight="1" s="828">
      <c r="A700" s="1068" t="n"/>
      <c r="B700" s="725" t="n"/>
      <c r="C700" s="725" t="n"/>
      <c r="D700" s="726" t="n"/>
      <c r="F700" s="1070" t="n"/>
      <c r="G700" s="85" t="n"/>
    </row>
    <row r="701" ht="15.5" customHeight="1" s="828">
      <c r="A701" s="1068" t="n"/>
      <c r="B701" s="725" t="n"/>
      <c r="C701" s="725" t="n"/>
      <c r="D701" s="726" t="n"/>
      <c r="F701" s="1070" t="n"/>
      <c r="G701" s="85" t="n"/>
    </row>
    <row r="702" ht="15.5" customHeight="1" s="828">
      <c r="A702" s="1068" t="n"/>
      <c r="B702" s="725" t="n"/>
      <c r="C702" s="725" t="n"/>
      <c r="D702" s="726" t="n"/>
      <c r="F702" s="1070" t="n"/>
      <c r="G702" s="85" t="n"/>
    </row>
    <row r="703" ht="15.5" customHeight="1" s="828">
      <c r="A703" s="1068" t="n"/>
      <c r="B703" s="725" t="n"/>
      <c r="C703" s="725" t="n"/>
      <c r="D703" s="726" t="n"/>
      <c r="F703" s="1070" t="n"/>
      <c r="G703" s="85" t="n"/>
    </row>
    <row r="704" ht="15.5" customHeight="1" s="828">
      <c r="A704" s="1068" t="n"/>
      <c r="B704" s="725" t="n"/>
      <c r="C704" s="725" t="n"/>
      <c r="D704" s="726" t="n"/>
      <c r="F704" s="1070" t="n"/>
      <c r="G704" s="85" t="n"/>
    </row>
    <row r="705" ht="15.5" customHeight="1" s="828">
      <c r="A705" s="1068" t="n"/>
      <c r="B705" s="725" t="n"/>
      <c r="C705" s="725" t="n"/>
      <c r="D705" s="726" t="n"/>
      <c r="F705" s="1070" t="n"/>
      <c r="G705" s="85" t="n"/>
    </row>
    <row r="706" ht="15.5" customHeight="1" s="828">
      <c r="A706" s="1068" t="n"/>
      <c r="B706" s="725" t="n"/>
      <c r="C706" s="725" t="n"/>
      <c r="D706" s="726" t="n"/>
      <c r="F706" s="1070" t="n"/>
      <c r="G706" s="85" t="n"/>
    </row>
    <row r="707" ht="15.5" customHeight="1" s="828">
      <c r="A707" s="1068" t="n"/>
      <c r="B707" s="725" t="n"/>
      <c r="C707" s="725" t="n"/>
      <c r="D707" s="726" t="n"/>
      <c r="F707" s="1070" t="n"/>
      <c r="G707" s="85" t="n"/>
    </row>
    <row r="708" ht="15.5" customHeight="1" s="828">
      <c r="A708" s="1068" t="n"/>
      <c r="B708" s="725" t="n"/>
      <c r="C708" s="725" t="n"/>
      <c r="D708" s="726" t="n"/>
      <c r="F708" s="1070" t="n"/>
      <c r="G708" s="85" t="n"/>
    </row>
    <row r="709" ht="15.5" customHeight="1" s="828">
      <c r="A709" s="1068" t="n"/>
      <c r="B709" s="725" t="n"/>
      <c r="C709" s="725" t="n"/>
      <c r="D709" s="726" t="n"/>
      <c r="F709" s="1070" t="n"/>
      <c r="G709" s="85" t="n"/>
    </row>
    <row r="710" ht="15.5" customHeight="1" s="828">
      <c r="A710" s="1068" t="n"/>
      <c r="B710" s="725" t="n"/>
      <c r="C710" s="725" t="n"/>
      <c r="D710" s="726" t="n"/>
      <c r="F710" s="1070" t="n"/>
      <c r="G710" s="85" t="n"/>
    </row>
    <row r="711" ht="15.5" customHeight="1" s="828">
      <c r="A711" s="1068" t="n"/>
      <c r="B711" s="725" t="n"/>
      <c r="C711" s="725" t="n"/>
      <c r="D711" s="726" t="n"/>
      <c r="F711" s="238" t="n"/>
      <c r="G711" s="85" t="n"/>
    </row>
    <row r="712" ht="15.5" customHeight="1" s="828">
      <c r="A712" s="1068" t="n"/>
      <c r="B712" s="725" t="n"/>
      <c r="C712" s="725" t="n"/>
      <c r="D712" s="726" t="n"/>
      <c r="F712" s="1070" t="n"/>
      <c r="G712" s="85" t="n"/>
    </row>
    <row r="713" ht="15.5" customHeight="1" s="828">
      <c r="A713" s="1068" t="n"/>
      <c r="B713" s="725" t="n"/>
      <c r="C713" s="725" t="n"/>
      <c r="D713" s="726" t="n"/>
      <c r="F713" s="1070" t="n"/>
      <c r="G713" s="85" t="n"/>
    </row>
    <row r="714" ht="15.5" customHeight="1" s="828">
      <c r="A714" s="1068" t="n"/>
      <c r="B714" s="725" t="n"/>
      <c r="C714" s="725" t="n"/>
      <c r="D714" s="726" t="n"/>
      <c r="F714" s="1070" t="n"/>
      <c r="G714" s="85" t="n"/>
    </row>
    <row r="715" ht="15.5" customHeight="1" s="828">
      <c r="A715" s="1068" t="n"/>
      <c r="B715" s="725" t="n"/>
      <c r="C715" s="725" t="n"/>
      <c r="D715" s="726" t="n"/>
      <c r="F715" s="1070" t="n"/>
      <c r="G715" s="85" t="n"/>
    </row>
    <row r="716" ht="15.5" customHeight="1" s="828">
      <c r="A716" s="1068" t="n"/>
      <c r="B716" s="725" t="n"/>
      <c r="C716" s="725" t="n"/>
      <c r="D716" s="726" t="n"/>
      <c r="F716" s="1070" t="n"/>
      <c r="G716" s="85" t="n"/>
    </row>
    <row r="717" ht="15.5" customHeight="1" s="828">
      <c r="A717" s="1068" t="n"/>
      <c r="B717" s="725" t="n"/>
      <c r="C717" s="725" t="n"/>
      <c r="D717" s="726" t="n"/>
      <c r="F717" s="1070" t="n"/>
      <c r="G717" s="85" t="n"/>
    </row>
    <row r="718" ht="15.5" customHeight="1" s="828">
      <c r="A718" s="1068" t="n"/>
      <c r="B718" s="725" t="n"/>
      <c r="C718" s="725" t="n"/>
      <c r="D718" s="726" t="n"/>
      <c r="F718" s="1070" t="n"/>
      <c r="G718" s="85" t="n"/>
    </row>
    <row r="719" ht="15.5" customHeight="1" s="828">
      <c r="A719" s="1068" t="n"/>
      <c r="B719" s="725" t="n"/>
      <c r="C719" s="725" t="n"/>
      <c r="D719" s="726" t="n"/>
      <c r="F719" s="1070" t="n"/>
      <c r="G719" s="85" t="n"/>
    </row>
    <row r="720" ht="15.5" customHeight="1" s="828">
      <c r="A720" s="1068" t="n"/>
      <c r="B720" s="725" t="n"/>
      <c r="C720" s="725" t="n"/>
      <c r="D720" s="726" t="n"/>
      <c r="F720" s="1070" t="n"/>
      <c r="G720" s="85" t="n"/>
    </row>
    <row r="721" ht="15.5" customHeight="1" s="828">
      <c r="A721" s="1068" t="n"/>
      <c r="B721" s="725" t="n"/>
      <c r="C721" s="725" t="n"/>
      <c r="D721" s="726" t="n"/>
      <c r="F721" s="1070" t="n"/>
      <c r="G721" s="85" t="n"/>
    </row>
    <row r="722" ht="15.5" customHeight="1" s="828">
      <c r="A722" s="1068" t="n"/>
      <c r="B722" s="725" t="n"/>
      <c r="C722" s="725" t="n"/>
      <c r="D722" s="726" t="n"/>
      <c r="F722" s="1070" t="n"/>
      <c r="G722" s="85" t="n"/>
    </row>
    <row r="723" ht="15.5" customHeight="1" s="828">
      <c r="A723" s="1068" t="n"/>
      <c r="B723" s="725" t="n"/>
      <c r="C723" s="725" t="n"/>
      <c r="D723" s="726" t="n"/>
      <c r="F723" s="238" t="n"/>
      <c r="G723" s="85" t="n"/>
    </row>
    <row r="724" ht="15.5" customHeight="1" s="828">
      <c r="A724" s="1068" t="n"/>
      <c r="B724" s="725" t="n"/>
      <c r="C724" s="725" t="n"/>
      <c r="D724" s="726" t="n"/>
      <c r="F724" s="1070" t="n"/>
      <c r="G724" s="85" t="n"/>
    </row>
    <row r="725" ht="15.5" customHeight="1" s="828">
      <c r="A725" s="1068" t="n"/>
      <c r="B725" s="725" t="n"/>
      <c r="C725" s="725" t="n"/>
      <c r="D725" s="726" t="n"/>
      <c r="F725" s="1070" t="n"/>
      <c r="G725" s="85" t="n"/>
    </row>
    <row r="726" ht="15.5" customHeight="1" s="828">
      <c r="A726" s="1068" t="n"/>
      <c r="B726" s="725" t="n"/>
      <c r="C726" s="725" t="n"/>
      <c r="D726" s="726" t="n"/>
      <c r="F726" s="1070" t="n"/>
      <c r="G726" s="85" t="n"/>
    </row>
    <row r="727" ht="15.5" customHeight="1" s="828">
      <c r="A727" s="1068" t="n"/>
      <c r="B727" s="725" t="n"/>
      <c r="C727" s="725" t="n"/>
      <c r="D727" s="726" t="n"/>
      <c r="F727" s="1070" t="n"/>
      <c r="G727" s="85" t="n"/>
    </row>
    <row r="728" ht="15.5" customHeight="1" s="828">
      <c r="A728" s="1068" t="n"/>
      <c r="B728" s="725" t="n"/>
      <c r="C728" s="725" t="n"/>
      <c r="D728" s="726" t="n"/>
      <c r="F728" s="1070" t="n"/>
      <c r="G728" s="85" t="n"/>
    </row>
    <row r="729" ht="15.5" customHeight="1" s="828">
      <c r="A729" s="1068" t="n"/>
      <c r="B729" s="725" t="n"/>
      <c r="C729" s="725" t="n"/>
      <c r="D729" s="726" t="n"/>
      <c r="F729" s="1070" t="n"/>
      <c r="G729" s="85" t="n"/>
    </row>
    <row r="730" ht="15.5" customHeight="1" s="828">
      <c r="A730" s="1068" t="n"/>
      <c r="B730" s="725" t="n"/>
      <c r="C730" s="725" t="n"/>
      <c r="D730" s="726" t="n"/>
      <c r="F730" s="1070" t="n"/>
      <c r="G730" s="85" t="n"/>
    </row>
    <row r="731" ht="15.5" customHeight="1" s="828">
      <c r="A731" s="1068" t="n"/>
      <c r="B731" s="725" t="n"/>
      <c r="C731" s="725" t="n"/>
      <c r="D731" s="726" t="n"/>
      <c r="F731" s="1070" t="n"/>
      <c r="G731" s="85" t="n"/>
    </row>
    <row r="732" ht="15.5" customHeight="1" s="828">
      <c r="A732" s="1068" t="n"/>
      <c r="B732" s="725" t="n"/>
      <c r="C732" s="725" t="n"/>
      <c r="D732" s="726" t="n"/>
      <c r="F732" s="1070" t="n"/>
      <c r="G732" s="85" t="n"/>
    </row>
    <row r="733" ht="15.5" customHeight="1" s="828">
      <c r="A733" s="1068" t="n"/>
      <c r="B733" s="725" t="n"/>
      <c r="C733" s="725" t="n"/>
      <c r="D733" s="726" t="n"/>
      <c r="F733" s="1070" t="n"/>
      <c r="G733" s="85" t="n"/>
    </row>
    <row r="734" ht="15.5" customHeight="1" s="828">
      <c r="A734" s="1068" t="n"/>
      <c r="B734" s="725" t="n"/>
      <c r="C734" s="725" t="n"/>
      <c r="D734" s="726" t="n"/>
      <c r="F734" s="1070" t="n"/>
      <c r="G734" s="85" t="n"/>
    </row>
    <row r="735" ht="15.5" customHeight="1" s="828">
      <c r="A735" s="1068" t="n"/>
      <c r="B735" s="725" t="n"/>
      <c r="C735" s="725" t="n"/>
      <c r="D735" s="726" t="n"/>
      <c r="F735" s="238" t="n"/>
      <c r="G735" s="85" t="n"/>
    </row>
    <row r="736" ht="15.5" customHeight="1" s="828">
      <c r="A736" s="1068" t="n"/>
      <c r="B736" s="725" t="n"/>
      <c r="C736" s="725" t="n"/>
      <c r="D736" s="726" t="n"/>
      <c r="F736" s="1070" t="n"/>
      <c r="G736" s="85" t="n"/>
    </row>
    <row r="737" ht="15.5" customHeight="1" s="828">
      <c r="A737" s="1068" t="n"/>
      <c r="B737" s="725" t="n"/>
      <c r="C737" s="725" t="n"/>
      <c r="D737" s="726" t="n"/>
      <c r="F737" s="1070" t="n"/>
      <c r="G737" s="85" t="n"/>
    </row>
    <row r="738" ht="15.5" customHeight="1" s="828">
      <c r="A738" s="1068" t="n"/>
      <c r="B738" s="725" t="n"/>
      <c r="C738" s="725" t="n"/>
      <c r="D738" s="726" t="n"/>
      <c r="F738" s="1070" t="n"/>
      <c r="G738" s="85" t="n"/>
    </row>
    <row r="739" ht="15.5" customHeight="1" s="828">
      <c r="A739" s="1068" t="n"/>
      <c r="B739" s="725" t="n"/>
      <c r="C739" s="725" t="n"/>
      <c r="D739" s="726" t="n"/>
      <c r="F739" s="1070" t="n"/>
      <c r="G739" s="85" t="n"/>
    </row>
    <row r="740" ht="15.5" customHeight="1" s="828">
      <c r="A740" s="1068" t="n"/>
      <c r="B740" s="725" t="n"/>
      <c r="C740" s="725" t="n"/>
      <c r="D740" s="726" t="n"/>
      <c r="F740" s="1070" t="n"/>
      <c r="G740" s="85" t="n"/>
    </row>
    <row r="741" ht="15.5" customHeight="1" s="828">
      <c r="A741" s="1068" t="n"/>
      <c r="B741" s="725" t="n"/>
      <c r="C741" s="725" t="n"/>
      <c r="D741" s="726" t="n"/>
      <c r="F741" s="1070" t="n"/>
      <c r="G741" s="85" t="n"/>
    </row>
    <row r="742" ht="15.5" customHeight="1" s="828">
      <c r="A742" s="1068" t="n"/>
      <c r="B742" s="725" t="n"/>
      <c r="C742" s="725" t="n"/>
      <c r="D742" s="726" t="n"/>
      <c r="F742" s="1070" t="n"/>
      <c r="G742" s="85" t="n"/>
    </row>
    <row r="743" ht="15.5" customHeight="1" s="828">
      <c r="A743" s="1068" t="n"/>
      <c r="B743" s="725" t="n"/>
      <c r="C743" s="725" t="n"/>
      <c r="D743" s="726" t="n"/>
      <c r="F743" s="1070" t="n"/>
      <c r="G743" s="85" t="n"/>
    </row>
    <row r="744" ht="15.5" customHeight="1" s="828">
      <c r="A744" s="1068" t="n"/>
      <c r="B744" s="725" t="n"/>
      <c r="C744" s="725" t="n"/>
      <c r="D744" s="726" t="n"/>
      <c r="F744" s="1070" t="n"/>
      <c r="G744" s="85" t="n"/>
    </row>
    <row r="745" ht="15.5" customHeight="1" s="828">
      <c r="A745" s="1068" t="n"/>
      <c r="B745" s="725" t="n"/>
      <c r="C745" s="725" t="n"/>
      <c r="D745" s="726" t="n"/>
      <c r="F745" s="1070" t="n"/>
      <c r="G745" s="85" t="n"/>
    </row>
    <row r="746" ht="15.5" customHeight="1" s="828">
      <c r="A746" s="1068" t="n"/>
      <c r="B746" s="725" t="n"/>
      <c r="C746" s="725" t="n"/>
      <c r="D746" s="726" t="n"/>
      <c r="F746" s="1070" t="n"/>
      <c r="G746" s="85" t="n"/>
    </row>
    <row r="747" ht="15.5" customHeight="1" s="828">
      <c r="A747" s="1068" t="n"/>
      <c r="B747" s="725" t="n"/>
      <c r="C747" s="725" t="n"/>
      <c r="D747" s="726" t="n"/>
      <c r="F747" s="238" t="n"/>
      <c r="G747" s="85" t="n"/>
    </row>
    <row r="748" ht="15.5" customHeight="1" s="828">
      <c r="A748" s="1068" t="n"/>
      <c r="B748" s="725" t="n"/>
      <c r="C748" s="725" t="n"/>
      <c r="D748" s="726" t="n"/>
      <c r="F748" s="1070" t="n"/>
      <c r="G748" s="85" t="n"/>
    </row>
    <row r="749" ht="15.5" customHeight="1" s="828">
      <c r="A749" s="1068" t="n"/>
      <c r="B749" s="725" t="n"/>
      <c r="C749" s="725" t="n"/>
      <c r="D749" s="726" t="n"/>
      <c r="F749" s="1070" t="n"/>
      <c r="G749" s="85" t="n"/>
    </row>
    <row r="750" ht="15.5" customHeight="1" s="828">
      <c r="A750" s="1068" t="n"/>
      <c r="B750" s="725" t="n"/>
      <c r="C750" s="725" t="n"/>
      <c r="D750" s="726" t="n"/>
      <c r="F750" s="1070" t="n"/>
      <c r="G750" s="85" t="n"/>
    </row>
    <row r="751" ht="15.5" customHeight="1" s="828">
      <c r="A751" s="1068" t="n"/>
      <c r="B751" s="725" t="n"/>
      <c r="C751" s="725" t="n"/>
      <c r="D751" s="726" t="n"/>
      <c r="F751" s="1070" t="n"/>
      <c r="G751" s="85" t="n"/>
    </row>
    <row r="752" ht="15.5" customHeight="1" s="828">
      <c r="A752" s="1068" t="n"/>
      <c r="B752" s="725" t="n"/>
      <c r="C752" s="725" t="n"/>
      <c r="D752" s="726" t="n"/>
      <c r="F752" s="1070" t="n"/>
      <c r="G752" s="85" t="n"/>
    </row>
    <row r="753" ht="15.5" customHeight="1" s="828">
      <c r="A753" s="1068" t="n"/>
      <c r="B753" s="725" t="n"/>
      <c r="C753" s="725" t="n"/>
      <c r="D753" s="726" t="n"/>
      <c r="F753" s="1070" t="n"/>
      <c r="G753" s="85" t="n"/>
    </row>
    <row r="754" ht="15.5" customHeight="1" s="828">
      <c r="A754" s="1068" t="n"/>
      <c r="B754" s="725" t="n"/>
      <c r="C754" s="725" t="n"/>
      <c r="D754" s="726" t="n"/>
      <c r="F754" s="1070" t="n"/>
      <c r="G754" s="85" t="n"/>
    </row>
    <row r="755" ht="15.5" customHeight="1" s="828">
      <c r="A755" s="1068" t="n"/>
      <c r="B755" s="725" t="n"/>
      <c r="C755" s="725" t="n"/>
      <c r="D755" s="726" t="n"/>
      <c r="F755" s="1070" t="n"/>
      <c r="G755" s="85" t="n"/>
    </row>
    <row r="756" ht="15.5" customHeight="1" s="828">
      <c r="A756" s="1068" t="n"/>
      <c r="B756" s="725" t="n"/>
      <c r="C756" s="725" t="n"/>
      <c r="D756" s="726" t="n"/>
      <c r="F756" s="1070" t="n"/>
      <c r="G756" s="85" t="n"/>
    </row>
    <row r="757" ht="15.5" customHeight="1" s="828">
      <c r="A757" s="1068" t="n"/>
      <c r="B757" s="725" t="n"/>
      <c r="C757" s="725" t="n"/>
      <c r="D757" s="726" t="n"/>
      <c r="F757" s="1070" t="n"/>
      <c r="G757" s="85" t="n"/>
    </row>
    <row r="758" ht="15.5" customHeight="1" s="828">
      <c r="A758" s="1068" t="n"/>
      <c r="B758" s="725" t="n"/>
      <c r="C758" s="725" t="n"/>
      <c r="D758" s="726" t="n"/>
      <c r="F758" s="1070" t="n"/>
      <c r="G758" s="85" t="n"/>
    </row>
    <row r="759" ht="15.5" customHeight="1" s="828">
      <c r="A759" s="1068" t="n"/>
      <c r="B759" s="725" t="n"/>
      <c r="C759" s="725" t="n"/>
      <c r="D759" s="726" t="n"/>
      <c r="F759" s="238" t="n"/>
      <c r="G759" s="85" t="n"/>
    </row>
    <row r="760" ht="15.5" customHeight="1" s="828">
      <c r="A760" s="1068" t="n"/>
      <c r="B760" s="725" t="n"/>
      <c r="C760" s="725" t="n"/>
      <c r="D760" s="726" t="n"/>
      <c r="F760" s="1070" t="n"/>
      <c r="G760" s="85" t="n"/>
    </row>
    <row r="761" ht="15.5" customHeight="1" s="828">
      <c r="A761" s="1068" t="n"/>
      <c r="B761" s="725" t="n"/>
      <c r="C761" s="725" t="n"/>
      <c r="D761" s="726" t="n"/>
      <c r="F761" s="1070" t="n"/>
      <c r="G761" s="85" t="n"/>
    </row>
    <row r="762" ht="15.5" customHeight="1" s="828">
      <c r="A762" s="1068" t="n"/>
      <c r="B762" s="725" t="n"/>
      <c r="C762" s="725" t="n"/>
      <c r="D762" s="726" t="n"/>
      <c r="F762" s="1070" t="n"/>
      <c r="G762" s="85" t="n"/>
    </row>
    <row r="763" ht="15.5" customHeight="1" s="828">
      <c r="A763" s="1068" t="n"/>
      <c r="B763" s="725" t="n"/>
      <c r="C763" s="725" t="n"/>
      <c r="D763" s="726" t="n"/>
      <c r="F763" s="1070" t="n"/>
      <c r="G763" s="85" t="n"/>
    </row>
    <row r="764" ht="15.5" customHeight="1" s="828">
      <c r="A764" s="1068" t="n"/>
      <c r="B764" s="725" t="n"/>
      <c r="C764" s="725" t="n"/>
      <c r="D764" s="726" t="n"/>
      <c r="F764" s="1070" t="n"/>
      <c r="G764" s="85" t="n"/>
    </row>
    <row r="765" ht="15.5" customHeight="1" s="828">
      <c r="A765" s="1068" t="n"/>
      <c r="B765" s="725" t="n"/>
      <c r="C765" s="725" t="n"/>
      <c r="D765" s="726" t="n"/>
      <c r="F765" s="1070" t="n"/>
      <c r="G765" s="85" t="n"/>
    </row>
    <row r="766" ht="15.5" customHeight="1" s="828">
      <c r="A766" s="1068" t="n"/>
      <c r="B766" s="725" t="n"/>
      <c r="C766" s="725" t="n"/>
      <c r="D766" s="726" t="n"/>
      <c r="F766" s="1070" t="n"/>
      <c r="G766" s="85" t="n"/>
    </row>
    <row r="767" ht="15.5" customHeight="1" s="828">
      <c r="A767" s="1068" t="n"/>
      <c r="B767" s="725" t="n"/>
      <c r="C767" s="725" t="n"/>
      <c r="D767" s="726" t="n"/>
      <c r="F767" s="1070" t="n"/>
      <c r="G767" s="85" t="n"/>
    </row>
    <row r="768" ht="15.5" customHeight="1" s="828">
      <c r="A768" s="1068" t="n"/>
      <c r="B768" s="725" t="n"/>
      <c r="C768" s="725" t="n"/>
      <c r="D768" s="726" t="n"/>
      <c r="F768" s="1070" t="n"/>
      <c r="G768" s="85" t="n"/>
    </row>
    <row r="769" ht="15.5" customHeight="1" s="828">
      <c r="A769" s="1068" t="n"/>
      <c r="B769" s="725" t="n"/>
      <c r="C769" s="725" t="n"/>
      <c r="D769" s="726" t="n"/>
      <c r="F769" s="1070" t="n"/>
      <c r="G769" s="85" t="n"/>
    </row>
    <row r="770" ht="15.5" customHeight="1" s="828">
      <c r="A770" s="1068" t="n"/>
      <c r="B770" s="725" t="n"/>
      <c r="C770" s="725" t="n"/>
      <c r="D770" s="726" t="n"/>
      <c r="F770" s="1070" t="n"/>
      <c r="G770" s="85" t="n"/>
    </row>
    <row r="771" ht="15.5" customHeight="1" s="828">
      <c r="A771" s="1068" t="n"/>
      <c r="B771" s="725" t="n"/>
      <c r="C771" s="725" t="n"/>
      <c r="D771" s="726" t="n"/>
      <c r="F771" s="238" t="n"/>
      <c r="G771" s="85" t="n"/>
    </row>
    <row r="772" ht="15.5" customHeight="1" s="828">
      <c r="A772" s="1068" t="n"/>
      <c r="B772" s="725" t="n"/>
      <c r="C772" s="725" t="n"/>
      <c r="D772" s="726" t="n"/>
      <c r="F772" s="1070" t="n"/>
      <c r="G772" s="85" t="n"/>
    </row>
    <row r="773" ht="15.5" customHeight="1" s="828">
      <c r="A773" s="1068" t="n"/>
      <c r="B773" s="725" t="n"/>
      <c r="C773" s="725" t="n"/>
      <c r="D773" s="726" t="n"/>
      <c r="F773" s="1070" t="n"/>
      <c r="G773" s="85" t="n"/>
    </row>
    <row r="774" ht="15.5" customHeight="1" s="828">
      <c r="A774" s="1068" t="n"/>
      <c r="B774" s="725" t="n"/>
      <c r="C774" s="725" t="n"/>
      <c r="D774" s="726" t="n"/>
      <c r="F774" s="1070" t="n"/>
      <c r="G774" s="85" t="n"/>
    </row>
    <row r="775" ht="15.5" customHeight="1" s="828">
      <c r="A775" s="1068" t="n"/>
      <c r="B775" s="725" t="n"/>
      <c r="C775" s="725" t="n"/>
      <c r="D775" s="726" t="n"/>
      <c r="F775" s="1070" t="n"/>
      <c r="G775" s="85" t="n"/>
    </row>
    <row r="776" ht="15.5" customHeight="1" s="828">
      <c r="A776" s="1068" t="n"/>
      <c r="B776" s="725" t="n"/>
      <c r="C776" s="725" t="n"/>
      <c r="D776" s="726" t="n"/>
      <c r="F776" s="1070" t="n"/>
      <c r="G776" s="85" t="n"/>
    </row>
    <row r="777" ht="15.5" customHeight="1" s="828">
      <c r="A777" s="1068" t="n"/>
      <c r="B777" s="725" t="n"/>
      <c r="C777" s="725" t="n"/>
      <c r="D777" s="726" t="n"/>
      <c r="F777" s="1070" t="n"/>
      <c r="G777" s="85" t="n"/>
    </row>
    <row r="778" ht="15.5" customHeight="1" s="828">
      <c r="A778" s="1068" t="n"/>
      <c r="B778" s="725" t="n"/>
      <c r="C778" s="725" t="n"/>
      <c r="D778" s="726" t="n"/>
      <c r="F778" s="1070" t="n"/>
      <c r="G778" s="85" t="n"/>
    </row>
    <row r="779" ht="15.5" customHeight="1" s="828">
      <c r="A779" s="1068" t="n"/>
      <c r="B779" s="725" t="n"/>
      <c r="C779" s="725" t="n"/>
      <c r="D779" s="726" t="n"/>
      <c r="F779" s="1070" t="n"/>
      <c r="G779" s="85" t="n"/>
    </row>
    <row r="780" ht="15.5" customHeight="1" s="828">
      <c r="A780" s="1068" t="n"/>
      <c r="B780" s="725" t="n"/>
      <c r="C780" s="725" t="n"/>
      <c r="D780" s="726" t="n"/>
      <c r="F780" s="1070" t="n"/>
      <c r="G780" s="85" t="n"/>
    </row>
    <row r="781" ht="15.5" customHeight="1" s="828">
      <c r="A781" s="1068" t="n"/>
      <c r="B781" s="725" t="n"/>
      <c r="C781" s="725" t="n"/>
      <c r="D781" s="726" t="n"/>
      <c r="F781" s="1070" t="n"/>
      <c r="G781" s="85" t="n"/>
    </row>
    <row r="782" ht="15.5" customHeight="1" s="828">
      <c r="A782" s="1068" t="n"/>
      <c r="B782" s="725" t="n"/>
      <c r="C782" s="725" t="n"/>
      <c r="D782" s="726" t="n"/>
      <c r="F782" s="1070" t="n"/>
      <c r="G782" s="85" t="n"/>
    </row>
    <row r="783" ht="15.5" customHeight="1" s="828">
      <c r="A783" s="1068" t="n"/>
      <c r="B783" s="725" t="n"/>
      <c r="C783" s="725" t="n"/>
      <c r="D783" s="726" t="n"/>
      <c r="F783" s="238" t="n"/>
      <c r="G783" s="85" t="n"/>
    </row>
    <row r="784" ht="15.5" customHeight="1" s="828">
      <c r="A784" s="1068" t="n"/>
      <c r="B784" s="725" t="n"/>
      <c r="C784" s="725" t="n"/>
      <c r="D784" s="726" t="n"/>
      <c r="F784" s="1070" t="n"/>
      <c r="G784" s="85" t="n"/>
    </row>
    <row r="785" ht="15.5" customHeight="1" s="828">
      <c r="A785" s="1068" t="n"/>
      <c r="B785" s="725" t="n"/>
      <c r="C785" s="725" t="n"/>
      <c r="D785" s="726" t="n"/>
      <c r="F785" s="1070" t="n"/>
      <c r="G785" s="85" t="n"/>
    </row>
    <row r="786" ht="15.5" customHeight="1" s="828">
      <c r="A786" s="1068" t="n"/>
      <c r="B786" s="725" t="n"/>
      <c r="C786" s="725" t="n"/>
      <c r="D786" s="726" t="n"/>
      <c r="F786" s="1070" t="n"/>
      <c r="G786" s="85" t="n"/>
    </row>
    <row r="787" ht="15.5" customHeight="1" s="828">
      <c r="A787" s="1068" t="n"/>
      <c r="B787" s="725" t="n"/>
      <c r="C787" s="725" t="n"/>
      <c r="D787" s="726" t="n"/>
      <c r="F787" s="1070" t="n"/>
      <c r="G787" s="85" t="n"/>
    </row>
    <row r="788" ht="15.5" customHeight="1" s="828">
      <c r="A788" s="1068" t="n"/>
      <c r="B788" s="725" t="n"/>
      <c r="C788" s="725" t="n"/>
      <c r="D788" s="726" t="n"/>
      <c r="F788" s="1070" t="n"/>
      <c r="G788" s="85" t="n"/>
    </row>
    <row r="789" ht="15.5" customHeight="1" s="828">
      <c r="A789" s="1068" t="n"/>
      <c r="B789" s="725" t="n"/>
      <c r="C789" s="725" t="n"/>
      <c r="D789" s="726" t="n"/>
      <c r="F789" s="1070" t="n"/>
      <c r="G789" s="85" t="n"/>
    </row>
    <row r="790" ht="15.5" customHeight="1" s="828">
      <c r="A790" s="1068" t="n"/>
      <c r="B790" s="725" t="n"/>
      <c r="C790" s="725" t="n"/>
      <c r="D790" s="726" t="n"/>
      <c r="F790" s="1070" t="n"/>
      <c r="G790" s="85" t="n"/>
    </row>
    <row r="791" ht="15.5" customHeight="1" s="828">
      <c r="A791" s="1068" t="n"/>
      <c r="B791" s="725" t="n"/>
      <c r="C791" s="725" t="n"/>
      <c r="D791" s="726" t="n"/>
      <c r="F791" s="1070" t="n"/>
      <c r="G791" s="85" t="n"/>
    </row>
    <row r="792" ht="15.5" customHeight="1" s="828">
      <c r="A792" s="1068" t="n"/>
      <c r="B792" s="725" t="n"/>
      <c r="C792" s="725" t="n"/>
      <c r="D792" s="726" t="n"/>
      <c r="F792" s="1070" t="n"/>
      <c r="G792" s="85" t="n"/>
    </row>
    <row r="793" ht="15.5" customHeight="1" s="828">
      <c r="A793" s="1068" t="n"/>
      <c r="B793" s="725" t="n"/>
      <c r="C793" s="725" t="n"/>
      <c r="D793" s="726" t="n"/>
      <c r="F793" s="1070" t="n"/>
      <c r="G793" s="85" t="n"/>
    </row>
    <row r="794" ht="15.5" customHeight="1" s="828">
      <c r="A794" s="1068" t="n"/>
      <c r="B794" s="725" t="n"/>
      <c r="C794" s="725" t="n"/>
      <c r="D794" s="726" t="n"/>
      <c r="F794" s="1070" t="n"/>
      <c r="G794" s="85" t="n"/>
    </row>
    <row r="795" ht="15.5" customHeight="1" s="828">
      <c r="A795" s="1068" t="n"/>
      <c r="B795" s="725" t="n"/>
      <c r="C795" s="725" t="n"/>
      <c r="D795" s="726" t="n"/>
      <c r="F795" s="238" t="n"/>
      <c r="G795" s="85" t="n"/>
    </row>
    <row r="796" ht="15.5" customHeight="1" s="828">
      <c r="A796" s="1068" t="n"/>
      <c r="B796" s="725" t="n"/>
      <c r="C796" s="725" t="n"/>
      <c r="D796" s="726" t="n"/>
      <c r="F796" s="1070" t="n"/>
      <c r="G796" s="85" t="n"/>
    </row>
    <row r="797" ht="15.5" customHeight="1" s="828">
      <c r="A797" s="1068" t="n"/>
      <c r="B797" s="725" t="n"/>
      <c r="C797" s="725" t="n"/>
      <c r="D797" s="726" t="n"/>
      <c r="F797" s="1070" t="n"/>
      <c r="G797" s="85" t="n"/>
    </row>
    <row r="798" ht="15.5" customHeight="1" s="828">
      <c r="A798" s="1068" t="n"/>
      <c r="B798" s="725" t="n"/>
      <c r="C798" s="725" t="n"/>
      <c r="D798" s="726" t="n"/>
      <c r="F798" s="1070" t="n"/>
      <c r="G798" s="85" t="n"/>
    </row>
    <row r="799" ht="15.5" customHeight="1" s="828">
      <c r="A799" s="1068" t="n"/>
      <c r="B799" s="725" t="n"/>
      <c r="C799" s="725" t="n"/>
      <c r="D799" s="726" t="n"/>
      <c r="F799" s="1070" t="n"/>
      <c r="G799" s="85" t="n"/>
    </row>
    <row r="800" ht="15.5" customHeight="1" s="828">
      <c r="A800" s="1068" t="n"/>
      <c r="B800" s="725" t="n"/>
      <c r="C800" s="725" t="n"/>
      <c r="D800" s="726" t="n"/>
      <c r="F800" s="1070" t="n"/>
      <c r="G800" s="85" t="n"/>
    </row>
    <row r="801" ht="15.5" customHeight="1" s="828">
      <c r="A801" s="1068" t="n"/>
      <c r="B801" s="725" t="n"/>
      <c r="C801" s="725" t="n"/>
      <c r="D801" s="726" t="n"/>
      <c r="F801" s="1070" t="n"/>
      <c r="G801" s="85" t="n"/>
    </row>
    <row r="802" ht="15.5" customHeight="1" s="828">
      <c r="A802" s="1068" t="n"/>
      <c r="B802" s="725" t="n"/>
      <c r="C802" s="725" t="n"/>
      <c r="D802" s="726" t="n"/>
      <c r="F802" s="1070" t="n"/>
      <c r="G802" s="85" t="n"/>
    </row>
    <row r="803" ht="15.5" customHeight="1" s="828">
      <c r="A803" s="1068" t="n"/>
      <c r="B803" s="725" t="n"/>
      <c r="C803" s="725" t="n"/>
      <c r="D803" s="726" t="n"/>
      <c r="F803" s="1070" t="n"/>
      <c r="G803" s="85" t="n"/>
    </row>
    <row r="804" ht="15.5" customHeight="1" s="828">
      <c r="A804" s="1068" t="n"/>
      <c r="B804" s="725" t="n"/>
      <c r="C804" s="725" t="n"/>
      <c r="D804" s="726" t="n"/>
      <c r="F804" s="1070" t="n"/>
      <c r="G804" s="85" t="n"/>
    </row>
    <row r="805" ht="15.5" customHeight="1" s="828">
      <c r="A805" s="1068" t="n"/>
      <c r="B805" s="725" t="n"/>
      <c r="C805" s="725" t="n"/>
      <c r="D805" s="726" t="n"/>
      <c r="F805" s="1070" t="n"/>
      <c r="G805" s="85" t="n"/>
    </row>
    <row r="806" ht="15.5" customHeight="1" s="828">
      <c r="A806" s="1068" t="n"/>
      <c r="B806" s="725" t="n"/>
      <c r="C806" s="725" t="n"/>
      <c r="D806" s="726" t="n"/>
      <c r="F806" s="1070" t="n"/>
      <c r="G806" s="85" t="n"/>
    </row>
    <row r="807" ht="15.5" customHeight="1" s="828">
      <c r="A807" s="1068" t="n"/>
      <c r="B807" s="725" t="n"/>
      <c r="C807" s="725" t="n"/>
      <c r="D807" s="726" t="n"/>
      <c r="F807" s="238" t="n"/>
      <c r="G807" s="85" t="n"/>
    </row>
    <row r="808" ht="15.5" customHeight="1" s="828">
      <c r="A808" s="1068" t="n"/>
      <c r="B808" s="725" t="n"/>
      <c r="C808" s="725" t="n"/>
      <c r="D808" s="726" t="n"/>
      <c r="F808" s="1070" t="n"/>
      <c r="G808" s="85" t="n"/>
    </row>
    <row r="809" ht="15.5" customHeight="1" s="828">
      <c r="A809" s="1068" t="n"/>
      <c r="B809" s="725" t="n"/>
      <c r="C809" s="725" t="n"/>
      <c r="D809" s="726" t="n"/>
      <c r="F809" s="1070" t="n"/>
      <c r="G809" s="85" t="n"/>
    </row>
    <row r="810" ht="15.5" customHeight="1" s="828">
      <c r="A810" s="1068" t="n"/>
      <c r="B810" s="725" t="n"/>
      <c r="C810" s="725" t="n"/>
      <c r="D810" s="726" t="n"/>
      <c r="F810" s="1070" t="n"/>
      <c r="G810" s="85" t="n"/>
    </row>
    <row r="811" ht="15.5" customHeight="1" s="828">
      <c r="A811" s="1068" t="n"/>
      <c r="B811" s="725" t="n"/>
      <c r="C811" s="725" t="n"/>
      <c r="D811" s="726" t="n"/>
      <c r="F811" s="1070" t="n"/>
      <c r="G811" s="85" t="n"/>
    </row>
    <row r="812" ht="15.5" customHeight="1" s="828">
      <c r="A812" s="1068" t="n"/>
      <c r="B812" s="725" t="n"/>
      <c r="C812" s="725" t="n"/>
      <c r="D812" s="726" t="n"/>
      <c r="F812" s="1070" t="n"/>
      <c r="G812" s="85" t="n"/>
    </row>
    <row r="813" ht="15.5" customHeight="1" s="828">
      <c r="A813" s="1068" t="n"/>
      <c r="B813" s="725" t="n"/>
      <c r="C813" s="725" t="n"/>
      <c r="D813" s="726" t="n"/>
      <c r="F813" s="1070" t="n"/>
      <c r="G813" s="85" t="n"/>
    </row>
    <row r="814" ht="15.5" customHeight="1" s="828">
      <c r="A814" s="1068" t="n"/>
      <c r="B814" s="725" t="n"/>
      <c r="C814" s="725" t="n"/>
      <c r="D814" s="726" t="n"/>
      <c r="F814" s="1070" t="n"/>
      <c r="G814" s="85" t="n"/>
    </row>
    <row r="815" ht="15.5" customHeight="1" s="828">
      <c r="A815" s="1068" t="n"/>
      <c r="B815" s="725" t="n"/>
      <c r="C815" s="725" t="n"/>
      <c r="D815" s="726" t="n"/>
      <c r="F815" s="1070" t="n"/>
      <c r="G815" s="85" t="n"/>
    </row>
    <row r="816" ht="15.5" customHeight="1" s="828">
      <c r="A816" s="1068" t="n"/>
      <c r="B816" s="725" t="n"/>
      <c r="C816" s="725" t="n"/>
      <c r="D816" s="726" t="n"/>
      <c r="F816" s="1070" t="n"/>
      <c r="G816" s="85" t="n"/>
    </row>
    <row r="817" ht="15.5" customHeight="1" s="828">
      <c r="A817" s="1068" t="n"/>
      <c r="B817" s="725" t="n"/>
      <c r="C817" s="725" t="n"/>
      <c r="D817" s="726" t="n"/>
      <c r="F817" s="1070" t="n"/>
      <c r="G817" s="85" t="n"/>
    </row>
    <row r="818" ht="15.5" customHeight="1" s="828">
      <c r="A818" s="1068" t="n"/>
      <c r="B818" s="725" t="n"/>
      <c r="C818" s="725" t="n"/>
      <c r="D818" s="726" t="n"/>
      <c r="F818" s="1070" t="n"/>
      <c r="G818" s="85" t="n"/>
    </row>
    <row r="819" ht="15.5" customHeight="1" s="828">
      <c r="A819" s="1068" t="n"/>
      <c r="B819" s="725" t="n"/>
      <c r="C819" s="725" t="n"/>
      <c r="D819" s="726" t="n"/>
      <c r="F819" s="238" t="n"/>
      <c r="G819" s="85" t="n"/>
    </row>
    <row r="820" ht="15.5" customHeight="1" s="828">
      <c r="A820" s="1068" t="n"/>
      <c r="B820" s="725" t="n"/>
      <c r="C820" s="725" t="n"/>
      <c r="D820" s="726" t="n"/>
      <c r="F820" s="1070" t="n"/>
      <c r="G820" s="85" t="n"/>
    </row>
    <row r="821" ht="15.5" customHeight="1" s="828">
      <c r="A821" s="1068" t="n"/>
      <c r="B821" s="725" t="n"/>
      <c r="C821" s="725" t="n"/>
      <c r="D821" s="726" t="n"/>
      <c r="F821" s="1070" t="n"/>
      <c r="G821" s="85" t="n"/>
    </row>
    <row r="822" ht="15.5" customHeight="1" s="828">
      <c r="A822" s="1068" t="n"/>
      <c r="B822" s="725" t="n"/>
      <c r="C822" s="725" t="n"/>
      <c r="D822" s="726" t="n"/>
      <c r="F822" s="1070" t="n"/>
      <c r="G822" s="85" t="n"/>
    </row>
    <row r="823" ht="15.5" customHeight="1" s="828">
      <c r="A823" s="1068" t="n"/>
      <c r="B823" s="725" t="n"/>
      <c r="C823" s="725" t="n"/>
      <c r="D823" s="726" t="n"/>
      <c r="F823" s="1070" t="n"/>
      <c r="G823" s="85" t="n"/>
    </row>
    <row r="824" ht="15.5" customHeight="1" s="828">
      <c r="A824" s="1068" t="n"/>
      <c r="B824" s="725" t="n"/>
      <c r="C824" s="725" t="n"/>
      <c r="D824" s="726" t="n"/>
      <c r="F824" s="1070" t="n"/>
      <c r="G824" s="85" t="n"/>
    </row>
    <row r="825" ht="15.5" customHeight="1" s="828">
      <c r="A825" s="1068" t="n"/>
      <c r="B825" s="725" t="n"/>
      <c r="C825" s="725" t="n"/>
      <c r="D825" s="726" t="n"/>
      <c r="F825" s="1070" t="n"/>
      <c r="G825" s="85" t="n"/>
    </row>
    <row r="826" ht="15.5" customHeight="1" s="828">
      <c r="A826" s="1068" t="n"/>
      <c r="B826" s="725" t="n"/>
      <c r="C826" s="725" t="n"/>
      <c r="D826" s="726" t="n"/>
      <c r="F826" s="1070" t="n"/>
      <c r="G826" s="85" t="n"/>
    </row>
    <row r="827" ht="15.5" customHeight="1" s="828">
      <c r="A827" s="1068" t="n"/>
      <c r="B827" s="725" t="n"/>
      <c r="C827" s="725" t="n"/>
      <c r="D827" s="726" t="n"/>
      <c r="F827" s="1070" t="n"/>
      <c r="G827" s="85" t="n"/>
    </row>
    <row r="828" ht="15.5" customHeight="1" s="828">
      <c r="A828" s="1068" t="n"/>
      <c r="B828" s="725" t="n"/>
      <c r="C828" s="725" t="n"/>
      <c r="D828" s="726" t="n"/>
      <c r="F828" s="1070" t="n"/>
      <c r="G828" s="85" t="n"/>
    </row>
    <row r="829" ht="15.5" customHeight="1" s="828">
      <c r="A829" s="1068" t="n"/>
      <c r="B829" s="725" t="n"/>
      <c r="C829" s="725" t="n"/>
      <c r="D829" s="726" t="n"/>
      <c r="F829" s="1070" t="n"/>
      <c r="G829" s="85" t="n"/>
    </row>
    <row r="830" ht="15.5" customHeight="1" s="828">
      <c r="A830" s="1068" t="n"/>
      <c r="B830" s="725" t="n"/>
      <c r="C830" s="725" t="n"/>
      <c r="D830" s="726" t="n"/>
      <c r="F830" s="1070" t="n"/>
      <c r="G830" s="85" t="n"/>
    </row>
    <row r="831" ht="15.5" customHeight="1" s="828">
      <c r="A831" s="1068" t="n"/>
      <c r="B831" s="725" t="n"/>
      <c r="C831" s="725" t="n"/>
      <c r="D831" s="726" t="n"/>
      <c r="F831" s="238" t="n"/>
      <c r="G831" s="85" t="n"/>
    </row>
    <row r="832" ht="15.5" customHeight="1" s="828">
      <c r="A832" s="1068" t="n"/>
      <c r="B832" s="725" t="n"/>
      <c r="C832" s="725" t="n"/>
      <c r="D832" s="726" t="n"/>
      <c r="F832" s="1070" t="n"/>
      <c r="G832" s="85" t="n"/>
    </row>
    <row r="833" ht="15.5" customHeight="1" s="828">
      <c r="A833" s="1068" t="n"/>
      <c r="B833" s="725" t="n"/>
      <c r="C833" s="725" t="n"/>
      <c r="D833" s="726" t="n"/>
      <c r="F833" s="1070" t="n"/>
      <c r="G833" s="85" t="n"/>
    </row>
    <row r="834" ht="15.5" customHeight="1" s="828">
      <c r="A834" s="1068" t="n"/>
      <c r="B834" s="725" t="n"/>
      <c r="C834" s="725" t="n"/>
      <c r="D834" s="726" t="n"/>
      <c r="F834" s="1070" t="n"/>
      <c r="G834" s="85" t="n"/>
    </row>
    <row r="835" ht="15.5" customHeight="1" s="828">
      <c r="A835" s="1068" t="n"/>
      <c r="B835" s="725" t="n"/>
      <c r="C835" s="725" t="n"/>
      <c r="D835" s="726" t="n"/>
      <c r="F835" s="1070" t="n"/>
      <c r="G835" s="85" t="n"/>
    </row>
    <row r="836" ht="15.5" customHeight="1" s="828">
      <c r="A836" s="1068" t="n"/>
      <c r="B836" s="725" t="n"/>
      <c r="C836" s="725" t="n"/>
      <c r="D836" s="726" t="n"/>
      <c r="F836" s="1070" t="n"/>
      <c r="G836" s="85" t="n"/>
    </row>
    <row r="837" ht="15.5" customHeight="1" s="828">
      <c r="A837" s="1068" t="n"/>
      <c r="B837" s="725" t="n"/>
      <c r="C837" s="725" t="n"/>
      <c r="D837" s="726" t="n"/>
      <c r="F837" s="1070" t="n"/>
      <c r="G837" s="85" t="n"/>
    </row>
    <row r="838" ht="15.5" customHeight="1" s="828">
      <c r="A838" s="1068" t="n"/>
      <c r="B838" s="725" t="n"/>
      <c r="C838" s="725" t="n"/>
      <c r="D838" s="726" t="n"/>
      <c r="F838" s="1070" t="n"/>
      <c r="G838" s="85" t="n"/>
    </row>
    <row r="839" ht="15.5" customHeight="1" s="828">
      <c r="A839" s="1068" t="n"/>
      <c r="B839" s="725" t="n"/>
      <c r="C839" s="725" t="n"/>
      <c r="D839" s="726" t="n"/>
      <c r="F839" s="1070" t="n"/>
      <c r="G839" s="85" t="n"/>
    </row>
    <row r="840" ht="15.5" customHeight="1" s="828">
      <c r="A840" s="1068" t="n"/>
      <c r="B840" s="725" t="n"/>
      <c r="C840" s="725" t="n"/>
      <c r="D840" s="726" t="n"/>
      <c r="F840" s="1070" t="n"/>
      <c r="G840" s="85" t="n"/>
    </row>
    <row r="841" ht="15.5" customHeight="1" s="828">
      <c r="A841" s="1068" t="n"/>
      <c r="B841" s="725" t="n"/>
      <c r="C841" s="725" t="n"/>
      <c r="D841" s="726" t="n"/>
      <c r="F841" s="1070" t="n"/>
      <c r="G841" s="85" t="n"/>
    </row>
    <row r="842" ht="15.5" customHeight="1" s="828">
      <c r="A842" s="1068" t="n"/>
      <c r="B842" s="725" t="n"/>
      <c r="C842" s="725" t="n"/>
      <c r="D842" s="726" t="n"/>
      <c r="F842" s="1070" t="n"/>
      <c r="G842" s="85" t="n"/>
    </row>
    <row r="843" ht="15.5" customHeight="1" s="828">
      <c r="A843" s="1068" t="n"/>
      <c r="B843" s="725" t="n"/>
      <c r="C843" s="725" t="n"/>
      <c r="D843" s="726" t="n"/>
      <c r="F843" s="238" t="n"/>
      <c r="G843" s="85" t="n"/>
    </row>
    <row r="844" ht="15.5" customHeight="1" s="828">
      <c r="A844" s="1068" t="n"/>
      <c r="B844" s="725" t="n"/>
      <c r="C844" s="725" t="n"/>
      <c r="D844" s="726" t="n"/>
      <c r="F844" s="1070" t="n"/>
      <c r="G844" s="85" t="n"/>
    </row>
    <row r="845" ht="15.5" customHeight="1" s="828">
      <c r="A845" s="1068" t="n"/>
      <c r="B845" s="725" t="n"/>
      <c r="C845" s="725" t="n"/>
      <c r="D845" s="726" t="n"/>
      <c r="F845" s="1070" t="n"/>
      <c r="G845" s="85" t="n"/>
    </row>
    <row r="846" ht="15.5" customHeight="1" s="828">
      <c r="A846" s="1068" t="n"/>
      <c r="B846" s="725" t="n"/>
      <c r="C846" s="725" t="n"/>
      <c r="D846" s="726" t="n"/>
      <c r="F846" s="1070" t="n"/>
      <c r="G846" s="85" t="n"/>
    </row>
    <row r="847" ht="15.5" customHeight="1" s="828">
      <c r="A847" s="1068" t="n"/>
      <c r="B847" s="725" t="n"/>
      <c r="C847" s="725" t="n"/>
      <c r="D847" s="726" t="n"/>
      <c r="F847" s="1070" t="n"/>
      <c r="G847" s="85" t="n"/>
    </row>
    <row r="848" ht="15.5" customHeight="1" s="828">
      <c r="A848" s="1068" t="n"/>
      <c r="B848" s="725" t="n"/>
      <c r="C848" s="725" t="n"/>
      <c r="D848" s="726" t="n"/>
      <c r="F848" s="1070" t="n"/>
      <c r="G848" s="85" t="n"/>
    </row>
    <row r="849" ht="15.5" customHeight="1" s="828">
      <c r="A849" s="1068" t="n"/>
      <c r="B849" s="725" t="n"/>
      <c r="C849" s="725" t="n"/>
      <c r="D849" s="726" t="n"/>
      <c r="F849" s="1070" t="n"/>
      <c r="G849" s="85" t="n"/>
    </row>
    <row r="850" ht="15.5" customHeight="1" s="828">
      <c r="A850" s="1068" t="n"/>
      <c r="B850" s="725" t="n"/>
      <c r="C850" s="725" t="n"/>
      <c r="D850" s="726" t="n"/>
      <c r="F850" s="1070" t="n"/>
      <c r="G850" s="85" t="n"/>
    </row>
    <row r="851" ht="15.5" customHeight="1" s="828">
      <c r="A851" s="1068" t="n"/>
      <c r="B851" s="725" t="n"/>
      <c r="C851" s="725" t="n"/>
      <c r="D851" s="726" t="n"/>
      <c r="F851" s="1070" t="n"/>
      <c r="G851" s="85" t="n"/>
    </row>
    <row r="852" ht="15.5" customHeight="1" s="828">
      <c r="A852" s="1068" t="n"/>
      <c r="B852" s="725" t="n"/>
      <c r="C852" s="725" t="n"/>
      <c r="D852" s="726" t="n"/>
      <c r="F852" s="1070" t="n"/>
      <c r="G852" s="85" t="n"/>
    </row>
    <row r="853" ht="15.5" customHeight="1" s="828">
      <c r="A853" s="1068" t="n"/>
      <c r="B853" s="725" t="n"/>
      <c r="C853" s="725" t="n"/>
      <c r="D853" s="726" t="n"/>
      <c r="F853" s="1070" t="n"/>
      <c r="G853" s="85" t="n"/>
    </row>
    <row r="854" ht="15.5" customHeight="1" s="828">
      <c r="A854" s="1068" t="n"/>
      <c r="B854" s="725" t="n"/>
      <c r="C854" s="725" t="n"/>
      <c r="D854" s="726" t="n"/>
      <c r="F854" s="1070" t="n"/>
      <c r="G854" s="85" t="n"/>
    </row>
    <row r="855" ht="15.5" customHeight="1" s="828">
      <c r="A855" s="1068" t="n"/>
      <c r="B855" s="725" t="n"/>
      <c r="C855" s="725" t="n"/>
      <c r="D855" s="726" t="n"/>
      <c r="F855" s="238" t="n"/>
      <c r="G855" s="85" t="n"/>
    </row>
    <row r="856" ht="15.5" customHeight="1" s="828">
      <c r="A856" s="1068" t="n"/>
      <c r="B856" s="725" t="n"/>
      <c r="C856" s="725" t="n"/>
      <c r="D856" s="726" t="n"/>
      <c r="F856" s="1070" t="n"/>
      <c r="G856" s="85" t="n"/>
    </row>
    <row r="857" ht="15.5" customHeight="1" s="828">
      <c r="A857" s="1068" t="n"/>
      <c r="B857" s="725" t="n"/>
      <c r="C857" s="725" t="n"/>
      <c r="D857" s="726" t="n"/>
      <c r="F857" s="1070" t="n"/>
      <c r="G857" s="85" t="n"/>
    </row>
    <row r="858" ht="15.5" customHeight="1" s="828">
      <c r="A858" s="1068" t="n"/>
      <c r="B858" s="725" t="n"/>
      <c r="C858" s="725" t="n"/>
      <c r="D858" s="726" t="n"/>
      <c r="F858" s="1070" t="n"/>
      <c r="G858" s="85" t="n"/>
    </row>
    <row r="859" ht="15.5" customHeight="1" s="828">
      <c r="A859" s="1068" t="n"/>
      <c r="B859" s="725" t="n"/>
      <c r="C859" s="725" t="n"/>
      <c r="D859" s="726" t="n"/>
      <c r="F859" s="1070" t="n"/>
      <c r="G859" s="85" t="n"/>
    </row>
    <row r="860" ht="15.5" customHeight="1" s="828">
      <c r="A860" s="1068" t="n"/>
      <c r="B860" s="725" t="n"/>
      <c r="C860" s="725" t="n"/>
      <c r="D860" s="726" t="n"/>
      <c r="F860" s="1070" t="n"/>
      <c r="G860" s="85" t="n"/>
    </row>
    <row r="861" ht="15.5" customHeight="1" s="828">
      <c r="A861" s="1068" t="n"/>
      <c r="B861" s="725" t="n"/>
      <c r="C861" s="725" t="n"/>
      <c r="D861" s="726" t="n"/>
      <c r="F861" s="1070" t="n"/>
      <c r="G861" s="85" t="n"/>
    </row>
    <row r="862" ht="15.5" customHeight="1" s="828">
      <c r="A862" s="1068" t="n"/>
      <c r="B862" s="725" t="n"/>
      <c r="C862" s="725" t="n"/>
      <c r="D862" s="726" t="n"/>
      <c r="F862" s="1070" t="n"/>
      <c r="G862" s="85" t="n"/>
    </row>
    <row r="863" ht="15.5" customHeight="1" s="828">
      <c r="A863" s="1068" t="n"/>
      <c r="B863" s="725" t="n"/>
      <c r="C863" s="725" t="n"/>
      <c r="D863" s="726" t="n"/>
      <c r="F863" s="1070" t="n"/>
      <c r="G863" s="85" t="n"/>
    </row>
    <row r="864" ht="15.5" customHeight="1" s="828">
      <c r="A864" s="1068" t="n"/>
      <c r="B864" s="725" t="n"/>
      <c r="C864" s="725" t="n"/>
      <c r="D864" s="726" t="n"/>
      <c r="F864" s="1070" t="n"/>
      <c r="G864" s="85" t="n"/>
    </row>
    <row r="865" ht="15.5" customHeight="1" s="828">
      <c r="A865" s="1068" t="n"/>
      <c r="B865" s="725" t="n"/>
      <c r="C865" s="725" t="n"/>
      <c r="D865" s="726" t="n"/>
      <c r="F865" s="1070" t="n"/>
      <c r="G865" s="85" t="n"/>
    </row>
    <row r="866" ht="15.5" customHeight="1" s="828">
      <c r="A866" s="1068" t="n"/>
      <c r="B866" s="725" t="n"/>
      <c r="C866" s="725" t="n"/>
      <c r="D866" s="726" t="n"/>
      <c r="F866" s="1070" t="n"/>
      <c r="G866" s="85" t="n"/>
    </row>
    <row r="867" ht="15.5" customHeight="1" s="828">
      <c r="A867" s="1068" t="n"/>
      <c r="B867" s="725" t="n"/>
      <c r="C867" s="725" t="n"/>
      <c r="D867" s="726" t="n"/>
      <c r="F867" s="238" t="n"/>
      <c r="G867" s="85" t="n"/>
    </row>
    <row r="868" ht="15.5" customHeight="1" s="828">
      <c r="A868" s="1068" t="n"/>
      <c r="B868" s="725" t="n"/>
      <c r="C868" s="725" t="n"/>
      <c r="D868" s="726" t="n"/>
      <c r="F868" s="1070" t="n"/>
      <c r="G868" s="85" t="n"/>
    </row>
    <row r="869" ht="15.5" customHeight="1" s="828">
      <c r="A869" s="1068" t="n"/>
      <c r="B869" s="725" t="n"/>
      <c r="C869" s="725" t="n"/>
      <c r="D869" s="726" t="n"/>
      <c r="F869" s="1070" t="n"/>
      <c r="G869" s="85" t="n"/>
    </row>
    <row r="870" ht="15.5" customHeight="1" s="828">
      <c r="A870" s="1068" t="n"/>
      <c r="B870" s="725" t="n"/>
      <c r="C870" s="725" t="n"/>
      <c r="D870" s="726" t="n"/>
      <c r="F870" s="1070" t="n"/>
      <c r="G870" s="85" t="n"/>
    </row>
    <row r="871" ht="15.5" customHeight="1" s="828">
      <c r="A871" s="1068" t="n"/>
      <c r="B871" s="725" t="n"/>
      <c r="C871" s="725" t="n"/>
      <c r="D871" s="726" t="n"/>
      <c r="F871" s="1070" t="n"/>
      <c r="G871" s="85" t="n"/>
    </row>
    <row r="872" ht="15.5" customHeight="1" s="828">
      <c r="A872" s="1068" t="n"/>
      <c r="B872" s="725" t="n"/>
      <c r="C872" s="725" t="n"/>
      <c r="D872" s="726" t="n"/>
      <c r="F872" s="1070" t="n"/>
      <c r="G872" s="85" t="n"/>
    </row>
    <row r="873" ht="15.5" customHeight="1" s="828">
      <c r="A873" s="1068" t="n"/>
      <c r="B873" s="725" t="n"/>
      <c r="C873" s="725" t="n"/>
      <c r="D873" s="726" t="n"/>
      <c r="F873" s="1070" t="n"/>
      <c r="G873" s="85" t="n"/>
    </row>
    <row r="874" ht="15.5" customHeight="1" s="828">
      <c r="A874" s="1068" t="n"/>
      <c r="B874" s="725" t="n"/>
      <c r="C874" s="725" t="n"/>
      <c r="D874" s="726" t="n"/>
      <c r="F874" s="1070" t="n"/>
      <c r="G874" s="85" t="n"/>
    </row>
    <row r="875" ht="15.5" customHeight="1" s="828">
      <c r="A875" s="1068" t="n"/>
      <c r="B875" s="725" t="n"/>
      <c r="C875" s="725" t="n"/>
      <c r="D875" s="726" t="n"/>
      <c r="F875" s="1070" t="n"/>
      <c r="G875" s="85" t="n"/>
    </row>
    <row r="876" ht="15.5" customHeight="1" s="828">
      <c r="A876" s="1068" t="n"/>
      <c r="B876" s="725" t="n"/>
      <c r="C876" s="725" t="n"/>
      <c r="D876" s="726" t="n"/>
      <c r="F876" s="1070" t="n"/>
      <c r="G876" s="85" t="n"/>
    </row>
    <row r="877" ht="15.5" customHeight="1" s="828">
      <c r="A877" s="1068" t="n"/>
      <c r="B877" s="725" t="n"/>
      <c r="C877" s="725" t="n"/>
      <c r="D877" s="726" t="n"/>
      <c r="F877" s="1070" t="n"/>
      <c r="G877" s="85" t="n"/>
    </row>
    <row r="878" ht="15.5" customHeight="1" s="828">
      <c r="A878" s="1068" t="n"/>
      <c r="B878" s="725" t="n"/>
      <c r="C878" s="725" t="n"/>
      <c r="D878" s="726" t="n"/>
      <c r="F878" s="1070" t="n"/>
      <c r="G878" s="85" t="n"/>
    </row>
    <row r="879" ht="15.5" customHeight="1" s="828">
      <c r="A879" s="1068" t="n"/>
      <c r="B879" s="725" t="n"/>
      <c r="C879" s="725" t="n"/>
      <c r="D879" s="726" t="n"/>
      <c r="F879" s="238" t="n"/>
      <c r="G879" s="85" t="n"/>
    </row>
    <row r="880" ht="15.5" customHeight="1" s="828">
      <c r="A880" s="1068" t="n"/>
      <c r="B880" s="725" t="n"/>
      <c r="C880" s="725" t="n"/>
      <c r="D880" s="726" t="n"/>
      <c r="F880" s="1070" t="n"/>
      <c r="G880" s="85" t="n"/>
    </row>
    <row r="881" ht="15.5" customHeight="1" s="828">
      <c r="A881" s="1068" t="n"/>
      <c r="B881" s="725" t="n"/>
      <c r="C881" s="725" t="n"/>
      <c r="D881" s="726" t="n"/>
      <c r="F881" s="1070" t="n"/>
      <c r="G881" s="85" t="n"/>
    </row>
    <row r="882" ht="15.5" customHeight="1" s="828">
      <c r="A882" s="1068" t="n"/>
      <c r="B882" s="725" t="n"/>
      <c r="C882" s="725" t="n"/>
      <c r="D882" s="726" t="n"/>
      <c r="F882" s="1070" t="n"/>
      <c r="G882" s="85" t="n"/>
    </row>
    <row r="883" ht="15.5" customHeight="1" s="828">
      <c r="A883" s="1068" t="n"/>
      <c r="B883" s="725" t="n"/>
      <c r="C883" s="725" t="n"/>
      <c r="D883" s="726" t="n"/>
      <c r="F883" s="1070" t="n"/>
      <c r="G883" s="85" t="n"/>
    </row>
    <row r="884" ht="15.5" customHeight="1" s="828">
      <c r="A884" s="1068" t="n"/>
      <c r="B884" s="725" t="n"/>
      <c r="C884" s="725" t="n"/>
      <c r="D884" s="726" t="n"/>
      <c r="F884" s="1070" t="n"/>
      <c r="G884" s="85" t="n"/>
    </row>
    <row r="885" ht="15.5" customHeight="1" s="828">
      <c r="A885" s="1068" t="n"/>
      <c r="B885" s="725" t="n"/>
      <c r="C885" s="725" t="n"/>
      <c r="D885" s="726" t="n"/>
      <c r="F885" s="1070" t="n"/>
      <c r="G885" s="85" t="n"/>
    </row>
    <row r="886" ht="15.5" customHeight="1" s="828">
      <c r="A886" s="1068" t="n"/>
      <c r="B886" s="725" t="n"/>
      <c r="C886" s="725" t="n"/>
      <c r="D886" s="726" t="n"/>
      <c r="F886" s="1070" t="n"/>
      <c r="G886" s="85" t="n"/>
    </row>
    <row r="887" ht="15.5" customHeight="1" s="828">
      <c r="A887" s="1068" t="n"/>
      <c r="B887" s="725" t="n"/>
      <c r="C887" s="725" t="n"/>
      <c r="D887" s="726" t="n"/>
      <c r="F887" s="1070" t="n"/>
      <c r="G887" s="85" t="n"/>
    </row>
    <row r="888" ht="15.5" customHeight="1" s="828">
      <c r="A888" s="1068" t="n"/>
      <c r="B888" s="725" t="n"/>
      <c r="C888" s="725" t="n"/>
      <c r="D888" s="726" t="n"/>
      <c r="F888" s="1070" t="n"/>
      <c r="G888" s="85" t="n"/>
    </row>
    <row r="889" ht="15.5" customHeight="1" s="828">
      <c r="A889" s="1068" t="n"/>
      <c r="B889" s="725" t="n"/>
      <c r="C889" s="725" t="n"/>
      <c r="D889" s="726" t="n"/>
      <c r="F889" s="1070" t="n"/>
      <c r="G889" s="85" t="n"/>
    </row>
    <row r="890" ht="15.5" customHeight="1" s="828">
      <c r="A890" s="1068" t="n"/>
      <c r="B890" s="725" t="n"/>
      <c r="C890" s="725" t="n"/>
      <c r="D890" s="726" t="n"/>
      <c r="F890" s="1070" t="n"/>
      <c r="G890" s="85" t="n"/>
    </row>
    <row r="891" ht="15.5" customHeight="1" s="828">
      <c r="A891" s="1068" t="n"/>
      <c r="B891" s="725" t="n"/>
      <c r="C891" s="725" t="n"/>
      <c r="D891" s="726" t="n"/>
      <c r="F891" s="238" t="n"/>
      <c r="G891" s="85" t="n"/>
    </row>
    <row r="892" ht="15.5" customHeight="1" s="828">
      <c r="A892" s="1068" t="n"/>
      <c r="B892" s="725" t="n"/>
      <c r="C892" s="725" t="n"/>
      <c r="D892" s="726" t="n"/>
      <c r="F892" s="1070" t="n"/>
      <c r="G892" s="85" t="n"/>
    </row>
    <row r="893" ht="15.5" customHeight="1" s="828">
      <c r="A893" s="1068" t="n"/>
      <c r="B893" s="725" t="n"/>
      <c r="C893" s="725" t="n"/>
      <c r="D893" s="726" t="n"/>
      <c r="F893" s="1070" t="n"/>
      <c r="G893" s="85" t="n"/>
    </row>
    <row r="894" ht="15.5" customHeight="1" s="828">
      <c r="A894" s="1068" t="n"/>
      <c r="B894" s="725" t="n"/>
      <c r="C894" s="725" t="n"/>
      <c r="D894" s="726" t="n"/>
      <c r="F894" s="1070" t="n"/>
      <c r="G894" s="85" t="n"/>
    </row>
    <row r="895" ht="15.5" customHeight="1" s="828">
      <c r="A895" s="1068" t="n"/>
      <c r="B895" s="725" t="n"/>
      <c r="C895" s="725" t="n"/>
      <c r="D895" s="726" t="n"/>
      <c r="F895" s="1070" t="n"/>
      <c r="G895" s="85" t="n"/>
    </row>
    <row r="896" ht="15.5" customHeight="1" s="828">
      <c r="A896" s="1068" t="n"/>
      <c r="B896" s="725" t="n"/>
      <c r="C896" s="725" t="n"/>
      <c r="D896" s="726" t="n"/>
      <c r="F896" s="1070" t="n"/>
      <c r="G896" s="85" t="n"/>
    </row>
    <row r="897" ht="15.5" customHeight="1" s="828">
      <c r="A897" s="1068" t="n"/>
      <c r="B897" s="725" t="n"/>
      <c r="C897" s="725" t="n"/>
      <c r="D897" s="726" t="n"/>
      <c r="F897" s="1070" t="n"/>
      <c r="G897" s="85" t="n"/>
    </row>
    <row r="898" ht="15.5" customHeight="1" s="828">
      <c r="A898" s="1068" t="n"/>
      <c r="B898" s="725" t="n"/>
      <c r="C898" s="725" t="n"/>
      <c r="D898" s="726" t="n"/>
      <c r="F898" s="1070" t="n"/>
      <c r="G898" s="85" t="n"/>
    </row>
    <row r="899" ht="15.5" customHeight="1" s="828">
      <c r="A899" s="1068" t="n"/>
      <c r="B899" s="725" t="n"/>
      <c r="C899" s="725" t="n"/>
      <c r="D899" s="726" t="n"/>
      <c r="F899" s="1070" t="n"/>
      <c r="G899" s="85" t="n"/>
    </row>
    <row r="900" ht="15.5" customHeight="1" s="828">
      <c r="A900" s="1068" t="n"/>
      <c r="B900" s="725" t="n"/>
      <c r="C900" s="725" t="n"/>
      <c r="D900" s="726" t="n"/>
      <c r="F900" s="1070" t="n"/>
      <c r="G900" s="85" t="n"/>
    </row>
    <row r="901" ht="15.5" customHeight="1" s="828">
      <c r="A901" s="1068" t="n"/>
      <c r="B901" s="725" t="n"/>
      <c r="C901" s="725" t="n"/>
      <c r="D901" s="726" t="n"/>
      <c r="F901" s="1070" t="n"/>
      <c r="G901" s="85" t="n"/>
    </row>
    <row r="902" ht="15.5" customHeight="1" s="828">
      <c r="A902" s="1068" t="n"/>
      <c r="B902" s="725" t="n"/>
      <c r="C902" s="725" t="n"/>
      <c r="D902" s="726" t="n"/>
      <c r="F902" s="1070" t="n"/>
      <c r="G902" s="85" t="n"/>
    </row>
    <row r="903" ht="15.5" customHeight="1" s="828">
      <c r="A903" s="1068" t="n"/>
      <c r="B903" s="725" t="n"/>
      <c r="C903" s="725" t="n"/>
      <c r="D903" s="726" t="n"/>
      <c r="F903" s="238" t="n"/>
      <c r="G903" s="85" t="n"/>
    </row>
    <row r="904" ht="15.5" customHeight="1" s="828">
      <c r="A904" s="1068" t="n"/>
      <c r="B904" s="725" t="n"/>
      <c r="C904" s="725" t="n"/>
      <c r="D904" s="726" t="n"/>
      <c r="F904" s="1070" t="n"/>
      <c r="G904" s="85" t="n"/>
    </row>
    <row r="905" ht="15.5" customHeight="1" s="828">
      <c r="A905" s="1068" t="n"/>
      <c r="B905" s="725" t="n"/>
      <c r="C905" s="725" t="n"/>
      <c r="D905" s="726" t="n"/>
      <c r="F905" s="1070" t="n"/>
      <c r="G905" s="85" t="n"/>
    </row>
    <row r="906" ht="15.5" customHeight="1" s="828">
      <c r="A906" s="1068" t="n"/>
      <c r="B906" s="725" t="n"/>
      <c r="C906" s="725" t="n"/>
      <c r="D906" s="726" t="n"/>
      <c r="F906" s="1070" t="n"/>
      <c r="G906" s="85" t="n"/>
    </row>
    <row r="907" ht="15.5" customHeight="1" s="828">
      <c r="A907" s="1068" t="n"/>
      <c r="B907" s="725" t="n"/>
      <c r="C907" s="725" t="n"/>
      <c r="D907" s="726" t="n"/>
      <c r="F907" s="1070" t="n"/>
      <c r="G907" s="85" t="n"/>
    </row>
    <row r="908" ht="15.5" customHeight="1" s="828">
      <c r="A908" s="1068" t="n"/>
      <c r="B908" s="725" t="n"/>
      <c r="C908" s="725" t="n"/>
      <c r="D908" s="726" t="n"/>
      <c r="F908" s="1070" t="n"/>
      <c r="G908" s="85" t="n"/>
    </row>
    <row r="909" ht="15.5" customHeight="1" s="828">
      <c r="A909" s="1068" t="n"/>
      <c r="B909" s="725" t="n"/>
      <c r="C909" s="725" t="n"/>
      <c r="D909" s="726" t="n"/>
      <c r="F909" s="1070" t="n"/>
      <c r="G909" s="85" t="n"/>
    </row>
    <row r="910" ht="15.5" customHeight="1" s="828">
      <c r="A910" s="1068" t="n"/>
      <c r="B910" s="725" t="n"/>
      <c r="C910" s="725" t="n"/>
      <c r="D910" s="726" t="n"/>
      <c r="F910" s="1070" t="n"/>
      <c r="G910" s="85" t="n"/>
    </row>
    <row r="911" ht="15.5" customHeight="1" s="828">
      <c r="A911" s="1068" t="n"/>
      <c r="B911" s="725" t="n"/>
      <c r="C911" s="725" t="n"/>
      <c r="D911" s="726" t="n"/>
      <c r="F911" s="1070" t="n"/>
      <c r="G911" s="85" t="n"/>
    </row>
    <row r="912" ht="15.5" customHeight="1" s="828">
      <c r="A912" s="1068" t="n"/>
      <c r="B912" s="725" t="n"/>
      <c r="C912" s="725" t="n"/>
      <c r="D912" s="726" t="n"/>
      <c r="F912" s="1070" t="n"/>
      <c r="G912" s="85" t="n"/>
    </row>
    <row r="913" ht="15.5" customHeight="1" s="828">
      <c r="A913" s="1068" t="n"/>
      <c r="B913" s="725" t="n"/>
      <c r="C913" s="725" t="n"/>
      <c r="D913" s="726" t="n"/>
      <c r="F913" s="1070" t="n"/>
      <c r="G913" s="85" t="n"/>
    </row>
    <row r="914" ht="15.5" customHeight="1" s="828">
      <c r="A914" s="1068" t="n"/>
      <c r="B914" s="725" t="n"/>
      <c r="C914" s="725" t="n"/>
      <c r="D914" s="726" t="n"/>
      <c r="F914" s="1070" t="n"/>
      <c r="G914" s="85" t="n"/>
    </row>
    <row r="915" ht="15.5" customHeight="1" s="828">
      <c r="A915" s="1068" t="n"/>
      <c r="B915" s="725" t="n"/>
      <c r="C915" s="725" t="n"/>
      <c r="D915" s="726" t="n"/>
      <c r="F915" s="238" t="n"/>
      <c r="G915" s="85" t="n"/>
    </row>
    <row r="916" ht="15.5" customHeight="1" s="828">
      <c r="A916" s="1068" t="n"/>
      <c r="B916" s="725" t="n"/>
      <c r="C916" s="725" t="n"/>
      <c r="D916" s="726" t="n"/>
      <c r="F916" s="1070" t="n"/>
      <c r="G916" s="85" t="n"/>
    </row>
    <row r="917" ht="15.5" customHeight="1" s="828">
      <c r="A917" s="1068" t="n"/>
      <c r="B917" s="725" t="n"/>
      <c r="C917" s="725" t="n"/>
      <c r="D917" s="726" t="n"/>
      <c r="F917" s="1070" t="n"/>
      <c r="G917" s="85" t="n"/>
    </row>
    <row r="918" ht="15.5" customHeight="1" s="828">
      <c r="A918" s="1068" t="n"/>
      <c r="B918" s="725" t="n"/>
      <c r="C918" s="725" t="n"/>
      <c r="D918" s="726" t="n"/>
      <c r="F918" s="1070" t="n"/>
      <c r="G918" s="85" t="n"/>
    </row>
    <row r="919" ht="15.5" customHeight="1" s="828">
      <c r="A919" s="1068" t="n"/>
      <c r="B919" s="725" t="n"/>
      <c r="C919" s="725" t="n"/>
      <c r="D919" s="726" t="n"/>
      <c r="F919" s="1070" t="n"/>
      <c r="G919" s="85" t="n"/>
    </row>
    <row r="920" ht="15.5" customHeight="1" s="828">
      <c r="A920" s="1068" t="n"/>
      <c r="B920" s="725" t="n"/>
      <c r="C920" s="725" t="n"/>
      <c r="D920" s="726" t="n"/>
      <c r="F920" s="1070" t="n"/>
      <c r="G920" s="85" t="n"/>
    </row>
    <row r="921" ht="15.5" customHeight="1" s="828">
      <c r="A921" s="1068" t="n"/>
      <c r="B921" s="725" t="n"/>
      <c r="C921" s="725" t="n"/>
      <c r="D921" s="726" t="n"/>
      <c r="F921" s="1070" t="n"/>
      <c r="G921" s="85" t="n"/>
    </row>
    <row r="922" ht="15.5" customHeight="1" s="828">
      <c r="A922" s="1068" t="n"/>
      <c r="B922" s="725" t="n"/>
      <c r="C922" s="725" t="n"/>
      <c r="D922" s="726" t="n"/>
      <c r="F922" s="1070" t="n"/>
      <c r="G922" s="85" t="n"/>
    </row>
    <row r="923" ht="15.5" customHeight="1" s="828">
      <c r="A923" s="1068" t="n"/>
      <c r="B923" s="725" t="n"/>
      <c r="C923" s="725" t="n"/>
      <c r="D923" s="726" t="n"/>
      <c r="F923" s="1070" t="n"/>
      <c r="G923" s="85" t="n"/>
    </row>
    <row r="924" ht="15.5" customHeight="1" s="828">
      <c r="A924" s="1068" t="n"/>
      <c r="B924" s="725" t="n"/>
      <c r="C924" s="725" t="n"/>
      <c r="D924" s="726" t="n"/>
      <c r="F924" s="1070" t="n"/>
      <c r="G924" s="85" t="n"/>
    </row>
    <row r="925" ht="15.5" customHeight="1" s="828">
      <c r="A925" s="1068" t="n"/>
      <c r="B925" s="725" t="n"/>
      <c r="C925" s="725" t="n"/>
      <c r="D925" s="726" t="n"/>
      <c r="F925" s="1070" t="n"/>
      <c r="G925" s="85" t="n"/>
    </row>
    <row r="926" ht="15.5" customHeight="1" s="828">
      <c r="A926" s="1068" t="n"/>
      <c r="B926" s="725" t="n"/>
      <c r="C926" s="725" t="n"/>
      <c r="D926" s="726" t="n"/>
      <c r="F926" s="1070" t="n"/>
      <c r="G926" s="85" t="n"/>
    </row>
    <row r="927" ht="15.5" customHeight="1" s="828">
      <c r="A927" s="1068" t="n"/>
      <c r="B927" s="725" t="n"/>
      <c r="C927" s="725" t="n"/>
      <c r="D927" s="726" t="n"/>
      <c r="F927" s="238" t="n"/>
      <c r="G927" s="85" t="n"/>
    </row>
    <row r="928" ht="15.5" customHeight="1" s="828">
      <c r="A928" s="1068" t="n"/>
      <c r="B928" s="725" t="n"/>
      <c r="C928" s="725" t="n"/>
      <c r="D928" s="726" t="n"/>
      <c r="F928" s="1070" t="n"/>
      <c r="G928" s="85" t="n"/>
    </row>
    <row r="929" ht="15.5" customHeight="1" s="828">
      <c r="A929" s="1068" t="n"/>
      <c r="B929" s="725" t="n"/>
      <c r="C929" s="725" t="n"/>
      <c r="D929" s="726" t="n"/>
      <c r="F929" s="1070" t="n"/>
      <c r="G929" s="85" t="n"/>
    </row>
    <row r="930" ht="15.5" customHeight="1" s="828">
      <c r="A930" s="1068" t="n"/>
      <c r="B930" s="725" t="n"/>
      <c r="C930" s="725" t="n"/>
      <c r="D930" s="726" t="n"/>
      <c r="F930" s="1070" t="n"/>
      <c r="G930" s="85" t="n"/>
    </row>
    <row r="931" ht="15.5" customHeight="1" s="828">
      <c r="A931" s="1068" t="n"/>
      <c r="B931" s="725" t="n"/>
      <c r="C931" s="725" t="n"/>
      <c r="D931" s="726" t="n"/>
      <c r="F931" s="1070" t="n"/>
      <c r="G931" s="85" t="n"/>
    </row>
    <row r="932" ht="15.5" customHeight="1" s="828">
      <c r="A932" s="1068" t="n"/>
      <c r="B932" s="725" t="n"/>
      <c r="C932" s="725" t="n"/>
      <c r="D932" s="726" t="n"/>
      <c r="F932" s="1070" t="n"/>
      <c r="G932" s="85" t="n"/>
    </row>
    <row r="933" ht="15.5" customHeight="1" s="828">
      <c r="A933" s="1068" t="n"/>
      <c r="B933" s="725" t="n"/>
      <c r="C933" s="725" t="n"/>
      <c r="D933" s="726" t="n"/>
      <c r="F933" s="1070" t="n"/>
      <c r="G933" s="85" t="n"/>
    </row>
    <row r="934" ht="15.5" customHeight="1" s="828">
      <c r="A934" s="1068" t="n"/>
      <c r="B934" s="725" t="n"/>
      <c r="C934" s="725" t="n"/>
      <c r="D934" s="726" t="n"/>
      <c r="F934" s="1070" t="n"/>
      <c r="G934" s="85" t="n"/>
    </row>
    <row r="935" ht="15.5" customHeight="1" s="828">
      <c r="A935" s="1068" t="n"/>
      <c r="B935" s="725" t="n"/>
      <c r="C935" s="725" t="n"/>
      <c r="D935" s="726" t="n"/>
      <c r="F935" s="1070" t="n"/>
      <c r="G935" s="85" t="n"/>
    </row>
    <row r="936" ht="15.5" customHeight="1" s="828">
      <c r="A936" s="1068" t="n"/>
      <c r="B936" s="725" t="n"/>
      <c r="C936" s="725" t="n"/>
      <c r="D936" s="726" t="n"/>
      <c r="F936" s="1070" t="n"/>
      <c r="G936" s="85" t="n"/>
    </row>
    <row r="937" ht="15.5" customHeight="1" s="828">
      <c r="A937" s="1068" t="n"/>
      <c r="B937" s="725" t="n"/>
      <c r="C937" s="725" t="n"/>
      <c r="D937" s="726" t="n"/>
      <c r="F937" s="1070" t="n"/>
      <c r="G937" s="85" t="n"/>
    </row>
    <row r="938" ht="15.5" customHeight="1" s="828">
      <c r="A938" s="1068" t="n"/>
      <c r="B938" s="725" t="n"/>
      <c r="C938" s="725" t="n"/>
      <c r="D938" s="726" t="n"/>
      <c r="F938" s="1070" t="n"/>
      <c r="G938" s="85" t="n"/>
    </row>
    <row r="939" ht="15.5" customHeight="1" s="828">
      <c r="A939" s="1068" t="n"/>
      <c r="B939" s="725" t="n"/>
      <c r="C939" s="725" t="n"/>
      <c r="D939" s="726" t="n"/>
      <c r="F939" s="238" t="n"/>
      <c r="G939" s="85" t="n"/>
    </row>
    <row r="940" ht="15.5" customHeight="1" s="828">
      <c r="A940" s="1068" t="n"/>
      <c r="B940" s="725" t="n"/>
      <c r="C940" s="725" t="n"/>
      <c r="D940" s="726" t="n"/>
      <c r="F940" s="1070" t="n"/>
      <c r="G940" s="85" t="n"/>
    </row>
    <row r="941" ht="15.5" customHeight="1" s="828">
      <c r="A941" s="1068" t="n"/>
      <c r="B941" s="725" t="n"/>
      <c r="C941" s="725" t="n"/>
      <c r="D941" s="726" t="n"/>
      <c r="F941" s="1070" t="n"/>
      <c r="G941" s="85" t="n"/>
    </row>
    <row r="942" ht="15.5" customHeight="1" s="828">
      <c r="A942" s="1068" t="n"/>
      <c r="B942" s="725" t="n"/>
      <c r="C942" s="725" t="n"/>
      <c r="D942" s="726" t="n"/>
      <c r="F942" s="1070" t="n"/>
      <c r="G942" s="85" t="n"/>
    </row>
    <row r="943" ht="15.5" customHeight="1" s="828">
      <c r="A943" s="1068" t="n"/>
      <c r="B943" s="725" t="n"/>
      <c r="C943" s="725" t="n"/>
      <c r="D943" s="726" t="n"/>
      <c r="F943" s="1070" t="n"/>
      <c r="G943" s="85" t="n"/>
    </row>
    <row r="944" ht="15.5" customHeight="1" s="828">
      <c r="A944" s="1068" t="n"/>
      <c r="B944" s="725" t="n"/>
      <c r="C944" s="725" t="n"/>
      <c r="D944" s="726" t="n"/>
      <c r="F944" s="1070" t="n"/>
      <c r="G944" s="85" t="n"/>
    </row>
    <row r="945" ht="15.5" customHeight="1" s="828">
      <c r="A945" s="1068" t="n"/>
      <c r="B945" s="725" t="n"/>
      <c r="C945" s="725" t="n"/>
      <c r="D945" s="726" t="n"/>
      <c r="F945" s="1070" t="n"/>
      <c r="G945" s="85" t="n"/>
    </row>
    <row r="946" ht="15.5" customHeight="1" s="828">
      <c r="A946" s="1068" t="n"/>
      <c r="B946" s="725" t="n"/>
      <c r="C946" s="725" t="n"/>
      <c r="D946" s="726" t="n"/>
      <c r="F946" s="1070" t="n"/>
      <c r="G946" s="85" t="n"/>
    </row>
    <row r="947" ht="15.5" customHeight="1" s="828">
      <c r="A947" s="1068" t="n"/>
      <c r="B947" s="725" t="n"/>
      <c r="C947" s="725" t="n"/>
      <c r="D947" s="726" t="n"/>
      <c r="F947" s="1070" t="n"/>
      <c r="G947" s="85" t="n"/>
    </row>
    <row r="948" ht="15.5" customHeight="1" s="828">
      <c r="A948" s="1068" t="n"/>
      <c r="B948" s="725" t="n"/>
      <c r="C948" s="725" t="n"/>
      <c r="D948" s="726" t="n"/>
      <c r="F948" s="1070" t="n"/>
      <c r="G948" s="85" t="n"/>
    </row>
    <row r="949" ht="15.5" customHeight="1" s="828">
      <c r="A949" s="1068" t="n"/>
      <c r="B949" s="725" t="n"/>
      <c r="C949" s="725" t="n"/>
      <c r="D949" s="726" t="n"/>
      <c r="F949" s="1070" t="n"/>
      <c r="G949" s="85" t="n"/>
    </row>
    <row r="950" ht="15.5" customHeight="1" s="828">
      <c r="A950" s="1068" t="n"/>
      <c r="B950" s="725" t="n"/>
      <c r="C950" s="725" t="n"/>
      <c r="D950" s="726" t="n"/>
      <c r="F950" s="1070" t="n"/>
      <c r="G950" s="85" t="n"/>
    </row>
    <row r="951" ht="15.5" customHeight="1" s="828">
      <c r="A951" s="1068" t="n"/>
      <c r="B951" s="725" t="n"/>
      <c r="C951" s="725" t="n"/>
      <c r="D951" s="726" t="n"/>
      <c r="F951" s="238" t="n"/>
      <c r="G951" s="85" t="n"/>
    </row>
    <row r="952" ht="15.5" customHeight="1" s="828">
      <c r="A952" s="1068" t="n"/>
      <c r="B952" s="725" t="n"/>
      <c r="C952" s="725" t="n"/>
      <c r="D952" s="726" t="n"/>
      <c r="F952" s="1070" t="n"/>
      <c r="G952" s="85" t="n"/>
    </row>
    <row r="953" ht="15.5" customHeight="1" s="828">
      <c r="A953" s="1068" t="n"/>
      <c r="B953" s="725" t="n"/>
      <c r="C953" s="725" t="n"/>
      <c r="D953" s="726" t="n"/>
      <c r="F953" s="1070" t="n"/>
      <c r="G953" s="85" t="n"/>
    </row>
    <row r="954" ht="15.5" customHeight="1" s="828">
      <c r="A954" s="1068" t="n"/>
      <c r="B954" s="725" t="n"/>
      <c r="C954" s="725" t="n"/>
      <c r="D954" s="726" t="n"/>
      <c r="F954" s="1070" t="n"/>
      <c r="G954" s="85" t="n"/>
    </row>
    <row r="955" ht="15.5" customHeight="1" s="828">
      <c r="A955" s="1068" t="n"/>
      <c r="B955" s="725" t="n"/>
      <c r="C955" s="725" t="n"/>
      <c r="D955" s="726" t="n"/>
      <c r="F955" s="1070" t="n"/>
      <c r="G955" s="85" t="n"/>
    </row>
    <row r="956" ht="15.5" customHeight="1" s="828">
      <c r="A956" s="1068" t="n"/>
      <c r="B956" s="725" t="n"/>
      <c r="C956" s="725" t="n"/>
      <c r="D956" s="726" t="n"/>
      <c r="F956" s="1070" t="n"/>
      <c r="G956" s="85" t="n"/>
    </row>
    <row r="957" ht="15.5" customHeight="1" s="828">
      <c r="A957" s="1068" t="n"/>
      <c r="B957" s="725" t="n"/>
      <c r="C957" s="725" t="n"/>
      <c r="D957" s="726" t="n"/>
      <c r="F957" s="1070" t="n"/>
      <c r="G957" s="85" t="n"/>
    </row>
    <row r="958" ht="15.5" customHeight="1" s="828">
      <c r="A958" s="1068" t="n"/>
      <c r="B958" s="725" t="n"/>
      <c r="C958" s="725" t="n"/>
      <c r="D958" s="726" t="n"/>
      <c r="F958" s="1070" t="n"/>
      <c r="G958" s="85" t="n"/>
    </row>
    <row r="959" ht="15.5" customHeight="1" s="828">
      <c r="A959" s="1068" t="n"/>
      <c r="B959" s="725" t="n"/>
      <c r="C959" s="725" t="n"/>
      <c r="D959" s="726" t="n"/>
      <c r="F959" s="1070" t="n"/>
      <c r="G959" s="85" t="n"/>
    </row>
    <row r="960" ht="15.5" customHeight="1" s="828">
      <c r="A960" s="1068" t="n"/>
      <c r="B960" s="725" t="n"/>
      <c r="C960" s="725" t="n"/>
      <c r="D960" s="726" t="n"/>
      <c r="F960" s="1070" t="n"/>
      <c r="G960" s="85" t="n"/>
    </row>
    <row r="961" ht="15.5" customHeight="1" s="828">
      <c r="A961" s="1068" t="n"/>
      <c r="B961" s="725" t="n"/>
      <c r="C961" s="725" t="n"/>
      <c r="D961" s="726" t="n"/>
      <c r="F961" s="1070" t="n"/>
      <c r="G961" s="85" t="n"/>
    </row>
    <row r="962" ht="15.5" customHeight="1" s="828">
      <c r="A962" s="1068" t="n"/>
      <c r="B962" s="725" t="n"/>
      <c r="C962" s="725" t="n"/>
      <c r="D962" s="726" t="n"/>
      <c r="F962" s="1070" t="n"/>
      <c r="G962" s="85" t="n"/>
    </row>
    <row r="963" ht="15.5" customHeight="1" s="828">
      <c r="A963" s="1068" t="n"/>
      <c r="B963" s="725" t="n"/>
      <c r="C963" s="725" t="n"/>
      <c r="D963" s="726" t="n"/>
      <c r="F963" s="238" t="n"/>
      <c r="G963" s="85" t="n"/>
    </row>
    <row r="964" ht="15.5" customHeight="1" s="828">
      <c r="A964" s="1068" t="n"/>
      <c r="B964" s="725" t="n"/>
      <c r="C964" s="725" t="n"/>
      <c r="D964" s="726" t="n"/>
      <c r="F964" s="1070" t="n"/>
      <c r="G964" s="85" t="n"/>
    </row>
    <row r="965" ht="15.5" customHeight="1" s="828">
      <c r="A965" s="1068" t="n"/>
      <c r="B965" s="725" t="n"/>
      <c r="C965" s="725" t="n"/>
      <c r="D965" s="726" t="n"/>
      <c r="F965" s="1070" t="n"/>
      <c r="G965" s="85" t="n"/>
    </row>
    <row r="966" ht="15.5" customHeight="1" s="828">
      <c r="A966" s="1068" t="n"/>
      <c r="B966" s="725" t="n"/>
      <c r="C966" s="725" t="n"/>
      <c r="D966" s="726" t="n"/>
      <c r="F966" s="1070" t="n"/>
      <c r="G966" s="85" t="n"/>
    </row>
    <row r="967" ht="15.5" customHeight="1" s="828">
      <c r="A967" s="1068" t="n"/>
      <c r="B967" s="725" t="n"/>
      <c r="C967" s="725" t="n"/>
      <c r="D967" s="726" t="n"/>
      <c r="F967" s="1070" t="n"/>
      <c r="G967" s="85" t="n"/>
    </row>
    <row r="968" ht="15.5" customHeight="1" s="828">
      <c r="A968" s="1068" t="n"/>
      <c r="B968" s="725" t="n"/>
      <c r="C968" s="725" t="n"/>
      <c r="D968" s="726" t="n"/>
      <c r="F968" s="1070" t="n"/>
      <c r="G968" s="85" t="n"/>
    </row>
    <row r="969" ht="15.5" customHeight="1" s="828">
      <c r="A969" s="1068" t="n"/>
      <c r="B969" s="725" t="n"/>
      <c r="C969" s="725" t="n"/>
      <c r="D969" s="726" t="n"/>
      <c r="F969" s="1070" t="n"/>
      <c r="G969" s="85" t="n"/>
    </row>
    <row r="970" ht="15.5" customHeight="1" s="828">
      <c r="A970" s="1068" t="n"/>
      <c r="B970" s="725" t="n"/>
      <c r="C970" s="725" t="n"/>
      <c r="D970" s="726" t="n"/>
      <c r="F970" s="1070" t="n"/>
      <c r="G970" s="85" t="n"/>
    </row>
    <row r="971" ht="15.5" customHeight="1" s="828">
      <c r="A971" s="1068" t="n"/>
      <c r="B971" s="725" t="n"/>
      <c r="C971" s="725" t="n"/>
      <c r="D971" s="726" t="n"/>
      <c r="F971" s="1070" t="n"/>
      <c r="G971" s="85" t="n"/>
    </row>
    <row r="972" ht="15.5" customHeight="1" s="828">
      <c r="A972" s="1068" t="n"/>
      <c r="B972" s="725" t="n"/>
      <c r="C972" s="725" t="n"/>
      <c r="D972" s="726" t="n"/>
      <c r="F972" s="1070" t="n"/>
      <c r="G972" s="85" t="n"/>
    </row>
    <row r="973" ht="15.5" customHeight="1" s="828">
      <c r="A973" s="1068" t="n"/>
      <c r="B973" s="725" t="n"/>
      <c r="C973" s="725" t="n"/>
      <c r="D973" s="726" t="n"/>
      <c r="F973" s="1070" t="n"/>
      <c r="G973" s="85" t="n"/>
    </row>
    <row r="974" ht="15.5" customHeight="1" s="828">
      <c r="A974" s="1068" t="n"/>
      <c r="B974" s="725" t="n"/>
      <c r="C974" s="725" t="n"/>
      <c r="D974" s="726" t="n"/>
      <c r="F974" s="1070" t="n"/>
      <c r="G974" s="85" t="n"/>
    </row>
    <row r="975" ht="15.5" customHeight="1" s="828">
      <c r="A975" s="1068" t="n"/>
      <c r="B975" s="725" t="n"/>
      <c r="C975" s="725" t="n"/>
      <c r="D975" s="726" t="n"/>
      <c r="F975" s="238" t="n"/>
      <c r="G975" s="85" t="n"/>
    </row>
    <row r="976" ht="15.5" customHeight="1" s="828">
      <c r="A976" s="1068" t="n"/>
      <c r="B976" s="725" t="n"/>
      <c r="C976" s="725" t="n"/>
      <c r="D976" s="726" t="n"/>
      <c r="F976" s="1070" t="n"/>
      <c r="G976" s="85" t="n"/>
    </row>
    <row r="977" ht="15.5" customHeight="1" s="828">
      <c r="A977" s="1068" t="n"/>
      <c r="B977" s="725" t="n"/>
      <c r="C977" s="725" t="n"/>
      <c r="D977" s="726" t="n"/>
      <c r="F977" s="1070" t="n"/>
      <c r="G977" s="85" t="n"/>
    </row>
    <row r="978" ht="15.5" customHeight="1" s="828">
      <c r="A978" s="1068" t="n"/>
      <c r="B978" s="725" t="n"/>
      <c r="C978" s="725" t="n"/>
      <c r="D978" s="726" t="n"/>
      <c r="F978" s="1070" t="n"/>
      <c r="G978" s="85" t="n"/>
    </row>
    <row r="979" ht="15.5" customHeight="1" s="828">
      <c r="A979" s="1068" t="n"/>
      <c r="B979" s="725" t="n"/>
      <c r="C979" s="725" t="n"/>
      <c r="D979" s="726" t="n"/>
      <c r="F979" s="1070" t="n"/>
      <c r="G979" s="85" t="n"/>
    </row>
    <row r="980" ht="15.5" customHeight="1" s="828">
      <c r="A980" s="1068" t="n"/>
      <c r="B980" s="725" t="n"/>
      <c r="C980" s="725" t="n"/>
      <c r="D980" s="726" t="n"/>
      <c r="F980" s="1070" t="n"/>
      <c r="G980" s="85" t="n"/>
    </row>
    <row r="981" ht="15.5" customHeight="1" s="828">
      <c r="A981" s="1068" t="n"/>
      <c r="B981" s="725" t="n"/>
      <c r="C981" s="725" t="n"/>
      <c r="D981" s="726" t="n"/>
      <c r="F981" s="1070" t="n"/>
      <c r="G981" s="85" t="n"/>
    </row>
    <row r="982" ht="15.5" customHeight="1" s="828">
      <c r="A982" s="1068" t="n"/>
      <c r="B982" s="725" t="n"/>
      <c r="C982" s="725" t="n"/>
      <c r="D982" s="726" t="n"/>
      <c r="F982" s="1070" t="n"/>
      <c r="G982" s="85" t="n"/>
    </row>
    <row r="983" ht="15.5" customHeight="1" s="828">
      <c r="A983" s="1068" t="n"/>
      <c r="B983" s="725" t="n"/>
      <c r="C983" s="725" t="n"/>
      <c r="D983" s="726" t="n"/>
      <c r="F983" s="1070" t="n"/>
      <c r="G983" s="85" t="n"/>
    </row>
    <row r="984" ht="15.5" customHeight="1" s="828">
      <c r="A984" s="1068" t="n"/>
      <c r="B984" s="725" t="n"/>
      <c r="C984" s="725" t="n"/>
      <c r="D984" s="726" t="n"/>
      <c r="F984" s="1070" t="n"/>
      <c r="G984" s="85" t="n"/>
    </row>
    <row r="985" ht="15.5" customHeight="1" s="828">
      <c r="A985" s="1068" t="n"/>
      <c r="B985" s="725" t="n"/>
      <c r="C985" s="725" t="n"/>
      <c r="D985" s="726" t="n"/>
      <c r="F985" s="1070" t="n"/>
      <c r="G985" s="85" t="n"/>
    </row>
    <row r="986" ht="15.5" customHeight="1" s="828">
      <c r="A986" s="1068" t="n"/>
      <c r="B986" s="725" t="n"/>
      <c r="C986" s="725" t="n"/>
      <c r="D986" s="726" t="n"/>
      <c r="F986" s="1070" t="n"/>
      <c r="G986" s="85" t="n"/>
    </row>
    <row r="987" ht="15.5" customHeight="1" s="828">
      <c r="A987" s="1068" t="n"/>
      <c r="B987" s="725" t="n"/>
      <c r="C987" s="725" t="n"/>
      <c r="D987" s="726" t="n"/>
      <c r="F987" s="238" t="n"/>
      <c r="G987" s="85" t="n"/>
    </row>
    <row r="988" ht="15.5" customHeight="1" s="828">
      <c r="A988" s="1068" t="n"/>
      <c r="B988" s="725" t="n"/>
      <c r="C988" s="725" t="n"/>
      <c r="D988" s="726" t="n"/>
      <c r="F988" s="1070" t="n"/>
      <c r="G988" s="85" t="n"/>
    </row>
    <row r="989" ht="15.5" customHeight="1" s="828">
      <c r="A989" s="1068" t="n"/>
      <c r="B989" s="725" t="n"/>
      <c r="C989" s="725" t="n"/>
      <c r="D989" s="726" t="n"/>
      <c r="F989" s="1070" t="n"/>
      <c r="G989" s="85" t="n"/>
    </row>
    <row r="990" ht="15.5" customHeight="1" s="828">
      <c r="A990" s="1068" t="n"/>
      <c r="B990" s="725" t="n"/>
      <c r="C990" s="725" t="n"/>
      <c r="D990" s="726" t="n"/>
      <c r="F990" s="1070" t="n"/>
      <c r="G990" s="85" t="n"/>
    </row>
    <row r="991" ht="15.5" customHeight="1" s="828">
      <c r="A991" s="1068" t="n"/>
      <c r="B991" s="725" t="n"/>
      <c r="C991" s="725" t="n"/>
      <c r="D991" s="726" t="n"/>
      <c r="F991" s="1070" t="n"/>
      <c r="G991" s="85" t="n"/>
    </row>
    <row r="992" ht="15.5" customHeight="1" s="828">
      <c r="A992" s="1068" t="n"/>
      <c r="B992" s="725" t="n"/>
      <c r="C992" s="725" t="n"/>
      <c r="D992" s="726" t="n"/>
      <c r="F992" s="1070" t="n"/>
      <c r="G992" s="85" t="n"/>
    </row>
    <row r="993" ht="15.5" customHeight="1" s="828">
      <c r="A993" s="1068" t="n"/>
      <c r="B993" s="725" t="n"/>
      <c r="C993" s="725" t="n"/>
      <c r="D993" s="726" t="n"/>
      <c r="F993" s="1070" t="n"/>
      <c r="G993" s="85" t="n"/>
    </row>
    <row r="994" ht="15.5" customHeight="1" s="828">
      <c r="A994" s="1068" t="n"/>
      <c r="B994" s="725" t="n"/>
      <c r="C994" s="725" t="n"/>
      <c r="D994" s="726" t="n"/>
      <c r="F994" s="1070" t="n"/>
      <c r="G994" s="85" t="n"/>
    </row>
    <row r="995" ht="15.5" customHeight="1" s="828">
      <c r="A995" s="1068" t="n"/>
      <c r="B995" s="725" t="n"/>
      <c r="C995" s="725" t="n"/>
      <c r="D995" s="726" t="n"/>
      <c r="F995" s="1070" t="n"/>
      <c r="G995" s="85" t="n"/>
    </row>
    <row r="996" ht="15.5" customHeight="1" s="828">
      <c r="A996" s="1068" t="n"/>
      <c r="B996" s="725" t="n"/>
      <c r="C996" s="725" t="n"/>
      <c r="D996" s="726" t="n"/>
      <c r="F996" s="1070" t="n"/>
      <c r="G996" s="85" t="n"/>
    </row>
    <row r="997" ht="15.5" customHeight="1" s="828">
      <c r="A997" s="1068" t="n"/>
      <c r="B997" s="725" t="n"/>
      <c r="C997" s="725" t="n"/>
      <c r="D997" s="726" t="n"/>
      <c r="F997" s="1070" t="n"/>
      <c r="G997" s="85" t="n"/>
    </row>
    <row r="998" ht="15.5" customHeight="1" s="828">
      <c r="A998" s="1068" t="n"/>
      <c r="B998" s="725" t="n"/>
      <c r="C998" s="725" t="n"/>
      <c r="D998" s="726" t="n"/>
      <c r="F998" s="1070" t="n"/>
      <c r="G998" s="85" t="n"/>
    </row>
    <row r="999" ht="15.5" customHeight="1" s="828">
      <c r="A999" s="1068" t="n"/>
      <c r="B999" s="725" t="n"/>
      <c r="C999" s="725" t="n"/>
      <c r="D999" s="726" t="n"/>
      <c r="F999" s="238" t="n"/>
      <c r="G999" s="85" t="n"/>
    </row>
    <row r="1000" ht="15.5" customHeight="1" s="828">
      <c r="A1000" s="1068" t="n"/>
      <c r="B1000" s="725" t="n"/>
      <c r="C1000" s="725" t="n"/>
      <c r="D1000" s="726" t="n"/>
      <c r="F1000" s="1070" t="n"/>
      <c r="G1000" s="85" t="n"/>
    </row>
    <row r="1001" ht="15.5" customHeight="1" s="828">
      <c r="A1001" s="1068" t="n"/>
      <c r="B1001" s="725" t="n"/>
      <c r="C1001" s="725" t="n"/>
      <c r="D1001" s="726" t="n"/>
      <c r="F1001" s="1070" t="n"/>
      <c r="G1001" s="85" t="n"/>
    </row>
    <row r="1002" ht="15.5" customHeight="1" s="828">
      <c r="A1002" s="1068" t="n"/>
      <c r="B1002" s="725" t="n"/>
      <c r="C1002" s="725" t="n"/>
      <c r="D1002" s="726" t="n"/>
      <c r="F1002" s="1070" t="n"/>
      <c r="G1002" s="85" t="n"/>
    </row>
    <row r="1003" ht="15.5" customHeight="1" s="828">
      <c r="A1003" s="1068" t="n"/>
      <c r="B1003" s="725" t="n"/>
      <c r="C1003" s="725" t="n"/>
      <c r="D1003" s="726" t="n"/>
      <c r="F1003" s="1070" t="n"/>
      <c r="G1003" s="85" t="n"/>
    </row>
    <row r="1004" ht="15.5" customHeight="1" s="828">
      <c r="A1004" s="1068" t="n"/>
      <c r="B1004" s="725" t="n"/>
      <c r="C1004" s="725" t="n"/>
      <c r="D1004" s="726" t="n"/>
      <c r="F1004" s="1070" t="n"/>
      <c r="G1004" s="85" t="n"/>
    </row>
    <row r="1005" ht="15.5" customHeight="1" s="828">
      <c r="A1005" s="1068" t="n"/>
      <c r="B1005" s="725" t="n"/>
      <c r="C1005" s="725" t="n"/>
      <c r="D1005" s="726" t="n"/>
      <c r="F1005" s="1070" t="n"/>
      <c r="G1005" s="85" t="n"/>
    </row>
    <row r="1006" ht="15.5" customHeight="1" s="828">
      <c r="A1006" s="1068" t="n"/>
      <c r="B1006" s="725" t="n"/>
      <c r="C1006" s="725" t="n"/>
      <c r="D1006" s="726" t="n"/>
      <c r="F1006" s="1070" t="n"/>
      <c r="G1006" s="85" t="n"/>
    </row>
    <row r="1007" ht="15.5" customHeight="1" s="828">
      <c r="A1007" s="1068" t="n"/>
      <c r="B1007" s="725" t="n"/>
      <c r="C1007" s="725" t="n"/>
      <c r="D1007" s="726" t="n"/>
      <c r="F1007" s="1070" t="n"/>
      <c r="G1007" s="85" t="n"/>
    </row>
    <row r="1008" ht="15.5" customHeight="1" s="828">
      <c r="A1008" s="1068" t="n"/>
      <c r="B1008" s="725" t="n"/>
      <c r="C1008" s="725" t="n"/>
      <c r="D1008" s="726" t="n"/>
      <c r="F1008" s="1070" t="n"/>
      <c r="G1008" s="85" t="n"/>
    </row>
    <row r="1009" ht="15.5" customHeight="1" s="828">
      <c r="A1009" s="1068" t="n"/>
      <c r="B1009" s="725" t="n"/>
      <c r="C1009" s="725" t="n"/>
      <c r="D1009" s="726" t="n"/>
      <c r="F1009" s="1070" t="n"/>
      <c r="G1009" s="85" t="n"/>
    </row>
    <row r="1010" ht="15.5" customHeight="1" s="828">
      <c r="A1010" s="1068" t="n"/>
      <c r="B1010" s="725" t="n"/>
      <c r="C1010" s="725" t="n"/>
      <c r="D1010" s="726" t="n"/>
      <c r="F1010" s="1070" t="n"/>
      <c r="G1010" s="85" t="n"/>
    </row>
    <row r="1011" ht="15.5" customHeight="1" s="828">
      <c r="A1011" s="1068" t="n"/>
      <c r="B1011" s="725" t="n"/>
      <c r="C1011" s="725" t="n"/>
      <c r="D1011" s="726" t="n"/>
      <c r="F1011" s="238" t="n"/>
      <c r="G1011" s="85" t="n"/>
    </row>
    <row r="1012" ht="15.5" customHeight="1" s="828">
      <c r="A1012" s="1068" t="n"/>
      <c r="B1012" s="725" t="n"/>
      <c r="C1012" s="725" t="n"/>
      <c r="D1012" s="726" t="n"/>
      <c r="F1012" s="1070" t="n"/>
      <c r="G1012" s="85" t="n"/>
    </row>
    <row r="1013" ht="15.5" customHeight="1" s="828">
      <c r="A1013" s="1068" t="n"/>
      <c r="B1013" s="725" t="n"/>
      <c r="C1013" s="725" t="n"/>
      <c r="D1013" s="726" t="n"/>
      <c r="F1013" s="1070" t="n"/>
      <c r="G1013" s="85" t="n"/>
    </row>
    <row r="1014" ht="15.5" customHeight="1" s="828">
      <c r="A1014" s="1068" t="n"/>
      <c r="B1014" s="725" t="n"/>
      <c r="C1014" s="725" t="n"/>
      <c r="D1014" s="726" t="n"/>
      <c r="F1014" s="1070" t="n"/>
      <c r="G1014" s="85" t="n"/>
    </row>
    <row r="1015" ht="15.5" customHeight="1" s="828">
      <c r="A1015" s="1068" t="n"/>
      <c r="B1015" s="725" t="n"/>
      <c r="C1015" s="725" t="n"/>
      <c r="D1015" s="726" t="n"/>
      <c r="F1015" s="1070" t="n"/>
      <c r="G1015" s="85" t="n"/>
    </row>
    <row r="1016" ht="15.5" customHeight="1" s="828">
      <c r="A1016" s="1068" t="n"/>
      <c r="B1016" s="725" t="n"/>
      <c r="C1016" s="725" t="n"/>
      <c r="D1016" s="726" t="n"/>
      <c r="F1016" s="1070" t="n"/>
      <c r="G1016" s="85" t="n"/>
    </row>
    <row r="1017" ht="15.5" customHeight="1" s="828">
      <c r="A1017" s="1068" t="n"/>
      <c r="B1017" s="725" t="n"/>
      <c r="C1017" s="725" t="n"/>
      <c r="D1017" s="726" t="n"/>
      <c r="F1017" s="1070" t="n"/>
      <c r="G1017" s="85" t="n"/>
    </row>
    <row r="1018" ht="15.5" customHeight="1" s="828">
      <c r="A1018" s="1068" t="n"/>
      <c r="B1018" s="725" t="n"/>
      <c r="C1018" s="725" t="n"/>
      <c r="D1018" s="726" t="n"/>
      <c r="F1018" s="1070" t="n"/>
      <c r="G1018" s="85" t="n"/>
    </row>
    <row r="1019" ht="15.5" customHeight="1" s="828">
      <c r="A1019" s="1068" t="n"/>
      <c r="B1019" s="725" t="n"/>
      <c r="C1019" s="725" t="n"/>
      <c r="D1019" s="726" t="n"/>
      <c r="F1019" s="1070" t="n"/>
      <c r="G1019" s="85" t="n"/>
    </row>
    <row r="1020" ht="15.5" customHeight="1" s="828">
      <c r="A1020" s="1068" t="n"/>
      <c r="B1020" s="725" t="n"/>
      <c r="C1020" s="725" t="n"/>
      <c r="D1020" s="726" t="n"/>
      <c r="F1020" s="1070" t="n"/>
      <c r="G1020" s="85" t="n"/>
    </row>
    <row r="1021" ht="15.5" customHeight="1" s="828">
      <c r="A1021" s="1068" t="n"/>
      <c r="B1021" s="725" t="n"/>
      <c r="C1021" s="725" t="n"/>
      <c r="D1021" s="726" t="n"/>
      <c r="F1021" s="1070" t="n"/>
      <c r="G1021" s="85" t="n"/>
    </row>
    <row r="1022" ht="15.5" customHeight="1" s="828">
      <c r="A1022" s="1068" t="n"/>
      <c r="B1022" s="725" t="n"/>
      <c r="C1022" s="725" t="n"/>
      <c r="D1022" s="726" t="n"/>
      <c r="F1022" s="1070" t="n"/>
      <c r="G1022" s="85" t="n"/>
    </row>
    <row r="1023" ht="15.5" customHeight="1" s="828">
      <c r="A1023" s="1068" t="n"/>
      <c r="B1023" s="725" t="n"/>
      <c r="C1023" s="725" t="n"/>
      <c r="D1023" s="726" t="n"/>
      <c r="F1023" s="238" t="n"/>
      <c r="G1023" s="85" t="n"/>
    </row>
    <row r="1024" ht="15.5" customHeight="1" s="828">
      <c r="A1024" s="1068" t="n"/>
      <c r="B1024" s="725" t="n"/>
      <c r="C1024" s="725" t="n"/>
      <c r="D1024" s="726" t="n"/>
      <c r="F1024" s="1070" t="n"/>
      <c r="G1024" s="85" t="n"/>
    </row>
    <row r="1025" ht="15.5" customHeight="1" s="828">
      <c r="A1025" s="1068" t="n"/>
      <c r="B1025" s="725" t="n"/>
      <c r="C1025" s="725" t="n"/>
      <c r="D1025" s="726" t="n"/>
      <c r="F1025" s="1070" t="n"/>
      <c r="G1025" s="85" t="n"/>
    </row>
    <row r="1026" ht="15.5" customHeight="1" s="828">
      <c r="A1026" s="1068" t="n"/>
      <c r="B1026" s="725" t="n"/>
      <c r="C1026" s="725" t="n"/>
      <c r="D1026" s="726" t="n"/>
      <c r="F1026" s="1070" t="n"/>
      <c r="G1026" s="85" t="n"/>
    </row>
    <row r="1027" ht="15.5" customHeight="1" s="828">
      <c r="A1027" s="1068" t="n"/>
      <c r="B1027" s="725" t="n"/>
      <c r="C1027" s="725" t="n"/>
      <c r="D1027" s="726" t="n"/>
      <c r="F1027" s="1070" t="n"/>
      <c r="G1027" s="85" t="n"/>
    </row>
    <row r="1028" ht="15.5" customHeight="1" s="828">
      <c r="A1028" s="1068" t="n"/>
      <c r="B1028" s="725" t="n"/>
      <c r="C1028" s="725" t="n"/>
      <c r="D1028" s="726" t="n"/>
      <c r="F1028" s="1070" t="n"/>
      <c r="G1028" s="85" t="n"/>
    </row>
    <row r="1029" ht="15.5" customHeight="1" s="828">
      <c r="A1029" s="1068" t="n"/>
      <c r="B1029" s="725" t="n"/>
      <c r="C1029" s="725" t="n"/>
      <c r="D1029" s="726" t="n"/>
      <c r="F1029" s="1070" t="n"/>
      <c r="G1029" s="85" t="n"/>
    </row>
    <row r="1030" ht="15.5" customHeight="1" s="828">
      <c r="A1030" s="1068" t="n"/>
      <c r="B1030" s="725" t="n"/>
      <c r="C1030" s="725" t="n"/>
      <c r="D1030" s="726" t="n"/>
      <c r="F1030" s="1070" t="n"/>
      <c r="G1030" s="85" t="n"/>
    </row>
    <row r="1031" ht="15.5" customHeight="1" s="828">
      <c r="A1031" s="1068" t="n"/>
      <c r="B1031" s="725" t="n"/>
      <c r="C1031" s="725" t="n"/>
      <c r="D1031" s="726" t="n"/>
      <c r="F1031" s="1070" t="n"/>
      <c r="G1031" s="85" t="n"/>
    </row>
    <row r="1032" ht="15.5" customHeight="1" s="828">
      <c r="A1032" s="1068" t="n"/>
      <c r="B1032" s="725" t="n"/>
      <c r="C1032" s="725" t="n"/>
      <c r="D1032" s="726" t="n"/>
      <c r="F1032" s="1070" t="n"/>
      <c r="G1032" s="85" t="n"/>
    </row>
    <row r="1033" ht="15.5" customHeight="1" s="828">
      <c r="A1033" s="1068" t="n"/>
      <c r="B1033" s="725" t="n"/>
      <c r="C1033" s="725" t="n"/>
      <c r="D1033" s="726" t="n"/>
      <c r="F1033" s="1070" t="n"/>
      <c r="G1033" s="85" t="n"/>
    </row>
    <row r="1034" ht="15.5" customHeight="1" s="828">
      <c r="A1034" s="1068" t="n"/>
      <c r="B1034" s="725" t="n"/>
      <c r="C1034" s="725" t="n"/>
      <c r="D1034" s="726" t="n"/>
      <c r="F1034" s="1070" t="n"/>
      <c r="G1034" s="85" t="n"/>
    </row>
    <row r="1035" ht="15.5" customHeight="1" s="828">
      <c r="A1035" s="1068" t="n"/>
      <c r="B1035" s="725" t="n"/>
      <c r="C1035" s="725" t="n"/>
      <c r="D1035" s="726" t="n"/>
      <c r="F1035" s="238" t="n"/>
      <c r="G1035" s="85" t="n"/>
    </row>
    <row r="1036" ht="15.5" customHeight="1" s="828">
      <c r="A1036" s="1068" t="n"/>
      <c r="B1036" s="725" t="n"/>
      <c r="C1036" s="725" t="n"/>
      <c r="D1036" s="726" t="n"/>
      <c r="F1036" s="1070" t="n"/>
      <c r="G1036" s="85" t="n"/>
    </row>
    <row r="1037" ht="15.5" customHeight="1" s="828">
      <c r="A1037" s="1068" t="n"/>
      <c r="B1037" s="725" t="n"/>
      <c r="C1037" s="725" t="n"/>
      <c r="D1037" s="726" t="n"/>
      <c r="F1037" s="1070" t="n"/>
      <c r="G1037" s="85" t="n"/>
    </row>
    <row r="1038" ht="15.5" customHeight="1" s="828">
      <c r="A1038" s="1068" t="n"/>
      <c r="B1038" s="725" t="n"/>
      <c r="C1038" s="725" t="n"/>
      <c r="D1038" s="726" t="n"/>
      <c r="F1038" s="1070" t="n"/>
      <c r="G1038" s="85" t="n"/>
    </row>
    <row r="1039" ht="15.5" customHeight="1" s="828">
      <c r="A1039" s="1068" t="n"/>
      <c r="B1039" s="725" t="n"/>
      <c r="C1039" s="725" t="n"/>
      <c r="D1039" s="726" t="n"/>
      <c r="F1039" s="1070" t="n"/>
      <c r="G1039" s="85" t="n"/>
    </row>
    <row r="1040" ht="15.5" customHeight="1" s="828">
      <c r="A1040" s="1068" t="n"/>
      <c r="B1040" s="725" t="n"/>
      <c r="C1040" s="725" t="n"/>
      <c r="D1040" s="726" t="n"/>
      <c r="F1040" s="1070" t="n"/>
      <c r="G1040" s="85" t="n"/>
    </row>
    <row r="1041" ht="15.5" customHeight="1" s="828">
      <c r="A1041" s="1068" t="n"/>
      <c r="B1041" s="725" t="n"/>
      <c r="C1041" s="725" t="n"/>
      <c r="D1041" s="726" t="n"/>
      <c r="F1041" s="1070" t="n"/>
      <c r="G1041" s="85" t="n"/>
    </row>
    <row r="1042" ht="15.5" customHeight="1" s="828">
      <c r="A1042" s="1068" t="n"/>
      <c r="B1042" s="725" t="n"/>
      <c r="C1042" s="725" t="n"/>
      <c r="D1042" s="726" t="n"/>
      <c r="F1042" s="1070" t="n"/>
      <c r="G1042" s="85" t="n"/>
    </row>
    <row r="1043" ht="15.5" customHeight="1" s="828">
      <c r="A1043" s="1068" t="n"/>
      <c r="B1043" s="725" t="n"/>
      <c r="C1043" s="725" t="n"/>
      <c r="D1043" s="726" t="n"/>
      <c r="F1043" s="1070" t="n"/>
      <c r="G1043" s="85" t="n"/>
    </row>
    <row r="1044" ht="15.5" customHeight="1" s="828">
      <c r="A1044" s="1068" t="n"/>
      <c r="B1044" s="725" t="n"/>
      <c r="C1044" s="725" t="n"/>
      <c r="D1044" s="726" t="n"/>
      <c r="F1044" s="1070" t="n"/>
      <c r="G1044" s="85" t="n"/>
    </row>
    <row r="1045" ht="15.5" customHeight="1" s="828">
      <c r="A1045" s="1068" t="n"/>
      <c r="B1045" s="725" t="n"/>
      <c r="C1045" s="725" t="n"/>
      <c r="D1045" s="726" t="n"/>
      <c r="F1045" s="1070" t="n"/>
      <c r="G1045" s="85" t="n"/>
    </row>
    <row r="1046" ht="15.5" customHeight="1" s="828">
      <c r="A1046" s="1068" t="n"/>
      <c r="B1046" s="725" t="n"/>
      <c r="C1046" s="725" t="n"/>
      <c r="D1046" s="726" t="n"/>
      <c r="F1046" s="1070" t="n"/>
      <c r="G1046" s="85" t="n"/>
    </row>
    <row r="1047" ht="15.5" customHeight="1" s="828">
      <c r="A1047" s="1068" t="n"/>
      <c r="B1047" s="725" t="n"/>
      <c r="C1047" s="725" t="n"/>
      <c r="D1047" s="726" t="n"/>
      <c r="F1047" s="238" t="n"/>
      <c r="G1047" s="85" t="n"/>
    </row>
    <row r="1048" ht="15.5" customHeight="1" s="828">
      <c r="A1048" s="1068" t="n"/>
      <c r="B1048" s="725" t="n"/>
      <c r="C1048" s="725" t="n"/>
      <c r="D1048" s="726" t="n"/>
      <c r="F1048" s="1070" t="n"/>
      <c r="G1048" s="85" t="n"/>
    </row>
    <row r="1049" ht="15.5" customHeight="1" s="828">
      <c r="A1049" s="1068" t="n"/>
      <c r="B1049" s="725" t="n"/>
      <c r="C1049" s="725" t="n"/>
      <c r="D1049" s="726" t="n"/>
      <c r="F1049" s="1070" t="n"/>
      <c r="G1049" s="85" t="n"/>
    </row>
    <row r="1050" ht="15.5" customHeight="1" s="828">
      <c r="A1050" s="1068" t="n"/>
      <c r="B1050" s="725" t="n"/>
      <c r="C1050" s="725" t="n"/>
      <c r="D1050" s="726" t="n"/>
      <c r="F1050" s="1070" t="n"/>
      <c r="G1050" s="85" t="n"/>
    </row>
    <row r="1051" ht="15.5" customHeight="1" s="828">
      <c r="A1051" s="1068" t="n"/>
      <c r="B1051" s="725" t="n"/>
      <c r="C1051" s="725" t="n"/>
      <c r="D1051" s="726" t="n"/>
      <c r="F1051" s="1070" t="n"/>
      <c r="G1051" s="85" t="n"/>
    </row>
    <row r="1052" ht="15.5" customHeight="1" s="828">
      <c r="A1052" s="1068" t="n"/>
      <c r="B1052" s="725" t="n"/>
      <c r="C1052" s="725" t="n"/>
      <c r="D1052" s="726" t="n"/>
      <c r="F1052" s="1070" t="n"/>
      <c r="G1052" s="85" t="n"/>
    </row>
    <row r="1053" ht="15.5" customHeight="1" s="828">
      <c r="A1053" s="1068" t="n"/>
      <c r="B1053" s="725" t="n"/>
      <c r="C1053" s="725" t="n"/>
      <c r="D1053" s="726" t="n"/>
      <c r="F1053" s="1070" t="n"/>
      <c r="G1053" s="85" t="n"/>
    </row>
    <row r="1054" ht="15.5" customHeight="1" s="828">
      <c r="A1054" s="1068" t="n"/>
      <c r="B1054" s="725" t="n"/>
      <c r="C1054" s="725" t="n"/>
      <c r="D1054" s="726" t="n"/>
      <c r="F1054" s="1070" t="n"/>
      <c r="G1054" s="85" t="n"/>
    </row>
    <row r="1055" ht="15.5" customHeight="1" s="828">
      <c r="A1055" s="1068" t="n"/>
      <c r="B1055" s="725" t="n"/>
      <c r="C1055" s="725" t="n"/>
      <c r="D1055" s="726" t="n"/>
      <c r="F1055" s="1070" t="n"/>
      <c r="G1055" s="85" t="n"/>
    </row>
    <row r="1056" ht="15.5" customHeight="1" s="828">
      <c r="A1056" s="1068" t="n"/>
      <c r="B1056" s="725" t="n"/>
      <c r="C1056" s="725" t="n"/>
      <c r="D1056" s="726" t="n"/>
      <c r="F1056" s="1070" t="n"/>
      <c r="G1056" s="85" t="n"/>
    </row>
    <row r="1057" ht="15.5" customHeight="1" s="828">
      <c r="A1057" s="1068" t="n"/>
      <c r="B1057" s="725" t="n"/>
      <c r="C1057" s="725" t="n"/>
      <c r="D1057" s="726" t="n"/>
      <c r="F1057" s="1070" t="n"/>
      <c r="G1057" s="85" t="n"/>
    </row>
    <row r="1058" ht="15.5" customHeight="1" s="828">
      <c r="A1058" s="1068" t="n"/>
      <c r="B1058" s="725" t="n"/>
      <c r="C1058" s="725" t="n"/>
      <c r="D1058" s="726" t="n"/>
      <c r="F1058" s="1070" t="n"/>
      <c r="G1058" s="85" t="n"/>
    </row>
    <row r="1059" ht="15.5" customHeight="1" s="828">
      <c r="A1059" s="1068" t="n"/>
      <c r="B1059" s="725" t="n"/>
      <c r="C1059" s="725" t="n"/>
      <c r="D1059" s="726" t="n"/>
      <c r="F1059" s="238" t="n"/>
      <c r="G1059" s="85" t="n"/>
    </row>
    <row r="1060" ht="15.5" customHeight="1" s="828">
      <c r="A1060" s="1068" t="n"/>
      <c r="B1060" s="725" t="n"/>
      <c r="C1060" s="725" t="n"/>
      <c r="D1060" s="726" t="n"/>
      <c r="F1060" s="1070" t="n"/>
      <c r="G1060" s="85" t="n"/>
    </row>
    <row r="1061" ht="15.5" customHeight="1" s="828">
      <c r="A1061" s="1068" t="n"/>
      <c r="B1061" s="725" t="n"/>
      <c r="C1061" s="725" t="n"/>
      <c r="D1061" s="726" t="n"/>
      <c r="F1061" s="1070" t="n"/>
      <c r="G1061" s="85" t="n"/>
    </row>
    <row r="1062" ht="15.5" customHeight="1" s="828">
      <c r="A1062" s="1068" t="n"/>
      <c r="B1062" s="725" t="n"/>
      <c r="C1062" s="725" t="n"/>
      <c r="D1062" s="726" t="n"/>
      <c r="F1062" s="1070" t="n"/>
      <c r="G1062" s="85" t="n"/>
    </row>
    <row r="1063" ht="15.5" customHeight="1" s="828">
      <c r="A1063" s="1068" t="n"/>
      <c r="B1063" s="725" t="n"/>
      <c r="C1063" s="725" t="n"/>
      <c r="D1063" s="726" t="n"/>
      <c r="F1063" s="1070" t="n"/>
      <c r="G1063" s="85" t="n"/>
    </row>
    <row r="1064" ht="15.5" customHeight="1" s="828">
      <c r="A1064" s="1068" t="n"/>
      <c r="B1064" s="725" t="n"/>
      <c r="C1064" s="725" t="n"/>
      <c r="D1064" s="726" t="n"/>
      <c r="F1064" s="1070" t="n"/>
      <c r="G1064" s="85" t="n"/>
    </row>
    <row r="1065" ht="15.5" customHeight="1" s="828">
      <c r="A1065" s="1068" t="n"/>
      <c r="B1065" s="725" t="n"/>
      <c r="C1065" s="725" t="n"/>
      <c r="D1065" s="726" t="n"/>
      <c r="F1065" s="1070" t="n"/>
      <c r="G1065" s="85" t="n"/>
    </row>
    <row r="1066" ht="15.5" customHeight="1" s="828">
      <c r="A1066" s="1068" t="n"/>
      <c r="B1066" s="725" t="n"/>
      <c r="C1066" s="725" t="n"/>
      <c r="D1066" s="726" t="n"/>
      <c r="F1066" s="1070" t="n"/>
      <c r="G1066" s="85" t="n"/>
    </row>
    <row r="1067" ht="15.5" customHeight="1" s="828">
      <c r="A1067" s="1068" t="n"/>
      <c r="B1067" s="725" t="n"/>
      <c r="C1067" s="725" t="n"/>
      <c r="D1067" s="726" t="n"/>
      <c r="F1067" s="1070" t="n"/>
      <c r="G1067" s="85" t="n"/>
    </row>
    <row r="1068" ht="15.5" customHeight="1" s="828">
      <c r="A1068" s="1068" t="n"/>
      <c r="B1068" s="725" t="n"/>
      <c r="C1068" s="725" t="n"/>
      <c r="D1068" s="726" t="n"/>
      <c r="F1068" s="1070" t="n"/>
      <c r="G1068" s="85" t="n"/>
    </row>
    <row r="1069" ht="15.5" customHeight="1" s="828">
      <c r="A1069" s="1068" t="n"/>
      <c r="B1069" s="725" t="n"/>
      <c r="C1069" s="725" t="n"/>
      <c r="D1069" s="726" t="n"/>
      <c r="F1069" s="1070" t="n"/>
      <c r="G1069" s="85" t="n"/>
    </row>
    <row r="1070" ht="15.5" customHeight="1" s="828">
      <c r="A1070" s="1068" t="n"/>
      <c r="B1070" s="725" t="n"/>
      <c r="C1070" s="725" t="n"/>
      <c r="D1070" s="726" t="n"/>
      <c r="F1070" s="1070" t="n"/>
      <c r="G1070" s="85" t="n"/>
    </row>
    <row r="1071" ht="15.5" customHeight="1" s="828">
      <c r="A1071" s="1068" t="n"/>
      <c r="B1071" s="725" t="n"/>
      <c r="C1071" s="725" t="n"/>
      <c r="D1071" s="726" t="n"/>
      <c r="F1071" s="238" t="n"/>
      <c r="G1071" s="85" t="n"/>
    </row>
    <row r="1072" ht="15.5" customHeight="1" s="828">
      <c r="A1072" s="1068" t="n"/>
      <c r="B1072" s="725" t="n"/>
      <c r="C1072" s="725" t="n"/>
      <c r="D1072" s="726" t="n"/>
      <c r="F1072" s="1070" t="n"/>
      <c r="G1072" s="85" t="n"/>
    </row>
    <row r="1073" ht="15.5" customHeight="1" s="828">
      <c r="A1073" s="1068" t="n"/>
      <c r="B1073" s="725" t="n"/>
      <c r="C1073" s="725" t="n"/>
      <c r="D1073" s="726" t="n"/>
      <c r="F1073" s="1070" t="n"/>
      <c r="G1073" s="85" t="n"/>
    </row>
    <row r="1074" ht="15.5" customHeight="1" s="828">
      <c r="A1074" s="1068" t="n"/>
      <c r="B1074" s="725" t="n"/>
      <c r="C1074" s="725" t="n"/>
      <c r="D1074" s="726" t="n"/>
      <c r="F1074" s="1070" t="n"/>
      <c r="G1074" s="86" t="n"/>
    </row>
    <row r="1075" ht="15.5" customHeight="1" s="828">
      <c r="A1075" s="1068" t="n"/>
      <c r="B1075" s="725" t="n"/>
      <c r="C1075" s="725" t="n"/>
      <c r="D1075" s="726" t="n"/>
      <c r="F1075" s="1070" t="n"/>
      <c r="G1075" s="86" t="n"/>
    </row>
    <row r="1076" ht="15.5" customHeight="1" s="828">
      <c r="A1076" s="1068" t="n"/>
      <c r="B1076" s="725" t="n"/>
      <c r="C1076" s="725" t="n"/>
      <c r="D1076" s="726" t="n"/>
      <c r="F1076" s="1070" t="n"/>
      <c r="G1076" s="86" t="n"/>
    </row>
    <row r="1077" ht="15.5" customHeight="1" s="828">
      <c r="A1077" s="1068" t="n"/>
      <c r="B1077" s="725" t="n"/>
      <c r="C1077" s="725" t="n"/>
      <c r="D1077" s="726" t="n"/>
      <c r="F1077" s="1070" t="n"/>
      <c r="G1077" s="86" t="n"/>
    </row>
    <row r="1078" ht="15.5" customHeight="1" s="828">
      <c r="A1078" s="1068" t="n"/>
      <c r="B1078" s="725" t="n"/>
      <c r="C1078" s="725" t="n"/>
      <c r="D1078" s="726" t="n"/>
      <c r="F1078" s="1070" t="n"/>
      <c r="G1078" s="86" t="n"/>
    </row>
    <row r="1079" ht="15.5" customHeight="1" s="828">
      <c r="A1079" s="1068" t="n"/>
      <c r="B1079" s="725" t="n"/>
      <c r="C1079" s="725" t="n"/>
      <c r="D1079" s="726" t="n"/>
      <c r="F1079" s="1070" t="n"/>
      <c r="G1079" s="86" t="n"/>
    </row>
    <row r="1080" ht="15.5" customHeight="1" s="828">
      <c r="A1080" s="1068" t="n"/>
      <c r="B1080" s="725" t="n"/>
      <c r="C1080" s="725" t="n"/>
      <c r="D1080" s="726" t="n"/>
      <c r="F1080" s="1070" t="n"/>
      <c r="G1080" s="86" t="n"/>
    </row>
    <row r="1081" ht="15.5" customHeight="1" s="828">
      <c r="A1081" s="1068" t="n"/>
      <c r="B1081" s="725" t="n"/>
      <c r="C1081" s="725" t="n"/>
      <c r="D1081" s="726" t="n"/>
      <c r="F1081" s="1070" t="n"/>
      <c r="G1081" s="86" t="n"/>
    </row>
    <row r="1082" ht="15.5" customHeight="1" s="828">
      <c r="A1082" s="1068" t="n"/>
      <c r="B1082" s="725" t="n"/>
      <c r="C1082" s="725" t="n"/>
      <c r="D1082" s="726" t="n"/>
      <c r="F1082" s="1070" t="n"/>
      <c r="G1082" s="86" t="n"/>
    </row>
    <row r="1083" ht="15.5" customHeight="1" s="828">
      <c r="A1083" s="1068" t="n"/>
      <c r="B1083" s="725" t="n"/>
      <c r="C1083" s="725" t="n"/>
      <c r="D1083" s="726" t="n"/>
      <c r="F1083" s="238" t="n"/>
      <c r="G1083" s="86" t="n"/>
    </row>
    <row r="1084" ht="15.5" customHeight="1" s="828">
      <c r="A1084" s="1068" t="n"/>
      <c r="B1084" s="725" t="n"/>
      <c r="C1084" s="725" t="n"/>
      <c r="D1084" s="726" t="n"/>
      <c r="F1084" s="1070" t="n"/>
      <c r="G1084" s="86" t="n"/>
    </row>
    <row r="1085" ht="15.5" customHeight="1" s="828">
      <c r="A1085" s="1068" t="n"/>
      <c r="B1085" s="227" t="n"/>
      <c r="C1085" s="227" t="n"/>
      <c r="D1085" s="227" t="n"/>
      <c r="F1085" s="1070" t="n"/>
      <c r="G1085" s="86" t="n"/>
    </row>
    <row r="1086" ht="15.5" customHeight="1" s="828">
      <c r="A1086" s="1068" t="n"/>
      <c r="B1086" s="227" t="n"/>
      <c r="C1086" s="227" t="n"/>
      <c r="D1086" s="227" t="n"/>
      <c r="F1086" s="1070" t="n"/>
      <c r="G1086" s="86" t="n"/>
    </row>
    <row r="1087" ht="15.5" customHeight="1" s="828">
      <c r="A1087" s="1068" t="n"/>
      <c r="B1087" s="227" t="n"/>
      <c r="C1087" s="227" t="n"/>
      <c r="D1087" s="227" t="n"/>
      <c r="F1087" s="1070" t="n"/>
      <c r="G1087" s="86" t="n"/>
    </row>
    <row r="1088" ht="15.5" customHeight="1" s="828">
      <c r="A1088" s="1068" t="n"/>
      <c r="B1088" s="227" t="n"/>
      <c r="C1088" s="227" t="n"/>
      <c r="D1088" s="227" t="n"/>
      <c r="F1088" s="1070" t="n"/>
      <c r="G1088" s="86" t="n"/>
    </row>
    <row r="1089" ht="15.5" customHeight="1" s="828">
      <c r="A1089" s="1068" t="n"/>
      <c r="B1089" s="227" t="n"/>
      <c r="C1089" s="227" t="n"/>
      <c r="D1089" s="227" t="n"/>
      <c r="F1089" s="1070" t="n"/>
      <c r="G1089" s="86" t="n"/>
    </row>
    <row r="1090" ht="15.5" customHeight="1" s="828">
      <c r="A1090" s="1068" t="n"/>
      <c r="B1090" s="227" t="n"/>
      <c r="C1090" s="227" t="n"/>
      <c r="D1090" s="227" t="n"/>
      <c r="F1090" s="1070" t="n"/>
      <c r="G1090" s="86" t="n"/>
    </row>
    <row r="1091" ht="15.5" customHeight="1" s="828">
      <c r="A1091" s="1068" t="n"/>
      <c r="B1091" s="227" t="n"/>
      <c r="C1091" s="227" t="n"/>
      <c r="D1091" s="227" t="n"/>
      <c r="F1091" s="1070" t="n"/>
      <c r="G1091" s="86" t="n"/>
    </row>
    <row r="1092" ht="15.5" customHeight="1" s="828">
      <c r="A1092" s="1068" t="n"/>
      <c r="B1092" s="227" t="n"/>
      <c r="C1092" s="227" t="n"/>
      <c r="D1092" s="227" t="n"/>
      <c r="F1092" s="1070" t="n"/>
      <c r="G1092" s="86" t="n"/>
    </row>
    <row r="1093" ht="15.5" customHeight="1" s="828">
      <c r="A1093" s="1068" t="n"/>
      <c r="B1093" s="227" t="n"/>
      <c r="C1093" s="227" t="n"/>
      <c r="D1093" s="227" t="n"/>
      <c r="F1093" s="1070" t="n"/>
      <c r="G1093" s="86" t="n"/>
    </row>
    <row r="1094" ht="15.5" customHeight="1" s="828">
      <c r="A1094" s="1068" t="n"/>
      <c r="B1094" s="227" t="n"/>
      <c r="C1094" s="227" t="n"/>
      <c r="D1094" s="227" t="n"/>
      <c r="F1094" s="1070" t="n"/>
      <c r="G1094" s="86" t="n"/>
    </row>
    <row r="1095" ht="15.5" customHeight="1" s="828">
      <c r="A1095" s="1068" t="n"/>
      <c r="B1095" s="227" t="n"/>
      <c r="C1095" s="227" t="n"/>
      <c r="D1095" s="227" t="n"/>
      <c r="F1095" s="238" t="n"/>
      <c r="G1095" s="86" t="n"/>
    </row>
    <row r="1096" ht="15.5" customFormat="1" customHeight="1" s="226">
      <c r="A1096" s="1068" t="n"/>
      <c r="B1096" s="227" t="n"/>
      <c r="C1096" s="227" t="n"/>
      <c r="D1096" s="227" t="n"/>
      <c r="F1096" s="1070" t="n"/>
      <c r="G1096" s="227" t="n"/>
    </row>
    <row r="1097" ht="15.5" customFormat="1" customHeight="1" s="226">
      <c r="A1097" s="1068" t="n"/>
      <c r="B1097" s="227" t="n"/>
      <c r="C1097" s="227" t="n"/>
      <c r="D1097" s="227" t="n"/>
      <c r="F1097" s="1070" t="n"/>
      <c r="G1097" s="227" t="n"/>
    </row>
    <row r="1098" ht="15.5" customFormat="1" customHeight="1" s="226">
      <c r="A1098" s="1068" t="n"/>
      <c r="B1098" s="227" t="n"/>
      <c r="C1098" s="227" t="n"/>
      <c r="D1098" s="227" t="n"/>
      <c r="F1098" s="1070" t="n"/>
      <c r="G1098" s="227" t="n"/>
    </row>
    <row r="1099" ht="15.5" customFormat="1" customHeight="1" s="226">
      <c r="A1099" s="1068" t="n"/>
      <c r="B1099" s="227" t="n"/>
      <c r="C1099" s="227" t="n"/>
      <c r="D1099" s="227" t="n"/>
      <c r="F1099" s="1070" t="n"/>
      <c r="G1099" s="227" t="n"/>
    </row>
    <row r="1100" ht="15.5" customFormat="1" customHeight="1" s="226">
      <c r="A1100" s="1068" t="n"/>
      <c r="B1100" s="227" t="n"/>
      <c r="C1100" s="227" t="n"/>
      <c r="D1100" s="227" t="n"/>
      <c r="F1100" s="1070" t="n"/>
      <c r="G1100" s="227" t="n"/>
    </row>
    <row r="1101" ht="15.5" customFormat="1" customHeight="1" s="226">
      <c r="A1101" s="1068" t="n"/>
      <c r="B1101" s="227" t="n"/>
      <c r="C1101" s="227" t="n"/>
      <c r="D1101" s="227" t="n"/>
      <c r="F1101" s="1070" t="n"/>
      <c r="G1101" s="227" t="n"/>
    </row>
    <row r="1102" ht="15.5" customFormat="1" customHeight="1" s="226">
      <c r="A1102" s="1068" t="n"/>
      <c r="B1102" s="227" t="n"/>
      <c r="C1102" s="227" t="n"/>
      <c r="D1102" s="227" t="n"/>
      <c r="F1102" s="1070" t="n"/>
      <c r="G1102" s="227" t="n"/>
    </row>
    <row r="1103" ht="15.5" customFormat="1" customHeight="1" s="226">
      <c r="A1103" s="1068" t="n"/>
      <c r="B1103" s="227" t="n"/>
      <c r="C1103" s="227" t="n"/>
      <c r="D1103" s="227" t="n"/>
      <c r="F1103" s="1070" t="n"/>
      <c r="G1103" s="227" t="n"/>
    </row>
    <row r="1104" ht="15.5" customFormat="1" customHeight="1" s="226">
      <c r="A1104" s="1068" t="n"/>
      <c r="B1104" s="227" t="n"/>
      <c r="C1104" s="227" t="n"/>
      <c r="D1104" s="227" t="n"/>
      <c r="F1104" s="1070" t="n"/>
      <c r="G1104" s="227" t="n"/>
    </row>
    <row r="1105" ht="15.5" customFormat="1" customHeight="1" s="226">
      <c r="A1105" s="1068" t="n"/>
      <c r="B1105" s="227" t="n"/>
      <c r="C1105" s="227" t="n"/>
      <c r="D1105" s="227" t="n"/>
      <c r="F1105" s="1070" t="n"/>
      <c r="G1105" s="227" t="n"/>
    </row>
    <row r="1106" ht="15.5" customFormat="1" customHeight="1" s="226">
      <c r="A1106" s="1068" t="n"/>
      <c r="B1106" s="227" t="n"/>
      <c r="C1106" s="227" t="n"/>
      <c r="D1106" s="227" t="n"/>
      <c r="F1106" s="1070" t="n"/>
    </row>
    <row r="1107" ht="15.5" customFormat="1" customHeight="1" s="226">
      <c r="A1107" s="1068" t="n"/>
      <c r="B1107" s="227" t="n"/>
      <c r="C1107" s="227" t="n"/>
      <c r="D1107" s="227" t="n"/>
      <c r="F1107" s="238" t="n"/>
    </row>
    <row r="1108" ht="15.5" customFormat="1" customHeight="1" s="226">
      <c r="A1108" s="1071" t="n"/>
      <c r="B1108" s="727" t="n"/>
      <c r="C1108" s="727" t="n"/>
      <c r="D1108" s="727" t="n"/>
    </row>
    <row r="1109" ht="15.5" customFormat="1" customHeight="1" s="226">
      <c r="A1109" s="1071" t="n"/>
      <c r="B1109" s="727" t="n"/>
      <c r="C1109" s="727" t="n"/>
      <c r="D1109" s="727" t="n"/>
    </row>
    <row r="1110" ht="15.5" customFormat="1" customHeight="1" s="226">
      <c r="A1110" s="1071" t="n"/>
      <c r="B1110" s="727" t="n"/>
      <c r="C1110" s="727" t="n"/>
      <c r="D1110" s="727" t="n"/>
    </row>
    <row r="1111" ht="15.5" customFormat="1" customHeight="1" s="226">
      <c r="A1111" s="1071" t="n"/>
      <c r="B1111" s="727" t="n"/>
      <c r="C1111" s="727" t="n"/>
      <c r="D1111" s="727" t="n"/>
    </row>
    <row r="1112" ht="15.5" customFormat="1" customHeight="1" s="226">
      <c r="A1112" s="1071" t="n"/>
      <c r="B1112" s="727" t="n"/>
      <c r="C1112" s="727" t="n"/>
      <c r="D1112" s="727" t="n"/>
    </row>
    <row r="1113" ht="15.5" customFormat="1" customHeight="1" s="226">
      <c r="A1113" s="1071" t="n"/>
      <c r="B1113" s="725" t="n"/>
      <c r="C1113" s="725" t="n"/>
      <c r="D1113" s="726" t="n"/>
    </row>
    <row r="1114" ht="15.5" customFormat="1" customHeight="1" s="226">
      <c r="A1114" s="1071" t="n"/>
      <c r="B1114" s="725" t="n"/>
      <c r="C1114" s="725" t="n"/>
      <c r="D1114" s="726" t="n"/>
    </row>
    <row r="1115" ht="15.5" customFormat="1" customHeight="1" s="226">
      <c r="A1115" s="1071" t="n"/>
      <c r="B1115" s="725" t="n"/>
      <c r="C1115" s="725" t="n"/>
      <c r="D1115" s="726" t="n"/>
    </row>
    <row r="1116" ht="15.5" customFormat="1" customHeight="1" s="226">
      <c r="A1116" s="1071" t="n"/>
      <c r="B1116" s="725" t="n"/>
      <c r="C1116" s="725" t="n"/>
      <c r="D1116" s="726" t="n"/>
    </row>
    <row r="1117" ht="15.5" customFormat="1" customHeight="1" s="226">
      <c r="A1117" s="1071" t="n"/>
      <c r="B1117" s="725" t="n"/>
      <c r="C1117" s="725" t="n"/>
      <c r="D1117" s="726" t="n"/>
    </row>
    <row r="1118" ht="15.5" customFormat="1" customHeight="1" s="226">
      <c r="A1118" s="1071" t="n"/>
      <c r="B1118" s="725" t="n"/>
      <c r="C1118" s="725" t="n"/>
      <c r="D1118" s="726" t="n"/>
    </row>
    <row r="1119" ht="15.5" customFormat="1" customHeight="1" s="226">
      <c r="A1119" s="1071" t="n"/>
      <c r="B1119" s="725" t="n"/>
      <c r="C1119" s="725" t="n"/>
      <c r="D1119" s="726" t="n"/>
    </row>
    <row r="1120" ht="15.5" customFormat="1" customHeight="1" s="226">
      <c r="A1120" s="1071" t="n"/>
      <c r="B1120" s="725" t="n"/>
      <c r="C1120" s="725" t="n"/>
      <c r="D1120" s="726" t="n"/>
    </row>
    <row r="1121" ht="15.5" customFormat="1" customHeight="1" s="226">
      <c r="A1121" s="1071" t="n"/>
      <c r="B1121" s="725" t="n"/>
      <c r="C1121" s="725" t="n"/>
      <c r="D1121" s="726" t="n"/>
    </row>
    <row r="1122" ht="15.5" customFormat="1" customHeight="1" s="226">
      <c r="A1122" s="1071" t="n"/>
      <c r="B1122" s="725" t="n"/>
      <c r="C1122" s="725" t="n"/>
      <c r="D1122" s="726" t="n"/>
    </row>
    <row r="1123" ht="15.5" customFormat="1" customHeight="1" s="226">
      <c r="A1123" s="1071" t="n"/>
      <c r="B1123" s="728" t="n"/>
      <c r="C1123" s="725" t="n"/>
      <c r="D1123" s="726" t="n"/>
    </row>
    <row r="1124" ht="15.5" customFormat="1" customHeight="1" s="226">
      <c r="A1124" s="1071" t="n"/>
      <c r="B1124" s="725" t="n"/>
      <c r="C1124" s="725" t="n"/>
      <c r="D1124" s="726" t="n"/>
    </row>
    <row r="1125" ht="15.5" customFormat="1" customHeight="1" s="226">
      <c r="A1125" s="1071" t="n"/>
      <c r="B1125" s="725" t="n"/>
      <c r="C1125" s="725" t="n"/>
      <c r="D1125" s="726" t="n"/>
    </row>
    <row r="1126" ht="15.5" customFormat="1" customHeight="1" s="226">
      <c r="A1126" s="1071" t="n"/>
      <c r="B1126" s="725" t="n"/>
      <c r="C1126" s="725" t="n"/>
      <c r="D1126" s="726" t="n"/>
    </row>
    <row r="1127" ht="15.5" customFormat="1" customHeight="1" s="226">
      <c r="A1127" s="1071" t="n"/>
      <c r="B1127" s="725" t="n"/>
      <c r="C1127" s="725" t="n"/>
      <c r="D1127" s="729" t="n"/>
    </row>
    <row r="1128" ht="15.5" customFormat="1" customHeight="1" s="226">
      <c r="A1128" s="1071" t="n"/>
      <c r="B1128" s="725" t="n"/>
      <c r="C1128" s="725" t="n"/>
      <c r="D1128" s="729" t="n"/>
    </row>
    <row r="1129" ht="15.5" customFormat="1" customHeight="1" s="226">
      <c r="A1129" s="1071" t="n"/>
      <c r="B1129" s="725" t="n"/>
      <c r="C1129" s="725" t="n"/>
      <c r="D1129" s="726" t="n"/>
    </row>
    <row r="1130" ht="15.5" customFormat="1" customHeight="1" s="226">
      <c r="A1130" s="1071" t="n"/>
      <c r="B1130" s="725" t="n"/>
      <c r="C1130" s="725" t="n"/>
      <c r="D1130" s="726" t="n"/>
    </row>
    <row r="1131" ht="15.5" customFormat="1" customHeight="1" s="226">
      <c r="A1131" s="1071" t="n"/>
      <c r="B1131" s="725" t="n"/>
      <c r="C1131" s="725" t="n"/>
      <c r="D1131" s="726" t="n"/>
    </row>
    <row r="1132" ht="15.5" customFormat="1" customHeight="1" s="226">
      <c r="A1132" s="1071" t="n"/>
      <c r="B1132" s="724" t="n"/>
      <c r="C1132" s="724" t="n"/>
      <c r="D1132" s="730" t="n"/>
    </row>
    <row r="1133" ht="15.5" customFormat="1" customHeight="1" s="226">
      <c r="A1133" s="1071" t="n"/>
      <c r="B1133" s="226" t="n"/>
      <c r="C1133" s="226" t="n"/>
      <c r="D1133" s="226" t="n"/>
    </row>
    <row r="1134" ht="15.5" customFormat="1" customHeight="1" s="226">
      <c r="A1134" s="1071" t="n"/>
      <c r="B1134" s="724" t="n"/>
      <c r="C1134" s="724" t="n"/>
      <c r="D1134" s="730" t="n"/>
    </row>
    <row r="1135" ht="15.5" customFormat="1" customHeight="1" s="226">
      <c r="A1135" s="1071" t="n"/>
      <c r="B1135" s="226" t="n"/>
      <c r="C1135" s="226" t="n"/>
      <c r="D1135" s="226" t="n"/>
    </row>
    <row r="1136" ht="15.5" customFormat="1" customHeight="1" s="226">
      <c r="A1136" s="1071" t="n"/>
      <c r="B1136" s="226" t="n"/>
      <c r="C1136" s="226" t="n"/>
      <c r="D1136" s="226" t="n"/>
    </row>
    <row r="1137" ht="15.5" customFormat="1" customHeight="1" s="226">
      <c r="A1137" s="1071" t="n"/>
      <c r="B1137" s="226" t="n"/>
      <c r="C1137" s="226" t="n"/>
      <c r="D1137" s="226" t="n"/>
    </row>
    <row r="1138" ht="15.5" customFormat="1" customHeight="1" s="226">
      <c r="A1138" s="1071" t="n"/>
      <c r="B1138" s="226" t="n"/>
      <c r="C1138" s="226" t="n"/>
      <c r="D1138" s="226" t="n"/>
    </row>
    <row r="1139" ht="15.5" customFormat="1" customHeight="1" s="226">
      <c r="A1139" s="1071" t="n"/>
      <c r="B1139" s="226" t="n"/>
      <c r="C1139" s="226" t="n"/>
      <c r="D1139" s="226" t="n"/>
    </row>
    <row r="1140" ht="15.5" customFormat="1" customHeight="1" s="226">
      <c r="A1140" s="1071" t="n"/>
      <c r="B1140" s="226" t="n"/>
      <c r="C1140" s="226" t="n"/>
      <c r="D1140" s="226" t="n"/>
    </row>
    <row r="1141" ht="15.5" customFormat="1" customHeight="1" s="226">
      <c r="A1141" s="1071" t="n"/>
      <c r="B1141" s="226" t="n"/>
      <c r="C1141" s="226" t="n"/>
      <c r="D1141" s="226" t="n"/>
    </row>
    <row r="1142" ht="15.5" customFormat="1" customHeight="1" s="226">
      <c r="A1142" s="1071" t="n"/>
      <c r="B1142" s="226" t="n"/>
      <c r="C1142" s="226" t="n"/>
      <c r="D1142" s="226" t="n"/>
    </row>
    <row r="1143" ht="15.5" customFormat="1" customHeight="1" s="226">
      <c r="A1143" s="1071" t="n"/>
      <c r="B1143" s="724" t="n"/>
      <c r="C1143" s="724" t="n"/>
      <c r="D1143" s="730" t="n"/>
    </row>
    <row r="1144" ht="15.5" customFormat="1" customHeight="1" s="226">
      <c r="A1144" s="1071" t="n"/>
      <c r="B1144" s="724" t="n"/>
      <c r="C1144" s="724" t="n"/>
      <c r="D1144" s="730" t="n"/>
    </row>
    <row r="1145" ht="15.5" customFormat="1" customHeight="1" s="226">
      <c r="A1145" s="1071" t="n"/>
      <c r="B1145" s="724" t="n"/>
      <c r="C1145" s="724" t="n"/>
      <c r="D1145" s="730" t="n"/>
    </row>
    <row r="1146" ht="15.5" customFormat="1" customHeight="1" s="226">
      <c r="A1146" s="1071" t="n"/>
      <c r="B1146" s="724" t="n"/>
      <c r="C1146" s="724" t="n"/>
      <c r="D1146" s="730" t="n"/>
    </row>
    <row r="1147" ht="15.5" customFormat="1" customHeight="1" s="226">
      <c r="A1147" s="1071" t="n"/>
      <c r="B1147" s="724" t="n"/>
      <c r="C1147" s="724" t="n"/>
      <c r="D1147" s="730" t="n"/>
    </row>
    <row r="1148" ht="15.5" customFormat="1" customHeight="1" s="226">
      <c r="A1148" s="1071" t="n"/>
      <c r="B1148" s="724" t="n"/>
      <c r="C1148" s="724" t="n"/>
      <c r="D1148" s="730" t="n"/>
    </row>
    <row r="1149" ht="15.5" customFormat="1" customHeight="1" s="226">
      <c r="A1149" s="1071" t="n"/>
      <c r="B1149" s="724" t="n"/>
      <c r="C1149" s="724" t="n"/>
      <c r="D1149" s="730" t="n"/>
    </row>
    <row r="1150" ht="15.5" customFormat="1" customHeight="1" s="226">
      <c r="A1150" s="1071" t="n"/>
      <c r="B1150" s="724" t="n"/>
      <c r="C1150" s="724" t="n"/>
      <c r="D1150" s="730" t="n"/>
    </row>
    <row r="1151" ht="19.5" customFormat="1" customHeight="1" s="88">
      <c r="A1151" s="1071" t="n"/>
      <c r="B1151" s="724" t="n"/>
      <c r="C1151" s="724" t="n"/>
      <c r="D1151" s="730" t="n"/>
      <c r="E1151" s="87" t="n"/>
      <c r="F1151" s="87" t="n"/>
      <c r="G1151" s="87" t="n"/>
    </row>
    <row r="1152" ht="61" customFormat="1" customHeight="1" s="88">
      <c r="A1152" s="1071" t="n"/>
      <c r="B1152" s="724" t="n"/>
      <c r="C1152" s="724" t="n"/>
      <c r="D1152" s="730" t="n"/>
      <c r="E1152" s="87" t="n"/>
      <c r="F1152" s="87" t="n"/>
      <c r="G1152" s="87" t="n"/>
    </row>
    <row r="1153" ht="22.4" customFormat="1" customHeight="1" s="88">
      <c r="A1153" s="734" t="n"/>
      <c r="B1153" s="724" t="n"/>
      <c r="C1153" s="724" t="n"/>
      <c r="D1153" s="730" t="n"/>
      <c r="E1153" s="89" t="n"/>
      <c r="F1153" s="89" t="n"/>
      <c r="G1153" s="89" t="n"/>
    </row>
    <row r="1154" ht="15.5" customFormat="1" customHeight="1" s="88">
      <c r="B1154" s="562" t="n"/>
    </row>
    <row r="1155" ht="15.5" customFormat="1" customHeight="1" s="88">
      <c r="A1155" s="16" t="n"/>
      <c r="B1155" s="563" t="n"/>
      <c r="C1155" s="1064" t="n"/>
      <c r="D1155" s="1064" t="n"/>
    </row>
  </sheetData>
  <mergeCells count="3">
    <mergeCell ref="E10:F10"/>
    <mergeCell ref="G10:H10"/>
    <mergeCell ref="B10:C10"/>
  </mergeCells>
  <printOptions gridLines="1"/>
  <pageMargins left="0.75" right="0.75" top="1" bottom="1" header="0.5" footer="0.5"/>
  <pageSetup orientation="portrait" paperSize="9" scale="10"/>
  <legacyDrawing xmlns:r="http://schemas.openxmlformats.org/officeDocument/2006/relationships" r:id="anysvml"/>
</worksheet>
</file>

<file path=xl/worksheets/sheet13.xml><?xml version="1.0" encoding="utf-8"?>
<worksheet xmlns="http://schemas.openxmlformats.org/spreadsheetml/2006/main">
  <sheetPr codeName="Sheet6">
    <tabColor rgb="FF00B0F0"/>
    <outlinePr summaryBelow="1" summaryRight="1"/>
    <pageSetUpPr fitToPage="1"/>
  </sheetPr>
  <dimension ref="A1:Q400"/>
  <sheetViews>
    <sheetView topLeftCell="A287" zoomScale="85" workbookViewId="0">
      <selection activeCell="D315" sqref="D315"/>
    </sheetView>
  </sheetViews>
  <sheetFormatPr baseColWidth="8" defaultColWidth="8.54296875" defaultRowHeight="12.5"/>
  <cols>
    <col width="15.453125" customWidth="1" style="90" min="1" max="2"/>
    <col width="13.81640625" customWidth="1" style="90" min="3" max="3"/>
    <col width="20.54296875" customWidth="1" style="90" min="4" max="4"/>
    <col width="14.453125" customWidth="1" style="90" min="5" max="5"/>
    <col width="8.54296875" customWidth="1" style="90" min="6" max="7"/>
    <col width="9.54296875" customWidth="1" style="90" min="8" max="8"/>
    <col width="8.54296875" customWidth="1" style="90" min="9" max="9"/>
    <col width="14" customWidth="1" style="90" min="10" max="10"/>
    <col width="8.54296875" customWidth="1" style="90" min="11" max="16383"/>
    <col width="8.54296875" bestFit="1" customWidth="1" style="90" min="16384" max="16384"/>
  </cols>
  <sheetData>
    <row r="1" ht="23.15" customHeight="1" s="828" thickBot="1">
      <c r="B1" s="434" t="inlineStr">
        <is>
          <t>All Vacancies1 (thousands)</t>
        </is>
      </c>
      <c r="C1" s="419" t="inlineStr">
        <is>
          <t>Unemployment2 (thousands)</t>
        </is>
      </c>
      <c r="D1" s="419" t="inlineStr">
        <is>
          <t>Number of unemployed people per vacancy</t>
        </is>
      </c>
      <c r="G1" s="564" t="inlineStr">
        <is>
          <t>All Vacancies1 (thousands)</t>
        </is>
      </c>
      <c r="H1" s="565" t="inlineStr">
        <is>
          <t>Unemployment2 (thousands)</t>
        </is>
      </c>
      <c r="I1" s="565" t="inlineStr">
        <is>
          <t>Number of unemployed people per vacancy</t>
        </is>
      </c>
    </row>
    <row r="2" ht="23.15" customHeight="1" s="828" thickBot="1">
      <c r="A2" s="443" t="inlineStr">
        <is>
          <t>Current</t>
        </is>
      </c>
      <c r="B2" s="499">
        <f t="array" ref="B2">INDEX(C$17:C$1048576,COUNTA(C$17:C$1048576))</f>
        <v/>
      </c>
      <c r="C2" s="495">
        <f t="array" ref="C2">INDEX(D$17:D$1048576,COUNTA(D$17:D$1048576)-1)</f>
        <v/>
      </c>
      <c r="D2" s="427">
        <f t="array" ref="D2">INDEX(E$17:E$1048576,COUNTA(E$17:E$1048576)-1)</f>
        <v/>
      </c>
      <c r="F2" s="566" t="inlineStr">
        <is>
          <t>Current</t>
        </is>
      </c>
      <c r="G2" s="567">
        <f>B2</f>
        <v/>
      </c>
      <c r="H2" s="568">
        <f>C2</f>
        <v/>
      </c>
      <c r="I2" s="569">
        <f>D2</f>
        <v/>
      </c>
    </row>
    <row r="3" ht="39.5" customHeight="1" s="828" thickBot="1">
      <c r="A3" s="443" t="inlineStr">
        <is>
          <t>Quarterly change</t>
        </is>
      </c>
      <c r="B3" s="1072">
        <f t="array" ref="B3">INDEX(C$17:C$1048576,COUNTA(C$17:C$1048576))-INDEX(C$17:C$1048576,COUNTA(C$17:C$1048576)-3)</f>
        <v/>
      </c>
      <c r="C3" s="1073">
        <f t="array" ref="C3">INDEX(D$17:D$1048576,COUNTA(D$17:D$1048576)-1)-INDEX(D$17:D$1048576,COUNTA(D$17:D$1048576)-4)</f>
        <v/>
      </c>
      <c r="D3" s="1074">
        <f t="array" ref="D3">INDEX(E$17:E$1048576,COUNTA(E$17:E$1048576)-1)-INDEX(E$17:E$1048576,COUNTA(E$17:E$1048576)-4)</f>
        <v/>
      </c>
      <c r="F3" s="566" t="inlineStr">
        <is>
          <t>Quarterly change</t>
        </is>
      </c>
      <c r="G3" s="1075">
        <f t="array" ref="G3">B3/INDEX(C$17:C$1048576,COUNTA(C$17:C$1048576)-1)</f>
        <v/>
      </c>
      <c r="H3" s="1076">
        <f t="array" ref="H3">C3/INDEX(D$17:D$1048576,COUNTA(D$17:D$1048576)-2)</f>
        <v/>
      </c>
      <c r="I3" s="1077">
        <f t="array" ref="I3">D3/INDEX(E$17:E$1048576,COUNTA(E$17:E$1048576)-2)</f>
        <v/>
      </c>
      <c r="K3" s="999" t="n"/>
    </row>
    <row r="4" ht="39.5" customHeight="1" s="828" thickBot="1">
      <c r="A4" s="419" t="inlineStr">
        <is>
          <t>Year on year change</t>
        </is>
      </c>
      <c r="B4" s="1078">
        <f t="array" ref="B4">INDEX(C$17:C$1048576,COUNTA(C$17:C$1048576))-INDEX(C$17:C$1048576,COUNTA(C$17:C$1048576)-12)</f>
        <v/>
      </c>
      <c r="C4" s="1074">
        <f t="array" ref="C4">INDEX(D$17:D$1048576,COUNTA(D$17:D$1048576)-1)-INDEX(D$17:D$1048576,COUNTA(D$17:D$1048576)-13)</f>
        <v/>
      </c>
      <c r="D4" s="1074">
        <f t="array" ref="D4">INDEX(E$17:E$1048576,COUNTA(E$17:E$1048576)-1)-INDEX(E$17:E$1048576,COUNTA(E$17:E$1048576)-13)</f>
        <v/>
      </c>
      <c r="F4" s="565" t="inlineStr">
        <is>
          <t>Year on year change</t>
        </is>
      </c>
      <c r="G4" s="1079">
        <f t="array" ref="G4">B4/INDEX(C$17:C$1048576,COUNTA(C$17:C$1048576)-12)</f>
        <v/>
      </c>
      <c r="H4" s="1077">
        <f t="array" ref="H4">C4/INDEX(D$17:D$1048576,COUNTA(D$17:D$1048576)-13)</f>
        <v/>
      </c>
      <c r="I4" s="1077">
        <f t="array" ref="I4">D4/INDEX(E$17:E$1048576,COUNTA(E$17:E$1048576)-13)</f>
        <v/>
      </c>
      <c r="J4" s="290" t="n"/>
    </row>
    <row r="5" ht="65.5" customHeight="1" s="828" thickBot="1">
      <c r="A5" s="443" t="inlineStr">
        <is>
          <t>Pre-pandemic trend (Jan-Mar)</t>
        </is>
      </c>
      <c r="B5" s="1080">
        <f t="array" ref="B5">INDEX(C$17:C$1048576,COUNTA(C$17:C$1048576))-C$242</f>
        <v/>
      </c>
      <c r="C5" s="1073">
        <f t="array" ref="C5">INDEX(D$17:D$1048576,COUNTA(D$17:D$1048576)-1)-D$242</f>
        <v/>
      </c>
      <c r="D5" s="1074">
        <f t="array" ref="D5">INDEX(E$17:E$1048576,COUNTA(E$17:E$1048576)-1)-E$242</f>
        <v/>
      </c>
      <c r="F5" s="566" t="inlineStr">
        <is>
          <t>Pre-pandemic trend (Jan-Mar)</t>
        </is>
      </c>
      <c r="G5" s="1081">
        <f>B5/C242</f>
        <v/>
      </c>
      <c r="H5" s="1076">
        <f>C5/D242</f>
        <v/>
      </c>
      <c r="I5" s="1076">
        <f>D5/E242</f>
        <v/>
      </c>
    </row>
    <row r="6" ht="39" customHeight="1" s="828">
      <c r="A6" s="419" t="inlineStr">
        <is>
          <t>Since 2024 election</t>
        </is>
      </c>
      <c r="B6" s="1082">
        <f t="array" ref="B6">INDEX(C$17:C$1048576,COUNTA(C$17:C$1048576))-C$293</f>
        <v/>
      </c>
      <c r="C6" s="1074">
        <f t="array" ref="C6">INDEX(D$17:D$1048576,COUNTA(D$17:D$1048576)-1)-D$293</f>
        <v/>
      </c>
      <c r="D6" s="1074">
        <f t="array" ref="D6">INDEX(E$17:E$1048576,COUNTA(E$17:E$1048576)-1)-E$293</f>
        <v/>
      </c>
      <c r="F6" s="565" t="inlineStr">
        <is>
          <t>Since 2010 election</t>
        </is>
      </c>
      <c r="G6" s="1083">
        <f>B6/C123</f>
        <v/>
      </c>
      <c r="H6" s="1077">
        <f>C6/D123</f>
        <v/>
      </c>
      <c r="I6" s="1077">
        <f>D6/E123</f>
        <v/>
      </c>
    </row>
    <row r="7" ht="13.4" customHeight="1" s="828">
      <c r="A7" s="430" t="inlineStr">
        <is>
          <t>*note: 1. Stats for unemployment are from the period before as data unavailable - check this is still the case.</t>
        </is>
      </c>
      <c r="B7" s="429" t="n"/>
      <c r="C7" s="429" t="n"/>
      <c r="D7" s="429" t="n"/>
      <c r="F7" s="285" t="n"/>
      <c r="G7" s="117" t="n"/>
      <c r="H7" s="55" t="n"/>
    </row>
    <row r="8">
      <c r="A8" s="429" t="inlineStr">
        <is>
          <t>2. Covid period is different (Jan-Mar) due to reporting periods</t>
        </is>
      </c>
      <c r="B8" s="429" t="n"/>
      <c r="C8" s="429" t="n"/>
      <c r="D8" s="429" t="n"/>
    </row>
    <row r="9" ht="17.5" customHeight="1" s="828">
      <c r="A9" s="11" t="inlineStr">
        <is>
          <t xml:space="preserve">Table 20:  Vacancies1 and Unemployment (seasonally adjusted) </t>
        </is>
      </c>
      <c r="B9" s="11" t="n"/>
      <c r="C9" s="11" t="n"/>
      <c r="D9" s="11" t="n"/>
      <c r="E9" s="11" t="n"/>
      <c r="F9" s="11" t="n"/>
      <c r="G9" s="11" t="n"/>
      <c r="H9" s="12" t="n"/>
      <c r="I9" s="12" t="n"/>
    </row>
    <row r="10" ht="15.5" customHeight="1" s="828">
      <c r="A10" s="853" t="n"/>
      <c r="B10" s="20" t="n"/>
      <c r="D10" s="954" t="n"/>
      <c r="F10" s="853" t="n"/>
      <c r="G10" s="20" t="n"/>
      <c r="H10" s="853" t="n"/>
      <c r="I10" s="954" t="n"/>
    </row>
    <row r="11" ht="15.5" customHeight="1" s="828">
      <c r="A11" s="15" t="n"/>
      <c r="C11" s="19" t="n"/>
      <c r="G11" s="16" t="n"/>
      <c r="H11" s="75" t="n"/>
      <c r="J11" s="16" t="n"/>
      <c r="K11" s="78" t="n"/>
      <c r="L11" s="16" t="n"/>
    </row>
    <row r="12" ht="17.5" customHeight="1" s="828">
      <c r="A12" s="11" t="n"/>
      <c r="B12" s="91" t="n"/>
      <c r="C12" s="92" t="n"/>
      <c r="D12" s="115" t="n"/>
      <c r="E12" s="115" t="n"/>
      <c r="F12" s="115" t="n"/>
    </row>
    <row r="13" ht="11.9" customHeight="1" s="828" thickBot="1">
      <c r="A13" s="94" t="n"/>
      <c r="B13" s="95" t="n"/>
      <c r="C13" s="96" t="n"/>
      <c r="D13" s="97" t="n"/>
      <c r="E13" s="97" t="n"/>
      <c r="F13" s="98" t="n"/>
    </row>
    <row r="14" ht="18.75" customHeight="1" s="828">
      <c r="A14" s="99" t="n"/>
      <c r="C14" s="100" t="n"/>
      <c r="D14" s="100" t="n"/>
      <c r="E14" s="100" t="n"/>
      <c r="F14" s="101" t="n"/>
    </row>
    <row r="15" ht="42" customHeight="1" s="828">
      <c r="A15" s="102" t="n"/>
      <c r="C15" s="103" t="n"/>
      <c r="D15" s="104" t="n"/>
      <c r="E15" s="104" t="n"/>
      <c r="F15" s="105" t="n"/>
    </row>
    <row r="16" ht="11.9" customHeight="1" s="828">
      <c r="A16" s="106" t="n"/>
      <c r="C16" s="106" t="n"/>
      <c r="D16" s="107" t="n"/>
      <c r="E16" s="106" t="n"/>
      <c r="F16" s="106" t="n"/>
    </row>
    <row r="17" ht="13.4" customHeight="1" s="828">
      <c r="A17" s="751" t="n"/>
      <c r="B17" s="751" t="n"/>
      <c r="C17" s="736" t="n"/>
      <c r="D17" s="774" t="n"/>
      <c r="E17" s="1084" t="n"/>
      <c r="F17" s="1085" t="n"/>
      <c r="H17" s="1086" t="n"/>
      <c r="I17" s="1086" t="n"/>
      <c r="J17" s="117" t="n"/>
    </row>
    <row r="18" ht="13.4" customHeight="1" s="828">
      <c r="A18" s="751" t="n"/>
      <c r="B18" s="751" t="n"/>
      <c r="C18" s="736" t="n"/>
      <c r="D18" s="774" t="n"/>
      <c r="E18" s="1084" t="n"/>
      <c r="J18" s="117" t="n"/>
    </row>
    <row r="19" ht="13.4" customHeight="1" s="828">
      <c r="A19" s="751" t="n"/>
      <c r="B19" s="751" t="n"/>
      <c r="C19" s="736" t="n"/>
      <c r="D19" s="774" t="n"/>
      <c r="E19" s="1084" t="n"/>
      <c r="J19" s="117" t="n"/>
    </row>
    <row r="20" ht="13.4" customHeight="1" s="828">
      <c r="A20" s="751" t="n"/>
      <c r="B20" s="751" t="n"/>
      <c r="C20" s="736" t="n"/>
      <c r="D20" s="774" t="n"/>
      <c r="E20" s="1084" t="n"/>
      <c r="J20" s="117" t="n"/>
    </row>
    <row r="21" ht="13.4" customHeight="1" s="828">
      <c r="A21" s="751" t="n"/>
      <c r="B21" s="751" t="n"/>
      <c r="C21" s="736" t="n"/>
      <c r="D21" s="774" t="n"/>
      <c r="E21" s="1084" t="n"/>
      <c r="J21" s="117" t="n"/>
    </row>
    <row r="22" ht="13.4" customHeight="1" s="828">
      <c r="A22" s="751" t="n"/>
      <c r="B22" s="751" t="n"/>
      <c r="C22" s="736" t="n"/>
      <c r="D22" s="774" t="n"/>
      <c r="E22" s="1084" t="n"/>
      <c r="J22" s="117" t="n"/>
    </row>
    <row r="23" ht="13.4" customHeight="1" s="828">
      <c r="A23" s="751" t="n"/>
      <c r="B23" s="751" t="n"/>
      <c r="C23" s="736" t="n"/>
      <c r="D23" s="774" t="n"/>
      <c r="E23" s="1084" t="n"/>
      <c r="J23" s="117" t="n"/>
    </row>
    <row r="24" ht="13.4" customHeight="1" s="828">
      <c r="A24" s="751" t="n"/>
      <c r="B24" s="751" t="n"/>
      <c r="C24" s="736" t="n"/>
      <c r="D24" s="774" t="n"/>
      <c r="E24" s="1084" t="n"/>
      <c r="J24" s="117" t="n"/>
    </row>
    <row r="25" ht="13.4" customHeight="1" s="828">
      <c r="A25" s="751" t="n"/>
      <c r="B25" s="751" t="n"/>
      <c r="C25" s="736" t="n"/>
      <c r="D25" s="774" t="n"/>
      <c r="E25" s="1084" t="n"/>
      <c r="J25" s="117" t="n"/>
    </row>
    <row r="26" ht="13.4" customHeight="1" s="828">
      <c r="A26" s="751" t="n"/>
      <c r="B26" s="751" t="n"/>
      <c r="C26" s="736" t="n"/>
      <c r="D26" s="774" t="n"/>
      <c r="E26" s="1084" t="n"/>
      <c r="J26" s="117" t="n"/>
    </row>
    <row r="27" ht="13.4" customHeight="1" s="828">
      <c r="A27" s="751" t="n"/>
      <c r="B27" s="751" t="n"/>
      <c r="C27" s="736" t="n"/>
      <c r="D27" s="774" t="n"/>
      <c r="E27" s="1084" t="n"/>
      <c r="J27" s="117" t="n"/>
    </row>
    <row r="28" ht="13.4" customHeight="1" s="828">
      <c r="A28" s="751" t="n"/>
      <c r="B28" s="751" t="n"/>
      <c r="C28" s="736" t="n"/>
      <c r="D28" s="774" t="n"/>
      <c r="E28" s="1084" t="n"/>
      <c r="J28" s="117" t="n"/>
    </row>
    <row r="29" ht="13.4" customHeight="1" s="828">
      <c r="A29" s="751" t="n"/>
      <c r="B29" s="751" t="n"/>
      <c r="C29" s="736" t="n"/>
      <c r="D29" s="774" t="n"/>
      <c r="E29" s="1084" t="n"/>
      <c r="J29" s="117" t="n"/>
    </row>
    <row r="30" ht="13.4" customHeight="1" s="828">
      <c r="A30" s="751" t="n"/>
      <c r="B30" s="751" t="n"/>
      <c r="C30" s="736" t="n"/>
      <c r="D30" s="774" t="n"/>
      <c r="E30" s="1084" t="n"/>
      <c r="J30" s="117" t="n"/>
    </row>
    <row r="31" ht="13.4" customHeight="1" s="828">
      <c r="A31" s="751" t="n"/>
      <c r="B31" s="751" t="n"/>
      <c r="C31" s="736" t="n"/>
      <c r="D31" s="774" t="n"/>
      <c r="E31" s="1084" t="n"/>
      <c r="J31" s="117" t="n"/>
    </row>
    <row r="32" ht="13.4" customHeight="1" s="828">
      <c r="A32" s="751" t="n"/>
      <c r="B32" s="751" t="n"/>
      <c r="C32" s="736" t="n"/>
      <c r="D32" s="774" t="n"/>
      <c r="E32" s="1084" t="n"/>
      <c r="J32" s="117" t="n"/>
    </row>
    <row r="33" ht="13.4" customHeight="1" s="828">
      <c r="A33" s="751" t="n"/>
      <c r="B33" s="751" t="n"/>
      <c r="C33" s="736" t="n"/>
      <c r="D33" s="774" t="n"/>
      <c r="E33" s="1084" t="n"/>
      <c r="J33" s="117" t="n"/>
    </row>
    <row r="34" ht="13.4" customHeight="1" s="828">
      <c r="A34" s="751" t="n"/>
      <c r="B34" s="751" t="n"/>
      <c r="C34" s="736" t="n"/>
      <c r="D34" s="774" t="n"/>
      <c r="E34" s="1084" t="n"/>
      <c r="J34" s="117" t="n"/>
    </row>
    <row r="35" ht="13.4" customHeight="1" s="828">
      <c r="A35" s="751" t="n"/>
      <c r="B35" s="751" t="n"/>
      <c r="C35" s="736" t="n"/>
      <c r="D35" s="774" t="n"/>
      <c r="E35" s="1084" t="n"/>
      <c r="J35" s="117" t="n"/>
    </row>
    <row r="36" ht="13.4" customHeight="1" s="828">
      <c r="A36" s="751" t="n"/>
      <c r="B36" s="751" t="n"/>
      <c r="C36" s="736" t="n"/>
      <c r="D36" s="774" t="n"/>
      <c r="E36" s="1084" t="n"/>
      <c r="J36" s="117" t="n"/>
    </row>
    <row r="37" ht="13.4" customHeight="1" s="828">
      <c r="A37" s="751" t="n"/>
      <c r="B37" s="751" t="n"/>
      <c r="C37" s="736" t="n"/>
      <c r="D37" s="774" t="n"/>
      <c r="E37" s="1084" t="n"/>
      <c r="J37" s="117" t="n"/>
    </row>
    <row r="38" ht="13.4" customHeight="1" s="828">
      <c r="A38" s="751" t="n"/>
      <c r="B38" s="751" t="n"/>
      <c r="C38" s="736" t="n"/>
      <c r="D38" s="774" t="n"/>
      <c r="E38" s="1084" t="n"/>
      <c r="J38" s="117" t="n"/>
    </row>
    <row r="39" ht="13.4" customHeight="1" s="828">
      <c r="A39" s="751" t="n"/>
      <c r="B39" s="751" t="n"/>
      <c r="C39" s="736" t="n"/>
      <c r="D39" s="774" t="n"/>
      <c r="E39" s="1084" t="n"/>
      <c r="J39" s="117" t="n"/>
    </row>
    <row r="40" ht="13.4" customHeight="1" s="828">
      <c r="A40" s="751" t="n"/>
      <c r="B40" s="751" t="n"/>
      <c r="C40" s="736" t="n"/>
      <c r="D40" s="774" t="n"/>
      <c r="E40" s="1084" t="n"/>
      <c r="J40" s="117" t="n"/>
    </row>
    <row r="41" ht="13.4" customHeight="1" s="828">
      <c r="A41" s="751" t="n"/>
      <c r="B41" s="751" t="n"/>
      <c r="C41" s="736" t="n"/>
      <c r="D41" s="774" t="n"/>
      <c r="E41" s="1084" t="n"/>
      <c r="J41" s="117" t="n"/>
    </row>
    <row r="42" ht="13.4" customHeight="1" s="828">
      <c r="A42" s="751" t="n"/>
      <c r="B42" s="751" t="n"/>
      <c r="C42" s="736" t="n"/>
      <c r="D42" s="774" t="n"/>
      <c r="E42" s="1084" t="n"/>
      <c r="J42" s="117" t="n"/>
    </row>
    <row r="43" ht="13.4" customHeight="1" s="828">
      <c r="A43" s="751" t="n"/>
      <c r="B43" s="751" t="n"/>
      <c r="C43" s="736" t="n"/>
      <c r="D43" s="774" t="n"/>
      <c r="E43" s="1084" t="n"/>
      <c r="J43" s="117" t="n"/>
    </row>
    <row r="44" ht="13.4" customFormat="1" customHeight="1" s="112">
      <c r="A44" s="749" t="n"/>
      <c r="B44" s="749" t="n"/>
      <c r="C44" s="749" t="n"/>
      <c r="D44" s="749" t="n"/>
      <c r="E44" s="749" t="n"/>
      <c r="F44" s="117" t="n"/>
      <c r="G44" s="117" t="n"/>
      <c r="H44" s="111" t="n"/>
      <c r="I44" s="111" t="n"/>
      <c r="J44" s="117" t="n"/>
    </row>
    <row r="45" ht="13.4" customFormat="1" customHeight="1" s="112">
      <c r="A45" s="749" t="n"/>
      <c r="B45" s="749" t="n"/>
      <c r="C45" s="749" t="n"/>
      <c r="D45" s="749" t="n"/>
      <c r="E45" s="749" t="n"/>
      <c r="F45" s="117" t="n"/>
      <c r="G45" s="117" t="n"/>
      <c r="H45" s="111" t="n"/>
      <c r="I45" s="111" t="n"/>
      <c r="J45" s="117" t="n"/>
    </row>
    <row r="46" ht="13.4" customFormat="1" customHeight="1" s="112">
      <c r="A46" s="749" t="n"/>
      <c r="B46" s="749" t="n"/>
      <c r="C46" s="749" t="n"/>
      <c r="D46" s="749" t="n"/>
      <c r="E46" s="749" t="n"/>
      <c r="F46" s="117" t="n"/>
      <c r="G46" s="117" t="n"/>
      <c r="H46" s="111" t="n"/>
      <c r="I46" s="111" t="n"/>
      <c r="J46" s="117" t="n"/>
    </row>
    <row r="47" ht="13.4" customHeight="1" s="828">
      <c r="A47" s="751" t="n"/>
      <c r="B47" s="751" t="n"/>
      <c r="C47" s="736" t="n"/>
      <c r="D47" s="774" t="n"/>
      <c r="E47" s="1084" t="n"/>
      <c r="J47" s="117" t="n"/>
    </row>
    <row r="48" ht="13.4" customFormat="1" customHeight="1" s="112">
      <c r="A48" s="749" t="n"/>
      <c r="B48" s="749" t="n"/>
      <c r="C48" s="749" t="n"/>
      <c r="D48" s="749" t="n"/>
      <c r="E48" s="749" t="n"/>
      <c r="F48" s="117" t="n"/>
      <c r="G48" s="117" t="n"/>
      <c r="H48" s="111" t="n"/>
      <c r="I48" s="111" t="n"/>
      <c r="J48" s="117" t="n"/>
    </row>
    <row r="49" ht="13.4" customFormat="1" customHeight="1" s="112">
      <c r="A49" s="749" t="n"/>
      <c r="B49" s="749" t="n"/>
      <c r="C49" s="749" t="n"/>
      <c r="D49" s="749" t="n"/>
      <c r="E49" s="749" t="n"/>
      <c r="F49" s="117" t="n"/>
      <c r="G49" s="117" t="n"/>
      <c r="H49" s="111" t="n"/>
      <c r="I49" s="111" t="n"/>
      <c r="J49" s="117" t="n"/>
    </row>
    <row r="50" ht="13.4" customFormat="1" customHeight="1" s="112">
      <c r="A50" s="749" t="n"/>
      <c r="B50" s="749" t="n"/>
      <c r="C50" s="749" t="n"/>
      <c r="D50" s="749" t="n"/>
      <c r="E50" s="749" t="n"/>
      <c r="F50" s="117" t="n"/>
      <c r="G50" s="117" t="n"/>
      <c r="H50" s="111" t="n"/>
      <c r="I50" s="111" t="n"/>
      <c r="J50" s="117" t="n"/>
    </row>
    <row r="51" ht="13.4" customFormat="1" customHeight="1" s="112">
      <c r="A51" s="749" t="n"/>
      <c r="B51" s="749" t="n"/>
      <c r="C51" s="749" t="n"/>
      <c r="D51" s="749" t="n"/>
      <c r="E51" s="749" t="n"/>
      <c r="F51" s="117" t="n"/>
      <c r="G51" s="117" t="n"/>
      <c r="H51" s="111" t="n"/>
      <c r="I51" s="111" t="n"/>
      <c r="J51" s="117" t="n"/>
    </row>
    <row r="52" ht="13.4" customFormat="1" customHeight="1" s="112">
      <c r="A52" s="749" t="n"/>
      <c r="B52" s="749" t="n"/>
      <c r="C52" s="749" t="n"/>
      <c r="D52" s="749" t="n"/>
      <c r="E52" s="749" t="n"/>
      <c r="F52" s="117" t="n"/>
      <c r="G52" s="117" t="n"/>
      <c r="H52" s="111" t="n"/>
      <c r="I52" s="111" t="n"/>
      <c r="J52" s="117" t="n"/>
    </row>
    <row r="53" ht="13.4" customFormat="1" customHeight="1" s="112">
      <c r="A53" s="749" t="n"/>
      <c r="B53" s="749" t="n"/>
      <c r="C53" s="749" t="n"/>
      <c r="D53" s="749" t="n"/>
      <c r="E53" s="749" t="n"/>
      <c r="F53" s="1087" t="n"/>
      <c r="G53" s="1087" t="n"/>
      <c r="H53" s="1088" t="n"/>
      <c r="I53" s="111" t="n"/>
      <c r="J53" s="117" t="n"/>
    </row>
    <row r="54" ht="13.4" customFormat="1" customHeight="1" s="112">
      <c r="A54" s="749" t="n"/>
      <c r="B54" s="749" t="n"/>
      <c r="C54" s="749" t="n"/>
      <c r="D54" s="749" t="n"/>
      <c r="E54" s="749" t="n"/>
      <c r="F54" s="117" t="n"/>
      <c r="G54" s="117" t="n"/>
      <c r="H54" s="111" t="n"/>
      <c r="I54" s="111" t="n"/>
      <c r="J54" s="117" t="n"/>
    </row>
    <row r="55" ht="13.4" customFormat="1" customHeight="1" s="112">
      <c r="A55" s="749" t="n"/>
      <c r="B55" s="749" t="n"/>
      <c r="C55" s="749" t="n"/>
      <c r="D55" s="749" t="n"/>
      <c r="E55" s="749" t="n"/>
      <c r="F55" s="117" t="n"/>
      <c r="G55" s="117" t="n"/>
      <c r="H55" s="111" t="n"/>
      <c r="I55" s="111" t="n"/>
      <c r="J55" s="117" t="n"/>
    </row>
    <row r="56" ht="13.4" customFormat="1" customHeight="1" s="112">
      <c r="A56" s="749" t="n"/>
      <c r="B56" s="749" t="n"/>
      <c r="C56" s="749" t="n"/>
      <c r="D56" s="749" t="n"/>
      <c r="E56" s="749" t="n"/>
      <c r="F56" s="117" t="n"/>
      <c r="G56" s="117" t="n"/>
      <c r="H56" s="111" t="n"/>
      <c r="I56" s="111" t="n"/>
      <c r="J56" s="117" t="n"/>
    </row>
    <row r="57" ht="13.4" customFormat="1" customHeight="1" s="112">
      <c r="A57" s="749" t="n"/>
      <c r="B57" s="749" t="n"/>
      <c r="C57" s="749" t="n"/>
      <c r="D57" s="749" t="n"/>
      <c r="E57" s="749" t="n"/>
      <c r="F57" s="117" t="n"/>
      <c r="G57" s="117" t="n"/>
      <c r="H57" s="111" t="n"/>
      <c r="I57" s="111" t="n"/>
      <c r="J57" s="117" t="n"/>
    </row>
    <row r="58" ht="13.4" customFormat="1" customHeight="1" s="112">
      <c r="A58" s="749" t="n"/>
      <c r="B58" s="749" t="n"/>
      <c r="C58" s="749" t="n"/>
      <c r="D58" s="749" t="n"/>
      <c r="E58" s="749" t="n"/>
      <c r="F58" s="117" t="n"/>
      <c r="G58" s="117" t="n"/>
      <c r="H58" s="111" t="n"/>
      <c r="I58" s="111" t="n"/>
      <c r="J58" s="117" t="n"/>
    </row>
    <row r="59" ht="13.4" customFormat="1" customHeight="1" s="112">
      <c r="A59" s="749" t="n"/>
      <c r="B59" s="749" t="n"/>
      <c r="C59" s="749" t="n"/>
      <c r="D59" s="749" t="n"/>
      <c r="E59" s="749" t="n"/>
      <c r="F59" s="117" t="n"/>
      <c r="G59" s="117" t="n"/>
      <c r="H59" s="111" t="n"/>
      <c r="I59" s="111" t="n"/>
      <c r="J59" s="117" t="n"/>
    </row>
    <row r="60" ht="13.4" customFormat="1" customHeight="1" s="112">
      <c r="A60" s="749" t="n"/>
      <c r="B60" s="749" t="n"/>
      <c r="C60" s="749" t="n"/>
      <c r="D60" s="749" t="n"/>
      <c r="E60" s="749" t="n"/>
      <c r="F60" s="117" t="n"/>
      <c r="G60" s="117" t="n"/>
      <c r="H60" s="111" t="n"/>
      <c r="I60" s="111" t="n"/>
      <c r="J60" s="117" t="n"/>
    </row>
    <row r="61" ht="13.4" customFormat="1" customHeight="1" s="112">
      <c r="A61" s="749" t="n"/>
      <c r="B61" s="749" t="n"/>
      <c r="C61" s="749" t="n"/>
      <c r="D61" s="749" t="n"/>
      <c r="E61" s="749" t="n"/>
      <c r="F61" s="117" t="n"/>
      <c r="G61" s="117" t="n"/>
      <c r="H61" s="111" t="n"/>
      <c r="I61" s="111" t="n"/>
      <c r="J61" s="117" t="n"/>
    </row>
    <row r="62" ht="13.4" customFormat="1" customHeight="1" s="112">
      <c r="A62" s="749" t="n"/>
      <c r="B62" s="749" t="n"/>
      <c r="C62" s="749" t="n"/>
      <c r="D62" s="749" t="n"/>
      <c r="E62" s="749" t="n"/>
      <c r="F62" s="117" t="n"/>
      <c r="G62" s="117" t="n"/>
      <c r="H62" s="111" t="n"/>
      <c r="I62" s="111" t="n"/>
      <c r="J62" s="117" t="n"/>
    </row>
    <row r="63" ht="13.4" customFormat="1" customHeight="1" s="112">
      <c r="A63" s="749" t="n"/>
      <c r="B63" s="749" t="n"/>
      <c r="C63" s="749" t="n"/>
      <c r="D63" s="749" t="n"/>
      <c r="E63" s="749" t="n"/>
      <c r="F63" s="117" t="n"/>
      <c r="G63" s="117" t="n"/>
      <c r="H63" s="111" t="n"/>
      <c r="I63" s="111" t="n"/>
      <c r="J63" s="117" t="n"/>
    </row>
    <row r="64" ht="13.4" customFormat="1" customHeight="1" s="112">
      <c r="A64" s="749" t="n"/>
      <c r="B64" s="749" t="n"/>
      <c r="C64" s="749" t="n"/>
      <c r="D64" s="749" t="n"/>
      <c r="E64" s="749" t="n"/>
      <c r="F64" s="117" t="n"/>
      <c r="G64" s="117" t="n"/>
      <c r="H64" s="111" t="n"/>
      <c r="I64" s="111" t="n"/>
      <c r="J64" s="117" t="n"/>
    </row>
    <row r="65" ht="13.4" customFormat="1" customHeight="1" s="112">
      <c r="A65" s="749" t="n"/>
      <c r="B65" s="749" t="n"/>
      <c r="C65" s="749" t="n"/>
      <c r="D65" s="749" t="n"/>
      <c r="E65" s="749" t="n"/>
      <c r="F65" s="117" t="n"/>
      <c r="G65" s="117" t="n"/>
      <c r="H65" s="111" t="n"/>
      <c r="I65" s="111" t="n"/>
      <c r="J65" s="117" t="n"/>
    </row>
    <row r="66" ht="13.4" customFormat="1" customHeight="1" s="112">
      <c r="A66" s="749" t="n"/>
      <c r="B66" s="749" t="n"/>
      <c r="C66" s="749" t="n"/>
      <c r="D66" s="749" t="n"/>
      <c r="E66" s="749" t="n"/>
      <c r="F66" s="117" t="n"/>
      <c r="G66" s="117" t="n"/>
      <c r="H66" s="111" t="n"/>
      <c r="I66" s="111" t="n"/>
      <c r="J66" s="117" t="n"/>
    </row>
    <row r="67" ht="13.4" customFormat="1" customHeight="1" s="112">
      <c r="A67" s="749" t="n"/>
      <c r="B67" s="749" t="n"/>
      <c r="C67" s="749" t="n"/>
      <c r="D67" s="749" t="n"/>
      <c r="E67" s="749" t="n"/>
      <c r="F67" s="117" t="n"/>
      <c r="G67" s="117" t="n"/>
      <c r="H67" s="111" t="n"/>
      <c r="I67" s="111" t="n"/>
      <c r="J67" s="117" t="n"/>
    </row>
    <row r="68" ht="13.4" customFormat="1" customHeight="1" s="112">
      <c r="A68" s="749" t="n"/>
      <c r="B68" s="749" t="n"/>
      <c r="C68" s="749" t="n"/>
      <c r="D68" s="749" t="n"/>
      <c r="E68" s="749" t="n"/>
      <c r="F68" s="117" t="n"/>
      <c r="G68" s="117" t="n"/>
      <c r="H68" s="111" t="n"/>
      <c r="I68" s="111" t="n"/>
      <c r="J68" s="117" t="n"/>
    </row>
    <row r="69" ht="13.4" customFormat="1" customHeight="1" s="112">
      <c r="A69" s="749" t="n"/>
      <c r="B69" s="749" t="n"/>
      <c r="C69" s="749" t="n"/>
      <c r="D69" s="749" t="n"/>
      <c r="E69" s="749" t="n"/>
      <c r="F69" s="117" t="n"/>
      <c r="G69" s="117" t="n"/>
      <c r="H69" s="111" t="n"/>
      <c r="I69" s="111" t="n"/>
      <c r="J69" s="117" t="n"/>
    </row>
    <row r="70" ht="13.4" customFormat="1" customHeight="1" s="112">
      <c r="A70" s="749" t="n"/>
      <c r="B70" s="749" t="n"/>
      <c r="C70" s="749" t="n"/>
      <c r="D70" s="749" t="n"/>
      <c r="E70" s="749" t="n"/>
      <c r="F70" s="117" t="n"/>
      <c r="G70" s="117" t="n"/>
      <c r="H70" s="111" t="n"/>
      <c r="I70" s="111" t="n"/>
      <c r="J70" s="117" t="n"/>
    </row>
    <row r="71" ht="13.4" customFormat="1" customHeight="1" s="112">
      <c r="A71" s="749" t="n"/>
      <c r="B71" s="749" t="n"/>
      <c r="C71" s="749" t="n"/>
      <c r="D71" s="749" t="n"/>
      <c r="E71" s="749" t="n"/>
      <c r="F71" s="117" t="n"/>
      <c r="G71" s="117" t="n"/>
      <c r="H71" s="111" t="n"/>
      <c r="I71" s="111" t="n"/>
      <c r="J71" s="117" t="n"/>
    </row>
    <row r="72" ht="13.4" customFormat="1" customHeight="1" s="112">
      <c r="A72" s="749" t="n"/>
      <c r="B72" s="749" t="n"/>
      <c r="C72" s="749" t="n"/>
      <c r="D72" s="749" t="n"/>
      <c r="E72" s="749" t="n"/>
      <c r="F72" s="117" t="n"/>
      <c r="G72" s="117" t="n"/>
      <c r="H72" s="111" t="n"/>
      <c r="I72" s="111" t="n"/>
      <c r="J72" s="117" t="n"/>
    </row>
    <row r="73" ht="13.4" customFormat="1" customHeight="1" s="112">
      <c r="A73" s="749" t="n"/>
      <c r="B73" s="749" t="n"/>
      <c r="C73" s="749" t="n"/>
      <c r="D73" s="749" t="n"/>
      <c r="E73" s="749" t="n"/>
      <c r="F73" s="117" t="n"/>
      <c r="G73" s="117" t="n"/>
      <c r="H73" s="111" t="n"/>
      <c r="I73" s="111" t="n"/>
      <c r="J73" s="117" t="n"/>
    </row>
    <row r="74" ht="13.4" customFormat="1" customHeight="1" s="112">
      <c r="A74" s="749" t="n"/>
      <c r="B74" s="749" t="n"/>
      <c r="C74" s="749" t="n"/>
      <c r="D74" s="749" t="n"/>
      <c r="E74" s="749" t="n"/>
      <c r="F74" s="117" t="n"/>
      <c r="G74" s="117" t="n"/>
      <c r="H74" s="111" t="n"/>
      <c r="I74" s="111" t="n"/>
      <c r="J74" s="117" t="n"/>
    </row>
    <row r="75" ht="13.4" customFormat="1" customHeight="1" s="112">
      <c r="A75" s="749" t="n"/>
      <c r="B75" s="749" t="n"/>
      <c r="C75" s="749" t="n"/>
      <c r="D75" s="749" t="n"/>
      <c r="E75" s="749" t="n"/>
      <c r="F75" s="117" t="n"/>
      <c r="G75" s="117" t="n"/>
      <c r="H75" s="111" t="n"/>
      <c r="I75" s="111" t="n"/>
      <c r="J75" s="117" t="n"/>
    </row>
    <row r="76" ht="13.4" customFormat="1" customHeight="1" s="112">
      <c r="A76" s="749" t="n"/>
      <c r="B76" s="749" t="n"/>
      <c r="C76" s="749" t="n"/>
      <c r="D76" s="749" t="n"/>
      <c r="E76" s="749" t="n"/>
      <c r="F76" s="117" t="n"/>
      <c r="G76" s="117" t="n"/>
      <c r="H76" s="111" t="n"/>
      <c r="I76" s="111" t="n"/>
      <c r="J76" s="117" t="n"/>
    </row>
    <row r="77" ht="13.4" customFormat="1" customHeight="1" s="112">
      <c r="A77" s="749" t="n"/>
      <c r="B77" s="749" t="n"/>
      <c r="C77" s="749" t="n"/>
      <c r="D77" s="749" t="n"/>
      <c r="E77" s="749" t="n"/>
      <c r="F77" s="117" t="n"/>
      <c r="G77" s="117" t="n"/>
      <c r="H77" s="111" t="n"/>
      <c r="I77" s="111" t="n"/>
      <c r="J77" s="117" t="n"/>
    </row>
    <row r="78" ht="13.4" customFormat="1" customHeight="1" s="112">
      <c r="A78" s="749" t="n"/>
      <c r="B78" s="749" t="n"/>
      <c r="C78" s="749" t="n"/>
      <c r="D78" s="749" t="n"/>
      <c r="E78" s="749" t="n"/>
      <c r="F78" s="117" t="n"/>
      <c r="G78" s="117" t="n"/>
      <c r="H78" s="111" t="n"/>
      <c r="I78" s="111" t="n"/>
      <c r="J78" s="117" t="n"/>
    </row>
    <row r="79" ht="13.4" customFormat="1" customHeight="1" s="112">
      <c r="A79" s="749" t="n"/>
      <c r="B79" s="749" t="n"/>
      <c r="C79" s="749" t="n"/>
      <c r="D79" s="749" t="n"/>
      <c r="E79" s="749" t="n"/>
      <c r="F79" s="117" t="n"/>
      <c r="G79" s="117" t="n"/>
      <c r="H79" s="111" t="n"/>
      <c r="I79" s="111" t="n"/>
      <c r="J79" s="117" t="n"/>
    </row>
    <row r="80" ht="13.4" customFormat="1" customHeight="1" s="112">
      <c r="A80" s="749" t="n"/>
      <c r="B80" s="749" t="n"/>
      <c r="C80" s="749" t="n"/>
      <c r="D80" s="749" t="n"/>
      <c r="E80" s="749" t="n"/>
      <c r="F80" s="117" t="n"/>
      <c r="G80" s="117" t="n"/>
      <c r="H80" s="111" t="n"/>
      <c r="I80" s="111" t="n"/>
      <c r="J80" s="117" t="n"/>
    </row>
    <row r="81" ht="13.4" customFormat="1" customHeight="1" s="112">
      <c r="A81" s="749" t="n"/>
      <c r="B81" s="749" t="n"/>
      <c r="C81" s="749" t="n"/>
      <c r="D81" s="749" t="n"/>
      <c r="E81" s="749" t="n"/>
      <c r="F81" s="117" t="n"/>
      <c r="G81" s="117" t="n"/>
      <c r="H81" s="111" t="n"/>
      <c r="I81" s="111" t="n"/>
      <c r="J81" s="117" t="n"/>
    </row>
    <row r="82" ht="13.4" customFormat="1" customHeight="1" s="112">
      <c r="A82" s="749" t="n"/>
      <c r="B82" s="749" t="n"/>
      <c r="C82" s="749" t="n"/>
      <c r="D82" s="749" t="n"/>
      <c r="E82" s="749" t="n"/>
      <c r="F82" s="117" t="n"/>
      <c r="G82" s="117" t="n"/>
      <c r="H82" s="111" t="n"/>
      <c r="I82" s="111" t="n"/>
      <c r="J82" s="117" t="n"/>
    </row>
    <row r="83" ht="13.4" customFormat="1" customHeight="1" s="112">
      <c r="A83" s="749" t="n"/>
      <c r="B83" s="749" t="n"/>
      <c r="C83" s="749" t="n"/>
      <c r="D83" s="749" t="n"/>
      <c r="E83" s="749" t="n"/>
      <c r="F83" s="117" t="n"/>
      <c r="G83" s="117" t="n"/>
      <c r="H83" s="111" t="n"/>
      <c r="I83" s="111" t="n"/>
      <c r="J83" s="117" t="n"/>
    </row>
    <row r="84" ht="13.4" customFormat="1" customHeight="1" s="112">
      <c r="A84" s="749" t="n"/>
      <c r="B84" s="749" t="n"/>
      <c r="C84" s="749" t="n"/>
      <c r="D84" s="749" t="n"/>
      <c r="E84" s="749" t="n"/>
      <c r="F84" s="117" t="n"/>
      <c r="G84" s="117" t="n"/>
      <c r="H84" s="111" t="n"/>
      <c r="I84" s="111" t="n"/>
      <c r="J84" s="117" t="n"/>
    </row>
    <row r="85" ht="13.4" customFormat="1" customHeight="1" s="112">
      <c r="A85" s="749" t="n"/>
      <c r="B85" s="749" t="n"/>
      <c r="C85" s="749" t="n"/>
      <c r="D85" s="749" t="n"/>
      <c r="E85" s="749" t="n"/>
      <c r="F85" s="117" t="n"/>
      <c r="G85" s="117" t="n"/>
      <c r="H85" s="111" t="n"/>
      <c r="I85" s="111" t="n"/>
      <c r="J85" s="117" t="n"/>
    </row>
    <row r="86" ht="13.4" customFormat="1" customHeight="1" s="112">
      <c r="A86" s="749" t="n"/>
      <c r="B86" s="749" t="n"/>
      <c r="C86" s="749" t="n"/>
      <c r="D86" s="749" t="n"/>
      <c r="E86" s="749" t="n"/>
      <c r="F86" s="117" t="n"/>
      <c r="G86" s="117" t="n"/>
      <c r="H86" s="111" t="n"/>
      <c r="I86" s="111" t="n"/>
      <c r="J86" s="117" t="n"/>
    </row>
    <row r="87" ht="13.4" customFormat="1" customHeight="1" s="112">
      <c r="A87" s="749" t="n"/>
      <c r="B87" s="749" t="n"/>
      <c r="C87" s="749" t="n"/>
      <c r="D87" s="749" t="n"/>
      <c r="E87" s="749" t="n"/>
      <c r="F87" s="117" t="n"/>
      <c r="G87" s="117" t="n"/>
      <c r="H87" s="111" t="n"/>
      <c r="I87" s="111" t="n"/>
      <c r="J87" s="117" t="n"/>
    </row>
    <row r="88" ht="13.4" customFormat="1" customHeight="1" s="112">
      <c r="A88" s="749" t="n"/>
      <c r="B88" s="749" t="n"/>
      <c r="C88" s="749" t="n"/>
      <c r="D88" s="749" t="n"/>
      <c r="E88" s="749" t="n"/>
      <c r="F88" s="117" t="n"/>
      <c r="G88" s="117" t="n"/>
      <c r="H88" s="111" t="n"/>
      <c r="I88" s="111" t="n"/>
      <c r="J88" s="117" t="n"/>
    </row>
    <row r="89" ht="13.4" customFormat="1" customHeight="1" s="112">
      <c r="A89" s="749" t="n"/>
      <c r="B89" s="749" t="n"/>
      <c r="C89" s="749" t="n"/>
      <c r="D89" s="749" t="n"/>
      <c r="E89" s="749" t="n"/>
      <c r="F89" s="117" t="n"/>
      <c r="G89" s="117" t="n"/>
      <c r="H89" s="111" t="n"/>
      <c r="I89" s="111" t="n"/>
      <c r="J89" s="117" t="n"/>
    </row>
    <row r="90" ht="13.4" customFormat="1" customHeight="1" s="112">
      <c r="A90" s="749" t="n"/>
      <c r="B90" s="749" t="n"/>
      <c r="C90" s="749" t="n"/>
      <c r="D90" s="749" t="n"/>
      <c r="E90" s="749" t="n"/>
      <c r="F90" s="117" t="n"/>
      <c r="G90" s="117" t="n"/>
      <c r="H90" s="111" t="n"/>
      <c r="I90" s="111" t="n"/>
      <c r="J90" s="117" t="n"/>
    </row>
    <row r="91" ht="13.4" customFormat="1" customHeight="1" s="112">
      <c r="A91" s="749" t="n"/>
      <c r="B91" s="749" t="n"/>
      <c r="C91" s="749" t="n"/>
      <c r="D91" s="749" t="n"/>
      <c r="E91" s="749" t="n"/>
      <c r="F91" s="117" t="n"/>
      <c r="G91" s="117" t="n"/>
      <c r="H91" s="111" t="n"/>
      <c r="I91" s="111" t="n"/>
      <c r="J91" s="117" t="n"/>
    </row>
    <row r="92" ht="13.4" customFormat="1" customHeight="1" s="112">
      <c r="A92" s="749" t="n"/>
      <c r="B92" s="749" t="n"/>
      <c r="C92" s="749" t="n"/>
      <c r="D92" s="749" t="n"/>
      <c r="E92" s="749" t="n"/>
      <c r="F92" s="117" t="n"/>
      <c r="G92" s="117" t="n"/>
      <c r="H92" s="111" t="n"/>
      <c r="I92" s="111" t="n"/>
      <c r="J92" s="117" t="n"/>
    </row>
    <row r="93" ht="13.4" customFormat="1" customHeight="1" s="112">
      <c r="A93" s="749" t="n"/>
      <c r="B93" s="749" t="n"/>
      <c r="C93" s="749" t="n"/>
      <c r="D93" s="749" t="n"/>
      <c r="E93" s="749" t="n"/>
      <c r="F93" s="117" t="n"/>
      <c r="G93" s="117" t="n"/>
      <c r="H93" s="111" t="n"/>
      <c r="I93" s="111" t="n"/>
      <c r="J93" s="117" t="n"/>
    </row>
    <row r="94" ht="13.4" customFormat="1" customHeight="1" s="112">
      <c r="A94" s="749" t="n"/>
      <c r="B94" s="749" t="n"/>
      <c r="C94" s="749" t="n"/>
      <c r="D94" s="749" t="n"/>
      <c r="E94" s="749" t="n"/>
      <c r="F94" s="117" t="n"/>
      <c r="G94" s="117" t="n"/>
      <c r="H94" s="111" t="n"/>
      <c r="I94" s="111" t="n"/>
      <c r="J94" s="117" t="n"/>
    </row>
    <row r="95" ht="13.4" customFormat="1" customHeight="1" s="112">
      <c r="A95" s="749" t="n"/>
      <c r="B95" s="749" t="n"/>
      <c r="C95" s="749" t="n"/>
      <c r="D95" s="749" t="n"/>
      <c r="E95" s="749" t="n"/>
      <c r="F95" s="117" t="n"/>
      <c r="G95" s="117" t="n"/>
      <c r="H95" s="111" t="n"/>
      <c r="I95" s="111" t="n"/>
      <c r="J95" s="117" t="n"/>
    </row>
    <row r="96" ht="13.4" customFormat="1" customHeight="1" s="112">
      <c r="A96" s="749" t="n"/>
      <c r="B96" s="749" t="n"/>
      <c r="C96" s="749" t="n"/>
      <c r="D96" s="749" t="n"/>
      <c r="E96" s="749" t="n"/>
      <c r="F96" s="117" t="n"/>
      <c r="G96" s="117" t="n"/>
      <c r="H96" s="111" t="n"/>
      <c r="I96" s="111" t="n"/>
      <c r="J96" s="117" t="n"/>
    </row>
    <row r="97" ht="13.4" customFormat="1" customHeight="1" s="112">
      <c r="A97" s="749" t="n"/>
      <c r="B97" s="749" t="n"/>
      <c r="C97" s="749" t="n"/>
      <c r="D97" s="749" t="n"/>
      <c r="E97" s="749" t="n"/>
      <c r="F97" s="117" t="n"/>
      <c r="G97" s="117" t="n"/>
      <c r="H97" s="111" t="n"/>
      <c r="I97" s="111" t="n"/>
      <c r="J97" s="117" t="n"/>
    </row>
    <row r="98" ht="13.4" customFormat="1" customHeight="1" s="112">
      <c r="A98" s="749" t="n"/>
      <c r="B98" s="749" t="n"/>
      <c r="C98" s="749" t="n"/>
      <c r="D98" s="749" t="n"/>
      <c r="E98" s="749" t="n"/>
      <c r="F98" s="117" t="n"/>
      <c r="G98" s="117" t="n"/>
      <c r="H98" s="111" t="n"/>
      <c r="I98" s="111" t="n"/>
      <c r="J98" s="117" t="n"/>
    </row>
    <row r="99" ht="13.4" customFormat="1" customHeight="1" s="112">
      <c r="A99" s="749" t="n"/>
      <c r="B99" s="749" t="n"/>
      <c r="C99" s="749" t="n"/>
      <c r="D99" s="749" t="n"/>
      <c r="E99" s="749" t="n"/>
      <c r="F99" s="117" t="n"/>
      <c r="G99" s="117" t="n"/>
      <c r="H99" s="111" t="n"/>
      <c r="I99" s="111" t="n"/>
      <c r="J99" s="117" t="n"/>
    </row>
    <row r="100" ht="13.4" customFormat="1" customHeight="1" s="112">
      <c r="A100" s="749" t="n"/>
      <c r="B100" s="749" t="n"/>
      <c r="C100" s="749" t="n"/>
      <c r="D100" s="749" t="n"/>
      <c r="E100" s="749" t="n"/>
      <c r="F100" s="117" t="n"/>
      <c r="G100" s="117" t="n"/>
      <c r="H100" s="111" t="n"/>
      <c r="I100" s="111" t="n"/>
      <c r="J100" s="117" t="n"/>
    </row>
    <row r="101" ht="13.4" customFormat="1" customHeight="1" s="112">
      <c r="A101" s="749" t="n"/>
      <c r="B101" s="749" t="n"/>
      <c r="C101" s="749" t="n"/>
      <c r="D101" s="749" t="n"/>
      <c r="E101" s="749" t="n"/>
      <c r="F101" s="117" t="n"/>
      <c r="G101" s="117" t="n"/>
      <c r="H101" s="111" t="n"/>
      <c r="I101" s="111" t="n"/>
      <c r="J101" s="117" t="n"/>
    </row>
    <row r="102" ht="13.4" customFormat="1" customHeight="1" s="112">
      <c r="A102" s="749" t="n"/>
      <c r="B102" s="749" t="n"/>
      <c r="C102" s="749" t="n"/>
      <c r="D102" s="749" t="n"/>
      <c r="E102" s="749" t="n"/>
      <c r="F102" s="117" t="n"/>
      <c r="G102" s="117" t="n"/>
      <c r="H102" s="111" t="n"/>
      <c r="I102" s="111" t="n"/>
      <c r="J102" s="117" t="n"/>
    </row>
    <row r="103" ht="13.4" customFormat="1" customHeight="1" s="112">
      <c r="A103" s="749" t="n"/>
      <c r="B103" s="749" t="n"/>
      <c r="C103" s="749" t="n"/>
      <c r="D103" s="749" t="n"/>
      <c r="E103" s="749" t="n"/>
      <c r="F103" s="117" t="n"/>
      <c r="G103" s="117" t="n"/>
      <c r="H103" s="111" t="n"/>
      <c r="I103" s="111" t="n"/>
      <c r="J103" s="117" t="n"/>
    </row>
    <row r="104" ht="13.4" customFormat="1" customHeight="1" s="112">
      <c r="A104" s="749" t="n"/>
      <c r="B104" s="749" t="n"/>
      <c r="C104" s="749" t="n"/>
      <c r="D104" s="749" t="n"/>
      <c r="E104" s="749" t="n"/>
      <c r="F104" s="117" t="n"/>
      <c r="G104" s="117" t="n"/>
      <c r="H104" s="111" t="n"/>
      <c r="I104" s="111" t="n"/>
      <c r="J104" s="117" t="n"/>
    </row>
    <row r="105" ht="13.4" customFormat="1" customHeight="1" s="112">
      <c r="A105" s="749" t="n"/>
      <c r="B105" s="749" t="n"/>
      <c r="C105" s="749" t="n"/>
      <c r="D105" s="749" t="n"/>
      <c r="E105" s="749" t="n"/>
      <c r="F105" s="117" t="n"/>
      <c r="G105" s="117" t="n"/>
      <c r="H105" s="111" t="n"/>
      <c r="I105" s="111" t="n"/>
      <c r="J105" s="117" t="n"/>
    </row>
    <row r="106" ht="13.4" customFormat="1" customHeight="1" s="112">
      <c r="A106" s="749" t="n"/>
      <c r="B106" s="749" t="n"/>
      <c r="C106" s="749" t="n"/>
      <c r="D106" s="749" t="n"/>
      <c r="E106" s="749" t="n"/>
      <c r="F106" s="117" t="n"/>
      <c r="G106" s="117" t="n"/>
      <c r="H106" s="111" t="n"/>
      <c r="I106" s="111" t="n"/>
      <c r="J106" s="117" t="n"/>
    </row>
    <row r="107" ht="13.4" customFormat="1" customHeight="1" s="112">
      <c r="A107" s="749" t="n"/>
      <c r="B107" s="749" t="n"/>
      <c r="C107" s="749" t="n"/>
      <c r="D107" s="749" t="n"/>
      <c r="E107" s="749" t="n"/>
      <c r="F107" s="117" t="n"/>
      <c r="G107" s="117" t="n"/>
      <c r="H107" s="111" t="n"/>
      <c r="I107" s="111" t="n"/>
      <c r="J107" s="117" t="n"/>
    </row>
    <row r="108" ht="13.4" customFormat="1" customHeight="1" s="112">
      <c r="A108" s="749" t="n"/>
      <c r="B108" s="749" t="n"/>
      <c r="C108" s="749" t="n"/>
      <c r="D108" s="749" t="n"/>
      <c r="E108" s="749" t="n"/>
      <c r="F108" s="117" t="n"/>
      <c r="G108" s="117" t="n"/>
      <c r="H108" s="111" t="n"/>
      <c r="I108" s="111" t="n"/>
      <c r="J108" s="117" t="n"/>
    </row>
    <row r="109" ht="13.4" customFormat="1" customHeight="1" s="112">
      <c r="A109" s="749" t="n"/>
      <c r="B109" s="749" t="n"/>
      <c r="C109" s="749" t="n"/>
      <c r="D109" s="749" t="n"/>
      <c r="E109" s="749" t="n"/>
      <c r="F109" s="117" t="n"/>
      <c r="G109" s="117" t="n"/>
      <c r="H109" s="111" t="n"/>
      <c r="I109" s="111" t="n"/>
      <c r="J109" s="117" t="n"/>
    </row>
    <row r="110" ht="13.4" customFormat="1" customHeight="1" s="112">
      <c r="A110" s="749" t="n"/>
      <c r="B110" s="749" t="n"/>
      <c r="C110" s="749" t="n"/>
      <c r="D110" s="749" t="n"/>
      <c r="E110" s="749" t="n"/>
      <c r="F110" s="117" t="n"/>
      <c r="G110" s="117" t="n"/>
      <c r="H110" s="111" t="n"/>
      <c r="I110" s="111" t="n"/>
      <c r="J110" s="117" t="n"/>
    </row>
    <row r="111" ht="13.4" customFormat="1" customHeight="1" s="112">
      <c r="A111" s="749" t="n"/>
      <c r="B111" s="749" t="n"/>
      <c r="C111" s="749" t="n"/>
      <c r="D111" s="749" t="n"/>
      <c r="E111" s="749" t="n"/>
      <c r="F111" s="117" t="n"/>
      <c r="G111" s="117" t="n"/>
      <c r="H111" s="111" t="n"/>
      <c r="I111" s="111" t="n"/>
      <c r="J111" s="117" t="n"/>
    </row>
    <row r="112" ht="13.4" customFormat="1" customHeight="1" s="112">
      <c r="A112" s="749" t="n"/>
      <c r="B112" s="749" t="n"/>
      <c r="C112" s="749" t="n"/>
      <c r="D112" s="749" t="n"/>
      <c r="E112" s="749" t="n"/>
      <c r="F112" s="117" t="n"/>
      <c r="G112" s="117" t="n"/>
      <c r="H112" s="111" t="n"/>
      <c r="I112" s="111" t="n"/>
      <c r="J112" s="117" t="n"/>
    </row>
    <row r="113" ht="13.4" customFormat="1" customHeight="1" s="112">
      <c r="A113" s="749" t="n"/>
      <c r="B113" s="749" t="n"/>
      <c r="C113" s="749" t="n"/>
      <c r="D113" s="749" t="n"/>
      <c r="E113" s="749" t="n"/>
      <c r="F113" s="117" t="n"/>
      <c r="G113" s="117" t="n"/>
      <c r="H113" s="111" t="n"/>
      <c r="I113" s="111" t="n"/>
      <c r="J113" s="117" t="n"/>
    </row>
    <row r="114" ht="13.4" customFormat="1" customHeight="1" s="112">
      <c r="A114" s="749" t="n"/>
      <c r="B114" s="749" t="n"/>
      <c r="C114" s="749" t="n"/>
      <c r="D114" s="749" t="n"/>
      <c r="E114" s="749" t="n"/>
      <c r="F114" s="117" t="n"/>
      <c r="G114" s="117" t="n"/>
      <c r="H114" s="276" t="n"/>
      <c r="I114" s="111" t="n"/>
      <c r="J114" s="117" t="n"/>
    </row>
    <row r="115" ht="13.4" customFormat="1" customHeight="1" s="112">
      <c r="A115" s="749" t="n"/>
      <c r="B115" s="749" t="n"/>
      <c r="C115" s="749" t="n"/>
      <c r="D115" s="749" t="n"/>
      <c r="E115" s="749" t="n"/>
      <c r="F115" s="117" t="n"/>
      <c r="G115" s="117" t="n"/>
      <c r="H115" s="111" t="n"/>
      <c r="I115" s="111" t="n"/>
      <c r="J115" s="117" t="n"/>
    </row>
    <row r="116" ht="13.4" customFormat="1" customHeight="1" s="112">
      <c r="A116" s="749" t="n"/>
      <c r="B116" s="749" t="n"/>
      <c r="C116" s="749" t="n"/>
      <c r="D116" s="749" t="n"/>
      <c r="E116" s="749" t="n"/>
      <c r="F116" s="117" t="n"/>
      <c r="G116" s="117" t="n"/>
      <c r="H116" s="111" t="n"/>
      <c r="I116" s="111" t="n"/>
      <c r="J116" s="117" t="n"/>
    </row>
    <row r="117" ht="13.4" customFormat="1" customHeight="1" s="112">
      <c r="A117" s="749" t="n"/>
      <c r="B117" s="749" t="n"/>
      <c r="C117" s="749" t="n"/>
      <c r="D117" s="749" t="n"/>
      <c r="E117" s="749" t="n"/>
      <c r="F117" s="117" t="n"/>
      <c r="G117" s="117" t="n"/>
      <c r="H117" s="111" t="n"/>
      <c r="I117" s="111" t="n"/>
      <c r="J117" s="117" t="n"/>
    </row>
    <row r="118" ht="13.4" customFormat="1" customHeight="1" s="112">
      <c r="A118" s="749" t="n"/>
      <c r="B118" s="749" t="n"/>
      <c r="C118" s="749" t="n"/>
      <c r="D118" s="749" t="n"/>
      <c r="E118" s="749" t="n"/>
      <c r="F118" s="117" t="n"/>
      <c r="G118" s="117" t="n"/>
      <c r="H118" s="111" t="n"/>
      <c r="I118" s="111" t="n"/>
      <c r="J118" s="117" t="n"/>
    </row>
    <row r="119" ht="13.4" customFormat="1" customHeight="1" s="112">
      <c r="A119" s="749" t="n"/>
      <c r="B119" s="749" t="n"/>
      <c r="C119" s="749" t="n"/>
      <c r="D119" s="749" t="n"/>
      <c r="E119" s="749" t="n"/>
      <c r="F119" s="117" t="n"/>
      <c r="G119" s="117" t="n"/>
      <c r="H119" s="111" t="n"/>
      <c r="I119" s="111" t="n"/>
      <c r="J119" s="117" t="n"/>
    </row>
    <row r="120" ht="13.4" customFormat="1" customHeight="1" s="112">
      <c r="A120" s="749" t="n"/>
      <c r="B120" s="749" t="n"/>
      <c r="C120" s="749" t="n"/>
      <c r="D120" s="749" t="n"/>
      <c r="E120" s="749" t="n"/>
      <c r="F120" s="117" t="n"/>
      <c r="G120" s="117" t="n"/>
      <c r="H120" s="111" t="n"/>
      <c r="I120" s="111" t="n"/>
      <c r="J120" s="117" t="n"/>
    </row>
    <row r="121" ht="13.4" customFormat="1" customHeight="1" s="112">
      <c r="A121" s="749" t="n"/>
      <c r="B121" s="749" t="n"/>
      <c r="C121" s="749" t="n"/>
      <c r="D121" s="749" t="n"/>
      <c r="E121" s="749" t="n"/>
      <c r="F121" s="117" t="n"/>
      <c r="G121" s="117" t="n"/>
      <c r="H121" s="111" t="n"/>
      <c r="I121" s="111" t="n"/>
      <c r="J121" s="117" t="n"/>
    </row>
    <row r="122" ht="13.4" customFormat="1" customHeight="1" s="112">
      <c r="A122" s="749" t="n"/>
      <c r="B122" s="749" t="n"/>
      <c r="C122" s="749" t="n"/>
      <c r="D122" s="749" t="n"/>
      <c r="E122" s="749" t="n"/>
      <c r="F122" s="117" t="n"/>
      <c r="G122" s="117" t="n"/>
      <c r="H122" s="111" t="n"/>
      <c r="I122" s="111" t="n"/>
      <c r="J122" s="117" t="n"/>
    </row>
    <row r="123" ht="13.4" customFormat="1" customHeight="1" s="112">
      <c r="A123" s="749" t="n"/>
      <c r="B123" s="749" t="n"/>
      <c r="C123" s="749" t="n"/>
      <c r="D123" s="749" t="n"/>
      <c r="E123" s="749" t="n"/>
      <c r="F123" s="117" t="n"/>
      <c r="G123" s="117" t="n"/>
      <c r="H123" s="111" t="n"/>
      <c r="I123" s="111" t="n"/>
      <c r="J123" s="117" t="n"/>
    </row>
    <row r="124" ht="13.4" customFormat="1" customHeight="1" s="112">
      <c r="A124" s="749" t="n"/>
      <c r="B124" s="749" t="n"/>
      <c r="C124" s="749" t="n"/>
      <c r="D124" s="749" t="n"/>
      <c r="E124" s="749" t="n"/>
      <c r="F124" s="117" t="n"/>
      <c r="G124" s="117" t="n"/>
      <c r="H124" s="111" t="n"/>
      <c r="I124" s="111" t="n"/>
      <c r="J124" s="117" t="n"/>
    </row>
    <row r="125" ht="13.4" customFormat="1" customHeight="1" s="112">
      <c r="A125" s="749" t="n"/>
      <c r="B125" s="749" t="n"/>
      <c r="C125" s="749" t="n"/>
      <c r="D125" s="749" t="n"/>
      <c r="E125" s="749" t="n"/>
      <c r="F125" s="117" t="n"/>
      <c r="G125" s="117" t="n"/>
      <c r="H125" s="111" t="n"/>
      <c r="I125" s="111" t="n"/>
      <c r="J125" s="117" t="n"/>
    </row>
    <row r="126" ht="13.4" customFormat="1" customHeight="1" s="112">
      <c r="A126" s="749" t="n"/>
      <c r="B126" s="749" t="n"/>
      <c r="C126" s="749" t="n"/>
      <c r="D126" s="749" t="n"/>
      <c r="E126" s="749" t="n"/>
      <c r="F126" s="117" t="n"/>
      <c r="G126" s="117" t="n"/>
      <c r="H126" s="111" t="n"/>
      <c r="I126" s="111" t="n"/>
      <c r="J126" s="117" t="n"/>
    </row>
    <row r="127" ht="13.4" customFormat="1" customHeight="1" s="112">
      <c r="A127" s="749" t="n"/>
      <c r="B127" s="749" t="n"/>
      <c r="C127" s="749" t="n"/>
      <c r="D127" s="749" t="n"/>
      <c r="E127" s="749" t="n"/>
      <c r="F127" s="117" t="n"/>
      <c r="G127" s="117" t="n"/>
      <c r="H127" s="111" t="n"/>
      <c r="I127" s="111" t="n"/>
      <c r="J127" s="117" t="n"/>
    </row>
    <row r="128" ht="13.4" customFormat="1" customHeight="1" s="112">
      <c r="A128" s="749" t="n"/>
      <c r="B128" s="749" t="n"/>
      <c r="C128" s="749" t="n"/>
      <c r="D128" s="749" t="n"/>
      <c r="E128" s="749" t="n"/>
      <c r="F128" s="117" t="n"/>
      <c r="G128" s="117" t="n"/>
      <c r="H128" s="111" t="n"/>
      <c r="I128" s="111" t="n"/>
      <c r="J128" s="117" t="n"/>
    </row>
    <row r="129" ht="13.4" customFormat="1" customHeight="1" s="112">
      <c r="A129" s="749" t="n"/>
      <c r="B129" s="749" t="n"/>
      <c r="C129" s="749" t="n"/>
      <c r="D129" s="749" t="n"/>
      <c r="E129" s="749" t="n"/>
      <c r="F129" s="117" t="n"/>
      <c r="G129" s="117" t="n"/>
      <c r="H129" s="111" t="n"/>
      <c r="I129" s="111" t="n"/>
      <c r="J129" s="117" t="n"/>
    </row>
    <row r="130" ht="13.4" customFormat="1" customHeight="1" s="112">
      <c r="A130" s="749" t="n"/>
      <c r="B130" s="749" t="n"/>
      <c r="C130" s="749" t="n"/>
      <c r="D130" s="749" t="n"/>
      <c r="E130" s="749" t="n"/>
      <c r="F130" s="117" t="n"/>
      <c r="G130" s="117" t="n"/>
      <c r="H130" s="111" t="n"/>
      <c r="I130" s="111" t="n"/>
      <c r="J130" s="117" t="n"/>
    </row>
    <row r="131" ht="13.4" customFormat="1" customHeight="1" s="112">
      <c r="A131" s="749" t="n"/>
      <c r="B131" s="749" t="n"/>
      <c r="C131" s="749" t="n"/>
      <c r="D131" s="749" t="n"/>
      <c r="E131" s="749" t="n"/>
      <c r="F131" s="117" t="n"/>
      <c r="G131" s="117" t="n"/>
      <c r="H131" s="111" t="n"/>
      <c r="I131" s="111" t="n"/>
      <c r="J131" s="117" t="n"/>
    </row>
    <row r="132" ht="13.4" customFormat="1" customHeight="1" s="112">
      <c r="A132" s="749" t="n"/>
      <c r="B132" s="749" t="n"/>
      <c r="C132" s="749" t="n"/>
      <c r="D132" s="749" t="n"/>
      <c r="E132" s="749" t="n"/>
      <c r="F132" s="117" t="n"/>
      <c r="G132" s="117" t="n"/>
      <c r="H132" s="111" t="n"/>
      <c r="I132" s="111" t="n"/>
      <c r="J132" s="117" t="n"/>
    </row>
    <row r="133" ht="13.4" customFormat="1" customHeight="1" s="112">
      <c r="A133" s="749" t="n"/>
      <c r="B133" s="749" t="n"/>
      <c r="C133" s="749" t="n"/>
      <c r="D133" s="749" t="n"/>
      <c r="E133" s="749" t="n"/>
      <c r="F133" s="117" t="n"/>
      <c r="G133" s="117" t="n"/>
      <c r="H133" s="111" t="n"/>
      <c r="I133" s="111" t="n"/>
      <c r="J133" s="117" t="n"/>
    </row>
    <row r="134" ht="13.4" customFormat="1" customHeight="1" s="112">
      <c r="A134" s="749" t="n"/>
      <c r="B134" s="749" t="n"/>
      <c r="C134" s="749" t="n"/>
      <c r="D134" s="749" t="n"/>
      <c r="E134" s="749" t="n"/>
      <c r="F134" s="117" t="n"/>
      <c r="G134" s="117" t="n"/>
      <c r="H134" s="111" t="n"/>
      <c r="I134" s="111" t="n"/>
      <c r="J134" s="117" t="n"/>
    </row>
    <row r="135" ht="13.4" customFormat="1" customHeight="1" s="112">
      <c r="A135" s="749" t="n"/>
      <c r="B135" s="749" t="n"/>
      <c r="C135" s="749" t="n"/>
      <c r="D135" s="749" t="n"/>
      <c r="E135" s="749" t="n"/>
      <c r="F135" s="117" t="n"/>
      <c r="G135" s="117" t="n"/>
      <c r="H135" s="111" t="n"/>
      <c r="I135" s="111" t="n"/>
      <c r="J135" s="117" t="n"/>
    </row>
    <row r="136" ht="13.4" customFormat="1" customHeight="1" s="112">
      <c r="A136" s="749" t="n"/>
      <c r="B136" s="749" t="n"/>
      <c r="C136" s="749" t="n"/>
      <c r="D136" s="749" t="n"/>
      <c r="E136" s="749" t="n"/>
      <c r="F136" s="117" t="n"/>
      <c r="G136" s="117" t="n"/>
      <c r="H136" s="111" t="n"/>
      <c r="I136" s="111" t="n"/>
      <c r="J136" s="117" t="n"/>
    </row>
    <row r="137" ht="13.4" customFormat="1" customHeight="1" s="112">
      <c r="A137" s="749" t="n"/>
      <c r="B137" s="749" t="n"/>
      <c r="C137" s="749" t="n"/>
      <c r="D137" s="749" t="n"/>
      <c r="E137" s="749" t="n"/>
      <c r="F137" s="117" t="n"/>
      <c r="G137" s="117" t="n"/>
      <c r="H137" s="111" t="n"/>
      <c r="I137" s="111" t="n"/>
      <c r="J137" s="117" t="n"/>
    </row>
    <row r="138" ht="13.4" customFormat="1" customHeight="1" s="112">
      <c r="A138" s="749" t="n"/>
      <c r="B138" s="749" t="n"/>
      <c r="C138" s="749" t="n"/>
      <c r="D138" s="749" t="n"/>
      <c r="E138" s="749" t="n"/>
      <c r="F138" s="117" t="n"/>
      <c r="G138" s="117" t="n"/>
      <c r="H138" s="111" t="n"/>
      <c r="I138" s="111" t="n"/>
      <c r="J138" s="117" t="n"/>
    </row>
    <row r="139" ht="13.4" customFormat="1" customHeight="1" s="112">
      <c r="A139" s="749" t="n"/>
      <c r="B139" s="749" t="n"/>
      <c r="C139" s="749" t="n"/>
      <c r="D139" s="749" t="n"/>
      <c r="E139" s="749" t="n"/>
      <c r="F139" s="117" t="n"/>
      <c r="G139" s="117" t="n"/>
      <c r="H139" s="111" t="n"/>
      <c r="I139" s="111" t="n"/>
      <c r="J139" s="117" t="n"/>
    </row>
    <row r="140" ht="13.4" customFormat="1" customHeight="1" s="112">
      <c r="A140" s="749" t="n"/>
      <c r="B140" s="749" t="n"/>
      <c r="C140" s="749" t="n"/>
      <c r="D140" s="749" t="n"/>
      <c r="E140" s="749" t="n"/>
      <c r="F140" s="117" t="n"/>
      <c r="G140" s="117" t="n"/>
      <c r="H140" s="111" t="n"/>
      <c r="I140" s="111" t="n"/>
      <c r="J140" s="117" t="n"/>
    </row>
    <row r="141" ht="13.4" customFormat="1" customHeight="1" s="112">
      <c r="A141" s="749" t="n"/>
      <c r="B141" s="749" t="n"/>
      <c r="C141" s="749" t="n"/>
      <c r="D141" s="749" t="n"/>
      <c r="E141" s="749" t="n"/>
      <c r="F141" s="117" t="n"/>
      <c r="G141" s="117" t="n"/>
      <c r="H141" s="111" t="n"/>
      <c r="I141" s="111" t="n"/>
      <c r="J141" s="117" t="n"/>
    </row>
    <row r="142" ht="13.4" customFormat="1" customHeight="1" s="112">
      <c r="A142" s="749" t="n"/>
      <c r="B142" s="749" t="n"/>
      <c r="C142" s="749" t="n"/>
      <c r="D142" s="749" t="n"/>
      <c r="E142" s="749" t="n"/>
      <c r="F142" s="117" t="n"/>
      <c r="G142" s="117" t="n"/>
      <c r="H142" s="111" t="n"/>
      <c r="I142" s="111" t="n"/>
      <c r="J142" s="117" t="n"/>
    </row>
    <row r="143" ht="13.4" customFormat="1" customHeight="1" s="112">
      <c r="A143" s="749" t="n"/>
      <c r="B143" s="749" t="n"/>
      <c r="C143" s="749" t="n"/>
      <c r="D143" s="749" t="n"/>
      <c r="E143" s="749" t="n"/>
      <c r="F143" s="117" t="n"/>
      <c r="G143" s="117" t="n"/>
      <c r="H143" s="111" t="n"/>
      <c r="I143" s="111" t="n"/>
      <c r="J143" s="117" t="n"/>
    </row>
    <row r="144" ht="13.4" customFormat="1" customHeight="1" s="112">
      <c r="A144" s="749" t="n"/>
      <c r="B144" s="749" t="n"/>
      <c r="C144" s="749" t="n"/>
      <c r="D144" s="749" t="n"/>
      <c r="E144" s="749" t="n"/>
      <c r="F144" s="117" t="n"/>
      <c r="G144" s="117" t="n"/>
      <c r="H144" s="111" t="n"/>
      <c r="I144" s="111" t="n"/>
      <c r="J144" s="117" t="n"/>
    </row>
    <row r="145" ht="13.4" customFormat="1" customHeight="1" s="112">
      <c r="A145" s="749" t="n"/>
      <c r="B145" s="749" t="n"/>
      <c r="C145" s="749" t="n"/>
      <c r="D145" s="749" t="n"/>
      <c r="E145" s="749" t="n"/>
      <c r="F145" s="117" t="n"/>
      <c r="G145" s="117" t="n"/>
      <c r="H145" s="111" t="n"/>
      <c r="I145" s="111" t="n"/>
      <c r="J145" s="117" t="n"/>
    </row>
    <row r="146" ht="13.4" customFormat="1" customHeight="1" s="112">
      <c r="A146" s="749" t="n"/>
      <c r="B146" s="749" t="n"/>
      <c r="C146" s="749" t="n"/>
      <c r="D146" s="749" t="n"/>
      <c r="E146" s="749" t="n"/>
      <c r="F146" s="117" t="n"/>
      <c r="G146" s="117" t="n"/>
      <c r="H146" s="111" t="n"/>
      <c r="I146" s="111" t="n"/>
      <c r="J146" s="117" t="n"/>
    </row>
    <row r="147" ht="13.4" customFormat="1" customHeight="1" s="112">
      <c r="A147" s="749" t="n"/>
      <c r="B147" s="749" t="n"/>
      <c r="C147" s="749" t="n"/>
      <c r="D147" s="749" t="n"/>
      <c r="E147" s="749" t="n"/>
      <c r="F147" s="117" t="n"/>
      <c r="G147" s="117" t="n"/>
      <c r="H147" s="111" t="n"/>
      <c r="I147" s="111" t="n"/>
      <c r="J147" s="117" t="n"/>
    </row>
    <row r="148" ht="13.4" customFormat="1" customHeight="1" s="112">
      <c r="A148" s="749" t="n"/>
      <c r="B148" s="749" t="n"/>
      <c r="C148" s="749" t="n"/>
      <c r="D148" s="749" t="n"/>
      <c r="E148" s="749" t="n"/>
      <c r="F148" s="117" t="n"/>
      <c r="G148" s="117" t="n"/>
      <c r="H148" s="111" t="n"/>
      <c r="I148" s="111" t="n"/>
      <c r="J148" s="117" t="n"/>
    </row>
    <row r="149" ht="13.4" customFormat="1" customHeight="1" s="112">
      <c r="A149" s="749" t="n"/>
      <c r="B149" s="749" t="n"/>
      <c r="C149" s="749" t="n"/>
      <c r="D149" s="749" t="n"/>
      <c r="E149" s="749" t="n"/>
      <c r="F149" s="117" t="n"/>
      <c r="G149" s="117" t="n"/>
      <c r="H149" s="111" t="n"/>
      <c r="I149" s="111" t="n"/>
      <c r="J149" s="117" t="n"/>
    </row>
    <row r="150" ht="13.4" customFormat="1" customHeight="1" s="112">
      <c r="A150" s="749" t="n"/>
      <c r="B150" s="749" t="n"/>
      <c r="C150" s="749" t="n"/>
      <c r="D150" s="749" t="n"/>
      <c r="E150" s="749" t="n"/>
      <c r="F150" s="117" t="n"/>
      <c r="G150" s="117" t="n"/>
      <c r="H150" s="111" t="n"/>
      <c r="I150" s="111" t="n"/>
      <c r="J150" s="117" t="n"/>
    </row>
    <row r="151" ht="13.4" customFormat="1" customHeight="1" s="112">
      <c r="A151" s="749" t="n"/>
      <c r="B151" s="749" t="n"/>
      <c r="C151" s="749" t="n"/>
      <c r="D151" s="749" t="n"/>
      <c r="E151" s="749" t="n"/>
      <c r="F151" s="117" t="n"/>
      <c r="G151" s="117" t="n"/>
      <c r="H151" s="111" t="n"/>
      <c r="I151" s="111" t="n"/>
      <c r="J151" s="117" t="n"/>
    </row>
    <row r="152" ht="13.4" customFormat="1" customHeight="1" s="112">
      <c r="A152" s="749" t="n"/>
      <c r="B152" s="749" t="n"/>
      <c r="C152" s="749" t="n"/>
      <c r="D152" s="749" t="n"/>
      <c r="E152" s="749" t="n"/>
      <c r="F152" s="117" t="n"/>
      <c r="G152" s="117" t="n"/>
      <c r="H152" s="111" t="n"/>
      <c r="I152" s="111" t="n"/>
      <c r="J152" s="117" t="n"/>
    </row>
    <row r="153" ht="13.4" customFormat="1" customHeight="1" s="112">
      <c r="A153" s="749" t="n"/>
      <c r="B153" s="749" t="n"/>
      <c r="C153" s="749" t="n"/>
      <c r="D153" s="749" t="n"/>
      <c r="E153" s="749" t="n"/>
      <c r="F153" s="117" t="n"/>
      <c r="G153" s="117" t="n"/>
      <c r="H153" s="111" t="n"/>
      <c r="I153" s="111" t="n"/>
      <c r="J153" s="117" t="n"/>
    </row>
    <row r="154" ht="13.4" customFormat="1" customHeight="1" s="112">
      <c r="A154" s="749" t="n"/>
      <c r="B154" s="749" t="n"/>
      <c r="C154" s="749" t="n"/>
      <c r="D154" s="749" t="n"/>
      <c r="E154" s="749" t="n"/>
      <c r="F154" s="117" t="n"/>
      <c r="G154" s="117" t="n"/>
      <c r="H154" s="111" t="n"/>
      <c r="I154" s="111" t="n"/>
      <c r="J154" s="117" t="n"/>
    </row>
    <row r="155" ht="13.4" customFormat="1" customHeight="1" s="112">
      <c r="A155" s="749" t="n"/>
      <c r="B155" s="749" t="n"/>
      <c r="C155" s="749" t="n"/>
      <c r="D155" s="749" t="n"/>
      <c r="E155" s="749" t="n"/>
      <c r="F155" s="117" t="n"/>
      <c r="G155" s="117" t="n"/>
      <c r="H155" s="111" t="n"/>
      <c r="I155" s="111" t="n"/>
      <c r="J155" s="117" t="n"/>
    </row>
    <row r="156" ht="13.4" customFormat="1" customHeight="1" s="112">
      <c r="A156" s="749" t="n"/>
      <c r="B156" s="749" t="n"/>
      <c r="C156" s="749" t="n"/>
      <c r="D156" s="749" t="n"/>
      <c r="E156" s="749" t="n"/>
      <c r="F156" s="117" t="n"/>
      <c r="G156" s="117" t="n"/>
      <c r="H156" s="111" t="n"/>
      <c r="I156" s="111" t="n"/>
      <c r="J156" s="117" t="n"/>
    </row>
    <row r="157" ht="13.4" customFormat="1" customHeight="1" s="112">
      <c r="A157" s="749" t="n"/>
      <c r="B157" s="749" t="n"/>
      <c r="C157" s="749" t="n"/>
      <c r="D157" s="749" t="n"/>
      <c r="E157" s="749" t="n"/>
      <c r="F157" s="117" t="n"/>
      <c r="G157" s="117" t="n"/>
      <c r="H157" s="111" t="n"/>
      <c r="I157" s="111" t="n"/>
      <c r="J157" s="117" t="n"/>
    </row>
    <row r="158" ht="13.4" customFormat="1" customHeight="1" s="112">
      <c r="A158" s="749" t="n"/>
      <c r="B158" s="749" t="n"/>
      <c r="C158" s="749" t="n"/>
      <c r="D158" s="749" t="n"/>
      <c r="E158" s="749" t="n"/>
      <c r="F158" s="117" t="n"/>
      <c r="G158" s="117" t="n"/>
      <c r="H158" s="111" t="n"/>
      <c r="I158" s="111" t="n"/>
      <c r="J158" s="117" t="n"/>
    </row>
    <row r="159" ht="13.4" customFormat="1" customHeight="1" s="112">
      <c r="A159" s="749" t="n"/>
      <c r="B159" s="749" t="n"/>
      <c r="C159" s="749" t="n"/>
      <c r="D159" s="749" t="n"/>
      <c r="E159" s="749" t="n"/>
      <c r="F159" s="117" t="n"/>
      <c r="G159" s="117" t="n"/>
      <c r="H159" s="111" t="n"/>
      <c r="I159" s="111" t="n"/>
      <c r="J159" s="117" t="n"/>
    </row>
    <row r="160" ht="13.4" customFormat="1" customHeight="1" s="112">
      <c r="A160" s="749" t="n"/>
      <c r="B160" s="749" t="n"/>
      <c r="C160" s="749" t="n"/>
      <c r="D160" s="749" t="n"/>
      <c r="E160" s="749" t="n"/>
      <c r="F160" s="117" t="n"/>
      <c r="G160" s="117" t="n"/>
      <c r="H160" s="111" t="n"/>
      <c r="I160" s="111" t="n"/>
      <c r="J160" s="117" t="n"/>
    </row>
    <row r="161" ht="13.4" customFormat="1" customHeight="1" s="112">
      <c r="A161" s="749" t="n"/>
      <c r="B161" s="749" t="n"/>
      <c r="C161" s="749" t="n"/>
      <c r="D161" s="749" t="n"/>
      <c r="E161" s="749" t="n"/>
      <c r="F161" s="117" t="n"/>
      <c r="G161" s="117" t="n"/>
      <c r="H161" s="111" t="n"/>
      <c r="I161" s="111" t="n"/>
      <c r="J161" s="117" t="n"/>
    </row>
    <row r="162" ht="13.4" customFormat="1" customHeight="1" s="112">
      <c r="A162" s="749" t="n"/>
      <c r="B162" s="749" t="n"/>
      <c r="C162" s="749" t="n"/>
      <c r="D162" s="749" t="n"/>
      <c r="E162" s="749" t="n"/>
      <c r="F162" s="117" t="n"/>
      <c r="G162" s="117" t="n"/>
      <c r="H162" s="111" t="n"/>
      <c r="I162" s="111" t="n"/>
      <c r="J162" s="117" t="n"/>
    </row>
    <row r="163" ht="13.4" customFormat="1" customHeight="1" s="112">
      <c r="A163" s="749" t="n"/>
      <c r="B163" s="749" t="n"/>
      <c r="C163" s="749" t="n"/>
      <c r="D163" s="749" t="n"/>
      <c r="E163" s="749" t="n"/>
      <c r="F163" s="117" t="n"/>
      <c r="G163" s="117" t="n"/>
      <c r="H163" s="111" t="n"/>
      <c r="I163" s="111" t="n"/>
      <c r="J163" s="117" t="n"/>
    </row>
    <row r="164" ht="13.4" customFormat="1" customHeight="1" s="112">
      <c r="A164" s="749" t="n"/>
      <c r="B164" s="749" t="n"/>
      <c r="C164" s="749" t="n"/>
      <c r="D164" s="749" t="n"/>
      <c r="E164" s="749" t="n"/>
      <c r="F164" s="117" t="n"/>
      <c r="G164" s="117" t="n"/>
      <c r="H164" s="111" t="n"/>
      <c r="I164" s="111" t="n"/>
      <c r="J164" s="117" t="n"/>
    </row>
    <row r="165" ht="13.4" customFormat="1" customHeight="1" s="112">
      <c r="A165" s="749" t="n"/>
      <c r="B165" s="749" t="n"/>
      <c r="C165" s="749" t="n"/>
      <c r="D165" s="749" t="n"/>
      <c r="E165" s="749" t="n"/>
      <c r="F165" s="117" t="n"/>
      <c r="G165" s="117" t="n"/>
      <c r="H165" s="111" t="n"/>
      <c r="I165" s="111" t="n"/>
      <c r="J165" s="117" t="n"/>
    </row>
    <row r="166" ht="13.4" customFormat="1" customHeight="1" s="112">
      <c r="A166" s="749" t="n"/>
      <c r="B166" s="749" t="n"/>
      <c r="C166" s="749" t="n"/>
      <c r="D166" s="749" t="n"/>
      <c r="E166" s="749" t="n"/>
      <c r="F166" s="117" t="n"/>
      <c r="G166" s="117" t="n"/>
      <c r="H166" s="111" t="n"/>
      <c r="I166" s="111" t="n"/>
      <c r="J166" s="117" t="n"/>
    </row>
    <row r="167" ht="13.4" customFormat="1" customHeight="1" s="112">
      <c r="A167" s="749" t="n"/>
      <c r="B167" s="749" t="n"/>
      <c r="C167" s="749" t="n"/>
      <c r="D167" s="749" t="n"/>
      <c r="E167" s="749" t="n"/>
      <c r="F167" s="117" t="n"/>
      <c r="G167" s="117" t="n"/>
      <c r="H167" s="111" t="n"/>
      <c r="I167" s="111" t="n"/>
      <c r="J167" s="117" t="n"/>
    </row>
    <row r="168" ht="13.4" customFormat="1" customHeight="1" s="112">
      <c r="A168" s="749" t="n"/>
      <c r="B168" s="749" t="n"/>
      <c r="C168" s="749" t="n"/>
      <c r="D168" s="749" t="n"/>
      <c r="E168" s="749" t="n"/>
      <c r="F168" s="117" t="n"/>
      <c r="G168" s="117" t="n"/>
      <c r="H168" s="111" t="n"/>
      <c r="I168" s="111" t="n"/>
      <c r="J168" s="117" t="n"/>
    </row>
    <row r="169" ht="13.4" customFormat="1" customHeight="1" s="112">
      <c r="A169" s="749" t="n"/>
      <c r="B169" s="749" t="n"/>
      <c r="C169" s="749" t="n"/>
      <c r="D169" s="749" t="n"/>
      <c r="E169" s="749" t="n"/>
      <c r="F169" s="117" t="n"/>
      <c r="G169" s="117" t="n"/>
      <c r="H169" s="111" t="n"/>
      <c r="I169" s="111" t="n"/>
      <c r="J169" s="117" t="n"/>
    </row>
    <row r="170" ht="13.4" customFormat="1" customHeight="1" s="112">
      <c r="A170" s="749" t="n"/>
      <c r="B170" s="749" t="n"/>
      <c r="C170" s="749" t="n"/>
      <c r="D170" s="749" t="n"/>
      <c r="E170" s="749" t="n"/>
      <c r="F170" s="117" t="n"/>
      <c r="G170" s="117" t="n"/>
      <c r="H170" s="111" t="n"/>
      <c r="I170" s="111" t="n"/>
      <c r="J170" s="117" t="n"/>
    </row>
    <row r="171" ht="13.4" customFormat="1" customHeight="1" s="112">
      <c r="A171" s="749" t="n"/>
      <c r="B171" s="749" t="n"/>
      <c r="C171" s="749" t="n"/>
      <c r="D171" s="749" t="n"/>
      <c r="E171" s="749" t="n"/>
      <c r="F171" s="117" t="n"/>
      <c r="G171" s="117" t="n"/>
      <c r="H171" s="111" t="n"/>
      <c r="I171" s="111" t="n"/>
      <c r="J171" s="117" t="n"/>
    </row>
    <row r="172" ht="13.4" customFormat="1" customHeight="1" s="112">
      <c r="A172" s="749" t="n"/>
      <c r="B172" s="749" t="n"/>
      <c r="C172" s="749" t="n"/>
      <c r="D172" s="749" t="n"/>
      <c r="E172" s="749" t="n"/>
      <c r="F172" s="117" t="n"/>
      <c r="G172" s="117" t="n"/>
      <c r="H172" s="111" t="n"/>
      <c r="I172" s="111" t="n"/>
      <c r="J172" s="117" t="n"/>
    </row>
    <row r="173" ht="13.4" customFormat="1" customHeight="1" s="112">
      <c r="A173" s="749" t="n"/>
      <c r="B173" s="749" t="n"/>
      <c r="C173" s="749" t="n"/>
      <c r="D173" s="749" t="n"/>
      <c r="E173" s="749" t="n"/>
      <c r="F173" s="117" t="n"/>
      <c r="G173" s="117" t="n"/>
      <c r="H173" s="111" t="n"/>
      <c r="I173" s="111" t="n"/>
      <c r="J173" s="117" t="n"/>
    </row>
    <row r="174" ht="13.4" customFormat="1" customHeight="1" s="112">
      <c r="A174" s="749" t="n"/>
      <c r="B174" s="749" t="n"/>
      <c r="C174" s="749" t="n"/>
      <c r="D174" s="749" t="n"/>
      <c r="E174" s="749" t="n"/>
      <c r="F174" s="117" t="n"/>
      <c r="G174" s="117" t="n"/>
      <c r="H174" s="111" t="n"/>
      <c r="I174" s="111" t="n"/>
      <c r="J174" s="117" t="n"/>
    </row>
    <row r="175" ht="13.4" customFormat="1" customHeight="1" s="112">
      <c r="A175" s="749" t="n"/>
      <c r="B175" s="749" t="n"/>
      <c r="C175" s="749" t="n"/>
      <c r="D175" s="749" t="n"/>
      <c r="E175" s="749" t="n"/>
      <c r="F175" s="117" t="n"/>
      <c r="G175" s="117" t="n"/>
      <c r="H175" s="111" t="n"/>
      <c r="I175" s="111" t="n"/>
      <c r="J175" s="117" t="n"/>
    </row>
    <row r="176" ht="13.4" customFormat="1" customHeight="1" s="112">
      <c r="A176" s="749" t="n"/>
      <c r="B176" s="749" t="n"/>
      <c r="C176" s="749" t="n"/>
      <c r="D176" s="749" t="n"/>
      <c r="E176" s="749" t="n"/>
      <c r="F176" s="117" t="n"/>
      <c r="G176" s="117" t="n"/>
      <c r="H176" s="111" t="n"/>
      <c r="I176" s="111" t="n"/>
      <c r="J176" s="117" t="n"/>
    </row>
    <row r="177" ht="13.4" customFormat="1" customHeight="1" s="112">
      <c r="A177" s="749" t="n"/>
      <c r="B177" s="749" t="n"/>
      <c r="C177" s="749" t="n"/>
      <c r="D177" s="749" t="n"/>
      <c r="E177" s="749" t="n"/>
      <c r="F177" s="117" t="n"/>
      <c r="G177" s="117" t="n"/>
      <c r="H177" s="111" t="n"/>
      <c r="I177" s="111" t="n"/>
      <c r="J177" s="117" t="n"/>
    </row>
    <row r="178" ht="13.4" customFormat="1" customHeight="1" s="112">
      <c r="A178" s="749" t="n"/>
      <c r="B178" s="749" t="n"/>
      <c r="C178" s="749" t="n"/>
      <c r="D178" s="749" t="n"/>
      <c r="E178" s="749" t="n"/>
      <c r="F178" s="117" t="n"/>
      <c r="G178" s="117" t="n"/>
      <c r="H178" s="111" t="n"/>
      <c r="I178" s="111" t="n"/>
      <c r="J178" s="117" t="n"/>
    </row>
    <row r="179" ht="13.4" customFormat="1" customHeight="1" s="112">
      <c r="A179" s="749" t="n"/>
      <c r="B179" s="749" t="n"/>
      <c r="C179" s="749" t="n"/>
      <c r="D179" s="749" t="n"/>
      <c r="E179" s="749" t="n"/>
      <c r="F179" s="117" t="n"/>
      <c r="G179" s="117" t="n"/>
      <c r="H179" s="111" t="n"/>
      <c r="I179" s="111" t="n"/>
      <c r="J179" s="117" t="n"/>
    </row>
    <row r="180" ht="13.4" customFormat="1" customHeight="1" s="112">
      <c r="A180" s="749" t="n"/>
      <c r="B180" s="749" t="n"/>
      <c r="C180" s="749" t="n"/>
      <c r="D180" s="749" t="n"/>
      <c r="E180" s="749" t="n"/>
      <c r="F180" s="117" t="n"/>
      <c r="G180" s="117" t="n"/>
      <c r="H180" s="111" t="n"/>
      <c r="I180" s="111" t="n"/>
      <c r="J180" s="117" t="n"/>
    </row>
    <row r="181" ht="13.4" customFormat="1" customHeight="1" s="112">
      <c r="A181" s="749" t="n"/>
      <c r="B181" s="749" t="n"/>
      <c r="C181" s="749" t="n"/>
      <c r="D181" s="749" t="n"/>
      <c r="E181" s="749" t="n"/>
      <c r="F181" s="117" t="n"/>
      <c r="G181" s="117" t="n"/>
      <c r="H181" s="111" t="n"/>
      <c r="I181" s="111" t="n"/>
      <c r="J181" s="117" t="n"/>
    </row>
    <row r="182" ht="13.4" customFormat="1" customHeight="1" s="112">
      <c r="A182" s="749" t="n"/>
      <c r="B182" s="749" t="n"/>
      <c r="C182" s="749" t="n"/>
      <c r="D182" s="749" t="n"/>
      <c r="E182" s="749" t="n"/>
      <c r="F182" s="117" t="n"/>
      <c r="G182" s="117" t="n"/>
      <c r="H182" s="111" t="n"/>
      <c r="I182" s="111" t="n"/>
      <c r="J182" s="117" t="n"/>
    </row>
    <row r="183" ht="13.4" customFormat="1" customHeight="1" s="112">
      <c r="A183" s="749" t="n"/>
      <c r="B183" s="749" t="n"/>
      <c r="C183" s="749" t="n"/>
      <c r="D183" s="749" t="n"/>
      <c r="E183" s="749" t="n"/>
      <c r="F183" s="117" t="n"/>
      <c r="G183" s="117" t="n"/>
      <c r="H183" s="111" t="n"/>
      <c r="I183" s="111" t="n"/>
      <c r="J183" s="117" t="n"/>
    </row>
    <row r="184" ht="13.4" customFormat="1" customHeight="1" s="112">
      <c r="A184" s="749" t="n"/>
      <c r="B184" s="749" t="n"/>
      <c r="C184" s="749" t="n"/>
      <c r="D184" s="749" t="n"/>
      <c r="E184" s="749" t="n"/>
      <c r="F184" s="117" t="n"/>
      <c r="G184" s="117" t="n"/>
      <c r="H184" s="111" t="n"/>
      <c r="I184" s="111" t="n"/>
      <c r="J184" s="117" t="n"/>
    </row>
    <row r="185" ht="13.4" customFormat="1" customHeight="1" s="112">
      <c r="A185" s="749" t="n"/>
      <c r="B185" s="749" t="n"/>
      <c r="C185" s="749" t="n"/>
      <c r="D185" s="749" t="n"/>
      <c r="E185" s="749" t="n"/>
      <c r="F185" s="117" t="n"/>
      <c r="G185" s="117" t="n"/>
      <c r="H185" s="111" t="n"/>
      <c r="I185" s="111" t="n"/>
      <c r="J185" s="117" t="n"/>
    </row>
    <row r="186" ht="13.4" customFormat="1" customHeight="1" s="112">
      <c r="A186" s="749" t="n"/>
      <c r="B186" s="749" t="n"/>
      <c r="C186" s="749" t="n"/>
      <c r="D186" s="749" t="n"/>
      <c r="E186" s="749" t="n"/>
      <c r="F186" s="117" t="n"/>
      <c r="G186" s="117" t="n"/>
      <c r="H186" s="111" t="n"/>
      <c r="I186" s="111" t="n"/>
      <c r="J186" s="117" t="n"/>
    </row>
    <row r="187" ht="13.4" customFormat="1" customHeight="1" s="112">
      <c r="A187" s="749" t="n"/>
      <c r="B187" s="749" t="n"/>
      <c r="C187" s="749" t="n"/>
      <c r="D187" s="749" t="n"/>
      <c r="E187" s="749" t="n"/>
      <c r="F187" s="117" t="n"/>
      <c r="G187" s="117" t="n"/>
      <c r="H187" s="111" t="n"/>
      <c r="I187" s="111" t="n"/>
      <c r="J187" s="117" t="n"/>
    </row>
    <row r="188" ht="13.4" customFormat="1" customHeight="1" s="112">
      <c r="A188" s="749" t="n"/>
      <c r="B188" s="749" t="n"/>
      <c r="C188" s="749" t="n"/>
      <c r="D188" s="749" t="n"/>
      <c r="E188" s="749" t="n"/>
      <c r="F188" s="117" t="n"/>
      <c r="G188" s="117" t="n"/>
      <c r="H188" s="111" t="n"/>
      <c r="I188" s="111" t="n"/>
      <c r="J188" s="117" t="n"/>
    </row>
    <row r="189" ht="13.4" customFormat="1" customHeight="1" s="112">
      <c r="A189" s="749" t="n"/>
      <c r="B189" s="749" t="n"/>
      <c r="C189" s="749" t="n"/>
      <c r="D189" s="749" t="n"/>
      <c r="E189" s="749" t="n"/>
      <c r="F189" s="117" t="n"/>
      <c r="G189" s="117" t="n"/>
      <c r="H189" s="111" t="n"/>
      <c r="I189" s="111" t="n"/>
      <c r="J189" s="117" t="n"/>
    </row>
    <row r="190" ht="13.4" customFormat="1" customHeight="1" s="112">
      <c r="A190" s="749" t="n"/>
      <c r="B190" s="749" t="n"/>
      <c r="C190" s="749" t="n"/>
      <c r="D190" s="749" t="n"/>
      <c r="E190" s="749" t="n"/>
      <c r="F190" s="117" t="n"/>
      <c r="G190" s="117" t="n"/>
      <c r="H190" s="111" t="n"/>
      <c r="I190" s="111" t="n"/>
      <c r="J190" s="117" t="n"/>
    </row>
    <row r="191" ht="13.4" customFormat="1" customHeight="1" s="112">
      <c r="A191" s="749" t="n"/>
      <c r="B191" s="749" t="n"/>
      <c r="C191" s="749" t="n"/>
      <c r="D191" s="749" t="n"/>
      <c r="E191" s="749" t="n"/>
      <c r="F191" s="117" t="n"/>
      <c r="G191" s="117" t="n"/>
      <c r="H191" s="111" t="n"/>
      <c r="I191" s="111" t="n"/>
      <c r="J191" s="117" t="n"/>
    </row>
    <row r="192" ht="13.4" customFormat="1" customHeight="1" s="112">
      <c r="A192" s="749" t="n"/>
      <c r="B192" s="749" t="n"/>
      <c r="C192" s="749" t="n"/>
      <c r="D192" s="749" t="n"/>
      <c r="E192" s="749" t="n"/>
      <c r="F192" s="117" t="n"/>
      <c r="G192" s="117" t="n"/>
      <c r="H192" s="111" t="n"/>
      <c r="I192" s="111" t="n"/>
      <c r="J192" s="117" t="n"/>
    </row>
    <row r="193" ht="13.4" customFormat="1" customHeight="1" s="112">
      <c r="A193" s="749" t="n"/>
      <c r="B193" s="749" t="n"/>
      <c r="C193" s="749" t="n"/>
      <c r="D193" s="749" t="n"/>
      <c r="E193" s="749" t="n"/>
      <c r="F193" s="117" t="n"/>
      <c r="G193" s="117" t="n"/>
      <c r="H193" s="111" t="n"/>
      <c r="I193" s="111" t="n"/>
      <c r="J193" s="117" t="n"/>
    </row>
    <row r="194" ht="13.4" customFormat="1" customHeight="1" s="112">
      <c r="A194" s="749" t="n"/>
      <c r="B194" s="749" t="n"/>
      <c r="C194" s="749" t="n"/>
      <c r="D194" s="749" t="n"/>
      <c r="E194" s="749" t="n"/>
      <c r="F194" s="117" t="n"/>
      <c r="G194" s="117" t="n"/>
      <c r="H194" s="111" t="n"/>
      <c r="I194" s="111" t="n"/>
      <c r="J194" s="117" t="n"/>
    </row>
    <row r="195" ht="13.4" customFormat="1" customHeight="1" s="112">
      <c r="A195" s="749" t="n"/>
      <c r="B195" s="749" t="n"/>
      <c r="C195" s="749" t="n"/>
      <c r="D195" s="749" t="n"/>
      <c r="E195" s="749" t="n"/>
      <c r="F195" s="117" t="n"/>
      <c r="G195" s="117" t="n"/>
      <c r="H195" s="111" t="n"/>
      <c r="I195" s="111" t="n"/>
      <c r="J195" s="117" t="n"/>
    </row>
    <row r="196" ht="13.4" customFormat="1" customHeight="1" s="112">
      <c r="A196" s="749" t="n"/>
      <c r="B196" s="749" t="n"/>
      <c r="C196" s="749" t="n"/>
      <c r="D196" s="749" t="n"/>
      <c r="E196" s="749" t="n"/>
      <c r="F196" s="117" t="n"/>
      <c r="G196" s="117" t="n"/>
      <c r="H196" s="111" t="n"/>
      <c r="I196" s="111" t="n"/>
      <c r="J196" s="117" t="n"/>
    </row>
    <row r="197" ht="13.4" customFormat="1" customHeight="1" s="112">
      <c r="A197" s="749" t="n"/>
      <c r="B197" s="749" t="n"/>
      <c r="C197" s="749" t="n"/>
      <c r="D197" s="749" t="n"/>
      <c r="E197" s="749" t="n"/>
      <c r="F197" s="117" t="n"/>
      <c r="G197" s="117" t="n"/>
      <c r="H197" s="111" t="n"/>
      <c r="I197" s="111" t="n"/>
      <c r="J197" s="117" t="n"/>
    </row>
    <row r="198" ht="13.4" customFormat="1" customHeight="1" s="112">
      <c r="A198" s="749" t="n"/>
      <c r="B198" s="749" t="n"/>
      <c r="C198" s="749" t="n"/>
      <c r="D198" s="749" t="n"/>
      <c r="E198" s="749" t="n"/>
      <c r="F198" s="117" t="n"/>
      <c r="G198" s="117" t="n"/>
      <c r="H198" s="111" t="n"/>
      <c r="I198" s="111" t="n"/>
      <c r="J198" s="117" t="n"/>
    </row>
    <row r="199" ht="13.4" customFormat="1" customHeight="1" s="112">
      <c r="A199" s="749" t="n"/>
      <c r="B199" s="749" t="n"/>
      <c r="C199" s="749" t="n"/>
      <c r="D199" s="749" t="n"/>
      <c r="E199" s="749" t="n"/>
      <c r="F199" s="117" t="n"/>
      <c r="G199" s="117" t="n"/>
      <c r="H199" s="111" t="n"/>
      <c r="I199" s="111" t="n"/>
      <c r="J199" s="117" t="n"/>
    </row>
    <row r="200" ht="13.4" customFormat="1" customHeight="1" s="112">
      <c r="A200" s="749" t="n"/>
      <c r="B200" s="749" t="n"/>
      <c r="C200" s="749" t="n"/>
      <c r="D200" s="749" t="n"/>
      <c r="E200" s="749" t="n"/>
      <c r="F200" s="117" t="n"/>
      <c r="G200" s="117" t="n"/>
      <c r="H200" s="111" t="n"/>
      <c r="I200" s="111" t="n"/>
      <c r="J200" s="117" t="n"/>
    </row>
    <row r="201" ht="13.4" customFormat="1" customHeight="1" s="112">
      <c r="A201" s="749" t="n"/>
      <c r="B201" s="749" t="n"/>
      <c r="C201" s="749" t="n"/>
      <c r="D201" s="749" t="n"/>
      <c r="E201" s="749" t="n"/>
      <c r="F201" s="117" t="n"/>
      <c r="G201" s="117" t="n"/>
      <c r="H201" s="111" t="n"/>
      <c r="I201" s="111" t="n"/>
      <c r="J201" s="117" t="n"/>
    </row>
    <row r="202" ht="13.4" customFormat="1" customHeight="1" s="112">
      <c r="A202" s="749" t="n"/>
      <c r="B202" s="749" t="n"/>
      <c r="C202" s="749" t="n"/>
      <c r="D202" s="749" t="n"/>
      <c r="E202" s="749" t="n"/>
      <c r="F202" s="117" t="n"/>
      <c r="G202" s="117" t="n"/>
      <c r="H202" s="111" t="n"/>
      <c r="I202" s="111" t="n"/>
      <c r="J202" s="117" t="n"/>
    </row>
    <row r="203" ht="13.4" customFormat="1" customHeight="1" s="112">
      <c r="A203" s="749" t="n"/>
      <c r="B203" s="749" t="n"/>
      <c r="C203" s="749" t="n"/>
      <c r="D203" s="749" t="n"/>
      <c r="E203" s="749" t="n"/>
      <c r="F203" s="117" t="n"/>
      <c r="G203" s="117" t="n"/>
      <c r="H203" s="111" t="n"/>
      <c r="I203" s="111" t="n"/>
      <c r="J203" s="117" t="n"/>
    </row>
    <row r="204" ht="13.4" customFormat="1" customHeight="1" s="112">
      <c r="A204" s="749" t="n"/>
      <c r="B204" s="749" t="n"/>
      <c r="C204" s="749" t="n"/>
      <c r="D204" s="749" t="n"/>
      <c r="E204" s="749" t="n"/>
      <c r="F204" s="117" t="n"/>
      <c r="G204" s="117" t="n"/>
      <c r="H204" s="111" t="n"/>
      <c r="I204" s="111" t="n"/>
      <c r="J204" s="117" t="n"/>
    </row>
    <row r="205" ht="13.4" customFormat="1" customHeight="1" s="112">
      <c r="A205" s="749" t="n"/>
      <c r="B205" s="749" t="n"/>
      <c r="C205" s="749" t="n"/>
      <c r="D205" s="749" t="n"/>
      <c r="E205" s="749" t="n"/>
      <c r="F205" s="117" t="n"/>
      <c r="G205" s="117" t="n"/>
      <c r="H205" s="111" t="n"/>
      <c r="I205" s="111" t="n"/>
      <c r="J205" s="117" t="n"/>
    </row>
    <row r="206" ht="13.4" customFormat="1" customHeight="1" s="112">
      <c r="A206" s="749" t="n"/>
      <c r="B206" s="749" t="n"/>
      <c r="C206" s="749" t="n"/>
      <c r="D206" s="749" t="n"/>
      <c r="E206" s="749" t="n"/>
      <c r="F206" s="117" t="n"/>
      <c r="G206" s="117" t="n"/>
      <c r="H206" s="111" t="n"/>
      <c r="I206" s="111" t="n"/>
      <c r="J206" s="117" t="n"/>
    </row>
    <row r="207" ht="13.4" customFormat="1" customHeight="1" s="112">
      <c r="A207" s="749" t="n"/>
      <c r="B207" s="749" t="n"/>
      <c r="C207" s="749" t="n"/>
      <c r="D207" s="749" t="n"/>
      <c r="E207" s="749" t="n"/>
      <c r="F207" s="117" t="n"/>
      <c r="G207" s="117" t="n"/>
      <c r="H207" s="111" t="n"/>
      <c r="I207" s="111" t="n"/>
      <c r="J207" s="117" t="n"/>
    </row>
    <row r="208" ht="13.4" customFormat="1" customHeight="1" s="115">
      <c r="A208" s="775" t="n"/>
      <c r="B208" s="775" t="n"/>
      <c r="C208" s="775" t="n"/>
      <c r="D208" s="775" t="n"/>
      <c r="E208" s="775" t="n"/>
      <c r="F208" s="117" t="n"/>
      <c r="G208" s="117" t="n"/>
      <c r="H208" s="111" t="n"/>
      <c r="I208" s="111" t="n"/>
      <c r="J208" s="117" t="n"/>
    </row>
    <row r="209" ht="13.4" customFormat="1" customHeight="1" s="112">
      <c r="A209" s="749" t="n"/>
      <c r="B209" s="749" t="n"/>
      <c r="C209" s="749" t="n"/>
      <c r="D209" s="749" t="n"/>
      <c r="E209" s="749" t="n"/>
      <c r="F209" s="117" t="n"/>
      <c r="G209" s="117" t="n"/>
      <c r="H209" s="111" t="n"/>
      <c r="I209" s="111" t="n"/>
      <c r="J209" s="117" t="n"/>
    </row>
    <row r="210" ht="13.4" customFormat="1" customHeight="1" s="112">
      <c r="A210" s="749" t="n"/>
      <c r="B210" s="749" t="n"/>
      <c r="C210" s="749" t="n"/>
      <c r="D210" s="749" t="n"/>
      <c r="E210" s="749" t="n"/>
      <c r="F210" s="117" t="n"/>
      <c r="G210" s="117" t="n"/>
      <c r="H210" s="111" t="n"/>
      <c r="I210" s="111" t="n"/>
      <c r="J210" s="117" t="n"/>
    </row>
    <row r="211" ht="13.4" customFormat="1" customHeight="1" s="112">
      <c r="A211" s="749" t="n"/>
      <c r="B211" s="749" t="n"/>
      <c r="C211" s="749" t="n"/>
      <c r="D211" s="749" t="n"/>
      <c r="E211" s="749" t="n"/>
      <c r="F211" s="117" t="n"/>
      <c r="G211" s="117" t="n"/>
      <c r="H211" s="111" t="n"/>
      <c r="I211" s="111" t="n"/>
      <c r="J211" s="117" t="n"/>
    </row>
    <row r="212" ht="13.4" customFormat="1" customHeight="1" s="112">
      <c r="A212" s="749" t="n"/>
      <c r="B212" s="749" t="n"/>
      <c r="C212" s="749" t="n"/>
      <c r="D212" s="749" t="n"/>
      <c r="E212" s="749" t="n"/>
      <c r="F212" s="117" t="n"/>
      <c r="G212" s="117" t="n"/>
      <c r="H212" s="111" t="n"/>
      <c r="I212" s="111" t="n"/>
      <c r="J212" s="117" t="n"/>
    </row>
    <row r="213" ht="13.4" customFormat="1" customHeight="1" s="112">
      <c r="A213" s="749" t="n"/>
      <c r="B213" s="749" t="n"/>
      <c r="C213" s="749" t="n"/>
      <c r="D213" s="749" t="n"/>
      <c r="E213" s="749" t="n"/>
      <c r="F213" s="117" t="n"/>
      <c r="G213" s="117" t="n"/>
      <c r="H213" s="111" t="n"/>
      <c r="I213" s="111" t="n"/>
      <c r="J213" s="117" t="n"/>
    </row>
    <row r="214" ht="13.4" customFormat="1" customHeight="1" s="112">
      <c r="A214" s="749" t="n"/>
      <c r="B214" s="749" t="n"/>
      <c r="C214" s="749" t="n"/>
      <c r="D214" s="749" t="n"/>
      <c r="E214" s="749" t="n"/>
      <c r="F214" s="117" t="n"/>
      <c r="G214" s="117" t="n"/>
      <c r="H214" s="111" t="n"/>
      <c r="I214" s="111" t="n"/>
      <c r="J214" s="117" t="n"/>
    </row>
    <row r="215" ht="13.4" customFormat="1" customHeight="1" s="112">
      <c r="A215" s="749" t="n"/>
      <c r="B215" s="749" t="n"/>
      <c r="C215" s="749" t="n"/>
      <c r="D215" s="749" t="n"/>
      <c r="E215" s="749" t="n"/>
      <c r="F215" s="117" t="n"/>
      <c r="G215" s="117" t="n"/>
      <c r="H215" s="111" t="n"/>
      <c r="I215" s="111" t="n"/>
      <c r="J215" s="117" t="n"/>
    </row>
    <row r="216" ht="13.4" customFormat="1" customHeight="1" s="112">
      <c r="A216" s="749" t="n"/>
      <c r="B216" s="749" t="n"/>
      <c r="C216" s="749" t="n"/>
      <c r="D216" s="749" t="n"/>
      <c r="E216" s="749" t="n"/>
      <c r="F216" s="117" t="n"/>
      <c r="G216" s="117" t="n"/>
      <c r="H216" s="111" t="n"/>
      <c r="I216" s="111" t="n"/>
      <c r="J216" s="117" t="n"/>
    </row>
    <row r="217" ht="13.4" customFormat="1" customHeight="1" s="112">
      <c r="A217" s="749" t="n"/>
      <c r="B217" s="749" t="n"/>
      <c r="C217" s="749" t="n"/>
      <c r="D217" s="749" t="n"/>
      <c r="E217" s="749" t="n"/>
      <c r="F217" s="117" t="n"/>
      <c r="G217" s="117" t="n"/>
      <c r="H217" s="111" t="n"/>
      <c r="I217" s="111" t="n"/>
      <c r="J217" s="117" t="n"/>
    </row>
    <row r="218" ht="13.4" customFormat="1" customHeight="1" s="112">
      <c r="A218" s="749" t="n"/>
      <c r="B218" s="749" t="n"/>
      <c r="C218" s="749" t="n"/>
      <c r="D218" s="749" t="n"/>
      <c r="E218" s="749" t="n"/>
      <c r="F218" s="117" t="n"/>
      <c r="G218" s="117" t="n"/>
      <c r="H218" s="111" t="n"/>
      <c r="I218" s="111" t="n"/>
      <c r="J218" s="117" t="n"/>
    </row>
    <row r="219" ht="13.4" customFormat="1" customHeight="1" s="112">
      <c r="A219" s="749" t="n"/>
      <c r="B219" s="749" t="n"/>
      <c r="C219" s="749" t="n"/>
      <c r="D219" s="749" t="n"/>
      <c r="E219" s="749" t="n"/>
      <c r="F219" s="117" t="n"/>
      <c r="G219" s="117" t="n"/>
      <c r="H219" s="111" t="n"/>
      <c r="I219" s="111" t="n"/>
      <c r="J219" s="117" t="n"/>
    </row>
    <row r="220" ht="13.4" customFormat="1" customHeight="1" s="112">
      <c r="A220" s="749" t="n"/>
      <c r="B220" s="749" t="n"/>
      <c r="C220" s="749" t="n"/>
      <c r="D220" s="749" t="n"/>
      <c r="E220" s="749" t="n"/>
      <c r="F220" s="117" t="n"/>
      <c r="G220" s="117" t="n"/>
      <c r="H220" s="111" t="n"/>
      <c r="I220" s="111" t="n"/>
      <c r="J220" s="117" t="n"/>
    </row>
    <row r="221" ht="13.4" customFormat="1" customHeight="1" s="112">
      <c r="A221" s="749" t="n"/>
      <c r="B221" s="749" t="n"/>
      <c r="C221" s="749" t="n"/>
      <c r="D221" s="749" t="n"/>
      <c r="E221" s="749" t="n"/>
      <c r="F221" s="117" t="n"/>
      <c r="G221" s="117" t="n"/>
      <c r="H221" s="111" t="n"/>
      <c r="I221" s="111" t="n"/>
      <c r="J221" s="117" t="n"/>
    </row>
    <row r="222" ht="13.4" customFormat="1" customHeight="1" s="112">
      <c r="A222" s="749" t="n"/>
      <c r="B222" s="749" t="n"/>
      <c r="C222" s="749" t="n"/>
      <c r="D222" s="749" t="n"/>
      <c r="E222" s="749" t="n"/>
      <c r="F222" s="117" t="n"/>
      <c r="G222" s="117" t="n"/>
      <c r="H222" s="111" t="n"/>
      <c r="I222" s="111" t="n"/>
      <c r="J222" s="117" t="n"/>
    </row>
    <row r="223" ht="13.4" customFormat="1" customHeight="1" s="112">
      <c r="A223" s="749" t="n"/>
      <c r="B223" s="749" t="n"/>
      <c r="C223" s="749" t="n"/>
      <c r="D223" s="749" t="n"/>
      <c r="E223" s="749" t="n"/>
      <c r="F223" s="117" t="n"/>
      <c r="G223" s="117" t="n"/>
      <c r="H223" s="111" t="n"/>
      <c r="I223" s="111" t="n"/>
      <c r="J223" s="117" t="n"/>
    </row>
    <row r="224" ht="13.4" customFormat="1" customHeight="1" s="112">
      <c r="A224" s="749" t="n"/>
      <c r="B224" s="749" t="n"/>
      <c r="C224" s="749" t="n"/>
      <c r="D224" s="749" t="n"/>
      <c r="E224" s="749" t="n"/>
      <c r="F224" s="117" t="n"/>
      <c r="G224" s="117" t="n"/>
      <c r="H224" s="111" t="n"/>
      <c r="I224" s="111" t="n"/>
      <c r="J224" s="117" t="n"/>
    </row>
    <row r="225" ht="13.4" customFormat="1" customHeight="1" s="112">
      <c r="A225" s="749" t="n"/>
      <c r="B225" s="749" t="n"/>
      <c r="C225" s="749" t="n"/>
      <c r="D225" s="749" t="n"/>
      <c r="E225" s="749" t="n"/>
      <c r="F225" s="117" t="n"/>
      <c r="G225" s="117" t="n"/>
      <c r="H225" s="111" t="n"/>
      <c r="I225" s="111" t="n"/>
      <c r="J225" s="117" t="n"/>
    </row>
    <row r="226" ht="13.4" customFormat="1" customHeight="1" s="112">
      <c r="A226" s="749" t="n"/>
      <c r="B226" s="749" t="n"/>
      <c r="C226" s="749" t="n"/>
      <c r="D226" s="749" t="n"/>
      <c r="E226" s="749" t="n"/>
      <c r="F226" s="117" t="n"/>
      <c r="G226" s="117" t="n"/>
      <c r="H226" s="111" t="n"/>
      <c r="I226" s="111" t="n"/>
      <c r="J226" s="117" t="n"/>
    </row>
    <row r="227" ht="13.4" customFormat="1" customHeight="1" s="112">
      <c r="A227" s="749" t="n"/>
      <c r="B227" s="749" t="n"/>
      <c r="C227" s="749" t="n"/>
      <c r="D227" s="749" t="n"/>
      <c r="E227" s="749" t="n"/>
      <c r="F227" s="117" t="n"/>
      <c r="G227" s="117" t="n"/>
      <c r="H227" s="111" t="n"/>
      <c r="I227" s="111" t="n"/>
      <c r="J227" s="117" t="n"/>
    </row>
    <row r="228" ht="13.4" customFormat="1" customHeight="1" s="112">
      <c r="A228" s="749" t="n"/>
      <c r="B228" s="749" t="n"/>
      <c r="C228" s="749" t="n"/>
      <c r="D228" s="749" t="n"/>
      <c r="E228" s="749" t="n"/>
      <c r="F228" s="117" t="n"/>
      <c r="G228" s="117" t="n"/>
      <c r="H228" s="111" t="n"/>
      <c r="I228" s="111" t="n"/>
      <c r="J228" s="117" t="n"/>
    </row>
    <row r="229" ht="13.4" customFormat="1" customHeight="1" s="112">
      <c r="A229" s="749" t="n"/>
      <c r="B229" s="749" t="n"/>
      <c r="C229" s="749" t="n"/>
      <c r="D229" s="749" t="n"/>
      <c r="E229" s="749" t="n"/>
      <c r="F229" s="117" t="n"/>
      <c r="G229" s="117" t="n"/>
      <c r="H229" s="111" t="n"/>
      <c r="I229" s="111" t="n"/>
      <c r="J229" s="117" t="n"/>
    </row>
    <row r="230" ht="13.4" customFormat="1" customHeight="1" s="112">
      <c r="A230" s="749" t="n"/>
      <c r="B230" s="749" t="n"/>
      <c r="C230" s="749" t="n"/>
      <c r="D230" s="749" t="n"/>
      <c r="E230" s="749" t="n"/>
      <c r="F230" s="117" t="n"/>
      <c r="G230" s="117" t="n"/>
      <c r="H230" s="111" t="n"/>
      <c r="I230" s="111" t="n"/>
      <c r="J230" s="117" t="n"/>
    </row>
    <row r="231" ht="13.4" customFormat="1" customHeight="1" s="112">
      <c r="A231" s="749" t="n"/>
      <c r="B231" s="749" t="n"/>
      <c r="C231" s="749" t="n"/>
      <c r="D231" s="749" t="n"/>
      <c r="E231" s="749" t="n"/>
      <c r="F231" s="117" t="n"/>
      <c r="G231" s="117" t="n"/>
      <c r="H231" s="111" t="n"/>
      <c r="I231" s="111" t="n"/>
      <c r="J231" s="117" t="n"/>
    </row>
    <row r="232" ht="13.4" customFormat="1" customHeight="1" s="112">
      <c r="A232" s="749" t="n"/>
      <c r="B232" s="749" t="n"/>
      <c r="C232" s="749" t="n"/>
      <c r="D232" s="749" t="n"/>
      <c r="E232" s="749" t="n"/>
      <c r="F232" s="117" t="n"/>
      <c r="G232" s="117" t="n"/>
      <c r="H232" s="111" t="n"/>
      <c r="I232" s="111" t="n"/>
      <c r="J232" s="117" t="n"/>
    </row>
    <row r="233" ht="13.4" customFormat="1" customHeight="1" s="112">
      <c r="A233" s="749" t="n"/>
      <c r="B233" s="749" t="n"/>
      <c r="C233" s="749" t="n"/>
      <c r="D233" s="749" t="n"/>
      <c r="E233" s="749" t="n"/>
      <c r="F233" s="117" t="n"/>
      <c r="G233" s="117" t="n"/>
      <c r="H233" s="111" t="n"/>
      <c r="I233" s="111" t="n"/>
      <c r="J233" s="117" t="n"/>
    </row>
    <row r="234" ht="13.4" customFormat="1" customHeight="1" s="112">
      <c r="A234" s="749" t="n"/>
      <c r="B234" s="749" t="n"/>
      <c r="C234" s="749" t="n"/>
      <c r="D234" s="749" t="n"/>
      <c r="E234" s="749" t="n"/>
      <c r="F234" s="117" t="n"/>
      <c r="G234" s="117" t="n"/>
      <c r="H234" s="111" t="n"/>
      <c r="I234" s="111" t="n"/>
      <c r="J234" s="117" t="n"/>
    </row>
    <row r="235" ht="13.4" customFormat="1" customHeight="1" s="112">
      <c r="A235" s="749" t="n"/>
      <c r="B235" s="749" t="n"/>
      <c r="C235" s="749" t="n"/>
      <c r="D235" s="749" t="n"/>
      <c r="E235" s="749" t="n"/>
      <c r="F235" s="117" t="n"/>
      <c r="G235" s="117" t="n"/>
      <c r="H235" s="111" t="n"/>
      <c r="I235" s="111" t="n"/>
      <c r="J235" s="117" t="n"/>
    </row>
    <row r="236" ht="13.4" customFormat="1" customHeight="1" s="112">
      <c r="A236" s="749" t="n"/>
      <c r="B236" s="749" t="n"/>
      <c r="C236" s="749" t="n"/>
      <c r="D236" s="749" t="n"/>
      <c r="E236" s="749" t="n"/>
      <c r="F236" s="117" t="n"/>
      <c r="G236" s="117" t="n"/>
      <c r="H236" s="111" t="n"/>
      <c r="I236" s="111" t="n"/>
      <c r="J236" s="117" t="n"/>
    </row>
    <row r="237" ht="13.4" customFormat="1" customHeight="1" s="112">
      <c r="A237" s="749" t="n"/>
      <c r="B237" s="749" t="n"/>
      <c r="C237" s="749" t="n"/>
      <c r="D237" s="749" t="n"/>
      <c r="E237" s="749" t="n"/>
      <c r="F237" s="117" t="n"/>
      <c r="G237" s="117" t="n"/>
      <c r="H237" s="111" t="n"/>
      <c r="I237" s="111" t="n"/>
      <c r="J237" s="117" t="n"/>
    </row>
    <row r="238" ht="13.4" customFormat="1" customHeight="1" s="112">
      <c r="A238" s="749" t="n"/>
      <c r="B238" s="749" t="n"/>
      <c r="C238" s="749" t="n"/>
      <c r="D238" s="749" t="n"/>
      <c r="E238" s="749" t="n"/>
      <c r="F238" s="117" t="n"/>
      <c r="G238" s="117" t="n"/>
      <c r="H238" s="111" t="n"/>
      <c r="I238" s="111" t="n"/>
      <c r="J238" s="117" t="n"/>
    </row>
    <row r="239" ht="13.4" customFormat="1" customHeight="1" s="112">
      <c r="A239" s="749" t="n"/>
      <c r="B239" s="749" t="n"/>
      <c r="C239" s="749" t="n"/>
      <c r="D239" s="749" t="n"/>
      <c r="E239" s="749" t="n"/>
      <c r="F239" s="117" t="n"/>
      <c r="G239" s="117" t="n"/>
      <c r="H239" s="111" t="n"/>
      <c r="I239" s="111" t="n"/>
      <c r="J239" s="117" t="n"/>
    </row>
    <row r="240" ht="13.4" customFormat="1" customHeight="1" s="112">
      <c r="A240" s="749" t="n"/>
      <c r="B240" s="749" t="n"/>
      <c r="C240" s="749" t="n"/>
      <c r="D240" s="749" t="n"/>
      <c r="E240" s="749" t="n"/>
      <c r="F240" s="117" t="n"/>
      <c r="G240" s="117" t="n"/>
      <c r="H240" s="111" t="n"/>
      <c r="I240" s="111" t="n"/>
      <c r="J240" s="117" t="n"/>
    </row>
    <row r="241" ht="13.4" customHeight="1" s="828">
      <c r="A241" s="751" t="n"/>
      <c r="B241" s="751" t="n"/>
      <c r="C241" s="736" t="n"/>
      <c r="D241" s="774" t="n"/>
      <c r="E241" s="1084" t="n"/>
      <c r="F241" s="117" t="n"/>
      <c r="G241" s="117" t="n"/>
      <c r="H241" s="111" t="n"/>
      <c r="I241" s="111" t="n"/>
      <c r="J241" s="117" t="n"/>
    </row>
    <row r="242" ht="13.4" customHeight="1" s="828">
      <c r="A242" s="751" t="n"/>
      <c r="B242" s="751" t="n"/>
      <c r="C242" s="736" t="n"/>
      <c r="D242" s="774" t="n"/>
      <c r="E242" s="1084" t="n"/>
      <c r="F242" s="117" t="n"/>
      <c r="G242" s="117" t="n"/>
      <c r="H242" s="111" t="n"/>
      <c r="I242" s="111" t="n"/>
      <c r="J242" s="117" t="n"/>
    </row>
    <row r="243" ht="13.4" customHeight="1" s="828">
      <c r="A243" s="751" t="n"/>
      <c r="B243" s="751" t="n"/>
      <c r="C243" s="736" t="n"/>
      <c r="D243" s="774" t="n"/>
      <c r="E243" s="1084" t="n"/>
      <c r="F243" s="117" t="n"/>
      <c r="G243" s="117" t="n"/>
      <c r="H243" s="111" t="n"/>
      <c r="I243" s="111" t="n"/>
      <c r="J243" s="117" t="n"/>
    </row>
    <row r="244" ht="13.4" customHeight="1" s="828">
      <c r="A244" s="751" t="n"/>
      <c r="B244" s="751" t="n"/>
      <c r="C244" s="736" t="n"/>
      <c r="D244" s="774" t="n"/>
      <c r="E244" s="1084" t="n"/>
      <c r="F244" s="117" t="n"/>
      <c r="G244" s="117" t="n"/>
      <c r="H244" s="111" t="n"/>
      <c r="I244" s="111" t="n"/>
      <c r="J244" s="117" t="n"/>
    </row>
    <row r="245" ht="13.4" customHeight="1" s="828">
      <c r="A245" s="751" t="n"/>
      <c r="B245" s="751" t="n"/>
      <c r="C245" s="736" t="n"/>
      <c r="D245" s="774" t="n"/>
      <c r="E245" s="1084" t="n"/>
      <c r="F245" s="117" t="n"/>
      <c r="G245" s="117" t="n"/>
      <c r="H245" s="111" t="n"/>
      <c r="I245" s="111" t="n"/>
      <c r="J245" s="117" t="n"/>
    </row>
    <row r="246" ht="13.4" customHeight="1" s="828">
      <c r="A246" s="751" t="n"/>
      <c r="B246" s="751" t="n"/>
      <c r="C246" s="736" t="n"/>
      <c r="D246" s="774" t="n"/>
      <c r="E246" s="1084" t="n"/>
      <c r="F246" s="117" t="n"/>
      <c r="G246" s="117" t="n"/>
      <c r="H246" s="111" t="n"/>
      <c r="I246" s="111" t="n"/>
      <c r="J246" s="117" t="n"/>
    </row>
    <row r="247" ht="13.4" customHeight="1" s="828">
      <c r="A247" s="751" t="n"/>
      <c r="B247" s="751" t="n"/>
      <c r="C247" s="736" t="n"/>
      <c r="D247" s="774" t="n"/>
      <c r="E247" s="1084" t="n"/>
      <c r="F247" s="117" t="n"/>
      <c r="G247" s="117" t="n"/>
      <c r="H247" s="111" t="n"/>
      <c r="I247" s="111" t="n"/>
      <c r="J247" s="117" t="n"/>
    </row>
    <row r="248" ht="13.4" customHeight="1" s="828">
      <c r="A248" s="751" t="n"/>
      <c r="B248" s="751" t="n"/>
      <c r="C248" s="736" t="n"/>
      <c r="D248" s="774" t="n"/>
      <c r="E248" s="1084" t="n"/>
      <c r="F248" s="117" t="n"/>
      <c r="G248" s="117" t="n"/>
      <c r="H248" s="111" t="n"/>
      <c r="I248" s="111" t="n"/>
      <c r="J248" s="117" t="n"/>
    </row>
    <row r="249" ht="13.4" customHeight="1" s="828">
      <c r="A249" s="751" t="n"/>
      <c r="B249" s="751" t="n"/>
      <c r="C249" s="736" t="n"/>
      <c r="D249" s="774" t="n"/>
      <c r="E249" s="1084" t="n"/>
      <c r="F249" s="117" t="n"/>
      <c r="G249" s="117" t="n"/>
      <c r="H249" s="111" t="n"/>
      <c r="I249" s="111" t="n"/>
      <c r="J249" s="117" t="n"/>
    </row>
    <row r="250" ht="13.4" customHeight="1" s="828">
      <c r="A250" s="751" t="n"/>
      <c r="B250" s="751" t="n"/>
      <c r="C250" s="736" t="n"/>
      <c r="D250" s="774" t="n"/>
      <c r="E250" s="1084" t="n"/>
      <c r="F250" s="117" t="n"/>
      <c r="G250" s="117" t="n"/>
      <c r="H250" s="111" t="n"/>
      <c r="I250" s="111" t="n"/>
      <c r="J250" s="117" t="n"/>
    </row>
    <row r="251" ht="13.4" customHeight="1" s="828">
      <c r="A251" s="751" t="n"/>
      <c r="B251" s="751" t="n"/>
      <c r="C251" s="736" t="n"/>
      <c r="D251" s="774" t="n"/>
      <c r="E251" s="1084" t="n"/>
      <c r="F251" s="117" t="n"/>
      <c r="G251" s="117" t="n"/>
      <c r="H251" s="111" t="n"/>
      <c r="I251" s="111" t="n"/>
      <c r="J251" s="117" t="n"/>
    </row>
    <row r="252" ht="13.4" customHeight="1" s="828">
      <c r="A252" s="751" t="n"/>
      <c r="B252" s="751" t="n"/>
      <c r="C252" s="736" t="n"/>
      <c r="D252" s="774" t="n"/>
      <c r="E252" s="1084" t="n"/>
      <c r="F252" s="117" t="n"/>
      <c r="G252" s="117" t="n"/>
      <c r="H252" s="111" t="n"/>
      <c r="I252" s="111" t="n"/>
      <c r="J252" s="117" t="n"/>
    </row>
    <row r="253" ht="13.4" customHeight="1" s="828">
      <c r="A253" s="751" t="n"/>
      <c r="B253" s="751" t="n"/>
      <c r="C253" s="736" t="n"/>
      <c r="D253" s="774" t="n"/>
      <c r="E253" s="1084" t="n"/>
      <c r="F253" s="117" t="n"/>
      <c r="G253" s="117" t="n"/>
      <c r="H253" s="111" t="n"/>
      <c r="I253" s="111" t="n"/>
      <c r="J253" s="117" t="n"/>
    </row>
    <row r="254" ht="15" customFormat="1" customHeight="1" s="230">
      <c r="A254" s="751" t="n"/>
      <c r="B254" s="751" t="n"/>
      <c r="C254" s="736" t="n"/>
      <c r="D254" s="774" t="n"/>
      <c r="E254" s="1084" t="n"/>
      <c r="F254" s="237" t="n"/>
      <c r="G254" s="237" t="n"/>
      <c r="H254" s="229" t="n"/>
      <c r="I254" s="229" t="n"/>
      <c r="J254" s="117" t="n"/>
    </row>
    <row r="255" ht="15" customFormat="1" customHeight="1" s="230">
      <c r="A255" s="751" t="n"/>
      <c r="B255" s="751" t="n"/>
      <c r="C255" s="736" t="n"/>
      <c r="D255" s="774" t="n"/>
      <c r="E255" s="1084" t="n"/>
      <c r="F255" s="237" t="n"/>
      <c r="G255" s="237" t="n"/>
      <c r="H255" s="229" t="n"/>
      <c r="I255" s="229" t="n"/>
      <c r="J255" s="117" t="n"/>
    </row>
    <row r="256" ht="15" customFormat="1" customHeight="1" s="230">
      <c r="A256" s="751" t="n"/>
      <c r="B256" s="751" t="n"/>
      <c r="C256" s="736" t="n"/>
      <c r="D256" s="774" t="n"/>
      <c r="E256" s="1084" t="n"/>
      <c r="F256" s="237" t="n"/>
      <c r="G256" s="237" t="n"/>
      <c r="H256" s="229" t="n"/>
      <c r="I256" s="229" t="n"/>
      <c r="J256" s="117" t="n"/>
    </row>
    <row r="257" ht="15" customFormat="1" customHeight="1" s="230">
      <c r="A257" s="751" t="n"/>
      <c r="B257" s="751" t="n"/>
      <c r="C257" s="736" t="n"/>
      <c r="D257" s="774" t="n"/>
      <c r="E257" s="1084" t="n"/>
      <c r="F257" s="237" t="n"/>
      <c r="G257" s="237" t="n"/>
      <c r="H257" s="224" t="n"/>
      <c r="I257" s="231" t="n"/>
      <c r="J257" s="117" t="n"/>
    </row>
    <row r="258" ht="15" customFormat="1" customHeight="1" s="230">
      <c r="A258" s="751" t="n"/>
      <c r="B258" s="751" t="n"/>
      <c r="C258" s="736" t="n"/>
      <c r="D258" s="774" t="n"/>
      <c r="E258" s="1084" t="n"/>
      <c r="F258" s="237" t="n"/>
      <c r="G258" s="237" t="n"/>
      <c r="H258" s="232" t="n"/>
      <c r="I258" s="233" t="n"/>
      <c r="J258" s="117" t="n"/>
    </row>
    <row r="259" ht="15" customFormat="1" customHeight="1" s="230">
      <c r="A259" s="751" t="n"/>
      <c r="B259" s="751" t="n"/>
      <c r="C259" s="736" t="n"/>
      <c r="D259" s="774" t="n"/>
      <c r="E259" s="1084" t="n"/>
      <c r="F259" s="237" t="n"/>
      <c r="G259" s="237" t="n"/>
      <c r="H259" s="232" t="n"/>
      <c r="I259" s="232" t="n"/>
      <c r="J259" s="117" t="n"/>
    </row>
    <row r="260" ht="15" customFormat="1" customHeight="1" s="230">
      <c r="A260" s="751" t="n"/>
      <c r="B260" s="751" t="n"/>
      <c r="C260" s="736" t="n"/>
      <c r="D260" s="774" t="n"/>
      <c r="E260" s="1084" t="n"/>
      <c r="F260" s="237" t="n"/>
      <c r="G260" s="237" t="n"/>
      <c r="H260" s="234" t="n"/>
      <c r="I260" s="234" t="n"/>
      <c r="J260" s="117" t="n"/>
    </row>
    <row r="261" ht="15" customFormat="1" customHeight="1" s="230">
      <c r="A261" s="751" t="n"/>
      <c r="B261" s="751" t="n"/>
      <c r="C261" s="736" t="n"/>
      <c r="D261" s="774" t="n"/>
      <c r="E261" s="1084" t="n"/>
      <c r="F261" s="237" t="n"/>
      <c r="G261" s="237" t="n"/>
      <c r="H261" s="224" t="n"/>
      <c r="I261" s="224" t="n"/>
      <c r="J261" s="117" t="n"/>
    </row>
    <row r="262" ht="15" customFormat="1" customHeight="1" s="230">
      <c r="A262" s="751" t="n"/>
      <c r="B262" s="751" t="n"/>
      <c r="C262" s="736" t="n"/>
      <c r="D262" s="774" t="n"/>
      <c r="E262" s="1084" t="n"/>
      <c r="F262" s="237" t="n"/>
      <c r="G262" s="237" t="n"/>
      <c r="H262" s="224" t="n"/>
      <c r="J262" s="117" t="n"/>
    </row>
    <row r="263" ht="15" customFormat="1" customHeight="1" s="230">
      <c r="A263" s="751" t="n"/>
      <c r="B263" s="751" t="n"/>
      <c r="C263" s="736" t="n"/>
      <c r="D263" s="774" t="n"/>
      <c r="E263" s="1084" t="n"/>
      <c r="F263" s="237" t="n"/>
      <c r="G263" s="237" t="n"/>
      <c r="H263" s="235" t="n"/>
      <c r="I263" s="235" t="n"/>
      <c r="J263" s="117" t="n"/>
      <c r="K263" s="235" t="n"/>
      <c r="L263" s="236" t="n"/>
      <c r="M263" s="236" t="n"/>
      <c r="N263" s="236" t="n"/>
      <c r="O263" s="236" t="n"/>
      <c r="P263" s="236" t="n"/>
      <c r="Q263" s="236" t="n"/>
    </row>
    <row r="264" ht="15" customFormat="1" customHeight="1" s="230">
      <c r="A264" s="751" t="n"/>
      <c r="B264" s="751" t="n"/>
      <c r="C264" s="736" t="n"/>
      <c r="D264" s="774" t="n"/>
      <c r="E264" s="1084" t="n"/>
      <c r="F264" s="237" t="n"/>
      <c r="G264" s="237" t="n"/>
      <c r="H264" s="236" t="n"/>
      <c r="I264" s="236" t="n"/>
      <c r="J264" s="117" t="n"/>
      <c r="K264" s="236" t="n"/>
      <c r="L264" s="236" t="n"/>
      <c r="M264" s="236" t="n"/>
      <c r="N264" s="236" t="n"/>
      <c r="O264" s="236" t="n"/>
      <c r="P264" s="236" t="n"/>
      <c r="Q264" s="236" t="n"/>
    </row>
    <row r="265" ht="15" customFormat="1" customHeight="1" s="230">
      <c r="A265" s="751" t="n"/>
      <c r="B265" s="751" t="n"/>
      <c r="C265" s="736" t="n"/>
      <c r="D265" s="774" t="n"/>
      <c r="E265" s="1084" t="n"/>
      <c r="F265" s="237" t="n"/>
      <c r="G265" s="237" t="n"/>
      <c r="H265" s="236" t="n"/>
      <c r="I265" s="236" t="n"/>
      <c r="J265" s="117" t="n"/>
      <c r="K265" s="236" t="n"/>
      <c r="L265" s="236" t="n"/>
      <c r="M265" s="236" t="n"/>
      <c r="N265" s="236" t="n"/>
      <c r="O265" s="236" t="n"/>
      <c r="P265" s="236" t="n"/>
      <c r="Q265" s="236" t="n"/>
    </row>
    <row r="266" ht="15" customFormat="1" customHeight="1" s="230">
      <c r="A266" s="751" t="n"/>
      <c r="B266" s="751" t="n"/>
      <c r="C266" s="736" t="n"/>
      <c r="D266" s="774" t="n"/>
      <c r="E266" s="1084" t="n"/>
      <c r="F266" s="237" t="n"/>
      <c r="G266" s="237" t="n"/>
      <c r="H266" s="236" t="n"/>
      <c r="I266" s="236" t="n"/>
      <c r="J266" s="117" t="n"/>
      <c r="K266" s="236" t="n"/>
      <c r="L266" s="236" t="n"/>
      <c r="M266" s="236" t="n"/>
      <c r="N266" s="236" t="n"/>
      <c r="O266" s="236" t="n"/>
      <c r="P266" s="236" t="n"/>
      <c r="Q266" s="236" t="n"/>
    </row>
    <row r="267" ht="15" customFormat="1" customHeight="1" s="230">
      <c r="A267" s="751" t="n"/>
      <c r="B267" s="751" t="n"/>
      <c r="C267" s="736" t="n"/>
      <c r="D267" s="774" t="n"/>
      <c r="E267" s="1084" t="n"/>
      <c r="F267" s="237" t="n"/>
      <c r="G267" s="237" t="n"/>
      <c r="H267" s="236" t="n"/>
      <c r="I267" s="236" t="n"/>
      <c r="J267" s="117" t="n"/>
      <c r="K267" s="236" t="n"/>
      <c r="L267" s="236" t="n"/>
      <c r="M267" s="236" t="n"/>
      <c r="N267" s="236" t="n"/>
      <c r="O267" s="236" t="n"/>
      <c r="P267" s="236" t="n"/>
      <c r="Q267" s="236" t="n"/>
    </row>
    <row r="268" ht="15" customFormat="1" customHeight="1" s="230">
      <c r="A268" s="751" t="n"/>
      <c r="B268" s="751" t="n"/>
      <c r="C268" s="736" t="n"/>
      <c r="D268" s="774" t="n"/>
      <c r="E268" s="1084" t="n"/>
      <c r="F268" s="237" t="n"/>
      <c r="G268" s="237" t="n"/>
      <c r="H268" s="236" t="n"/>
      <c r="I268" s="236" t="n"/>
      <c r="J268" s="117" t="n"/>
      <c r="K268" s="236" t="n"/>
      <c r="L268" s="236" t="n"/>
      <c r="M268" s="236" t="n"/>
      <c r="N268" s="236" t="n"/>
      <c r="O268" s="236" t="n"/>
      <c r="P268" s="236" t="n"/>
      <c r="Q268" s="236" t="n"/>
    </row>
    <row r="269" ht="15" customFormat="1" customHeight="1" s="230">
      <c r="A269" s="751" t="n"/>
      <c r="B269" s="751" t="n"/>
      <c r="C269" s="736" t="n"/>
      <c r="D269" s="774" t="n"/>
      <c r="E269" s="1084" t="n"/>
      <c r="F269" s="237" t="n"/>
      <c r="G269" s="237" t="n"/>
      <c r="H269" s="224" t="n"/>
      <c r="J269" s="117" t="n"/>
    </row>
    <row r="270" ht="15" customFormat="1" customHeight="1" s="230">
      <c r="A270" s="751" t="n"/>
      <c r="B270" s="751" t="n"/>
      <c r="C270" s="736" t="n"/>
      <c r="D270" s="774" t="n"/>
      <c r="E270" s="1084" t="n"/>
      <c r="F270" s="237" t="n"/>
      <c r="G270" s="237" t="n"/>
      <c r="H270" s="224" t="n"/>
      <c r="J270" s="117" t="n"/>
    </row>
    <row r="271" ht="15" customFormat="1" customHeight="1" s="230">
      <c r="A271" s="751" t="n"/>
      <c r="B271" s="751" t="n"/>
      <c r="C271" s="736" t="n"/>
      <c r="D271" s="774" t="n"/>
      <c r="E271" s="1084" t="n"/>
      <c r="F271" s="237" t="n"/>
      <c r="G271" s="237" t="n"/>
      <c r="H271" s="224" t="n"/>
      <c r="J271" s="117" t="n"/>
    </row>
    <row r="272" ht="15" customFormat="1" customHeight="1" s="230">
      <c r="A272" s="751" t="n"/>
      <c r="B272" s="751" t="n"/>
      <c r="C272" s="736" t="n"/>
      <c r="D272" s="774" t="n"/>
      <c r="E272" s="1084" t="n"/>
      <c r="F272" s="237" t="n"/>
      <c r="G272" s="237" t="n"/>
      <c r="H272" s="224" t="n"/>
      <c r="J272" s="117" t="n"/>
    </row>
    <row r="273" ht="15" customFormat="1" customHeight="1" s="230">
      <c r="A273" s="751" t="n"/>
      <c r="B273" s="751" t="n"/>
      <c r="C273" s="736" t="n"/>
      <c r="D273" s="774" t="n"/>
      <c r="E273" s="1084" t="n"/>
      <c r="F273" s="237" t="n"/>
      <c r="G273" s="237" t="n"/>
      <c r="H273" s="224" t="n"/>
      <c r="J273" s="117" t="n"/>
    </row>
    <row r="274" ht="15" customFormat="1" customHeight="1" s="230">
      <c r="A274" s="751" t="n"/>
      <c r="B274" s="751" t="n"/>
      <c r="C274" s="736" t="n"/>
      <c r="D274" s="774" t="n"/>
      <c r="E274" s="1084" t="n"/>
      <c r="F274" s="237" t="n"/>
      <c r="G274" s="237" t="n"/>
      <c r="H274" s="224" t="n"/>
      <c r="J274" s="117" t="n"/>
    </row>
    <row r="275" ht="15" customFormat="1" customHeight="1" s="230">
      <c r="A275" s="751" t="n"/>
      <c r="B275" s="751" t="n"/>
      <c r="C275" s="736" t="n"/>
      <c r="D275" s="774" t="n"/>
      <c r="E275" s="1084" t="n"/>
      <c r="F275" s="237" t="n"/>
      <c r="G275" s="237" t="n"/>
      <c r="H275" s="224" t="n"/>
      <c r="J275" s="117" t="n"/>
    </row>
    <row r="276" ht="15" customFormat="1" customHeight="1" s="230">
      <c r="A276" s="751" t="n"/>
      <c r="B276" s="751" t="n"/>
      <c r="C276" s="736" t="n"/>
      <c r="D276" s="774" t="n"/>
      <c r="E276" s="1084" t="n"/>
      <c r="F276" s="237" t="n"/>
      <c r="G276" s="237" t="n"/>
      <c r="H276" s="224" t="n"/>
      <c r="J276" s="117" t="n"/>
    </row>
    <row r="277" ht="15" customFormat="1" customHeight="1" s="230">
      <c r="A277" s="751" t="n"/>
      <c r="B277" s="751" t="n"/>
      <c r="C277" s="736" t="n"/>
      <c r="D277" s="774" t="n"/>
      <c r="E277" s="1084" t="n"/>
      <c r="F277" s="237" t="n"/>
      <c r="G277" s="237" t="n"/>
      <c r="H277" s="224" t="n"/>
      <c r="J277" s="117" t="n"/>
    </row>
    <row r="278" ht="15" customFormat="1" customHeight="1" s="230">
      <c r="A278" s="751" t="n"/>
      <c r="B278" s="751" t="n"/>
      <c r="C278" s="736" t="n"/>
      <c r="D278" s="774" t="n"/>
      <c r="E278" s="1084" t="n"/>
      <c r="F278" s="237" t="n"/>
      <c r="G278" s="237" t="n"/>
      <c r="H278" s="224" t="n"/>
      <c r="J278" s="117" t="n"/>
    </row>
    <row r="279" ht="15" customFormat="1" customHeight="1" s="230">
      <c r="A279" s="751" t="n"/>
      <c r="B279" s="751" t="n"/>
      <c r="C279" s="736" t="n"/>
      <c r="D279" s="774" t="n"/>
      <c r="E279" s="1084" t="n"/>
      <c r="F279" s="237" t="n"/>
      <c r="G279" s="237" t="n"/>
      <c r="H279" s="224" t="n"/>
      <c r="J279" s="117" t="n"/>
    </row>
    <row r="280" ht="15" customFormat="1" customHeight="1" s="230">
      <c r="A280" s="751" t="n"/>
      <c r="B280" s="751" t="n"/>
      <c r="C280" s="736" t="n"/>
      <c r="D280" s="774" t="n"/>
      <c r="E280" s="1084" t="n"/>
      <c r="F280" s="237" t="n"/>
      <c r="G280" s="237" t="n"/>
      <c r="H280" s="224" t="n"/>
      <c r="J280" s="117" t="n"/>
    </row>
    <row r="281" ht="15" customFormat="1" customHeight="1" s="230">
      <c r="A281" s="751" t="n"/>
      <c r="B281" s="751" t="n"/>
      <c r="C281" s="736" t="n"/>
      <c r="D281" s="774" t="n"/>
      <c r="E281" s="1084" t="n"/>
      <c r="F281" s="237" t="n"/>
      <c r="G281" s="237" t="n"/>
      <c r="H281" s="224" t="n"/>
      <c r="J281" s="117" t="n"/>
    </row>
    <row r="282" ht="15" customFormat="1" customHeight="1" s="230">
      <c r="A282" s="751" t="n"/>
      <c r="B282" s="751" t="n"/>
      <c r="C282" s="736" t="n"/>
      <c r="D282" s="774" t="n"/>
      <c r="E282" s="1084" t="n"/>
      <c r="F282" s="237" t="n"/>
      <c r="G282" s="237" t="n"/>
      <c r="H282" s="224" t="n"/>
      <c r="J282" s="117" t="n"/>
    </row>
    <row r="283" ht="15" customFormat="1" customHeight="1" s="230">
      <c r="A283" s="751" t="n"/>
      <c r="B283" s="751" t="n"/>
      <c r="C283" s="736" t="n"/>
      <c r="D283" s="774" t="n"/>
      <c r="E283" s="1084" t="n"/>
      <c r="F283" s="237" t="n"/>
      <c r="G283" s="237" t="n"/>
      <c r="H283" s="224" t="n"/>
      <c r="J283" s="117" t="n"/>
    </row>
    <row r="284" ht="15" customFormat="1" customHeight="1" s="230">
      <c r="A284" s="751" t="n"/>
      <c r="B284" s="751" t="n"/>
      <c r="C284" s="736" t="n"/>
      <c r="D284" s="774" t="n"/>
      <c r="E284" s="1084" t="n"/>
      <c r="F284" s="237" t="n"/>
      <c r="G284" s="237" t="n"/>
      <c r="H284" s="224" t="n"/>
      <c r="J284" s="117" t="n"/>
    </row>
    <row r="285" ht="15" customFormat="1" customHeight="1" s="230">
      <c r="A285" s="751" t="n"/>
      <c r="B285" s="751" t="n"/>
      <c r="C285" s="736" t="n"/>
      <c r="D285" s="774" t="n"/>
      <c r="E285" s="1084" t="n"/>
      <c r="F285" s="237" t="n"/>
      <c r="G285" s="237" t="n"/>
      <c r="H285" s="224" t="n"/>
      <c r="J285" s="117" t="n"/>
    </row>
    <row r="286" ht="15" customFormat="1" customHeight="1" s="230">
      <c r="A286" s="751" t="n"/>
      <c r="B286" s="751" t="n"/>
      <c r="C286" s="736" t="n"/>
      <c r="D286" s="774" t="n"/>
      <c r="E286" s="1084" t="n"/>
      <c r="F286" s="237" t="n"/>
      <c r="G286" s="237" t="n"/>
      <c r="H286" s="224" t="n"/>
      <c r="J286" s="117" t="n"/>
    </row>
    <row r="287" ht="15" customFormat="1" customHeight="1" s="230">
      <c r="A287" s="751" t="n"/>
      <c r="B287" s="751" t="n"/>
      <c r="C287" s="736" t="n"/>
      <c r="D287" s="774" t="n"/>
      <c r="E287" s="1084" t="n"/>
      <c r="F287" s="237" t="n"/>
      <c r="G287" s="237" t="n"/>
      <c r="H287" s="224" t="n"/>
      <c r="J287" s="117" t="n"/>
    </row>
    <row r="288" ht="15" customFormat="1" customHeight="1" s="230">
      <c r="A288" s="751" t="n"/>
      <c r="B288" s="751" t="n"/>
      <c r="C288" s="736" t="n"/>
      <c r="D288" s="774" t="n"/>
      <c r="E288" s="1084" t="n"/>
      <c r="F288" s="237" t="n"/>
      <c r="G288" s="237" t="n"/>
      <c r="H288" s="224" t="n"/>
      <c r="J288" s="117" t="n"/>
    </row>
    <row r="289" ht="15" customFormat="1" customHeight="1" s="230">
      <c r="A289" s="751" t="n"/>
      <c r="B289" s="751" t="n"/>
      <c r="C289" s="736" t="n"/>
      <c r="D289" s="774" t="n"/>
      <c r="E289" s="1084" t="n"/>
      <c r="F289" s="237" t="n"/>
      <c r="G289" s="237" t="n"/>
      <c r="H289" s="224" t="n"/>
      <c r="J289" s="117" t="n"/>
    </row>
    <row r="290" ht="15" customFormat="1" customHeight="1" s="230" thickBot="1">
      <c r="A290" s="751" t="n"/>
      <c r="B290" s="751" t="n"/>
      <c r="C290" s="736" t="n"/>
      <c r="D290" s="774" t="n"/>
      <c r="E290" s="1084" t="n"/>
      <c r="F290" s="237" t="n"/>
      <c r="G290" s="237" t="n"/>
      <c r="H290" s="224" t="n"/>
      <c r="J290" s="117" t="n"/>
    </row>
    <row r="291" ht="15" customFormat="1" customHeight="1" s="230" thickBot="1">
      <c r="A291" s="751" t="n"/>
      <c r="B291" s="751" t="n"/>
      <c r="C291" s="736" t="n"/>
      <c r="D291" s="774" t="n"/>
      <c r="E291" s="1084" t="n"/>
      <c r="F291" s="1089" t="n"/>
      <c r="G291" s="237" t="n"/>
      <c r="H291" s="224" t="n"/>
      <c r="J291" s="117" t="n"/>
    </row>
    <row r="292" ht="15" customFormat="1" customHeight="1" s="230" thickBot="1">
      <c r="A292" s="751" t="n"/>
      <c r="B292" s="751" t="n"/>
      <c r="C292" s="736" t="n"/>
      <c r="D292" s="774" t="n"/>
      <c r="E292" s="1084" t="n"/>
      <c r="F292" s="1089" t="n"/>
      <c r="G292" s="237" t="n"/>
      <c r="H292" s="224" t="n"/>
      <c r="J292" s="117" t="n"/>
    </row>
    <row r="293" ht="15" customFormat="1" customHeight="1" s="230" thickBot="1">
      <c r="A293" s="751" t="n"/>
      <c r="B293" s="751" t="n"/>
      <c r="C293" s="736" t="n"/>
      <c r="D293" s="774" t="n"/>
      <c r="E293" s="1084" t="n"/>
      <c r="F293" s="1089" t="n"/>
      <c r="G293" s="237" t="n"/>
      <c r="H293" s="224" t="n"/>
      <c r="J293" s="117" t="n"/>
    </row>
    <row r="294" ht="15" customFormat="1" customHeight="1" s="230" thickBot="1">
      <c r="A294" s="751" t="n"/>
      <c r="B294" s="751" t="n"/>
      <c r="C294" s="736" t="n"/>
      <c r="D294" s="774" t="n"/>
      <c r="E294" s="1084" t="n"/>
      <c r="F294" s="1089" t="n"/>
      <c r="G294" s="237" t="n"/>
      <c r="H294" s="224" t="n"/>
      <c r="J294" s="117" t="n"/>
    </row>
    <row r="295" ht="15" customFormat="1" customHeight="1" s="230" thickBot="1">
      <c r="A295" s="751" t="n"/>
      <c r="B295" s="751" t="n"/>
      <c r="C295" s="736" t="n"/>
      <c r="D295" s="774" t="n"/>
      <c r="E295" s="1084" t="n"/>
      <c r="F295" s="1089" t="n"/>
      <c r="G295" s="237" t="n"/>
      <c r="H295" s="224" t="n"/>
      <c r="J295" s="117" t="n"/>
    </row>
    <row r="296" ht="15" customFormat="1" customHeight="1" s="230" thickBot="1">
      <c r="A296" s="751" t="n"/>
      <c r="B296" s="751" t="n"/>
      <c r="C296" s="736" t="n"/>
      <c r="D296" s="774" t="n"/>
      <c r="E296" s="1084" t="n"/>
      <c r="F296" s="1089" t="n"/>
      <c r="G296" s="237" t="n"/>
      <c r="H296" s="224" t="n"/>
      <c r="J296" s="117" t="n"/>
    </row>
    <row r="297" ht="15" customFormat="1" customHeight="1" s="230" thickBot="1">
      <c r="A297" s="751" t="n"/>
      <c r="B297" s="751" t="n"/>
      <c r="C297" s="736" t="n"/>
      <c r="D297" s="774" t="n"/>
      <c r="E297" s="1084" t="n"/>
      <c r="F297" s="1089" t="n"/>
      <c r="G297" s="237" t="n"/>
      <c r="H297" s="224" t="n"/>
      <c r="J297" s="117" t="n"/>
    </row>
    <row r="298" ht="15" customFormat="1" customHeight="1" s="230" thickBot="1">
      <c r="A298" s="751" t="n"/>
      <c r="B298" s="751" t="n"/>
      <c r="C298" s="736" t="n"/>
      <c r="D298" s="774" t="n"/>
      <c r="E298" s="1084" t="n"/>
      <c r="F298" s="1089" t="n"/>
      <c r="G298" s="237" t="n"/>
      <c r="H298" s="224" t="n"/>
      <c r="J298" s="117" t="n"/>
    </row>
    <row r="299" ht="15" customFormat="1" customHeight="1" s="230" thickBot="1">
      <c r="A299" s="771" t="n"/>
      <c r="B299" s="771" t="n"/>
      <c r="C299" s="771" t="n"/>
      <c r="D299" s="771" t="n"/>
      <c r="E299" s="771" t="n"/>
      <c r="F299" s="1089" t="n"/>
      <c r="G299" s="237" t="n"/>
      <c r="H299" s="224" t="n"/>
      <c r="J299" s="117" t="n"/>
    </row>
    <row r="300" ht="15" customFormat="1" customHeight="1" s="230" thickBot="1">
      <c r="A300" s="735" t="n"/>
      <c r="B300" s="735" t="n"/>
      <c r="C300" s="735" t="n"/>
      <c r="D300" s="735" t="n"/>
      <c r="E300" s="735" t="n"/>
      <c r="F300" s="1089" t="n"/>
      <c r="G300" s="237" t="n"/>
      <c r="H300" s="224" t="n"/>
      <c r="J300" s="117" t="n"/>
    </row>
    <row r="301" ht="15" customFormat="1" customHeight="1" s="230" thickBot="1">
      <c r="A301" s="735" t="n"/>
      <c r="B301" s="735" t="n"/>
      <c r="C301" s="735" t="n"/>
      <c r="D301" s="735" t="n"/>
      <c r="E301" s="735" t="n"/>
      <c r="F301" s="1089" t="n"/>
      <c r="G301" s="237" t="n"/>
      <c r="H301" s="224" t="n"/>
      <c r="J301" s="117" t="n"/>
    </row>
    <row r="302" ht="15" customFormat="1" customHeight="1" s="230" thickBot="1">
      <c r="A302" s="735" t="n"/>
      <c r="B302" s="735" t="n"/>
      <c r="C302" s="735" t="n"/>
      <c r="D302" s="735" t="n"/>
      <c r="E302" s="735" t="n"/>
      <c r="F302" s="1089" t="n"/>
      <c r="G302" s="237" t="n"/>
      <c r="H302" s="224" t="n"/>
      <c r="J302" s="117" t="n"/>
    </row>
    <row r="303" ht="15" customFormat="1" customHeight="1" s="230" thickBot="1">
      <c r="A303" s="735" t="n"/>
      <c r="B303" s="735" t="n"/>
      <c r="C303" s="735" t="n"/>
      <c r="D303" s="735" t="n"/>
      <c r="E303" s="735" t="n"/>
      <c r="F303" s="1089" t="n"/>
      <c r="G303" s="237" t="n"/>
      <c r="H303" s="224" t="n"/>
      <c r="J303" s="117" t="n"/>
    </row>
    <row r="304" ht="15" customFormat="1" customHeight="1" s="230" thickBot="1">
      <c r="A304" s="735" t="n"/>
      <c r="B304" s="735" t="n"/>
      <c r="C304" s="735" t="n"/>
      <c r="D304" s="735" t="n"/>
      <c r="E304" s="735" t="n"/>
      <c r="F304" s="1089" t="n"/>
      <c r="G304" s="237" t="n"/>
      <c r="H304" s="224" t="n"/>
      <c r="J304" s="117" t="n"/>
    </row>
    <row r="305" ht="15" customFormat="1" customHeight="1" s="230" thickBot="1">
      <c r="A305" s="735" t="n"/>
      <c r="B305" s="735" t="n"/>
      <c r="C305" s="735" t="n"/>
      <c r="D305" s="735" t="n"/>
      <c r="E305" s="735" t="n"/>
      <c r="F305" s="1089" t="n"/>
      <c r="G305" s="237" t="n"/>
      <c r="H305" s="224" t="n"/>
      <c r="J305" s="117" t="n"/>
    </row>
    <row r="306" ht="13.4" customHeight="1" s="828" thickBot="1">
      <c r="A306" s="735" t="n"/>
      <c r="B306" s="735" t="n"/>
      <c r="C306" s="735" t="n"/>
      <c r="D306" s="735" t="n"/>
      <c r="E306" s="735" t="n"/>
      <c r="F306" s="1089" t="n"/>
      <c r="G306" s="117" t="n"/>
      <c r="J306" s="117" t="n"/>
    </row>
    <row r="307" ht="13.4" customHeight="1" s="828" thickBot="1">
      <c r="A307" s="735" t="n"/>
      <c r="B307" s="735" t="n"/>
      <c r="C307" s="735" t="n"/>
      <c r="D307" s="735" t="n"/>
      <c r="E307" s="735" t="n"/>
      <c r="F307" s="1089" t="n"/>
      <c r="G307" s="117" t="n"/>
      <c r="J307" s="117" t="n"/>
    </row>
    <row r="308" ht="11.15" customFormat="1" customHeight="1" s="117" thickBot="1">
      <c r="A308" s="771" t="n"/>
      <c r="B308" s="771" t="n"/>
      <c r="C308" s="771" t="n"/>
      <c r="D308" s="771" t="n"/>
      <c r="E308" s="771" t="n"/>
      <c r="F308" s="1089" t="n"/>
      <c r="G308" s="118" t="n"/>
      <c r="I308" s="119" t="n"/>
      <c r="J308" s="117" t="n"/>
    </row>
    <row r="309" ht="12.65" customFormat="1" customHeight="1" s="117" thickBot="1">
      <c r="A309" s="735" t="n"/>
      <c r="B309" s="735" t="n"/>
      <c r="C309" s="735" t="n"/>
      <c r="D309" s="735" t="n"/>
      <c r="E309" s="735" t="n"/>
      <c r="F309" s="1090" t="n"/>
      <c r="G309" s="778" t="n"/>
      <c r="H309" s="576" t="n"/>
      <c r="I309" s="121" t="n"/>
    </row>
    <row r="310" ht="9.75" customFormat="1" customHeight="1" s="117">
      <c r="A310" s="742" t="n"/>
      <c r="B310" s="742" t="n"/>
      <c r="C310" s="746" t="n"/>
      <c r="D310" s="743" t="n"/>
      <c r="E310" s="1091" t="n"/>
      <c r="F310" s="1090" t="n"/>
      <c r="G310" s="219" t="n"/>
      <c r="H310" s="219" t="n"/>
      <c r="I310" s="219" t="n"/>
    </row>
    <row r="311" ht="24" customFormat="1" customHeight="1" s="117">
      <c r="C311" s="285" t="n"/>
      <c r="F311" s="122" t="n"/>
      <c r="G311" s="375" t="n"/>
      <c r="H311" s="122" t="n"/>
      <c r="I311" s="122" t="n"/>
    </row>
    <row r="312" ht="14.5" customHeight="1" s="828">
      <c r="A312" s="90" t="n"/>
      <c r="B312" s="90" t="n"/>
      <c r="C312" s="290" t="n"/>
      <c r="D312" s="90" t="n"/>
      <c r="E312" s="90" t="n"/>
    </row>
    <row r="313" ht="14.5" customHeight="1" s="828">
      <c r="B313" s="219" t="n"/>
      <c r="C313" s="219" t="n"/>
      <c r="D313" s="219" t="n"/>
      <c r="E313" s="219" t="n"/>
      <c r="J313" s="622" t="n"/>
      <c r="K313" s="622" t="n"/>
      <c r="L313" s="623" t="n"/>
      <c r="M313" s="624" t="n"/>
      <c r="N313" s="1092" t="n"/>
    </row>
    <row r="314" ht="14.5" customHeight="1" s="828">
      <c r="B314" s="219" t="n"/>
      <c r="C314" s="219" t="n"/>
      <c r="D314" s="219" t="n"/>
      <c r="E314" s="1093" t="n"/>
    </row>
    <row r="315" ht="14.5" customHeight="1" s="828">
      <c r="B315" s="122" t="n"/>
      <c r="C315" s="122" t="n"/>
      <c r="D315" s="122" t="n"/>
      <c r="E315" s="122" t="n"/>
    </row>
    <row r="316" ht="14.5" customHeight="1" s="828"/>
    <row r="317" ht="14.5" customHeight="1" s="828"/>
    <row r="318" ht="14.5" customHeight="1" s="828"/>
    <row r="319" ht="14.5" customHeight="1" s="828"/>
    <row r="320" ht="14.5" customHeight="1" s="828"/>
    <row r="321" ht="14.5" customHeight="1" s="828"/>
    <row r="322" ht="14.5" customHeight="1" s="828"/>
    <row r="323" ht="14.5" customHeight="1" s="828"/>
    <row r="324" ht="14.5" customHeight="1" s="828"/>
    <row r="325" ht="14.5" customHeight="1" s="828"/>
    <row r="326" ht="14.5" customHeight="1" s="828"/>
    <row r="327" ht="14.5" customHeight="1" s="828"/>
    <row r="328" ht="14.5" customHeight="1" s="828"/>
    <row r="329" ht="14.5" customHeight="1" s="828"/>
    <row r="330" ht="14.5" customHeight="1" s="828"/>
    <row r="331" ht="14.5" customHeight="1" s="828"/>
    <row r="332" ht="14.5" customHeight="1" s="828"/>
    <row r="333" ht="14.5" customHeight="1" s="828"/>
    <row r="334" ht="14.5" customHeight="1" s="828"/>
    <row r="335" ht="14.5" customHeight="1" s="828"/>
    <row r="336" ht="14.5" customHeight="1" s="828"/>
    <row r="337" ht="14.5" customHeight="1" s="828"/>
    <row r="338" ht="14.5" customHeight="1" s="828"/>
    <row r="339" ht="14.5" customHeight="1" s="828"/>
    <row r="340" ht="14.5" customHeight="1" s="828"/>
    <row r="341" ht="14.5" customHeight="1" s="828"/>
    <row r="342" ht="14.5" customHeight="1" s="828"/>
    <row r="343" ht="14.5" customHeight="1" s="828"/>
    <row r="344" ht="14.5" customHeight="1" s="828"/>
    <row r="345" ht="14.5" customHeight="1" s="828"/>
    <row r="346" ht="14.5" customHeight="1" s="828"/>
    <row r="347" ht="14.5" customHeight="1" s="828"/>
    <row r="348" ht="14.5" customHeight="1" s="828"/>
    <row r="349" ht="14.5" customHeight="1" s="828"/>
    <row r="350" ht="14.5" customHeight="1" s="828"/>
    <row r="351" ht="14.5" customHeight="1" s="828"/>
    <row r="352" ht="14.5" customHeight="1" s="828"/>
    <row r="353" ht="14.5" customHeight="1" s="828"/>
    <row r="354" ht="14.5" customHeight="1" s="828"/>
    <row r="355" ht="14.5" customHeight="1" s="828"/>
    <row r="356" ht="14.5" customHeight="1" s="828"/>
    <row r="357" ht="14.5" customHeight="1" s="828"/>
    <row r="358" ht="14.5" customHeight="1" s="828"/>
    <row r="359" ht="14.5" customHeight="1" s="828"/>
    <row r="360" ht="14.5" customHeight="1" s="828"/>
    <row r="361" ht="14.5" customHeight="1" s="828"/>
    <row r="362" ht="14.5" customHeight="1" s="828"/>
    <row r="363" ht="14.5" customHeight="1" s="828"/>
    <row r="364" ht="14.5" customHeight="1" s="828"/>
    <row r="365" ht="14.5" customHeight="1" s="828"/>
    <row r="366" ht="14.5" customHeight="1" s="828"/>
    <row r="367" ht="14.5" customHeight="1" s="828"/>
    <row r="368" ht="14.5" customHeight="1" s="828"/>
    <row r="369" ht="14.5" customHeight="1" s="828"/>
    <row r="370" ht="14.5" customHeight="1" s="828"/>
    <row r="371" ht="14.5" customHeight="1" s="828"/>
    <row r="372" ht="14.5" customHeight="1" s="828"/>
    <row r="373" ht="14.5" customHeight="1" s="828"/>
    <row r="374" ht="14.5" customHeight="1" s="828"/>
    <row r="375" ht="14.5" customHeight="1" s="828"/>
    <row r="376" ht="14.5" customHeight="1" s="828"/>
    <row r="377" ht="14.5" customHeight="1" s="828"/>
    <row r="378" ht="14.5" customHeight="1" s="828"/>
    <row r="379" ht="14.5" customHeight="1" s="828"/>
    <row r="380" ht="14.5" customHeight="1" s="828"/>
    <row r="381" ht="14.5" customHeight="1" s="828"/>
    <row r="382" ht="14.5" customHeight="1" s="828"/>
    <row r="383" ht="14.5" customHeight="1" s="828"/>
    <row r="384" ht="14.5" customHeight="1" s="828"/>
    <row r="385" ht="14.5" customHeight="1" s="828"/>
    <row r="386" ht="14.5" customHeight="1" s="828"/>
    <row r="387" ht="14.5" customHeight="1" s="828"/>
    <row r="388" ht="14.5" customHeight="1" s="828"/>
    <row r="389" ht="14.5" customHeight="1" s="828"/>
    <row r="390" ht="14.5" customHeight="1" s="828"/>
    <row r="391" ht="14.5" customHeight="1" s="828"/>
    <row r="392" ht="14.5" customHeight="1" s="828"/>
    <row r="393" ht="14.5" customHeight="1" s="828"/>
    <row r="394" ht="14.5" customHeight="1" s="828"/>
    <row r="395" ht="14.5" customHeight="1" s="828"/>
    <row r="396" ht="14.5" customHeight="1" s="828"/>
    <row r="397" ht="14.5" customHeight="1" s="828"/>
    <row r="398" ht="14.5" customHeight="1" s="828"/>
    <row r="399" ht="14.5" customHeight="1" s="828"/>
    <row r="400" ht="14.5" customHeight="1" s="828"/>
  </sheetData>
  <mergeCells count="2">
    <mergeCell ref="I10:K10"/>
    <mergeCell ref="D10:E10"/>
  </mergeCells>
  <pageMargins left="0.3937007874015748" right="0.3937007874015748" top="0.5905511811023623" bottom="0.5905511811023623" header="0.5118110236220472" footer="0.5118110236220472"/>
  <pageSetup orientation="portrait" paperSize="9" scale="29"/>
  <drawing xmlns:r="http://schemas.openxmlformats.org/officeDocument/2006/relationships" r:id="rId1"/>
</worksheet>
</file>

<file path=xl/worksheets/sheet14.xml><?xml version="1.0" encoding="utf-8"?>
<worksheet xmlns="http://schemas.openxmlformats.org/spreadsheetml/2006/main">
  <sheetPr>
    <tabColor rgb="FF00B0F0"/>
    <outlinePr summaryBelow="1" summaryRight="1"/>
    <pageSetUpPr fitToPage="1"/>
  </sheetPr>
  <dimension ref="A1:AB385"/>
  <sheetViews>
    <sheetView workbookViewId="0">
      <selection activeCell="A1" sqref="A1"/>
    </sheetView>
  </sheetViews>
  <sheetFormatPr baseColWidth="8" defaultColWidth="8.54296875" defaultRowHeight="12.5"/>
  <cols>
    <col width="17.1796875" customWidth="1" style="230" min="1" max="1"/>
    <col width="15.7265625" customWidth="1" style="230" min="2" max="2"/>
    <col width="12.453125" customWidth="1" style="230" min="3" max="3"/>
    <col width="10.54296875" customWidth="1" style="230" min="4" max="4"/>
    <col width="7.54296875" customWidth="1" style="230" min="5" max="5"/>
    <col width="10.453125" customWidth="1" style="230" min="6" max="7"/>
    <col width="9" customWidth="1" style="230" min="8" max="8"/>
    <col width="9.54296875" customWidth="1" style="230" min="9" max="9"/>
    <col width="9.453125" customWidth="1" style="230" min="10" max="10"/>
    <col width="12.54296875" customWidth="1" style="230" min="11" max="11"/>
    <col width="10.54296875" customWidth="1" style="230" min="12" max="12"/>
    <col width="8.54296875" customWidth="1" style="230" min="13" max="14"/>
    <col width="10.54296875" customWidth="1" style="230" min="15" max="15"/>
    <col width="10.453125" customWidth="1" style="230" min="16" max="18"/>
    <col width="8.54296875" customWidth="1" style="230" min="19" max="19"/>
    <col width="11.54296875" customWidth="1" style="230" min="20" max="20"/>
    <col width="8.54296875" customWidth="1" style="230" min="21" max="23"/>
    <col width="9.54296875" customWidth="1" style="230" min="24" max="24"/>
    <col width="8.54296875" customWidth="1" style="230" min="25" max="256"/>
    <col width="13.453125" customWidth="1" style="230" min="257" max="257"/>
    <col width="9.453125" customWidth="1" style="230" min="258" max="258"/>
    <col width="12.453125" customWidth="1" style="230" min="259" max="259"/>
    <col width="10.54296875" customWidth="1" style="230" min="260" max="260"/>
    <col width="7.54296875" customWidth="1" style="230" min="261" max="261"/>
    <col width="10.453125" customWidth="1" style="230" min="262" max="263"/>
    <col width="9" customWidth="1" style="230" min="264" max="264"/>
    <col width="9.54296875" customWidth="1" style="230" min="265" max="265"/>
    <col width="9.453125" customWidth="1" style="230" min="266" max="266"/>
    <col width="12.54296875" customWidth="1" style="230" min="267" max="267"/>
    <col width="10.54296875" customWidth="1" style="230" min="268" max="268"/>
    <col width="8.54296875" customWidth="1" style="230" min="269" max="270"/>
    <col width="10.54296875" customWidth="1" style="230" min="271" max="271"/>
    <col width="10.453125" customWidth="1" style="230" min="272" max="274"/>
    <col width="8.54296875" customWidth="1" style="230" min="275" max="275"/>
    <col width="11.54296875" customWidth="1" style="230" min="276" max="276"/>
    <col width="8.54296875" customWidth="1" style="230" min="277" max="279"/>
    <col width="9.54296875" customWidth="1" style="230" min="280" max="280"/>
    <col width="8.54296875" customWidth="1" style="230" min="281" max="512"/>
    <col width="13.453125" customWidth="1" style="230" min="513" max="513"/>
    <col width="9.453125" customWidth="1" style="230" min="514" max="514"/>
    <col width="12.453125" customWidth="1" style="230" min="515" max="515"/>
    <col width="10.54296875" customWidth="1" style="230" min="516" max="516"/>
    <col width="7.54296875" customWidth="1" style="230" min="517" max="517"/>
    <col width="10.453125" customWidth="1" style="230" min="518" max="519"/>
    <col width="9" customWidth="1" style="230" min="520" max="520"/>
    <col width="9.54296875" customWidth="1" style="230" min="521" max="521"/>
    <col width="9.453125" customWidth="1" style="230" min="522" max="522"/>
    <col width="12.54296875" customWidth="1" style="230" min="523" max="523"/>
    <col width="10.54296875" customWidth="1" style="230" min="524" max="524"/>
    <col width="8.54296875" customWidth="1" style="230" min="525" max="526"/>
    <col width="10.54296875" customWidth="1" style="230" min="527" max="527"/>
    <col width="10.453125" customWidth="1" style="230" min="528" max="530"/>
    <col width="8.54296875" customWidth="1" style="230" min="531" max="531"/>
    <col width="11.54296875" customWidth="1" style="230" min="532" max="532"/>
    <col width="8.54296875" customWidth="1" style="230" min="533" max="535"/>
    <col width="9.54296875" customWidth="1" style="230" min="536" max="536"/>
    <col width="8.54296875" customWidth="1" style="230" min="537" max="768"/>
    <col width="13.453125" customWidth="1" style="230" min="769" max="769"/>
    <col width="9.453125" customWidth="1" style="230" min="770" max="770"/>
    <col width="12.453125" customWidth="1" style="230" min="771" max="771"/>
    <col width="10.54296875" customWidth="1" style="230" min="772" max="772"/>
    <col width="7.54296875" customWidth="1" style="230" min="773" max="773"/>
    <col width="10.453125" customWidth="1" style="230" min="774" max="775"/>
    <col width="9" customWidth="1" style="230" min="776" max="776"/>
    <col width="9.54296875" customWidth="1" style="230" min="777" max="777"/>
    <col width="9.453125" customWidth="1" style="230" min="778" max="778"/>
    <col width="12.54296875" customWidth="1" style="230" min="779" max="779"/>
    <col width="10.54296875" customWidth="1" style="230" min="780" max="780"/>
    <col width="8.54296875" customWidth="1" style="230" min="781" max="782"/>
    <col width="10.54296875" customWidth="1" style="230" min="783" max="783"/>
    <col width="10.453125" customWidth="1" style="230" min="784" max="786"/>
    <col width="8.54296875" customWidth="1" style="230" min="787" max="787"/>
    <col width="11.54296875" customWidth="1" style="230" min="788" max="788"/>
    <col width="8.54296875" customWidth="1" style="230" min="789" max="791"/>
    <col width="9.54296875" customWidth="1" style="230" min="792" max="792"/>
    <col width="8.54296875" customWidth="1" style="230" min="793" max="1024"/>
    <col width="13.453125" customWidth="1" style="230" min="1025" max="1025"/>
    <col width="9.453125" customWidth="1" style="230" min="1026" max="1026"/>
    <col width="12.453125" customWidth="1" style="230" min="1027" max="1027"/>
    <col width="10.54296875" customWidth="1" style="230" min="1028" max="1028"/>
    <col width="7.54296875" customWidth="1" style="230" min="1029" max="1029"/>
    <col width="10.453125" customWidth="1" style="230" min="1030" max="1031"/>
    <col width="9" customWidth="1" style="230" min="1032" max="1032"/>
    <col width="9.54296875" customWidth="1" style="230" min="1033" max="1033"/>
    <col width="9.453125" customWidth="1" style="230" min="1034" max="1034"/>
    <col width="12.54296875" customWidth="1" style="230" min="1035" max="1035"/>
    <col width="10.54296875" customWidth="1" style="230" min="1036" max="1036"/>
    <col width="8.54296875" customWidth="1" style="230" min="1037" max="1038"/>
    <col width="10.54296875" customWidth="1" style="230" min="1039" max="1039"/>
    <col width="10.453125" customWidth="1" style="230" min="1040" max="1042"/>
    <col width="8.54296875" customWidth="1" style="230" min="1043" max="1043"/>
    <col width="11.54296875" customWidth="1" style="230" min="1044" max="1044"/>
    <col width="8.54296875" customWidth="1" style="230" min="1045" max="1047"/>
    <col width="9.54296875" customWidth="1" style="230" min="1048" max="1048"/>
    <col width="8.54296875" customWidth="1" style="230" min="1049" max="1280"/>
    <col width="13.453125" customWidth="1" style="230" min="1281" max="1281"/>
    <col width="9.453125" customWidth="1" style="230" min="1282" max="1282"/>
    <col width="12.453125" customWidth="1" style="230" min="1283" max="1283"/>
    <col width="10.54296875" customWidth="1" style="230" min="1284" max="1284"/>
    <col width="7.54296875" customWidth="1" style="230" min="1285" max="1285"/>
    <col width="10.453125" customWidth="1" style="230" min="1286" max="1287"/>
    <col width="9" customWidth="1" style="230" min="1288" max="1288"/>
    <col width="9.54296875" customWidth="1" style="230" min="1289" max="1289"/>
    <col width="9.453125" customWidth="1" style="230" min="1290" max="1290"/>
    <col width="12.54296875" customWidth="1" style="230" min="1291" max="1291"/>
    <col width="10.54296875" customWidth="1" style="230" min="1292" max="1292"/>
    <col width="8.54296875" customWidth="1" style="230" min="1293" max="1294"/>
    <col width="10.54296875" customWidth="1" style="230" min="1295" max="1295"/>
    <col width="10.453125" customWidth="1" style="230" min="1296" max="1298"/>
    <col width="8.54296875" customWidth="1" style="230" min="1299" max="1299"/>
    <col width="11.54296875" customWidth="1" style="230" min="1300" max="1300"/>
    <col width="8.54296875" customWidth="1" style="230" min="1301" max="1303"/>
    <col width="9.54296875" customWidth="1" style="230" min="1304" max="1304"/>
    <col width="8.54296875" customWidth="1" style="230" min="1305" max="1536"/>
    <col width="13.453125" customWidth="1" style="230" min="1537" max="1537"/>
    <col width="9.453125" customWidth="1" style="230" min="1538" max="1538"/>
    <col width="12.453125" customWidth="1" style="230" min="1539" max="1539"/>
    <col width="10.54296875" customWidth="1" style="230" min="1540" max="1540"/>
    <col width="7.54296875" customWidth="1" style="230" min="1541" max="1541"/>
    <col width="10.453125" customWidth="1" style="230" min="1542" max="1543"/>
    <col width="9" customWidth="1" style="230" min="1544" max="1544"/>
    <col width="9.54296875" customWidth="1" style="230" min="1545" max="1545"/>
    <col width="9.453125" customWidth="1" style="230" min="1546" max="1546"/>
    <col width="12.54296875" customWidth="1" style="230" min="1547" max="1547"/>
    <col width="10.54296875" customWidth="1" style="230" min="1548" max="1548"/>
    <col width="8.54296875" customWidth="1" style="230" min="1549" max="1550"/>
    <col width="10.54296875" customWidth="1" style="230" min="1551" max="1551"/>
    <col width="10.453125" customWidth="1" style="230" min="1552" max="1554"/>
    <col width="8.54296875" customWidth="1" style="230" min="1555" max="1555"/>
    <col width="11.54296875" customWidth="1" style="230" min="1556" max="1556"/>
    <col width="8.54296875" customWidth="1" style="230" min="1557" max="1559"/>
    <col width="9.54296875" customWidth="1" style="230" min="1560" max="1560"/>
    <col width="8.54296875" customWidth="1" style="230" min="1561" max="1792"/>
    <col width="13.453125" customWidth="1" style="230" min="1793" max="1793"/>
    <col width="9.453125" customWidth="1" style="230" min="1794" max="1794"/>
    <col width="12.453125" customWidth="1" style="230" min="1795" max="1795"/>
    <col width="10.54296875" customWidth="1" style="230" min="1796" max="1796"/>
    <col width="7.54296875" customWidth="1" style="230" min="1797" max="1797"/>
    <col width="10.453125" customWidth="1" style="230" min="1798" max="1799"/>
    <col width="9" customWidth="1" style="230" min="1800" max="1800"/>
    <col width="9.54296875" customWidth="1" style="230" min="1801" max="1801"/>
    <col width="9.453125" customWidth="1" style="230" min="1802" max="1802"/>
    <col width="12.54296875" customWidth="1" style="230" min="1803" max="1803"/>
    <col width="10.54296875" customWidth="1" style="230" min="1804" max="1804"/>
    <col width="8.54296875" customWidth="1" style="230" min="1805" max="1806"/>
    <col width="10.54296875" customWidth="1" style="230" min="1807" max="1807"/>
    <col width="10.453125" customWidth="1" style="230" min="1808" max="1810"/>
    <col width="8.54296875" customWidth="1" style="230" min="1811" max="1811"/>
    <col width="11.54296875" customWidth="1" style="230" min="1812" max="1812"/>
    <col width="8.54296875" customWidth="1" style="230" min="1813" max="1815"/>
    <col width="9.54296875" customWidth="1" style="230" min="1816" max="1816"/>
    <col width="8.54296875" customWidth="1" style="230" min="1817" max="2048"/>
    <col width="13.453125" customWidth="1" style="230" min="2049" max="2049"/>
    <col width="9.453125" customWidth="1" style="230" min="2050" max="2050"/>
    <col width="12.453125" customWidth="1" style="230" min="2051" max="2051"/>
    <col width="10.54296875" customWidth="1" style="230" min="2052" max="2052"/>
    <col width="7.54296875" customWidth="1" style="230" min="2053" max="2053"/>
    <col width="10.453125" customWidth="1" style="230" min="2054" max="2055"/>
    <col width="9" customWidth="1" style="230" min="2056" max="2056"/>
    <col width="9.54296875" customWidth="1" style="230" min="2057" max="2057"/>
    <col width="9.453125" customWidth="1" style="230" min="2058" max="2058"/>
    <col width="12.54296875" customWidth="1" style="230" min="2059" max="2059"/>
    <col width="10.54296875" customWidth="1" style="230" min="2060" max="2060"/>
    <col width="8.54296875" customWidth="1" style="230" min="2061" max="2062"/>
    <col width="10.54296875" customWidth="1" style="230" min="2063" max="2063"/>
    <col width="10.453125" customWidth="1" style="230" min="2064" max="2066"/>
    <col width="8.54296875" customWidth="1" style="230" min="2067" max="2067"/>
    <col width="11.54296875" customWidth="1" style="230" min="2068" max="2068"/>
    <col width="8.54296875" customWidth="1" style="230" min="2069" max="2071"/>
    <col width="9.54296875" customWidth="1" style="230" min="2072" max="2072"/>
    <col width="8.54296875" customWidth="1" style="230" min="2073" max="2304"/>
    <col width="13.453125" customWidth="1" style="230" min="2305" max="2305"/>
    <col width="9.453125" customWidth="1" style="230" min="2306" max="2306"/>
    <col width="12.453125" customWidth="1" style="230" min="2307" max="2307"/>
    <col width="10.54296875" customWidth="1" style="230" min="2308" max="2308"/>
    <col width="7.54296875" customWidth="1" style="230" min="2309" max="2309"/>
    <col width="10.453125" customWidth="1" style="230" min="2310" max="2311"/>
    <col width="9" customWidth="1" style="230" min="2312" max="2312"/>
    <col width="9.54296875" customWidth="1" style="230" min="2313" max="2313"/>
    <col width="9.453125" customWidth="1" style="230" min="2314" max="2314"/>
    <col width="12.54296875" customWidth="1" style="230" min="2315" max="2315"/>
    <col width="10.54296875" customWidth="1" style="230" min="2316" max="2316"/>
    <col width="8.54296875" customWidth="1" style="230" min="2317" max="2318"/>
    <col width="10.54296875" customWidth="1" style="230" min="2319" max="2319"/>
    <col width="10.453125" customWidth="1" style="230" min="2320" max="2322"/>
    <col width="8.54296875" customWidth="1" style="230" min="2323" max="2323"/>
    <col width="11.54296875" customWidth="1" style="230" min="2324" max="2324"/>
    <col width="8.54296875" customWidth="1" style="230" min="2325" max="2327"/>
    <col width="9.54296875" customWidth="1" style="230" min="2328" max="2328"/>
    <col width="8.54296875" customWidth="1" style="230" min="2329" max="2560"/>
    <col width="13.453125" customWidth="1" style="230" min="2561" max="2561"/>
    <col width="9.453125" customWidth="1" style="230" min="2562" max="2562"/>
    <col width="12.453125" customWidth="1" style="230" min="2563" max="2563"/>
    <col width="10.54296875" customWidth="1" style="230" min="2564" max="2564"/>
    <col width="7.54296875" customWidth="1" style="230" min="2565" max="2565"/>
    <col width="10.453125" customWidth="1" style="230" min="2566" max="2567"/>
    <col width="9" customWidth="1" style="230" min="2568" max="2568"/>
    <col width="9.54296875" customWidth="1" style="230" min="2569" max="2569"/>
    <col width="9.453125" customWidth="1" style="230" min="2570" max="2570"/>
    <col width="12.54296875" customWidth="1" style="230" min="2571" max="2571"/>
    <col width="10.54296875" customWidth="1" style="230" min="2572" max="2572"/>
    <col width="8.54296875" customWidth="1" style="230" min="2573" max="2574"/>
    <col width="10.54296875" customWidth="1" style="230" min="2575" max="2575"/>
    <col width="10.453125" customWidth="1" style="230" min="2576" max="2578"/>
    <col width="8.54296875" customWidth="1" style="230" min="2579" max="2579"/>
    <col width="11.54296875" customWidth="1" style="230" min="2580" max="2580"/>
    <col width="8.54296875" customWidth="1" style="230" min="2581" max="2583"/>
    <col width="9.54296875" customWidth="1" style="230" min="2584" max="2584"/>
    <col width="8.54296875" customWidth="1" style="230" min="2585" max="2816"/>
    <col width="13.453125" customWidth="1" style="230" min="2817" max="2817"/>
    <col width="9.453125" customWidth="1" style="230" min="2818" max="2818"/>
    <col width="12.453125" customWidth="1" style="230" min="2819" max="2819"/>
    <col width="10.54296875" customWidth="1" style="230" min="2820" max="2820"/>
    <col width="7.54296875" customWidth="1" style="230" min="2821" max="2821"/>
    <col width="10.453125" customWidth="1" style="230" min="2822" max="2823"/>
    <col width="9" customWidth="1" style="230" min="2824" max="2824"/>
    <col width="9.54296875" customWidth="1" style="230" min="2825" max="2825"/>
    <col width="9.453125" customWidth="1" style="230" min="2826" max="2826"/>
    <col width="12.54296875" customWidth="1" style="230" min="2827" max="2827"/>
    <col width="10.54296875" customWidth="1" style="230" min="2828" max="2828"/>
    <col width="8.54296875" customWidth="1" style="230" min="2829" max="2830"/>
    <col width="10.54296875" customWidth="1" style="230" min="2831" max="2831"/>
    <col width="10.453125" customWidth="1" style="230" min="2832" max="2834"/>
    <col width="8.54296875" customWidth="1" style="230" min="2835" max="2835"/>
    <col width="11.54296875" customWidth="1" style="230" min="2836" max="2836"/>
    <col width="8.54296875" customWidth="1" style="230" min="2837" max="2839"/>
    <col width="9.54296875" customWidth="1" style="230" min="2840" max="2840"/>
    <col width="8.54296875" customWidth="1" style="230" min="2841" max="3072"/>
    <col width="13.453125" customWidth="1" style="230" min="3073" max="3073"/>
    <col width="9.453125" customWidth="1" style="230" min="3074" max="3074"/>
    <col width="12.453125" customWidth="1" style="230" min="3075" max="3075"/>
    <col width="10.54296875" customWidth="1" style="230" min="3076" max="3076"/>
    <col width="7.54296875" customWidth="1" style="230" min="3077" max="3077"/>
    <col width="10.453125" customWidth="1" style="230" min="3078" max="3079"/>
    <col width="9" customWidth="1" style="230" min="3080" max="3080"/>
    <col width="9.54296875" customWidth="1" style="230" min="3081" max="3081"/>
    <col width="9.453125" customWidth="1" style="230" min="3082" max="3082"/>
    <col width="12.54296875" customWidth="1" style="230" min="3083" max="3083"/>
    <col width="10.54296875" customWidth="1" style="230" min="3084" max="3084"/>
    <col width="8.54296875" customWidth="1" style="230" min="3085" max="3086"/>
    <col width="10.54296875" customWidth="1" style="230" min="3087" max="3087"/>
    <col width="10.453125" customWidth="1" style="230" min="3088" max="3090"/>
    <col width="8.54296875" customWidth="1" style="230" min="3091" max="3091"/>
    <col width="11.54296875" customWidth="1" style="230" min="3092" max="3092"/>
    <col width="8.54296875" customWidth="1" style="230" min="3093" max="3095"/>
    <col width="9.54296875" customWidth="1" style="230" min="3096" max="3096"/>
    <col width="8.54296875" customWidth="1" style="230" min="3097" max="3328"/>
    <col width="13.453125" customWidth="1" style="230" min="3329" max="3329"/>
    <col width="9.453125" customWidth="1" style="230" min="3330" max="3330"/>
    <col width="12.453125" customWidth="1" style="230" min="3331" max="3331"/>
    <col width="10.54296875" customWidth="1" style="230" min="3332" max="3332"/>
    <col width="7.54296875" customWidth="1" style="230" min="3333" max="3333"/>
    <col width="10.453125" customWidth="1" style="230" min="3334" max="3335"/>
    <col width="9" customWidth="1" style="230" min="3336" max="3336"/>
    <col width="9.54296875" customWidth="1" style="230" min="3337" max="3337"/>
    <col width="9.453125" customWidth="1" style="230" min="3338" max="3338"/>
    <col width="12.54296875" customWidth="1" style="230" min="3339" max="3339"/>
    <col width="10.54296875" customWidth="1" style="230" min="3340" max="3340"/>
    <col width="8.54296875" customWidth="1" style="230" min="3341" max="3342"/>
    <col width="10.54296875" customWidth="1" style="230" min="3343" max="3343"/>
    <col width="10.453125" customWidth="1" style="230" min="3344" max="3346"/>
    <col width="8.54296875" customWidth="1" style="230" min="3347" max="3347"/>
    <col width="11.54296875" customWidth="1" style="230" min="3348" max="3348"/>
    <col width="8.54296875" customWidth="1" style="230" min="3349" max="3351"/>
    <col width="9.54296875" customWidth="1" style="230" min="3352" max="3352"/>
    <col width="8.54296875" customWidth="1" style="230" min="3353" max="3584"/>
    <col width="13.453125" customWidth="1" style="230" min="3585" max="3585"/>
    <col width="9.453125" customWidth="1" style="230" min="3586" max="3586"/>
    <col width="12.453125" customWidth="1" style="230" min="3587" max="3587"/>
    <col width="10.54296875" customWidth="1" style="230" min="3588" max="3588"/>
    <col width="7.54296875" customWidth="1" style="230" min="3589" max="3589"/>
    <col width="10.453125" customWidth="1" style="230" min="3590" max="3591"/>
    <col width="9" customWidth="1" style="230" min="3592" max="3592"/>
    <col width="9.54296875" customWidth="1" style="230" min="3593" max="3593"/>
    <col width="9.453125" customWidth="1" style="230" min="3594" max="3594"/>
    <col width="12.54296875" customWidth="1" style="230" min="3595" max="3595"/>
    <col width="10.54296875" customWidth="1" style="230" min="3596" max="3596"/>
    <col width="8.54296875" customWidth="1" style="230" min="3597" max="3598"/>
    <col width="10.54296875" customWidth="1" style="230" min="3599" max="3599"/>
    <col width="10.453125" customWidth="1" style="230" min="3600" max="3602"/>
    <col width="8.54296875" customWidth="1" style="230" min="3603" max="3603"/>
    <col width="11.54296875" customWidth="1" style="230" min="3604" max="3604"/>
    <col width="8.54296875" customWidth="1" style="230" min="3605" max="3607"/>
    <col width="9.54296875" customWidth="1" style="230" min="3608" max="3608"/>
    <col width="8.54296875" customWidth="1" style="230" min="3609" max="3840"/>
    <col width="13.453125" customWidth="1" style="230" min="3841" max="3841"/>
    <col width="9.453125" customWidth="1" style="230" min="3842" max="3842"/>
    <col width="12.453125" customWidth="1" style="230" min="3843" max="3843"/>
    <col width="10.54296875" customWidth="1" style="230" min="3844" max="3844"/>
    <col width="7.54296875" customWidth="1" style="230" min="3845" max="3845"/>
    <col width="10.453125" customWidth="1" style="230" min="3846" max="3847"/>
    <col width="9" customWidth="1" style="230" min="3848" max="3848"/>
    <col width="9.54296875" customWidth="1" style="230" min="3849" max="3849"/>
    <col width="9.453125" customWidth="1" style="230" min="3850" max="3850"/>
    <col width="12.54296875" customWidth="1" style="230" min="3851" max="3851"/>
    <col width="10.54296875" customWidth="1" style="230" min="3852" max="3852"/>
    <col width="8.54296875" customWidth="1" style="230" min="3853" max="3854"/>
    <col width="10.54296875" customWidth="1" style="230" min="3855" max="3855"/>
    <col width="10.453125" customWidth="1" style="230" min="3856" max="3858"/>
    <col width="8.54296875" customWidth="1" style="230" min="3859" max="3859"/>
    <col width="11.54296875" customWidth="1" style="230" min="3860" max="3860"/>
    <col width="8.54296875" customWidth="1" style="230" min="3861" max="3863"/>
    <col width="9.54296875" customWidth="1" style="230" min="3864" max="3864"/>
    <col width="8.54296875" customWidth="1" style="230" min="3865" max="4096"/>
    <col width="13.453125" customWidth="1" style="230" min="4097" max="4097"/>
    <col width="9.453125" customWidth="1" style="230" min="4098" max="4098"/>
    <col width="12.453125" customWidth="1" style="230" min="4099" max="4099"/>
    <col width="10.54296875" customWidth="1" style="230" min="4100" max="4100"/>
    <col width="7.54296875" customWidth="1" style="230" min="4101" max="4101"/>
    <col width="10.453125" customWidth="1" style="230" min="4102" max="4103"/>
    <col width="9" customWidth="1" style="230" min="4104" max="4104"/>
    <col width="9.54296875" customWidth="1" style="230" min="4105" max="4105"/>
    <col width="9.453125" customWidth="1" style="230" min="4106" max="4106"/>
    <col width="12.54296875" customWidth="1" style="230" min="4107" max="4107"/>
    <col width="10.54296875" customWidth="1" style="230" min="4108" max="4108"/>
    <col width="8.54296875" customWidth="1" style="230" min="4109" max="4110"/>
    <col width="10.54296875" customWidth="1" style="230" min="4111" max="4111"/>
    <col width="10.453125" customWidth="1" style="230" min="4112" max="4114"/>
    <col width="8.54296875" customWidth="1" style="230" min="4115" max="4115"/>
    <col width="11.54296875" customWidth="1" style="230" min="4116" max="4116"/>
    <col width="8.54296875" customWidth="1" style="230" min="4117" max="4119"/>
    <col width="9.54296875" customWidth="1" style="230" min="4120" max="4120"/>
    <col width="8.54296875" customWidth="1" style="230" min="4121" max="4352"/>
    <col width="13.453125" customWidth="1" style="230" min="4353" max="4353"/>
    <col width="9.453125" customWidth="1" style="230" min="4354" max="4354"/>
    <col width="12.453125" customWidth="1" style="230" min="4355" max="4355"/>
    <col width="10.54296875" customWidth="1" style="230" min="4356" max="4356"/>
    <col width="7.54296875" customWidth="1" style="230" min="4357" max="4357"/>
    <col width="10.453125" customWidth="1" style="230" min="4358" max="4359"/>
    <col width="9" customWidth="1" style="230" min="4360" max="4360"/>
    <col width="9.54296875" customWidth="1" style="230" min="4361" max="4361"/>
    <col width="9.453125" customWidth="1" style="230" min="4362" max="4362"/>
    <col width="12.54296875" customWidth="1" style="230" min="4363" max="4363"/>
    <col width="10.54296875" customWidth="1" style="230" min="4364" max="4364"/>
    <col width="8.54296875" customWidth="1" style="230" min="4365" max="4366"/>
    <col width="10.54296875" customWidth="1" style="230" min="4367" max="4367"/>
    <col width="10.453125" customWidth="1" style="230" min="4368" max="4370"/>
    <col width="8.54296875" customWidth="1" style="230" min="4371" max="4371"/>
    <col width="11.54296875" customWidth="1" style="230" min="4372" max="4372"/>
    <col width="8.54296875" customWidth="1" style="230" min="4373" max="4375"/>
    <col width="9.54296875" customWidth="1" style="230" min="4376" max="4376"/>
    <col width="8.54296875" customWidth="1" style="230" min="4377" max="4608"/>
    <col width="13.453125" customWidth="1" style="230" min="4609" max="4609"/>
    <col width="9.453125" customWidth="1" style="230" min="4610" max="4610"/>
    <col width="12.453125" customWidth="1" style="230" min="4611" max="4611"/>
    <col width="10.54296875" customWidth="1" style="230" min="4612" max="4612"/>
    <col width="7.54296875" customWidth="1" style="230" min="4613" max="4613"/>
    <col width="10.453125" customWidth="1" style="230" min="4614" max="4615"/>
    <col width="9" customWidth="1" style="230" min="4616" max="4616"/>
    <col width="9.54296875" customWidth="1" style="230" min="4617" max="4617"/>
    <col width="9.453125" customWidth="1" style="230" min="4618" max="4618"/>
    <col width="12.54296875" customWidth="1" style="230" min="4619" max="4619"/>
    <col width="10.54296875" customWidth="1" style="230" min="4620" max="4620"/>
    <col width="8.54296875" customWidth="1" style="230" min="4621" max="4622"/>
    <col width="10.54296875" customWidth="1" style="230" min="4623" max="4623"/>
    <col width="10.453125" customWidth="1" style="230" min="4624" max="4626"/>
    <col width="8.54296875" customWidth="1" style="230" min="4627" max="4627"/>
    <col width="11.54296875" customWidth="1" style="230" min="4628" max="4628"/>
    <col width="8.54296875" customWidth="1" style="230" min="4629" max="4631"/>
    <col width="9.54296875" customWidth="1" style="230" min="4632" max="4632"/>
    <col width="8.54296875" customWidth="1" style="230" min="4633" max="4864"/>
    <col width="13.453125" customWidth="1" style="230" min="4865" max="4865"/>
    <col width="9.453125" customWidth="1" style="230" min="4866" max="4866"/>
    <col width="12.453125" customWidth="1" style="230" min="4867" max="4867"/>
    <col width="10.54296875" customWidth="1" style="230" min="4868" max="4868"/>
    <col width="7.54296875" customWidth="1" style="230" min="4869" max="4869"/>
    <col width="10.453125" customWidth="1" style="230" min="4870" max="4871"/>
    <col width="9" customWidth="1" style="230" min="4872" max="4872"/>
    <col width="9.54296875" customWidth="1" style="230" min="4873" max="4873"/>
    <col width="9.453125" customWidth="1" style="230" min="4874" max="4874"/>
    <col width="12.54296875" customWidth="1" style="230" min="4875" max="4875"/>
    <col width="10.54296875" customWidth="1" style="230" min="4876" max="4876"/>
    <col width="8.54296875" customWidth="1" style="230" min="4877" max="4878"/>
    <col width="10.54296875" customWidth="1" style="230" min="4879" max="4879"/>
    <col width="10.453125" customWidth="1" style="230" min="4880" max="4882"/>
    <col width="8.54296875" customWidth="1" style="230" min="4883" max="4883"/>
    <col width="11.54296875" customWidth="1" style="230" min="4884" max="4884"/>
    <col width="8.54296875" customWidth="1" style="230" min="4885" max="4887"/>
    <col width="9.54296875" customWidth="1" style="230" min="4888" max="4888"/>
    <col width="8.54296875" customWidth="1" style="230" min="4889" max="5120"/>
    <col width="13.453125" customWidth="1" style="230" min="5121" max="5121"/>
    <col width="9.453125" customWidth="1" style="230" min="5122" max="5122"/>
    <col width="12.453125" customWidth="1" style="230" min="5123" max="5123"/>
    <col width="10.54296875" customWidth="1" style="230" min="5124" max="5124"/>
    <col width="7.54296875" customWidth="1" style="230" min="5125" max="5125"/>
    <col width="10.453125" customWidth="1" style="230" min="5126" max="5127"/>
    <col width="9" customWidth="1" style="230" min="5128" max="5128"/>
    <col width="9.54296875" customWidth="1" style="230" min="5129" max="5129"/>
    <col width="9.453125" customWidth="1" style="230" min="5130" max="5130"/>
    <col width="12.54296875" customWidth="1" style="230" min="5131" max="5131"/>
    <col width="10.54296875" customWidth="1" style="230" min="5132" max="5132"/>
    <col width="8.54296875" customWidth="1" style="230" min="5133" max="5134"/>
    <col width="10.54296875" customWidth="1" style="230" min="5135" max="5135"/>
    <col width="10.453125" customWidth="1" style="230" min="5136" max="5138"/>
    <col width="8.54296875" customWidth="1" style="230" min="5139" max="5139"/>
    <col width="11.54296875" customWidth="1" style="230" min="5140" max="5140"/>
    <col width="8.54296875" customWidth="1" style="230" min="5141" max="5143"/>
    <col width="9.54296875" customWidth="1" style="230" min="5144" max="5144"/>
    <col width="8.54296875" customWidth="1" style="230" min="5145" max="5376"/>
    <col width="13.453125" customWidth="1" style="230" min="5377" max="5377"/>
    <col width="9.453125" customWidth="1" style="230" min="5378" max="5378"/>
    <col width="12.453125" customWidth="1" style="230" min="5379" max="5379"/>
    <col width="10.54296875" customWidth="1" style="230" min="5380" max="5380"/>
    <col width="7.54296875" customWidth="1" style="230" min="5381" max="5381"/>
    <col width="10.453125" customWidth="1" style="230" min="5382" max="5383"/>
    <col width="9" customWidth="1" style="230" min="5384" max="5384"/>
    <col width="9.54296875" customWidth="1" style="230" min="5385" max="5385"/>
    <col width="9.453125" customWidth="1" style="230" min="5386" max="5386"/>
    <col width="12.54296875" customWidth="1" style="230" min="5387" max="5387"/>
    <col width="10.54296875" customWidth="1" style="230" min="5388" max="5388"/>
    <col width="8.54296875" customWidth="1" style="230" min="5389" max="5390"/>
    <col width="10.54296875" customWidth="1" style="230" min="5391" max="5391"/>
    <col width="10.453125" customWidth="1" style="230" min="5392" max="5394"/>
    <col width="8.54296875" customWidth="1" style="230" min="5395" max="5395"/>
    <col width="11.54296875" customWidth="1" style="230" min="5396" max="5396"/>
    <col width="8.54296875" customWidth="1" style="230" min="5397" max="5399"/>
    <col width="9.54296875" customWidth="1" style="230" min="5400" max="5400"/>
    <col width="8.54296875" customWidth="1" style="230" min="5401" max="5632"/>
    <col width="13.453125" customWidth="1" style="230" min="5633" max="5633"/>
    <col width="9.453125" customWidth="1" style="230" min="5634" max="5634"/>
    <col width="12.453125" customWidth="1" style="230" min="5635" max="5635"/>
    <col width="10.54296875" customWidth="1" style="230" min="5636" max="5636"/>
    <col width="7.54296875" customWidth="1" style="230" min="5637" max="5637"/>
    <col width="10.453125" customWidth="1" style="230" min="5638" max="5639"/>
    <col width="9" customWidth="1" style="230" min="5640" max="5640"/>
    <col width="9.54296875" customWidth="1" style="230" min="5641" max="5641"/>
    <col width="9.453125" customWidth="1" style="230" min="5642" max="5642"/>
    <col width="12.54296875" customWidth="1" style="230" min="5643" max="5643"/>
    <col width="10.54296875" customWidth="1" style="230" min="5644" max="5644"/>
    <col width="8.54296875" customWidth="1" style="230" min="5645" max="5646"/>
    <col width="10.54296875" customWidth="1" style="230" min="5647" max="5647"/>
    <col width="10.453125" customWidth="1" style="230" min="5648" max="5650"/>
    <col width="8.54296875" customWidth="1" style="230" min="5651" max="5651"/>
    <col width="11.54296875" customWidth="1" style="230" min="5652" max="5652"/>
    <col width="8.54296875" customWidth="1" style="230" min="5653" max="5655"/>
    <col width="9.54296875" customWidth="1" style="230" min="5656" max="5656"/>
    <col width="8.54296875" customWidth="1" style="230" min="5657" max="5888"/>
    <col width="13.453125" customWidth="1" style="230" min="5889" max="5889"/>
    <col width="9.453125" customWidth="1" style="230" min="5890" max="5890"/>
    <col width="12.453125" customWidth="1" style="230" min="5891" max="5891"/>
    <col width="10.54296875" customWidth="1" style="230" min="5892" max="5892"/>
    <col width="7.54296875" customWidth="1" style="230" min="5893" max="5893"/>
    <col width="10.453125" customWidth="1" style="230" min="5894" max="5895"/>
    <col width="9" customWidth="1" style="230" min="5896" max="5896"/>
    <col width="9.54296875" customWidth="1" style="230" min="5897" max="5897"/>
    <col width="9.453125" customWidth="1" style="230" min="5898" max="5898"/>
    <col width="12.54296875" customWidth="1" style="230" min="5899" max="5899"/>
    <col width="10.54296875" customWidth="1" style="230" min="5900" max="5900"/>
    <col width="8.54296875" customWidth="1" style="230" min="5901" max="5902"/>
    <col width="10.54296875" customWidth="1" style="230" min="5903" max="5903"/>
    <col width="10.453125" customWidth="1" style="230" min="5904" max="5906"/>
    <col width="8.54296875" customWidth="1" style="230" min="5907" max="5907"/>
    <col width="11.54296875" customWidth="1" style="230" min="5908" max="5908"/>
    <col width="8.54296875" customWidth="1" style="230" min="5909" max="5911"/>
    <col width="9.54296875" customWidth="1" style="230" min="5912" max="5912"/>
    <col width="8.54296875" customWidth="1" style="230" min="5913" max="6144"/>
    <col width="13.453125" customWidth="1" style="230" min="6145" max="6145"/>
    <col width="9.453125" customWidth="1" style="230" min="6146" max="6146"/>
    <col width="12.453125" customWidth="1" style="230" min="6147" max="6147"/>
    <col width="10.54296875" customWidth="1" style="230" min="6148" max="6148"/>
    <col width="7.54296875" customWidth="1" style="230" min="6149" max="6149"/>
    <col width="10.453125" customWidth="1" style="230" min="6150" max="6151"/>
    <col width="9" customWidth="1" style="230" min="6152" max="6152"/>
    <col width="9.54296875" customWidth="1" style="230" min="6153" max="6153"/>
    <col width="9.453125" customWidth="1" style="230" min="6154" max="6154"/>
    <col width="12.54296875" customWidth="1" style="230" min="6155" max="6155"/>
    <col width="10.54296875" customWidth="1" style="230" min="6156" max="6156"/>
    <col width="8.54296875" customWidth="1" style="230" min="6157" max="6158"/>
    <col width="10.54296875" customWidth="1" style="230" min="6159" max="6159"/>
    <col width="10.453125" customWidth="1" style="230" min="6160" max="6162"/>
    <col width="8.54296875" customWidth="1" style="230" min="6163" max="6163"/>
    <col width="11.54296875" customWidth="1" style="230" min="6164" max="6164"/>
    <col width="8.54296875" customWidth="1" style="230" min="6165" max="6167"/>
    <col width="9.54296875" customWidth="1" style="230" min="6168" max="6168"/>
    <col width="8.54296875" customWidth="1" style="230" min="6169" max="6400"/>
    <col width="13.453125" customWidth="1" style="230" min="6401" max="6401"/>
    <col width="9.453125" customWidth="1" style="230" min="6402" max="6402"/>
    <col width="12.453125" customWidth="1" style="230" min="6403" max="6403"/>
    <col width="10.54296875" customWidth="1" style="230" min="6404" max="6404"/>
    <col width="7.54296875" customWidth="1" style="230" min="6405" max="6405"/>
    <col width="10.453125" customWidth="1" style="230" min="6406" max="6407"/>
    <col width="9" customWidth="1" style="230" min="6408" max="6408"/>
    <col width="9.54296875" customWidth="1" style="230" min="6409" max="6409"/>
    <col width="9.453125" customWidth="1" style="230" min="6410" max="6410"/>
    <col width="12.54296875" customWidth="1" style="230" min="6411" max="6411"/>
    <col width="10.54296875" customWidth="1" style="230" min="6412" max="6412"/>
    <col width="8.54296875" customWidth="1" style="230" min="6413" max="6414"/>
    <col width="10.54296875" customWidth="1" style="230" min="6415" max="6415"/>
    <col width="10.453125" customWidth="1" style="230" min="6416" max="6418"/>
    <col width="8.54296875" customWidth="1" style="230" min="6419" max="6419"/>
    <col width="11.54296875" customWidth="1" style="230" min="6420" max="6420"/>
    <col width="8.54296875" customWidth="1" style="230" min="6421" max="6423"/>
    <col width="9.54296875" customWidth="1" style="230" min="6424" max="6424"/>
    <col width="8.54296875" customWidth="1" style="230" min="6425" max="6656"/>
    <col width="13.453125" customWidth="1" style="230" min="6657" max="6657"/>
    <col width="9.453125" customWidth="1" style="230" min="6658" max="6658"/>
    <col width="12.453125" customWidth="1" style="230" min="6659" max="6659"/>
    <col width="10.54296875" customWidth="1" style="230" min="6660" max="6660"/>
    <col width="7.54296875" customWidth="1" style="230" min="6661" max="6661"/>
    <col width="10.453125" customWidth="1" style="230" min="6662" max="6663"/>
    <col width="9" customWidth="1" style="230" min="6664" max="6664"/>
    <col width="9.54296875" customWidth="1" style="230" min="6665" max="6665"/>
    <col width="9.453125" customWidth="1" style="230" min="6666" max="6666"/>
    <col width="12.54296875" customWidth="1" style="230" min="6667" max="6667"/>
    <col width="10.54296875" customWidth="1" style="230" min="6668" max="6668"/>
    <col width="8.54296875" customWidth="1" style="230" min="6669" max="6670"/>
    <col width="10.54296875" customWidth="1" style="230" min="6671" max="6671"/>
    <col width="10.453125" customWidth="1" style="230" min="6672" max="6674"/>
    <col width="8.54296875" customWidth="1" style="230" min="6675" max="6675"/>
    <col width="11.54296875" customWidth="1" style="230" min="6676" max="6676"/>
    <col width="8.54296875" customWidth="1" style="230" min="6677" max="6679"/>
    <col width="9.54296875" customWidth="1" style="230" min="6680" max="6680"/>
    <col width="8.54296875" customWidth="1" style="230" min="6681" max="6912"/>
    <col width="13.453125" customWidth="1" style="230" min="6913" max="6913"/>
    <col width="9.453125" customWidth="1" style="230" min="6914" max="6914"/>
    <col width="12.453125" customWidth="1" style="230" min="6915" max="6915"/>
    <col width="10.54296875" customWidth="1" style="230" min="6916" max="6916"/>
    <col width="7.54296875" customWidth="1" style="230" min="6917" max="6917"/>
    <col width="10.453125" customWidth="1" style="230" min="6918" max="6919"/>
    <col width="9" customWidth="1" style="230" min="6920" max="6920"/>
    <col width="9.54296875" customWidth="1" style="230" min="6921" max="6921"/>
    <col width="9.453125" customWidth="1" style="230" min="6922" max="6922"/>
    <col width="12.54296875" customWidth="1" style="230" min="6923" max="6923"/>
    <col width="10.54296875" customWidth="1" style="230" min="6924" max="6924"/>
    <col width="8.54296875" customWidth="1" style="230" min="6925" max="6926"/>
    <col width="10.54296875" customWidth="1" style="230" min="6927" max="6927"/>
    <col width="10.453125" customWidth="1" style="230" min="6928" max="6930"/>
    <col width="8.54296875" customWidth="1" style="230" min="6931" max="6931"/>
    <col width="11.54296875" customWidth="1" style="230" min="6932" max="6932"/>
    <col width="8.54296875" customWidth="1" style="230" min="6933" max="6935"/>
    <col width="9.54296875" customWidth="1" style="230" min="6936" max="6936"/>
    <col width="8.54296875" customWidth="1" style="230" min="6937" max="7168"/>
    <col width="13.453125" customWidth="1" style="230" min="7169" max="7169"/>
    <col width="9.453125" customWidth="1" style="230" min="7170" max="7170"/>
    <col width="12.453125" customWidth="1" style="230" min="7171" max="7171"/>
    <col width="10.54296875" customWidth="1" style="230" min="7172" max="7172"/>
    <col width="7.54296875" customWidth="1" style="230" min="7173" max="7173"/>
    <col width="10.453125" customWidth="1" style="230" min="7174" max="7175"/>
    <col width="9" customWidth="1" style="230" min="7176" max="7176"/>
    <col width="9.54296875" customWidth="1" style="230" min="7177" max="7177"/>
    <col width="9.453125" customWidth="1" style="230" min="7178" max="7178"/>
    <col width="12.54296875" customWidth="1" style="230" min="7179" max="7179"/>
    <col width="10.54296875" customWidth="1" style="230" min="7180" max="7180"/>
    <col width="8.54296875" customWidth="1" style="230" min="7181" max="7182"/>
    <col width="10.54296875" customWidth="1" style="230" min="7183" max="7183"/>
    <col width="10.453125" customWidth="1" style="230" min="7184" max="7186"/>
    <col width="8.54296875" customWidth="1" style="230" min="7187" max="7187"/>
    <col width="11.54296875" customWidth="1" style="230" min="7188" max="7188"/>
    <col width="8.54296875" customWidth="1" style="230" min="7189" max="7191"/>
    <col width="9.54296875" customWidth="1" style="230" min="7192" max="7192"/>
    <col width="8.54296875" customWidth="1" style="230" min="7193" max="7424"/>
    <col width="13.453125" customWidth="1" style="230" min="7425" max="7425"/>
    <col width="9.453125" customWidth="1" style="230" min="7426" max="7426"/>
    <col width="12.453125" customWidth="1" style="230" min="7427" max="7427"/>
    <col width="10.54296875" customWidth="1" style="230" min="7428" max="7428"/>
    <col width="7.54296875" customWidth="1" style="230" min="7429" max="7429"/>
    <col width="10.453125" customWidth="1" style="230" min="7430" max="7431"/>
    <col width="9" customWidth="1" style="230" min="7432" max="7432"/>
    <col width="9.54296875" customWidth="1" style="230" min="7433" max="7433"/>
    <col width="9.453125" customWidth="1" style="230" min="7434" max="7434"/>
    <col width="12.54296875" customWidth="1" style="230" min="7435" max="7435"/>
    <col width="10.54296875" customWidth="1" style="230" min="7436" max="7436"/>
    <col width="8.54296875" customWidth="1" style="230" min="7437" max="7438"/>
    <col width="10.54296875" customWidth="1" style="230" min="7439" max="7439"/>
    <col width="10.453125" customWidth="1" style="230" min="7440" max="7442"/>
    <col width="8.54296875" customWidth="1" style="230" min="7443" max="7443"/>
    <col width="11.54296875" customWidth="1" style="230" min="7444" max="7444"/>
    <col width="8.54296875" customWidth="1" style="230" min="7445" max="7447"/>
    <col width="9.54296875" customWidth="1" style="230" min="7448" max="7448"/>
    <col width="8.54296875" customWidth="1" style="230" min="7449" max="7680"/>
    <col width="13.453125" customWidth="1" style="230" min="7681" max="7681"/>
    <col width="9.453125" customWidth="1" style="230" min="7682" max="7682"/>
    <col width="12.453125" customWidth="1" style="230" min="7683" max="7683"/>
    <col width="10.54296875" customWidth="1" style="230" min="7684" max="7684"/>
    <col width="7.54296875" customWidth="1" style="230" min="7685" max="7685"/>
    <col width="10.453125" customWidth="1" style="230" min="7686" max="7687"/>
    <col width="9" customWidth="1" style="230" min="7688" max="7688"/>
    <col width="9.54296875" customWidth="1" style="230" min="7689" max="7689"/>
    <col width="9.453125" customWidth="1" style="230" min="7690" max="7690"/>
    <col width="12.54296875" customWidth="1" style="230" min="7691" max="7691"/>
    <col width="10.54296875" customWidth="1" style="230" min="7692" max="7692"/>
    <col width="8.54296875" customWidth="1" style="230" min="7693" max="7694"/>
    <col width="10.54296875" customWidth="1" style="230" min="7695" max="7695"/>
    <col width="10.453125" customWidth="1" style="230" min="7696" max="7698"/>
    <col width="8.54296875" customWidth="1" style="230" min="7699" max="7699"/>
    <col width="11.54296875" customWidth="1" style="230" min="7700" max="7700"/>
    <col width="8.54296875" customWidth="1" style="230" min="7701" max="7703"/>
    <col width="9.54296875" customWidth="1" style="230" min="7704" max="7704"/>
    <col width="8.54296875" customWidth="1" style="230" min="7705" max="7936"/>
    <col width="13.453125" customWidth="1" style="230" min="7937" max="7937"/>
    <col width="9.453125" customWidth="1" style="230" min="7938" max="7938"/>
    <col width="12.453125" customWidth="1" style="230" min="7939" max="7939"/>
    <col width="10.54296875" customWidth="1" style="230" min="7940" max="7940"/>
    <col width="7.54296875" customWidth="1" style="230" min="7941" max="7941"/>
    <col width="10.453125" customWidth="1" style="230" min="7942" max="7943"/>
    <col width="9" customWidth="1" style="230" min="7944" max="7944"/>
    <col width="9.54296875" customWidth="1" style="230" min="7945" max="7945"/>
    <col width="9.453125" customWidth="1" style="230" min="7946" max="7946"/>
    <col width="12.54296875" customWidth="1" style="230" min="7947" max="7947"/>
    <col width="10.54296875" customWidth="1" style="230" min="7948" max="7948"/>
    <col width="8.54296875" customWidth="1" style="230" min="7949" max="7950"/>
    <col width="10.54296875" customWidth="1" style="230" min="7951" max="7951"/>
    <col width="10.453125" customWidth="1" style="230" min="7952" max="7954"/>
    <col width="8.54296875" customWidth="1" style="230" min="7955" max="7955"/>
    <col width="11.54296875" customWidth="1" style="230" min="7956" max="7956"/>
    <col width="8.54296875" customWidth="1" style="230" min="7957" max="7959"/>
    <col width="9.54296875" customWidth="1" style="230" min="7960" max="7960"/>
    <col width="8.54296875" customWidth="1" style="230" min="7961" max="8192"/>
    <col width="13.453125" customWidth="1" style="230" min="8193" max="8193"/>
    <col width="9.453125" customWidth="1" style="230" min="8194" max="8194"/>
    <col width="12.453125" customWidth="1" style="230" min="8195" max="8195"/>
    <col width="10.54296875" customWidth="1" style="230" min="8196" max="8196"/>
    <col width="7.54296875" customWidth="1" style="230" min="8197" max="8197"/>
    <col width="10.453125" customWidth="1" style="230" min="8198" max="8199"/>
    <col width="9" customWidth="1" style="230" min="8200" max="8200"/>
    <col width="9.54296875" customWidth="1" style="230" min="8201" max="8201"/>
    <col width="9.453125" customWidth="1" style="230" min="8202" max="8202"/>
    <col width="12.54296875" customWidth="1" style="230" min="8203" max="8203"/>
    <col width="10.54296875" customWidth="1" style="230" min="8204" max="8204"/>
    <col width="8.54296875" customWidth="1" style="230" min="8205" max="8206"/>
    <col width="10.54296875" customWidth="1" style="230" min="8207" max="8207"/>
    <col width="10.453125" customWidth="1" style="230" min="8208" max="8210"/>
    <col width="8.54296875" customWidth="1" style="230" min="8211" max="8211"/>
    <col width="11.54296875" customWidth="1" style="230" min="8212" max="8212"/>
    <col width="8.54296875" customWidth="1" style="230" min="8213" max="8215"/>
    <col width="9.54296875" customWidth="1" style="230" min="8216" max="8216"/>
    <col width="8.54296875" customWidth="1" style="230" min="8217" max="8448"/>
    <col width="13.453125" customWidth="1" style="230" min="8449" max="8449"/>
    <col width="9.453125" customWidth="1" style="230" min="8450" max="8450"/>
    <col width="12.453125" customWidth="1" style="230" min="8451" max="8451"/>
    <col width="10.54296875" customWidth="1" style="230" min="8452" max="8452"/>
    <col width="7.54296875" customWidth="1" style="230" min="8453" max="8453"/>
    <col width="10.453125" customWidth="1" style="230" min="8454" max="8455"/>
    <col width="9" customWidth="1" style="230" min="8456" max="8456"/>
    <col width="9.54296875" customWidth="1" style="230" min="8457" max="8457"/>
    <col width="9.453125" customWidth="1" style="230" min="8458" max="8458"/>
    <col width="12.54296875" customWidth="1" style="230" min="8459" max="8459"/>
    <col width="10.54296875" customWidth="1" style="230" min="8460" max="8460"/>
    <col width="8.54296875" customWidth="1" style="230" min="8461" max="8462"/>
    <col width="10.54296875" customWidth="1" style="230" min="8463" max="8463"/>
    <col width="10.453125" customWidth="1" style="230" min="8464" max="8466"/>
    <col width="8.54296875" customWidth="1" style="230" min="8467" max="8467"/>
    <col width="11.54296875" customWidth="1" style="230" min="8468" max="8468"/>
    <col width="8.54296875" customWidth="1" style="230" min="8469" max="8471"/>
    <col width="9.54296875" customWidth="1" style="230" min="8472" max="8472"/>
    <col width="8.54296875" customWidth="1" style="230" min="8473" max="8704"/>
    <col width="13.453125" customWidth="1" style="230" min="8705" max="8705"/>
    <col width="9.453125" customWidth="1" style="230" min="8706" max="8706"/>
    <col width="12.453125" customWidth="1" style="230" min="8707" max="8707"/>
    <col width="10.54296875" customWidth="1" style="230" min="8708" max="8708"/>
    <col width="7.54296875" customWidth="1" style="230" min="8709" max="8709"/>
    <col width="10.453125" customWidth="1" style="230" min="8710" max="8711"/>
    <col width="9" customWidth="1" style="230" min="8712" max="8712"/>
    <col width="9.54296875" customWidth="1" style="230" min="8713" max="8713"/>
    <col width="9.453125" customWidth="1" style="230" min="8714" max="8714"/>
    <col width="12.54296875" customWidth="1" style="230" min="8715" max="8715"/>
    <col width="10.54296875" customWidth="1" style="230" min="8716" max="8716"/>
    <col width="8.54296875" customWidth="1" style="230" min="8717" max="8718"/>
    <col width="10.54296875" customWidth="1" style="230" min="8719" max="8719"/>
    <col width="10.453125" customWidth="1" style="230" min="8720" max="8722"/>
    <col width="8.54296875" customWidth="1" style="230" min="8723" max="8723"/>
    <col width="11.54296875" customWidth="1" style="230" min="8724" max="8724"/>
    <col width="8.54296875" customWidth="1" style="230" min="8725" max="8727"/>
    <col width="9.54296875" customWidth="1" style="230" min="8728" max="8728"/>
    <col width="8.54296875" customWidth="1" style="230" min="8729" max="8960"/>
    <col width="13.453125" customWidth="1" style="230" min="8961" max="8961"/>
    <col width="9.453125" customWidth="1" style="230" min="8962" max="8962"/>
    <col width="12.453125" customWidth="1" style="230" min="8963" max="8963"/>
    <col width="10.54296875" customWidth="1" style="230" min="8964" max="8964"/>
    <col width="7.54296875" customWidth="1" style="230" min="8965" max="8965"/>
    <col width="10.453125" customWidth="1" style="230" min="8966" max="8967"/>
    <col width="9" customWidth="1" style="230" min="8968" max="8968"/>
    <col width="9.54296875" customWidth="1" style="230" min="8969" max="8969"/>
    <col width="9.453125" customWidth="1" style="230" min="8970" max="8970"/>
    <col width="12.54296875" customWidth="1" style="230" min="8971" max="8971"/>
    <col width="10.54296875" customWidth="1" style="230" min="8972" max="8972"/>
    <col width="8.54296875" customWidth="1" style="230" min="8973" max="8974"/>
    <col width="10.54296875" customWidth="1" style="230" min="8975" max="8975"/>
    <col width="10.453125" customWidth="1" style="230" min="8976" max="8978"/>
    <col width="8.54296875" customWidth="1" style="230" min="8979" max="8979"/>
    <col width="11.54296875" customWidth="1" style="230" min="8980" max="8980"/>
    <col width="8.54296875" customWidth="1" style="230" min="8981" max="8983"/>
    <col width="9.54296875" customWidth="1" style="230" min="8984" max="8984"/>
    <col width="8.54296875" customWidth="1" style="230" min="8985" max="9216"/>
    <col width="13.453125" customWidth="1" style="230" min="9217" max="9217"/>
    <col width="9.453125" customWidth="1" style="230" min="9218" max="9218"/>
    <col width="12.453125" customWidth="1" style="230" min="9219" max="9219"/>
    <col width="10.54296875" customWidth="1" style="230" min="9220" max="9220"/>
    <col width="7.54296875" customWidth="1" style="230" min="9221" max="9221"/>
    <col width="10.453125" customWidth="1" style="230" min="9222" max="9223"/>
    <col width="9" customWidth="1" style="230" min="9224" max="9224"/>
    <col width="9.54296875" customWidth="1" style="230" min="9225" max="9225"/>
    <col width="9.453125" customWidth="1" style="230" min="9226" max="9226"/>
    <col width="12.54296875" customWidth="1" style="230" min="9227" max="9227"/>
    <col width="10.54296875" customWidth="1" style="230" min="9228" max="9228"/>
    <col width="8.54296875" customWidth="1" style="230" min="9229" max="9230"/>
    <col width="10.54296875" customWidth="1" style="230" min="9231" max="9231"/>
    <col width="10.453125" customWidth="1" style="230" min="9232" max="9234"/>
    <col width="8.54296875" customWidth="1" style="230" min="9235" max="9235"/>
    <col width="11.54296875" customWidth="1" style="230" min="9236" max="9236"/>
    <col width="8.54296875" customWidth="1" style="230" min="9237" max="9239"/>
    <col width="9.54296875" customWidth="1" style="230" min="9240" max="9240"/>
    <col width="8.54296875" customWidth="1" style="230" min="9241" max="9472"/>
    <col width="13.453125" customWidth="1" style="230" min="9473" max="9473"/>
    <col width="9.453125" customWidth="1" style="230" min="9474" max="9474"/>
    <col width="12.453125" customWidth="1" style="230" min="9475" max="9475"/>
    <col width="10.54296875" customWidth="1" style="230" min="9476" max="9476"/>
    <col width="7.54296875" customWidth="1" style="230" min="9477" max="9477"/>
    <col width="10.453125" customWidth="1" style="230" min="9478" max="9479"/>
    <col width="9" customWidth="1" style="230" min="9480" max="9480"/>
    <col width="9.54296875" customWidth="1" style="230" min="9481" max="9481"/>
    <col width="9.453125" customWidth="1" style="230" min="9482" max="9482"/>
    <col width="12.54296875" customWidth="1" style="230" min="9483" max="9483"/>
    <col width="10.54296875" customWidth="1" style="230" min="9484" max="9484"/>
    <col width="8.54296875" customWidth="1" style="230" min="9485" max="9486"/>
    <col width="10.54296875" customWidth="1" style="230" min="9487" max="9487"/>
    <col width="10.453125" customWidth="1" style="230" min="9488" max="9490"/>
    <col width="8.54296875" customWidth="1" style="230" min="9491" max="9491"/>
    <col width="11.54296875" customWidth="1" style="230" min="9492" max="9492"/>
    <col width="8.54296875" customWidth="1" style="230" min="9493" max="9495"/>
    <col width="9.54296875" customWidth="1" style="230" min="9496" max="9496"/>
    <col width="8.54296875" customWidth="1" style="230" min="9497" max="9728"/>
    <col width="13.453125" customWidth="1" style="230" min="9729" max="9729"/>
    <col width="9.453125" customWidth="1" style="230" min="9730" max="9730"/>
    <col width="12.453125" customWidth="1" style="230" min="9731" max="9731"/>
    <col width="10.54296875" customWidth="1" style="230" min="9732" max="9732"/>
    <col width="7.54296875" customWidth="1" style="230" min="9733" max="9733"/>
    <col width="10.453125" customWidth="1" style="230" min="9734" max="9735"/>
    <col width="9" customWidth="1" style="230" min="9736" max="9736"/>
    <col width="9.54296875" customWidth="1" style="230" min="9737" max="9737"/>
    <col width="9.453125" customWidth="1" style="230" min="9738" max="9738"/>
    <col width="12.54296875" customWidth="1" style="230" min="9739" max="9739"/>
    <col width="10.54296875" customWidth="1" style="230" min="9740" max="9740"/>
    <col width="8.54296875" customWidth="1" style="230" min="9741" max="9742"/>
    <col width="10.54296875" customWidth="1" style="230" min="9743" max="9743"/>
    <col width="10.453125" customWidth="1" style="230" min="9744" max="9746"/>
    <col width="8.54296875" customWidth="1" style="230" min="9747" max="9747"/>
    <col width="11.54296875" customWidth="1" style="230" min="9748" max="9748"/>
    <col width="8.54296875" customWidth="1" style="230" min="9749" max="9751"/>
    <col width="9.54296875" customWidth="1" style="230" min="9752" max="9752"/>
    <col width="8.54296875" customWidth="1" style="230" min="9753" max="9984"/>
    <col width="13.453125" customWidth="1" style="230" min="9985" max="9985"/>
    <col width="9.453125" customWidth="1" style="230" min="9986" max="9986"/>
    <col width="12.453125" customWidth="1" style="230" min="9987" max="9987"/>
    <col width="10.54296875" customWidth="1" style="230" min="9988" max="9988"/>
    <col width="7.54296875" customWidth="1" style="230" min="9989" max="9989"/>
    <col width="10.453125" customWidth="1" style="230" min="9990" max="9991"/>
    <col width="9" customWidth="1" style="230" min="9992" max="9992"/>
    <col width="9.54296875" customWidth="1" style="230" min="9993" max="9993"/>
    <col width="9.453125" customWidth="1" style="230" min="9994" max="9994"/>
    <col width="12.54296875" customWidth="1" style="230" min="9995" max="9995"/>
    <col width="10.54296875" customWidth="1" style="230" min="9996" max="9996"/>
    <col width="8.54296875" customWidth="1" style="230" min="9997" max="9998"/>
    <col width="10.54296875" customWidth="1" style="230" min="9999" max="9999"/>
    <col width="10.453125" customWidth="1" style="230" min="10000" max="10002"/>
    <col width="8.54296875" customWidth="1" style="230" min="10003" max="10003"/>
    <col width="11.54296875" customWidth="1" style="230" min="10004" max="10004"/>
    <col width="8.54296875" customWidth="1" style="230" min="10005" max="10007"/>
    <col width="9.54296875" customWidth="1" style="230" min="10008" max="10008"/>
    <col width="8.54296875" customWidth="1" style="230" min="10009" max="10240"/>
    <col width="13.453125" customWidth="1" style="230" min="10241" max="10241"/>
    <col width="9.453125" customWidth="1" style="230" min="10242" max="10242"/>
    <col width="12.453125" customWidth="1" style="230" min="10243" max="10243"/>
    <col width="10.54296875" customWidth="1" style="230" min="10244" max="10244"/>
    <col width="7.54296875" customWidth="1" style="230" min="10245" max="10245"/>
    <col width="10.453125" customWidth="1" style="230" min="10246" max="10247"/>
    <col width="9" customWidth="1" style="230" min="10248" max="10248"/>
    <col width="9.54296875" customWidth="1" style="230" min="10249" max="10249"/>
    <col width="9.453125" customWidth="1" style="230" min="10250" max="10250"/>
    <col width="12.54296875" customWidth="1" style="230" min="10251" max="10251"/>
    <col width="10.54296875" customWidth="1" style="230" min="10252" max="10252"/>
    <col width="8.54296875" customWidth="1" style="230" min="10253" max="10254"/>
    <col width="10.54296875" customWidth="1" style="230" min="10255" max="10255"/>
    <col width="10.453125" customWidth="1" style="230" min="10256" max="10258"/>
    <col width="8.54296875" customWidth="1" style="230" min="10259" max="10259"/>
    <col width="11.54296875" customWidth="1" style="230" min="10260" max="10260"/>
    <col width="8.54296875" customWidth="1" style="230" min="10261" max="10263"/>
    <col width="9.54296875" customWidth="1" style="230" min="10264" max="10264"/>
    <col width="8.54296875" customWidth="1" style="230" min="10265" max="10496"/>
    <col width="13.453125" customWidth="1" style="230" min="10497" max="10497"/>
    <col width="9.453125" customWidth="1" style="230" min="10498" max="10498"/>
    <col width="12.453125" customWidth="1" style="230" min="10499" max="10499"/>
    <col width="10.54296875" customWidth="1" style="230" min="10500" max="10500"/>
    <col width="7.54296875" customWidth="1" style="230" min="10501" max="10501"/>
    <col width="10.453125" customWidth="1" style="230" min="10502" max="10503"/>
    <col width="9" customWidth="1" style="230" min="10504" max="10504"/>
    <col width="9.54296875" customWidth="1" style="230" min="10505" max="10505"/>
    <col width="9.453125" customWidth="1" style="230" min="10506" max="10506"/>
    <col width="12.54296875" customWidth="1" style="230" min="10507" max="10507"/>
    <col width="10.54296875" customWidth="1" style="230" min="10508" max="10508"/>
    <col width="8.54296875" customWidth="1" style="230" min="10509" max="10510"/>
    <col width="10.54296875" customWidth="1" style="230" min="10511" max="10511"/>
    <col width="10.453125" customWidth="1" style="230" min="10512" max="10514"/>
    <col width="8.54296875" customWidth="1" style="230" min="10515" max="10515"/>
    <col width="11.54296875" customWidth="1" style="230" min="10516" max="10516"/>
    <col width="8.54296875" customWidth="1" style="230" min="10517" max="10519"/>
    <col width="9.54296875" customWidth="1" style="230" min="10520" max="10520"/>
    <col width="8.54296875" customWidth="1" style="230" min="10521" max="10752"/>
    <col width="13.453125" customWidth="1" style="230" min="10753" max="10753"/>
    <col width="9.453125" customWidth="1" style="230" min="10754" max="10754"/>
    <col width="12.453125" customWidth="1" style="230" min="10755" max="10755"/>
    <col width="10.54296875" customWidth="1" style="230" min="10756" max="10756"/>
    <col width="7.54296875" customWidth="1" style="230" min="10757" max="10757"/>
    <col width="10.453125" customWidth="1" style="230" min="10758" max="10759"/>
    <col width="9" customWidth="1" style="230" min="10760" max="10760"/>
    <col width="9.54296875" customWidth="1" style="230" min="10761" max="10761"/>
    <col width="9.453125" customWidth="1" style="230" min="10762" max="10762"/>
    <col width="12.54296875" customWidth="1" style="230" min="10763" max="10763"/>
    <col width="10.54296875" customWidth="1" style="230" min="10764" max="10764"/>
    <col width="8.54296875" customWidth="1" style="230" min="10765" max="10766"/>
    <col width="10.54296875" customWidth="1" style="230" min="10767" max="10767"/>
    <col width="10.453125" customWidth="1" style="230" min="10768" max="10770"/>
    <col width="8.54296875" customWidth="1" style="230" min="10771" max="10771"/>
    <col width="11.54296875" customWidth="1" style="230" min="10772" max="10772"/>
    <col width="8.54296875" customWidth="1" style="230" min="10773" max="10775"/>
    <col width="9.54296875" customWidth="1" style="230" min="10776" max="10776"/>
    <col width="8.54296875" customWidth="1" style="230" min="10777" max="11008"/>
    <col width="13.453125" customWidth="1" style="230" min="11009" max="11009"/>
    <col width="9.453125" customWidth="1" style="230" min="11010" max="11010"/>
    <col width="12.453125" customWidth="1" style="230" min="11011" max="11011"/>
    <col width="10.54296875" customWidth="1" style="230" min="11012" max="11012"/>
    <col width="7.54296875" customWidth="1" style="230" min="11013" max="11013"/>
    <col width="10.453125" customWidth="1" style="230" min="11014" max="11015"/>
    <col width="9" customWidth="1" style="230" min="11016" max="11016"/>
    <col width="9.54296875" customWidth="1" style="230" min="11017" max="11017"/>
    <col width="9.453125" customWidth="1" style="230" min="11018" max="11018"/>
    <col width="12.54296875" customWidth="1" style="230" min="11019" max="11019"/>
    <col width="10.54296875" customWidth="1" style="230" min="11020" max="11020"/>
    <col width="8.54296875" customWidth="1" style="230" min="11021" max="11022"/>
    <col width="10.54296875" customWidth="1" style="230" min="11023" max="11023"/>
    <col width="10.453125" customWidth="1" style="230" min="11024" max="11026"/>
    <col width="8.54296875" customWidth="1" style="230" min="11027" max="11027"/>
    <col width="11.54296875" customWidth="1" style="230" min="11028" max="11028"/>
    <col width="8.54296875" customWidth="1" style="230" min="11029" max="11031"/>
    <col width="9.54296875" customWidth="1" style="230" min="11032" max="11032"/>
    <col width="8.54296875" customWidth="1" style="230" min="11033" max="11264"/>
    <col width="13.453125" customWidth="1" style="230" min="11265" max="11265"/>
    <col width="9.453125" customWidth="1" style="230" min="11266" max="11266"/>
    <col width="12.453125" customWidth="1" style="230" min="11267" max="11267"/>
    <col width="10.54296875" customWidth="1" style="230" min="11268" max="11268"/>
    <col width="7.54296875" customWidth="1" style="230" min="11269" max="11269"/>
    <col width="10.453125" customWidth="1" style="230" min="11270" max="11271"/>
    <col width="9" customWidth="1" style="230" min="11272" max="11272"/>
    <col width="9.54296875" customWidth="1" style="230" min="11273" max="11273"/>
    <col width="9.453125" customWidth="1" style="230" min="11274" max="11274"/>
    <col width="12.54296875" customWidth="1" style="230" min="11275" max="11275"/>
    <col width="10.54296875" customWidth="1" style="230" min="11276" max="11276"/>
    <col width="8.54296875" customWidth="1" style="230" min="11277" max="11278"/>
    <col width="10.54296875" customWidth="1" style="230" min="11279" max="11279"/>
    <col width="10.453125" customWidth="1" style="230" min="11280" max="11282"/>
    <col width="8.54296875" customWidth="1" style="230" min="11283" max="11283"/>
    <col width="11.54296875" customWidth="1" style="230" min="11284" max="11284"/>
    <col width="8.54296875" customWidth="1" style="230" min="11285" max="11287"/>
    <col width="9.54296875" customWidth="1" style="230" min="11288" max="11288"/>
    <col width="8.54296875" customWidth="1" style="230" min="11289" max="11520"/>
    <col width="13.453125" customWidth="1" style="230" min="11521" max="11521"/>
    <col width="9.453125" customWidth="1" style="230" min="11522" max="11522"/>
    <col width="12.453125" customWidth="1" style="230" min="11523" max="11523"/>
    <col width="10.54296875" customWidth="1" style="230" min="11524" max="11524"/>
    <col width="7.54296875" customWidth="1" style="230" min="11525" max="11525"/>
    <col width="10.453125" customWidth="1" style="230" min="11526" max="11527"/>
    <col width="9" customWidth="1" style="230" min="11528" max="11528"/>
    <col width="9.54296875" customWidth="1" style="230" min="11529" max="11529"/>
    <col width="9.453125" customWidth="1" style="230" min="11530" max="11530"/>
    <col width="12.54296875" customWidth="1" style="230" min="11531" max="11531"/>
    <col width="10.54296875" customWidth="1" style="230" min="11532" max="11532"/>
    <col width="8.54296875" customWidth="1" style="230" min="11533" max="11534"/>
    <col width="10.54296875" customWidth="1" style="230" min="11535" max="11535"/>
    <col width="10.453125" customWidth="1" style="230" min="11536" max="11538"/>
    <col width="8.54296875" customWidth="1" style="230" min="11539" max="11539"/>
    <col width="11.54296875" customWidth="1" style="230" min="11540" max="11540"/>
    <col width="8.54296875" customWidth="1" style="230" min="11541" max="11543"/>
    <col width="9.54296875" customWidth="1" style="230" min="11544" max="11544"/>
    <col width="8.54296875" customWidth="1" style="230" min="11545" max="11776"/>
    <col width="13.453125" customWidth="1" style="230" min="11777" max="11777"/>
    <col width="9.453125" customWidth="1" style="230" min="11778" max="11778"/>
    <col width="12.453125" customWidth="1" style="230" min="11779" max="11779"/>
    <col width="10.54296875" customWidth="1" style="230" min="11780" max="11780"/>
    <col width="7.54296875" customWidth="1" style="230" min="11781" max="11781"/>
    <col width="10.453125" customWidth="1" style="230" min="11782" max="11783"/>
    <col width="9" customWidth="1" style="230" min="11784" max="11784"/>
    <col width="9.54296875" customWidth="1" style="230" min="11785" max="11785"/>
    <col width="9.453125" customWidth="1" style="230" min="11786" max="11786"/>
    <col width="12.54296875" customWidth="1" style="230" min="11787" max="11787"/>
    <col width="10.54296875" customWidth="1" style="230" min="11788" max="11788"/>
    <col width="8.54296875" customWidth="1" style="230" min="11789" max="11790"/>
    <col width="10.54296875" customWidth="1" style="230" min="11791" max="11791"/>
    <col width="10.453125" customWidth="1" style="230" min="11792" max="11794"/>
    <col width="8.54296875" customWidth="1" style="230" min="11795" max="11795"/>
    <col width="11.54296875" customWidth="1" style="230" min="11796" max="11796"/>
    <col width="8.54296875" customWidth="1" style="230" min="11797" max="11799"/>
    <col width="9.54296875" customWidth="1" style="230" min="11800" max="11800"/>
    <col width="8.54296875" customWidth="1" style="230" min="11801" max="12032"/>
    <col width="13.453125" customWidth="1" style="230" min="12033" max="12033"/>
    <col width="9.453125" customWidth="1" style="230" min="12034" max="12034"/>
    <col width="12.453125" customWidth="1" style="230" min="12035" max="12035"/>
    <col width="10.54296875" customWidth="1" style="230" min="12036" max="12036"/>
    <col width="7.54296875" customWidth="1" style="230" min="12037" max="12037"/>
    <col width="10.453125" customWidth="1" style="230" min="12038" max="12039"/>
    <col width="9" customWidth="1" style="230" min="12040" max="12040"/>
    <col width="9.54296875" customWidth="1" style="230" min="12041" max="12041"/>
    <col width="9.453125" customWidth="1" style="230" min="12042" max="12042"/>
    <col width="12.54296875" customWidth="1" style="230" min="12043" max="12043"/>
    <col width="10.54296875" customWidth="1" style="230" min="12044" max="12044"/>
    <col width="8.54296875" customWidth="1" style="230" min="12045" max="12046"/>
    <col width="10.54296875" customWidth="1" style="230" min="12047" max="12047"/>
    <col width="10.453125" customWidth="1" style="230" min="12048" max="12050"/>
    <col width="8.54296875" customWidth="1" style="230" min="12051" max="12051"/>
    <col width="11.54296875" customWidth="1" style="230" min="12052" max="12052"/>
    <col width="8.54296875" customWidth="1" style="230" min="12053" max="12055"/>
    <col width="9.54296875" customWidth="1" style="230" min="12056" max="12056"/>
    <col width="8.54296875" customWidth="1" style="230" min="12057" max="12288"/>
    <col width="13.453125" customWidth="1" style="230" min="12289" max="12289"/>
    <col width="9.453125" customWidth="1" style="230" min="12290" max="12290"/>
    <col width="12.453125" customWidth="1" style="230" min="12291" max="12291"/>
    <col width="10.54296875" customWidth="1" style="230" min="12292" max="12292"/>
    <col width="7.54296875" customWidth="1" style="230" min="12293" max="12293"/>
    <col width="10.453125" customWidth="1" style="230" min="12294" max="12295"/>
    <col width="9" customWidth="1" style="230" min="12296" max="12296"/>
    <col width="9.54296875" customWidth="1" style="230" min="12297" max="12297"/>
    <col width="9.453125" customWidth="1" style="230" min="12298" max="12298"/>
    <col width="12.54296875" customWidth="1" style="230" min="12299" max="12299"/>
    <col width="10.54296875" customWidth="1" style="230" min="12300" max="12300"/>
    <col width="8.54296875" customWidth="1" style="230" min="12301" max="12302"/>
    <col width="10.54296875" customWidth="1" style="230" min="12303" max="12303"/>
    <col width="10.453125" customWidth="1" style="230" min="12304" max="12306"/>
    <col width="8.54296875" customWidth="1" style="230" min="12307" max="12307"/>
    <col width="11.54296875" customWidth="1" style="230" min="12308" max="12308"/>
    <col width="8.54296875" customWidth="1" style="230" min="12309" max="12311"/>
    <col width="9.54296875" customWidth="1" style="230" min="12312" max="12312"/>
    <col width="8.54296875" customWidth="1" style="230" min="12313" max="12544"/>
    <col width="13.453125" customWidth="1" style="230" min="12545" max="12545"/>
    <col width="9.453125" customWidth="1" style="230" min="12546" max="12546"/>
    <col width="12.453125" customWidth="1" style="230" min="12547" max="12547"/>
    <col width="10.54296875" customWidth="1" style="230" min="12548" max="12548"/>
    <col width="7.54296875" customWidth="1" style="230" min="12549" max="12549"/>
    <col width="10.453125" customWidth="1" style="230" min="12550" max="12551"/>
    <col width="9" customWidth="1" style="230" min="12552" max="12552"/>
    <col width="9.54296875" customWidth="1" style="230" min="12553" max="12553"/>
    <col width="9.453125" customWidth="1" style="230" min="12554" max="12554"/>
    <col width="12.54296875" customWidth="1" style="230" min="12555" max="12555"/>
    <col width="10.54296875" customWidth="1" style="230" min="12556" max="12556"/>
    <col width="8.54296875" customWidth="1" style="230" min="12557" max="12558"/>
    <col width="10.54296875" customWidth="1" style="230" min="12559" max="12559"/>
    <col width="10.453125" customWidth="1" style="230" min="12560" max="12562"/>
    <col width="8.54296875" customWidth="1" style="230" min="12563" max="12563"/>
    <col width="11.54296875" customWidth="1" style="230" min="12564" max="12564"/>
    <col width="8.54296875" customWidth="1" style="230" min="12565" max="12567"/>
    <col width="9.54296875" customWidth="1" style="230" min="12568" max="12568"/>
    <col width="8.54296875" customWidth="1" style="230" min="12569" max="12800"/>
    <col width="13.453125" customWidth="1" style="230" min="12801" max="12801"/>
    <col width="9.453125" customWidth="1" style="230" min="12802" max="12802"/>
    <col width="12.453125" customWidth="1" style="230" min="12803" max="12803"/>
    <col width="10.54296875" customWidth="1" style="230" min="12804" max="12804"/>
    <col width="7.54296875" customWidth="1" style="230" min="12805" max="12805"/>
    <col width="10.453125" customWidth="1" style="230" min="12806" max="12807"/>
    <col width="9" customWidth="1" style="230" min="12808" max="12808"/>
    <col width="9.54296875" customWidth="1" style="230" min="12809" max="12809"/>
    <col width="9.453125" customWidth="1" style="230" min="12810" max="12810"/>
    <col width="12.54296875" customWidth="1" style="230" min="12811" max="12811"/>
    <col width="10.54296875" customWidth="1" style="230" min="12812" max="12812"/>
    <col width="8.54296875" customWidth="1" style="230" min="12813" max="12814"/>
    <col width="10.54296875" customWidth="1" style="230" min="12815" max="12815"/>
    <col width="10.453125" customWidth="1" style="230" min="12816" max="12818"/>
    <col width="8.54296875" customWidth="1" style="230" min="12819" max="12819"/>
    <col width="11.54296875" customWidth="1" style="230" min="12820" max="12820"/>
    <col width="8.54296875" customWidth="1" style="230" min="12821" max="12823"/>
    <col width="9.54296875" customWidth="1" style="230" min="12824" max="12824"/>
    <col width="8.54296875" customWidth="1" style="230" min="12825" max="13056"/>
    <col width="13.453125" customWidth="1" style="230" min="13057" max="13057"/>
    <col width="9.453125" customWidth="1" style="230" min="13058" max="13058"/>
    <col width="12.453125" customWidth="1" style="230" min="13059" max="13059"/>
    <col width="10.54296875" customWidth="1" style="230" min="13060" max="13060"/>
    <col width="7.54296875" customWidth="1" style="230" min="13061" max="13061"/>
    <col width="10.453125" customWidth="1" style="230" min="13062" max="13063"/>
    <col width="9" customWidth="1" style="230" min="13064" max="13064"/>
    <col width="9.54296875" customWidth="1" style="230" min="13065" max="13065"/>
    <col width="9.453125" customWidth="1" style="230" min="13066" max="13066"/>
    <col width="12.54296875" customWidth="1" style="230" min="13067" max="13067"/>
    <col width="10.54296875" customWidth="1" style="230" min="13068" max="13068"/>
    <col width="8.54296875" customWidth="1" style="230" min="13069" max="13070"/>
    <col width="10.54296875" customWidth="1" style="230" min="13071" max="13071"/>
    <col width="10.453125" customWidth="1" style="230" min="13072" max="13074"/>
    <col width="8.54296875" customWidth="1" style="230" min="13075" max="13075"/>
    <col width="11.54296875" customWidth="1" style="230" min="13076" max="13076"/>
    <col width="8.54296875" customWidth="1" style="230" min="13077" max="13079"/>
    <col width="9.54296875" customWidth="1" style="230" min="13080" max="13080"/>
    <col width="8.54296875" customWidth="1" style="230" min="13081" max="13312"/>
    <col width="13.453125" customWidth="1" style="230" min="13313" max="13313"/>
    <col width="9.453125" customWidth="1" style="230" min="13314" max="13314"/>
    <col width="12.453125" customWidth="1" style="230" min="13315" max="13315"/>
    <col width="10.54296875" customWidth="1" style="230" min="13316" max="13316"/>
    <col width="7.54296875" customWidth="1" style="230" min="13317" max="13317"/>
    <col width="10.453125" customWidth="1" style="230" min="13318" max="13319"/>
    <col width="9" customWidth="1" style="230" min="13320" max="13320"/>
    <col width="9.54296875" customWidth="1" style="230" min="13321" max="13321"/>
    <col width="9.453125" customWidth="1" style="230" min="13322" max="13322"/>
    <col width="12.54296875" customWidth="1" style="230" min="13323" max="13323"/>
    <col width="10.54296875" customWidth="1" style="230" min="13324" max="13324"/>
    <col width="8.54296875" customWidth="1" style="230" min="13325" max="13326"/>
    <col width="10.54296875" customWidth="1" style="230" min="13327" max="13327"/>
    <col width="10.453125" customWidth="1" style="230" min="13328" max="13330"/>
    <col width="8.54296875" customWidth="1" style="230" min="13331" max="13331"/>
    <col width="11.54296875" customWidth="1" style="230" min="13332" max="13332"/>
    <col width="8.54296875" customWidth="1" style="230" min="13333" max="13335"/>
    <col width="9.54296875" customWidth="1" style="230" min="13336" max="13336"/>
    <col width="8.54296875" customWidth="1" style="230" min="13337" max="13568"/>
    <col width="13.453125" customWidth="1" style="230" min="13569" max="13569"/>
    <col width="9.453125" customWidth="1" style="230" min="13570" max="13570"/>
    <col width="12.453125" customWidth="1" style="230" min="13571" max="13571"/>
    <col width="10.54296875" customWidth="1" style="230" min="13572" max="13572"/>
    <col width="7.54296875" customWidth="1" style="230" min="13573" max="13573"/>
    <col width="10.453125" customWidth="1" style="230" min="13574" max="13575"/>
    <col width="9" customWidth="1" style="230" min="13576" max="13576"/>
    <col width="9.54296875" customWidth="1" style="230" min="13577" max="13577"/>
    <col width="9.453125" customWidth="1" style="230" min="13578" max="13578"/>
    <col width="12.54296875" customWidth="1" style="230" min="13579" max="13579"/>
    <col width="10.54296875" customWidth="1" style="230" min="13580" max="13580"/>
    <col width="8.54296875" customWidth="1" style="230" min="13581" max="13582"/>
    <col width="10.54296875" customWidth="1" style="230" min="13583" max="13583"/>
    <col width="10.453125" customWidth="1" style="230" min="13584" max="13586"/>
    <col width="8.54296875" customWidth="1" style="230" min="13587" max="13587"/>
    <col width="11.54296875" customWidth="1" style="230" min="13588" max="13588"/>
    <col width="8.54296875" customWidth="1" style="230" min="13589" max="13591"/>
    <col width="9.54296875" customWidth="1" style="230" min="13592" max="13592"/>
    <col width="8.54296875" customWidth="1" style="230" min="13593" max="13824"/>
    <col width="13.453125" customWidth="1" style="230" min="13825" max="13825"/>
    <col width="9.453125" customWidth="1" style="230" min="13826" max="13826"/>
    <col width="12.453125" customWidth="1" style="230" min="13827" max="13827"/>
    <col width="10.54296875" customWidth="1" style="230" min="13828" max="13828"/>
    <col width="7.54296875" customWidth="1" style="230" min="13829" max="13829"/>
    <col width="10.453125" customWidth="1" style="230" min="13830" max="13831"/>
    <col width="9" customWidth="1" style="230" min="13832" max="13832"/>
    <col width="9.54296875" customWidth="1" style="230" min="13833" max="13833"/>
    <col width="9.453125" customWidth="1" style="230" min="13834" max="13834"/>
    <col width="12.54296875" customWidth="1" style="230" min="13835" max="13835"/>
    <col width="10.54296875" customWidth="1" style="230" min="13836" max="13836"/>
    <col width="8.54296875" customWidth="1" style="230" min="13837" max="13838"/>
    <col width="10.54296875" customWidth="1" style="230" min="13839" max="13839"/>
    <col width="10.453125" customWidth="1" style="230" min="13840" max="13842"/>
    <col width="8.54296875" customWidth="1" style="230" min="13843" max="13843"/>
    <col width="11.54296875" customWidth="1" style="230" min="13844" max="13844"/>
    <col width="8.54296875" customWidth="1" style="230" min="13845" max="13847"/>
    <col width="9.54296875" customWidth="1" style="230" min="13848" max="13848"/>
    <col width="8.54296875" customWidth="1" style="230" min="13849" max="14080"/>
    <col width="13.453125" customWidth="1" style="230" min="14081" max="14081"/>
    <col width="9.453125" customWidth="1" style="230" min="14082" max="14082"/>
    <col width="12.453125" customWidth="1" style="230" min="14083" max="14083"/>
    <col width="10.54296875" customWidth="1" style="230" min="14084" max="14084"/>
    <col width="7.54296875" customWidth="1" style="230" min="14085" max="14085"/>
    <col width="10.453125" customWidth="1" style="230" min="14086" max="14087"/>
    <col width="9" customWidth="1" style="230" min="14088" max="14088"/>
    <col width="9.54296875" customWidth="1" style="230" min="14089" max="14089"/>
    <col width="9.453125" customWidth="1" style="230" min="14090" max="14090"/>
    <col width="12.54296875" customWidth="1" style="230" min="14091" max="14091"/>
    <col width="10.54296875" customWidth="1" style="230" min="14092" max="14092"/>
    <col width="8.54296875" customWidth="1" style="230" min="14093" max="14094"/>
    <col width="10.54296875" customWidth="1" style="230" min="14095" max="14095"/>
    <col width="10.453125" customWidth="1" style="230" min="14096" max="14098"/>
    <col width="8.54296875" customWidth="1" style="230" min="14099" max="14099"/>
    <col width="11.54296875" customWidth="1" style="230" min="14100" max="14100"/>
    <col width="8.54296875" customWidth="1" style="230" min="14101" max="14103"/>
    <col width="9.54296875" customWidth="1" style="230" min="14104" max="14104"/>
    <col width="8.54296875" customWidth="1" style="230" min="14105" max="14336"/>
    <col width="13.453125" customWidth="1" style="230" min="14337" max="14337"/>
    <col width="9.453125" customWidth="1" style="230" min="14338" max="14338"/>
    <col width="12.453125" customWidth="1" style="230" min="14339" max="14339"/>
    <col width="10.54296875" customWidth="1" style="230" min="14340" max="14340"/>
    <col width="7.54296875" customWidth="1" style="230" min="14341" max="14341"/>
    <col width="10.453125" customWidth="1" style="230" min="14342" max="14343"/>
    <col width="9" customWidth="1" style="230" min="14344" max="14344"/>
    <col width="9.54296875" customWidth="1" style="230" min="14345" max="14345"/>
    <col width="9.453125" customWidth="1" style="230" min="14346" max="14346"/>
    <col width="12.54296875" customWidth="1" style="230" min="14347" max="14347"/>
    <col width="10.54296875" customWidth="1" style="230" min="14348" max="14348"/>
    <col width="8.54296875" customWidth="1" style="230" min="14349" max="14350"/>
    <col width="10.54296875" customWidth="1" style="230" min="14351" max="14351"/>
    <col width="10.453125" customWidth="1" style="230" min="14352" max="14354"/>
    <col width="8.54296875" customWidth="1" style="230" min="14355" max="14355"/>
    <col width="11.54296875" customWidth="1" style="230" min="14356" max="14356"/>
    <col width="8.54296875" customWidth="1" style="230" min="14357" max="14359"/>
    <col width="9.54296875" customWidth="1" style="230" min="14360" max="14360"/>
    <col width="8.54296875" customWidth="1" style="230" min="14361" max="14592"/>
    <col width="13.453125" customWidth="1" style="230" min="14593" max="14593"/>
    <col width="9.453125" customWidth="1" style="230" min="14594" max="14594"/>
    <col width="12.453125" customWidth="1" style="230" min="14595" max="14595"/>
    <col width="10.54296875" customWidth="1" style="230" min="14596" max="14596"/>
    <col width="7.54296875" customWidth="1" style="230" min="14597" max="14597"/>
    <col width="10.453125" customWidth="1" style="230" min="14598" max="14599"/>
    <col width="9" customWidth="1" style="230" min="14600" max="14600"/>
    <col width="9.54296875" customWidth="1" style="230" min="14601" max="14601"/>
    <col width="9.453125" customWidth="1" style="230" min="14602" max="14602"/>
    <col width="12.54296875" customWidth="1" style="230" min="14603" max="14603"/>
    <col width="10.54296875" customWidth="1" style="230" min="14604" max="14604"/>
    <col width="8.54296875" customWidth="1" style="230" min="14605" max="14606"/>
    <col width="10.54296875" customWidth="1" style="230" min="14607" max="14607"/>
    <col width="10.453125" customWidth="1" style="230" min="14608" max="14610"/>
    <col width="8.54296875" customWidth="1" style="230" min="14611" max="14611"/>
    <col width="11.54296875" customWidth="1" style="230" min="14612" max="14612"/>
    <col width="8.54296875" customWidth="1" style="230" min="14613" max="14615"/>
    <col width="9.54296875" customWidth="1" style="230" min="14616" max="14616"/>
    <col width="8.54296875" customWidth="1" style="230" min="14617" max="14848"/>
    <col width="13.453125" customWidth="1" style="230" min="14849" max="14849"/>
    <col width="9.453125" customWidth="1" style="230" min="14850" max="14850"/>
    <col width="12.453125" customWidth="1" style="230" min="14851" max="14851"/>
    <col width="10.54296875" customWidth="1" style="230" min="14852" max="14852"/>
    <col width="7.54296875" customWidth="1" style="230" min="14853" max="14853"/>
    <col width="10.453125" customWidth="1" style="230" min="14854" max="14855"/>
    <col width="9" customWidth="1" style="230" min="14856" max="14856"/>
    <col width="9.54296875" customWidth="1" style="230" min="14857" max="14857"/>
    <col width="9.453125" customWidth="1" style="230" min="14858" max="14858"/>
    <col width="12.54296875" customWidth="1" style="230" min="14859" max="14859"/>
    <col width="10.54296875" customWidth="1" style="230" min="14860" max="14860"/>
    <col width="8.54296875" customWidth="1" style="230" min="14861" max="14862"/>
    <col width="10.54296875" customWidth="1" style="230" min="14863" max="14863"/>
    <col width="10.453125" customWidth="1" style="230" min="14864" max="14866"/>
    <col width="8.54296875" customWidth="1" style="230" min="14867" max="14867"/>
    <col width="11.54296875" customWidth="1" style="230" min="14868" max="14868"/>
    <col width="8.54296875" customWidth="1" style="230" min="14869" max="14871"/>
    <col width="9.54296875" customWidth="1" style="230" min="14872" max="14872"/>
    <col width="8.54296875" customWidth="1" style="230" min="14873" max="15104"/>
    <col width="13.453125" customWidth="1" style="230" min="15105" max="15105"/>
    <col width="9.453125" customWidth="1" style="230" min="15106" max="15106"/>
    <col width="12.453125" customWidth="1" style="230" min="15107" max="15107"/>
    <col width="10.54296875" customWidth="1" style="230" min="15108" max="15108"/>
    <col width="7.54296875" customWidth="1" style="230" min="15109" max="15109"/>
    <col width="10.453125" customWidth="1" style="230" min="15110" max="15111"/>
    <col width="9" customWidth="1" style="230" min="15112" max="15112"/>
    <col width="9.54296875" customWidth="1" style="230" min="15113" max="15113"/>
    <col width="9.453125" customWidth="1" style="230" min="15114" max="15114"/>
    <col width="12.54296875" customWidth="1" style="230" min="15115" max="15115"/>
    <col width="10.54296875" customWidth="1" style="230" min="15116" max="15116"/>
    <col width="8.54296875" customWidth="1" style="230" min="15117" max="15118"/>
    <col width="10.54296875" customWidth="1" style="230" min="15119" max="15119"/>
    <col width="10.453125" customWidth="1" style="230" min="15120" max="15122"/>
    <col width="8.54296875" customWidth="1" style="230" min="15123" max="15123"/>
    <col width="11.54296875" customWidth="1" style="230" min="15124" max="15124"/>
    <col width="8.54296875" customWidth="1" style="230" min="15125" max="15127"/>
    <col width="9.54296875" customWidth="1" style="230" min="15128" max="15128"/>
    <col width="8.54296875" customWidth="1" style="230" min="15129" max="15360"/>
    <col width="13.453125" customWidth="1" style="230" min="15361" max="15361"/>
    <col width="9.453125" customWidth="1" style="230" min="15362" max="15362"/>
    <col width="12.453125" customWidth="1" style="230" min="15363" max="15363"/>
    <col width="10.54296875" customWidth="1" style="230" min="15364" max="15364"/>
    <col width="7.54296875" customWidth="1" style="230" min="15365" max="15365"/>
    <col width="10.453125" customWidth="1" style="230" min="15366" max="15367"/>
    <col width="9" customWidth="1" style="230" min="15368" max="15368"/>
    <col width="9.54296875" customWidth="1" style="230" min="15369" max="15369"/>
    <col width="9.453125" customWidth="1" style="230" min="15370" max="15370"/>
    <col width="12.54296875" customWidth="1" style="230" min="15371" max="15371"/>
    <col width="10.54296875" customWidth="1" style="230" min="15372" max="15372"/>
    <col width="8.54296875" customWidth="1" style="230" min="15373" max="15374"/>
    <col width="10.54296875" customWidth="1" style="230" min="15375" max="15375"/>
    <col width="10.453125" customWidth="1" style="230" min="15376" max="15378"/>
    <col width="8.54296875" customWidth="1" style="230" min="15379" max="15379"/>
    <col width="11.54296875" customWidth="1" style="230" min="15380" max="15380"/>
    <col width="8.54296875" customWidth="1" style="230" min="15381" max="15383"/>
    <col width="9.54296875" customWidth="1" style="230" min="15384" max="15384"/>
    <col width="8.54296875" customWidth="1" style="230" min="15385" max="15616"/>
    <col width="13.453125" customWidth="1" style="230" min="15617" max="15617"/>
    <col width="9.453125" customWidth="1" style="230" min="15618" max="15618"/>
    <col width="12.453125" customWidth="1" style="230" min="15619" max="15619"/>
    <col width="10.54296875" customWidth="1" style="230" min="15620" max="15620"/>
    <col width="7.54296875" customWidth="1" style="230" min="15621" max="15621"/>
    <col width="10.453125" customWidth="1" style="230" min="15622" max="15623"/>
    <col width="9" customWidth="1" style="230" min="15624" max="15624"/>
    <col width="9.54296875" customWidth="1" style="230" min="15625" max="15625"/>
    <col width="9.453125" customWidth="1" style="230" min="15626" max="15626"/>
    <col width="12.54296875" customWidth="1" style="230" min="15627" max="15627"/>
    <col width="10.54296875" customWidth="1" style="230" min="15628" max="15628"/>
    <col width="8.54296875" customWidth="1" style="230" min="15629" max="15630"/>
    <col width="10.54296875" customWidth="1" style="230" min="15631" max="15631"/>
    <col width="10.453125" customWidth="1" style="230" min="15632" max="15634"/>
    <col width="8.54296875" customWidth="1" style="230" min="15635" max="15635"/>
    <col width="11.54296875" customWidth="1" style="230" min="15636" max="15636"/>
    <col width="8.54296875" customWidth="1" style="230" min="15637" max="15639"/>
    <col width="9.54296875" customWidth="1" style="230" min="15640" max="15640"/>
    <col width="8.54296875" customWidth="1" style="230" min="15641" max="15872"/>
    <col width="13.453125" customWidth="1" style="230" min="15873" max="15873"/>
    <col width="9.453125" customWidth="1" style="230" min="15874" max="15874"/>
    <col width="12.453125" customWidth="1" style="230" min="15875" max="15875"/>
    <col width="10.54296875" customWidth="1" style="230" min="15876" max="15876"/>
    <col width="7.54296875" customWidth="1" style="230" min="15877" max="15877"/>
    <col width="10.453125" customWidth="1" style="230" min="15878" max="15879"/>
    <col width="9" customWidth="1" style="230" min="15880" max="15880"/>
    <col width="9.54296875" customWidth="1" style="230" min="15881" max="15881"/>
    <col width="9.453125" customWidth="1" style="230" min="15882" max="15882"/>
    <col width="12.54296875" customWidth="1" style="230" min="15883" max="15883"/>
    <col width="10.54296875" customWidth="1" style="230" min="15884" max="15884"/>
    <col width="8.54296875" customWidth="1" style="230" min="15885" max="15886"/>
    <col width="10.54296875" customWidth="1" style="230" min="15887" max="15887"/>
    <col width="10.453125" customWidth="1" style="230" min="15888" max="15890"/>
    <col width="8.54296875" customWidth="1" style="230" min="15891" max="15891"/>
    <col width="11.54296875" customWidth="1" style="230" min="15892" max="15892"/>
    <col width="8.54296875" customWidth="1" style="230" min="15893" max="15895"/>
    <col width="9.54296875" customWidth="1" style="230" min="15896" max="15896"/>
    <col width="8.54296875" customWidth="1" style="230" min="15897" max="16128"/>
    <col width="13.453125" customWidth="1" style="230" min="16129" max="16129"/>
    <col width="9.453125" customWidth="1" style="230" min="16130" max="16130"/>
    <col width="12.453125" customWidth="1" style="230" min="16131" max="16131"/>
    <col width="10.54296875" customWidth="1" style="230" min="16132" max="16132"/>
    <col width="7.54296875" customWidth="1" style="230" min="16133" max="16133"/>
    <col width="10.453125" customWidth="1" style="230" min="16134" max="16135"/>
    <col width="9" customWidth="1" style="230" min="16136" max="16136"/>
    <col width="9.54296875" customWidth="1" style="230" min="16137" max="16137"/>
    <col width="9.453125" customWidth="1" style="230" min="16138" max="16138"/>
    <col width="12.54296875" customWidth="1" style="230" min="16139" max="16139"/>
    <col width="10.54296875" customWidth="1" style="230" min="16140" max="16140"/>
    <col width="8.54296875" customWidth="1" style="230" min="16141" max="16142"/>
    <col width="10.54296875" customWidth="1" style="230" min="16143" max="16143"/>
    <col width="10.453125" customWidth="1" style="230" min="16144" max="16146"/>
    <col width="8.54296875" customWidth="1" style="230" min="16147" max="16147"/>
    <col width="11.54296875" customWidth="1" style="230" min="16148" max="16148"/>
    <col width="8.54296875" customWidth="1" style="230" min="16149" max="16151"/>
    <col width="9.54296875" customWidth="1" style="230" min="16152" max="16152"/>
    <col width="8.54296875" customWidth="1" style="230" min="16153" max="16384"/>
  </cols>
  <sheetData>
    <row r="1" ht="13" customHeight="1" s="828">
      <c r="C1" s="431" t="inlineStr">
        <is>
          <t xml:space="preserve">All vacancies1 </t>
        </is>
      </c>
      <c r="D1" s="431" t="inlineStr">
        <is>
          <t>Mining &amp; quarrying</t>
        </is>
      </c>
      <c r="E1" s="431" t="inlineStr">
        <is>
          <t>Manu-    facturing</t>
        </is>
      </c>
      <c r="F1" s="431" t="inlineStr">
        <is>
          <t>Electricity, gas, steam &amp; air conditioning supply2</t>
        </is>
      </c>
      <c r="G1" s="431" t="inlineStr">
        <is>
          <t>Water supply, sewerage, waste &amp; remediation activities</t>
        </is>
      </c>
      <c r="H1" s="431" t="inlineStr">
        <is>
          <t>Construc-tion</t>
        </is>
      </c>
      <c r="I1" s="431" t="inlineStr">
        <is>
          <t>Wholesale &amp; retail trade; repair of motor vehicles and motor cycles</t>
        </is>
      </c>
      <c r="J1" s="431" t="inlineStr">
        <is>
          <t>Transport &amp; storage</t>
        </is>
      </c>
      <c r="K1" s="431" t="inlineStr">
        <is>
          <t>Accomoda-tion &amp; food service activities</t>
        </is>
      </c>
      <c r="L1" s="431" t="inlineStr">
        <is>
          <t>Information &amp; communica-tion</t>
        </is>
      </c>
      <c r="M1" s="431" t="inlineStr">
        <is>
          <t>Financial &amp; insurance activities</t>
        </is>
      </c>
      <c r="N1" s="431" t="inlineStr">
        <is>
          <t>Real estate activities2</t>
        </is>
      </c>
      <c r="O1" s="431" t="inlineStr">
        <is>
          <t>Professional scientific &amp; technical activities</t>
        </is>
      </c>
      <c r="P1" s="431" t="inlineStr">
        <is>
          <t>Administra-tive &amp; support service activities</t>
        </is>
      </c>
      <c r="Q1" s="431" t="inlineStr">
        <is>
          <t>Public admin &amp; defence; compulsory social security</t>
        </is>
      </c>
      <c r="R1" s="431" t="inlineStr">
        <is>
          <t>Education</t>
        </is>
      </c>
      <c r="S1" s="431" t="inlineStr">
        <is>
          <t>Human health &amp; social work activities</t>
        </is>
      </c>
      <c r="T1" s="431" t="inlineStr">
        <is>
          <t>Arts, entertainment &amp; recreation</t>
        </is>
      </c>
      <c r="U1" s="431" t="inlineStr">
        <is>
          <t>Other service activities</t>
        </is>
      </c>
      <c r="V1" s="431" t="inlineStr">
        <is>
          <t xml:space="preserve">Total services </t>
        </is>
      </c>
      <c r="W1" s="431" t="inlineStr">
        <is>
          <t>Motor Trades</t>
        </is>
      </c>
      <c r="X1" s="431" t="inlineStr">
        <is>
          <t>Wholesale</t>
        </is>
      </c>
      <c r="Y1" s="431" t="inlineStr">
        <is>
          <t>Retail</t>
        </is>
      </c>
    </row>
    <row r="2" ht="13" customHeight="1" s="828">
      <c r="B2" s="419" t="inlineStr">
        <is>
          <t>Current</t>
        </is>
      </c>
      <c r="C2" s="461">
        <f t="array" ref="C2">INDEX(C$19:C$1048576,COUNTA(C$19:C$1048576))</f>
        <v/>
      </c>
      <c r="D2" s="461">
        <f t="array" ref="D2">INDEX(D$19:D$1048576,COUNTA(D$19:D$1048576))</f>
        <v/>
      </c>
      <c r="E2" s="461">
        <f t="array" ref="E2">INDEX(E$19:E$1048576,COUNTA(E$19:E$1048576))</f>
        <v/>
      </c>
      <c r="F2" s="461">
        <f t="array" ref="F2">INDEX(F$19:F$1048576,COUNTA(F$19:F$1048576))</f>
        <v/>
      </c>
      <c r="G2" s="461">
        <f t="array" ref="G2">INDEX(G$19:G$1048576,COUNTA(G$19:G$1048576))</f>
        <v/>
      </c>
      <c r="H2" s="461">
        <f t="array" ref="H2">INDEX(H$19:H$1048576,COUNTA(H$19:H$1048576))</f>
        <v/>
      </c>
      <c r="I2" s="461">
        <f t="array" ref="I2">INDEX(I$19:I$1048576,COUNTA(I$19:I$1048576))</f>
        <v/>
      </c>
      <c r="J2" s="461">
        <f t="array" ref="J2">INDEX(J$19:J$1048576,COUNTA(J$19:J$1048576))</f>
        <v/>
      </c>
      <c r="K2" s="461">
        <f t="array" ref="K2">INDEX(K$19:K$1048576,COUNTA(K$19:K$1048576))</f>
        <v/>
      </c>
      <c r="L2" s="461">
        <f t="array" ref="L2">INDEX(L$19:L$1048576,COUNTA(L$19:L$1048576))</f>
        <v/>
      </c>
      <c r="M2" s="461">
        <f t="array" ref="M2">INDEX(M$19:M$1048576,COUNTA(M$19:M$1048576))</f>
        <v/>
      </c>
      <c r="N2" s="461">
        <f t="array" ref="N2">INDEX(N$19:N$1048576,COUNTA(N$19:N$1048576))</f>
        <v/>
      </c>
      <c r="O2" s="461">
        <f t="array" ref="O2">INDEX(O$19:O$1048576,COUNTA(O$19:O$1048576))</f>
        <v/>
      </c>
      <c r="P2" s="461">
        <f t="array" ref="P2">INDEX(P$19:P$1048576,COUNTA(P$19:P$1048576))</f>
        <v/>
      </c>
      <c r="Q2" s="461">
        <f t="array" ref="Q2">INDEX(Q$19:Q$1048576,COUNTA(Q$19:Q$1048576))</f>
        <v/>
      </c>
      <c r="R2" s="461">
        <f t="array" ref="R2">INDEX(R$19:R$1048576,COUNTA(R$19:R$1048576))</f>
        <v/>
      </c>
      <c r="S2" s="461">
        <f t="array" ref="S2">INDEX(S$19:S$1048576,COUNTA(S$19:S$1048576))</f>
        <v/>
      </c>
      <c r="T2" s="461">
        <f t="array" ref="T2">INDEX(T$19:T$1048576,COUNTA(T$19:T$1048576))</f>
        <v/>
      </c>
      <c r="U2" s="461">
        <f t="array" ref="U2">INDEX(U$19:U$1048576,COUNTA(U$19:U$1048576))</f>
        <v/>
      </c>
      <c r="V2" s="461">
        <f t="array" ref="V2">INDEX(V$19:V$1048576,COUNTA(V$19:V$1048576))</f>
        <v/>
      </c>
      <c r="W2" s="461">
        <f t="array" ref="W2">INDEX(W$19:W$1048576,COUNTA(W$19:W$1048576))</f>
        <v/>
      </c>
      <c r="X2" s="461">
        <f t="array" ref="X2">INDEX(X$19:X$1048576,COUNTA(X$19:X$1048576))</f>
        <v/>
      </c>
      <c r="Y2" s="461">
        <f t="array" ref="Y2">INDEX(Y$19:Y$1048576,COUNTA(Y$19:Y$1048576))</f>
        <v/>
      </c>
    </row>
    <row r="3" ht="26" customHeight="1" s="828">
      <c r="B3" s="419" t="inlineStr">
        <is>
          <t>Quarterly change</t>
        </is>
      </c>
      <c r="C3" s="462">
        <f t="array" ref="C3">INDEX(C$19:C$1048576,COUNTA(C$19:C$1048576))-INDEX(C$19:C$1048576,COUNTA(C$19:C$1048576)-3)</f>
        <v/>
      </c>
      <c r="D3" s="432">
        <f t="array" ref="D3">INDEX(D$19:D$1048576,COUNTA(D$19:D$1048576))/INDEX(D$19:D$1048576,COUNTA(D$19:D$1048576)-3)-1</f>
        <v/>
      </c>
      <c r="E3" s="432">
        <f t="array" ref="E3">INDEX(E$19:E$1048576,COUNTA(E$19:E$1048576))/INDEX(E$19:E$1048576,COUNTA(E$19:E$1048576)-3)-1</f>
        <v/>
      </c>
      <c r="F3" s="432">
        <f t="array" ref="F3">INDEX(F$19:F$1048576,COUNTA(F$19:F$1048576))/INDEX(F$19:F$1048576,COUNTA(F$19:F$1048576)-3)-1</f>
        <v/>
      </c>
      <c r="G3" s="432">
        <f t="array" ref="G3">INDEX(G$19:G$1048576,COUNTA(G$19:G$1048576))/INDEX(G$19:G$1048576,COUNTA(G$19:G$1048576)-3)-1</f>
        <v/>
      </c>
      <c r="H3" s="432">
        <f t="array" ref="H3">INDEX(H$19:H$1048576,COUNTA(H$19:H$1048576))/INDEX(H$19:H$1048576,COUNTA(H$19:H$1048576)-3)-1</f>
        <v/>
      </c>
      <c r="I3" s="432">
        <f t="array" ref="I3">INDEX(I$19:I$1048576,COUNTA(I$19:I$1048576))/INDEX(I$19:I$1048576,COUNTA(I$19:I$1048576)-3)-1</f>
        <v/>
      </c>
      <c r="J3" s="432">
        <f t="array" ref="J3">INDEX(J$19:J$1048576,COUNTA(J$19:J$1048576))/INDEX(J$19:J$1048576,COUNTA(J$19:J$1048576)-3)-1</f>
        <v/>
      </c>
      <c r="K3" s="432">
        <f t="array" ref="K3">INDEX(K$19:K$1048576,COUNTA(K$19:K$1048576))/INDEX(K$19:K$1048576,COUNTA(K$19:K$1048576)-3)-1</f>
        <v/>
      </c>
      <c r="L3" s="432">
        <f t="array" ref="L3">INDEX(L$19:L$1048576,COUNTA(L$19:L$1048576))/INDEX(L$19:L$1048576,COUNTA(L$19:L$1048576)-3)-1</f>
        <v/>
      </c>
      <c r="M3" s="432">
        <f t="array" ref="M3">INDEX(M$19:M$1048576,COUNTA(M$19:M$1048576))/INDEX(M$19:M$1048576,COUNTA(M$19:M$1048576)-3)-1</f>
        <v/>
      </c>
      <c r="N3" s="432">
        <f t="array" ref="N3">INDEX(N$19:N$1048576,COUNTA(N$19:N$1048576))/INDEX(N$19:N$1048576,COUNTA(N$19:N$1048576)-3)-1</f>
        <v/>
      </c>
      <c r="O3" s="432">
        <f t="array" ref="O3">INDEX(O$19:O$1048576,COUNTA(O$19:O$1048576))/INDEX(O$19:O$1048576,COUNTA(O$19:O$1048576)-3)-1</f>
        <v/>
      </c>
      <c r="P3" s="432">
        <f t="array" ref="P3">INDEX(P$19:P$1048576,COUNTA(P$19:P$1048576))/INDEX(P$19:P$1048576,COUNTA(P$19:P$1048576)-3)-1</f>
        <v/>
      </c>
      <c r="Q3" s="432">
        <f t="array" ref="Q3">INDEX(Q$19:Q$1048576,COUNTA(Q$19:Q$1048576))/INDEX(Q$19:Q$1048576,COUNTA(Q$19:Q$1048576)-3)-1</f>
        <v/>
      </c>
      <c r="R3" s="432">
        <f t="array" ref="R3">INDEX(R$19:R$1048576,COUNTA(R$19:R$1048576))/INDEX(R$19:R$1048576,COUNTA(R$19:R$1048576)-3)-1</f>
        <v/>
      </c>
      <c r="S3" s="432">
        <f t="array" ref="S3">INDEX(S$19:S$1048576,COUNTA(S$19:S$1048576))/INDEX(S$19:S$1048576,COUNTA(S$19:S$1048576)-3)-1</f>
        <v/>
      </c>
      <c r="T3" s="432">
        <f t="array" ref="T3">INDEX(T$19:T$1048576,COUNTA(T$19:T$1048576))/INDEX(T$19:T$1048576,COUNTA(T$19:T$1048576)-3)-1</f>
        <v/>
      </c>
      <c r="U3" s="432">
        <f t="array" ref="U3">INDEX(U$19:U$1048576,COUNTA(U$19:U$1048576))/INDEX(U$19:U$1048576,COUNTA(U$19:U$1048576)-3)-1</f>
        <v/>
      </c>
      <c r="V3" s="432">
        <f t="array" ref="V3">INDEX(V$19:V$1048576,COUNTA(V$19:V$1048576))/INDEX(V$19:V$1048576,COUNTA(V$19:V$1048576)-3)-1</f>
        <v/>
      </c>
      <c r="W3" s="432">
        <f t="array" ref="W3">INDEX(W$19:W$1048576,COUNTA(W$19:W$1048576))/INDEX(W$19:W$1048576,COUNTA(W$19:W$1048576)-3)-1</f>
        <v/>
      </c>
      <c r="X3" s="432">
        <f t="array" ref="X3">INDEX(X$19:X$1048576,COUNTA(X$19:X$1048576))/INDEX(X$19:X$1048576,COUNTA(X$19:X$1048576)-3)-1</f>
        <v/>
      </c>
      <c r="Y3" s="432">
        <f t="array" ref="Y3">INDEX(Y$19:Y$1048576,COUNTA(Y$19:Y$1048576))/INDEX(Y$19:Y$1048576,COUNTA(Y$19:Y$1048576)-3)-1</f>
        <v/>
      </c>
    </row>
    <row r="4" ht="25.5" customHeight="1" s="828">
      <c r="B4" s="419" t="inlineStr">
        <is>
          <t>year on year change</t>
        </is>
      </c>
      <c r="C4" s="462">
        <f t="array" ref="C4">INDEX(C$19:C$1048576,COUNTA(C$19:C$1048576))-INDEX(C$19:C$1048576,COUNTA(C$19:C$1048576)-12)</f>
        <v/>
      </c>
      <c r="D4" s="432">
        <f t="array" ref="D4">INDEX(D$19:D$1048576,COUNTA(D$19:D$1048576))/INDEX(D$19:D$1048576,COUNTA(D$19:D$1048576)-12)-1</f>
        <v/>
      </c>
      <c r="E4" s="432">
        <f t="array" ref="E4">INDEX(E$19:E$1048576,COUNTA(E$19:E$1048576))/INDEX(E$19:E$1048576,COUNTA(E$19:E$1048576)-12)-1</f>
        <v/>
      </c>
      <c r="F4" s="432">
        <f t="array" ref="F4">INDEX(F$19:F$1048576,COUNTA(F$19:F$1048576))/INDEX(F$19:F$1048576,COUNTA(F$19:F$1048576)-12)-1</f>
        <v/>
      </c>
      <c r="G4" s="432">
        <f t="array" ref="G4">INDEX(G$19:G$1048576,COUNTA(G$19:G$1048576))/INDEX(G$19:G$1048576,COUNTA(G$19:G$1048576)-12)-1</f>
        <v/>
      </c>
      <c r="H4" s="432">
        <f t="array" ref="H4">INDEX(H$19:H$1048576,COUNTA(H$19:H$1048576))/INDEX(H$19:H$1048576,COUNTA(H$19:H$1048576)-12)-1</f>
        <v/>
      </c>
      <c r="I4" s="432">
        <f t="array" ref="I4">INDEX(I$19:I$1048576,COUNTA(I$19:I$1048576))/INDEX(I$19:I$1048576,COUNTA(I$19:I$1048576)-12)-1</f>
        <v/>
      </c>
      <c r="J4" s="432">
        <f t="array" ref="J4">INDEX(J$19:J$1048576,COUNTA(J$19:J$1048576))/INDEX(J$19:J$1048576,COUNTA(J$19:J$1048576)-12)-1</f>
        <v/>
      </c>
      <c r="K4" s="432">
        <f t="array" ref="K4">INDEX(K$19:K$1048576,COUNTA(K$19:K$1048576))/INDEX(K$19:K$1048576,COUNTA(K$19:K$1048576)-12)-1</f>
        <v/>
      </c>
      <c r="L4" s="432">
        <f t="array" ref="L4">INDEX(L$19:L$1048576,COUNTA(L$19:L$1048576))/INDEX(L$19:L$1048576,COUNTA(L$19:L$1048576)-12)-1</f>
        <v/>
      </c>
      <c r="M4" s="432">
        <f t="array" ref="M4">INDEX(M$19:M$1048576,COUNTA(M$19:M$1048576))/INDEX(M$19:M$1048576,COUNTA(M$19:M$1048576)-12)-1</f>
        <v/>
      </c>
      <c r="N4" s="432">
        <f t="array" ref="N4">INDEX(N$19:N$1048576,COUNTA(N$19:N$1048576))/INDEX(N$19:N$1048576,COUNTA(N$19:N$1048576)-12)-1</f>
        <v/>
      </c>
      <c r="O4" s="432">
        <f t="array" ref="O4">INDEX(O$19:O$1048576,COUNTA(O$19:O$1048576))/INDEX(O$19:O$1048576,COUNTA(O$19:O$1048576)-12)-1</f>
        <v/>
      </c>
      <c r="P4" s="432">
        <f t="array" ref="P4">INDEX(P$19:P$1048576,COUNTA(P$19:P$1048576))/INDEX(P$19:P$1048576,COUNTA(P$19:P$1048576)-12)-1</f>
        <v/>
      </c>
      <c r="Q4" s="432">
        <f t="array" ref="Q4">INDEX(Q$19:Q$1048576,COUNTA(Q$19:Q$1048576))/INDEX(Q$19:Q$1048576,COUNTA(Q$19:Q$1048576)-12)-1</f>
        <v/>
      </c>
      <c r="R4" s="432">
        <f t="array" ref="R4">INDEX(R$19:R$1048576,COUNTA(R$19:R$1048576))/INDEX(R$19:R$1048576,COUNTA(R$19:R$1048576)-12)-1</f>
        <v/>
      </c>
      <c r="S4" s="432">
        <f t="array" ref="S4">INDEX(S$19:S$1048576,COUNTA(S$19:S$1048576))/INDEX(S$19:S$1048576,COUNTA(S$19:S$1048576)-12)-1</f>
        <v/>
      </c>
      <c r="T4" s="432">
        <f t="array" ref="T4">INDEX(T$19:T$1048576,COUNTA(T$19:T$1048576))/INDEX(T$19:T$1048576,COUNTA(T$19:T$1048576)-12)-1</f>
        <v/>
      </c>
      <c r="U4" s="432">
        <f t="array" ref="U4">INDEX(U$19:U$1048576,COUNTA(U$19:U$1048576))/INDEX(U$19:U$1048576,COUNTA(U$19:U$1048576)-12)-1</f>
        <v/>
      </c>
      <c r="V4" s="432">
        <f t="array" ref="V4">INDEX(V$19:V$1048576,COUNTA(V$19:V$1048576))/INDEX(V$19:V$1048576,COUNTA(V$19:V$1048576)-12)-1</f>
        <v/>
      </c>
      <c r="W4" s="432">
        <f t="array" ref="W4">INDEX(W$19:W$1048576,COUNTA(W$19:W$1048576))/INDEX(W$19:W$1048576,COUNTA(W$19:W$1048576)-12)-1</f>
        <v/>
      </c>
      <c r="X4" s="432">
        <f t="array" ref="X4">INDEX(X$19:X$1048576,COUNTA(X$19:X$1048576))/INDEX(X$19:X$1048576,COUNTA(X$19:X$1048576)-12)-1</f>
        <v/>
      </c>
      <c r="Y4" s="432">
        <f t="array" ref="Y4">INDEX(Y$19:Y$1048576,COUNTA(Y$19:Y$1048576))/INDEX(Y$19:Y$1048576,COUNTA(Y$19:Y$1048576)-12)-1</f>
        <v/>
      </c>
    </row>
    <row r="5" ht="29.15" customHeight="1" s="828">
      <c r="B5" s="419" t="inlineStr">
        <is>
          <t>pre-pandemic trend (Dec-Feb)</t>
        </is>
      </c>
      <c r="C5" s="462">
        <f t="array" ref="C5">INDEX(C$19:C$1048576,COUNTA(C$19:C$1048576))-C$243</f>
        <v/>
      </c>
      <c r="D5" s="432">
        <f t="array" ref="D5">INDEX(D$19:D$1048576,COUNTA(D$19:D$1048576))/D$243-1</f>
        <v/>
      </c>
      <c r="E5" s="432">
        <f t="array" ref="E5">INDEX(E$19:E$1048576,COUNTA(E$19:E$1048576))/E$243-1</f>
        <v/>
      </c>
      <c r="F5" s="432">
        <f t="array" ref="F5">INDEX(F$19:F$1048576,COUNTA(F$19:F$1048576))/F$243-1</f>
        <v/>
      </c>
      <c r="G5" s="432">
        <f t="array" ref="G5">INDEX(G$19:G$1048576,COUNTA(G$19:G$1048576))/G$243-1</f>
        <v/>
      </c>
      <c r="H5" s="432">
        <f t="array" ref="H5">INDEX(H$19:H$1048576,COUNTA(H$19:H$1048576))/H$243-1</f>
        <v/>
      </c>
      <c r="I5" s="432">
        <f t="array" ref="I5">INDEX(I$19:I$1048576,COUNTA(I$19:I$1048576))/I$243-1</f>
        <v/>
      </c>
      <c r="J5" s="432">
        <f t="array" ref="J5">INDEX(J$19:J$1048576,COUNTA(J$19:J$1048576))/J$243-1</f>
        <v/>
      </c>
      <c r="K5" s="432">
        <f t="array" ref="K5">INDEX(K$19:K$1048576,COUNTA(K$19:K$1048576))/K$243-1</f>
        <v/>
      </c>
      <c r="L5" s="432">
        <f t="array" ref="L5">INDEX(L$19:L$1048576,COUNTA(L$19:L$1048576))/L$243-1</f>
        <v/>
      </c>
      <c r="M5" s="432">
        <f t="array" ref="M5">INDEX(M$19:M$1048576,COUNTA(M$19:M$1048576))/M$243-1</f>
        <v/>
      </c>
      <c r="N5" s="432">
        <f t="array" ref="N5">INDEX(N$19:N$1048576,COUNTA(N$19:N$1048576))/N$243-1</f>
        <v/>
      </c>
      <c r="O5" s="432">
        <f t="array" ref="O5">INDEX(O$19:O$1048576,COUNTA(O$19:O$1048576))/O$243-1</f>
        <v/>
      </c>
      <c r="P5" s="432">
        <f t="array" ref="P5">INDEX(P$19:P$1048576,COUNTA(P$19:P$1048576))/P$243-1</f>
        <v/>
      </c>
      <c r="Q5" s="432">
        <f t="array" ref="Q5">INDEX(Q$19:Q$1048576,COUNTA(Q$19:Q$1048576))/Q$243-1</f>
        <v/>
      </c>
      <c r="R5" s="432">
        <f t="array" ref="R5">INDEX(R$19:R$1048576,COUNTA(R$19:R$1048576))/R$243-1</f>
        <v/>
      </c>
      <c r="S5" s="432">
        <f t="array" ref="S5">INDEX(S$19:S$1048576,COUNTA(S$19:S$1048576))/S$243-1</f>
        <v/>
      </c>
      <c r="T5" s="432">
        <f t="array" ref="T5">INDEX(T$19:T$1048576,COUNTA(T$19:T$1048576))/T$243-1</f>
        <v/>
      </c>
      <c r="U5" s="432">
        <f t="array" ref="U5">INDEX(U$19:U$1048576,COUNTA(U$19:U$1048576))/U$243-1</f>
        <v/>
      </c>
      <c r="V5" s="432">
        <f t="array" ref="V5">INDEX(V$19:V$1048576,COUNTA(V$19:V$1048576))/V$243-1</f>
        <v/>
      </c>
      <c r="W5" s="432">
        <f t="array" ref="W5">INDEX(W$19:W$1048576,COUNTA(W$19:W$1048576))/W$243-1</f>
        <v/>
      </c>
      <c r="X5" s="432">
        <f t="array" ref="X5">INDEX(X$19:X$1048576,COUNTA(X$19:X$1048576))/X$243-1</f>
        <v/>
      </c>
      <c r="Y5" s="432">
        <f t="array" ref="Y5">INDEX(Y$19:Y$1048576,COUNTA(Y$19:Y$1048576))/Y$243-1</f>
        <v/>
      </c>
    </row>
    <row r="6" ht="24" customHeight="1" s="828">
      <c r="B6" s="419" t="inlineStr">
        <is>
          <t>Since 2010 election</t>
        </is>
      </c>
      <c r="C6" s="462">
        <f t="array" ref="C6">INDEX(C$19:C$1048576,COUNTA(C$19:C$1048576))-C$125</f>
        <v/>
      </c>
      <c r="D6" s="432">
        <f t="array" ref="D6">INDEX(D$19:D$1048576,COUNTA(D$19:D$1048576))/D$125-1</f>
        <v/>
      </c>
      <c r="E6" s="432">
        <f t="array" ref="E6">INDEX(E$19:E$1048576,COUNTA(E$19:E$1048576))/E$125-1</f>
        <v/>
      </c>
      <c r="F6" s="432">
        <f t="array" ref="F6">INDEX(F$19:F$1048576,COUNTA(F$19:F$1048576))/F$125-1</f>
        <v/>
      </c>
      <c r="G6" s="432">
        <f t="array" ref="G6">INDEX(G$19:G$1048576,COUNTA(G$19:G$1048576))/G$125-1</f>
        <v/>
      </c>
      <c r="H6" s="432">
        <f t="array" ref="H6">INDEX(H$19:H$1048576,COUNTA(H$19:H$1048576))/H$125-1</f>
        <v/>
      </c>
      <c r="I6" s="432">
        <f t="array" ref="I6">INDEX(I$19:I$1048576,COUNTA(I$19:I$1048576))/I$125-1</f>
        <v/>
      </c>
      <c r="J6" s="432">
        <f t="array" ref="J6">INDEX(J$19:J$1048576,COUNTA(J$19:J$1048576))/J$125-1</f>
        <v/>
      </c>
      <c r="K6" s="432">
        <f t="array" ref="K6">INDEX(K$19:K$1048576,COUNTA(K$19:K$1048576))/K$125-1</f>
        <v/>
      </c>
      <c r="L6" s="432">
        <f t="array" ref="L6">INDEX(L$19:L$1048576,COUNTA(L$19:L$1048576))/L$125-1</f>
        <v/>
      </c>
      <c r="M6" s="432">
        <f t="array" ref="M6">INDEX(M$19:M$1048576,COUNTA(M$19:M$1048576))/M$125-1</f>
        <v/>
      </c>
      <c r="N6" s="432">
        <f t="array" ref="N6">INDEX(N$19:N$1048576,COUNTA(N$19:N$1048576))/N$125-1</f>
        <v/>
      </c>
      <c r="O6" s="432">
        <f t="array" ref="O6">INDEX(O$19:O$1048576,COUNTA(O$19:O$1048576))/O$125-1</f>
        <v/>
      </c>
      <c r="P6" s="432">
        <f t="array" ref="P6">INDEX(P$19:P$1048576,COUNTA(P$19:P$1048576))/P$125-1</f>
        <v/>
      </c>
      <c r="Q6" s="432">
        <f t="array" ref="Q6">INDEX(Q$19:Q$1048576,COUNTA(Q$19:Q$1048576))/Q$125-1</f>
        <v/>
      </c>
      <c r="R6" s="432">
        <f t="array" ref="R6">INDEX(R$19:R$1048576,COUNTA(R$19:R$1048576))/R$125-1</f>
        <v/>
      </c>
      <c r="S6" s="432">
        <f t="array" ref="S6">INDEX(S$19:S$1048576,COUNTA(S$19:S$1048576))/S$125-1</f>
        <v/>
      </c>
      <c r="T6" s="432">
        <f t="array" ref="T6">INDEX(T$19:T$1048576,COUNTA(T$19:T$1048576))/T$125-1</f>
        <v/>
      </c>
      <c r="U6" s="432">
        <f t="array" ref="U6">INDEX(U$19:U$1048576,COUNTA(U$19:U$1048576))/U$125-1</f>
        <v/>
      </c>
      <c r="V6" s="432">
        <f t="array" ref="V6">INDEX(V$19:V$1048576,COUNTA(V$19:V$1048576))/V$125-1</f>
        <v/>
      </c>
      <c r="W6" s="432">
        <f t="array" ref="W6">INDEX(W$19:W$1048576,COUNTA(W$19:W$1048576))/W$125-1</f>
        <v/>
      </c>
      <c r="X6" s="432">
        <f t="array" ref="X6">INDEX(X$19:X$1048576,COUNTA(X$19:X$1048576))/X$125-1</f>
        <v/>
      </c>
      <c r="Y6" s="432">
        <f t="array" ref="Y6">INDEX(Y$19:Y$1048576,COUNTA(Y$19:Y$1048576))/Y$125-1</f>
        <v/>
      </c>
    </row>
    <row r="7" ht="13" customHeight="1" s="828">
      <c r="A7" s="867" t="n"/>
      <c r="O7" s="237" t="n"/>
      <c r="P7" s="237" t="n"/>
      <c r="Q7" s="237" t="n"/>
      <c r="R7" s="237" t="n"/>
      <c r="S7" s="237" t="n"/>
      <c r="T7" s="868" t="n"/>
    </row>
    <row r="8" ht="17.9" customFormat="1" customHeight="1" s="335">
      <c r="A8" s="251" t="inlineStr">
        <is>
          <t xml:space="preserve">Table 21:  Vacancies 1 by industry (seasonally adjusted) </t>
        </is>
      </c>
      <c r="B8" s="251" t="n"/>
      <c r="C8" s="251" t="n"/>
      <c r="D8" s="251" t="n"/>
      <c r="E8" s="251" t="n"/>
      <c r="F8" s="251" t="n"/>
      <c r="G8" s="251" t="n"/>
      <c r="H8" s="251" t="n"/>
      <c r="I8" s="251" t="n"/>
      <c r="J8" s="251" t="n"/>
      <c r="O8" s="359" t="n"/>
      <c r="P8" s="359" t="n"/>
      <c r="Q8" s="359" t="n"/>
      <c r="R8" s="359" t="n"/>
      <c r="S8" s="359" t="n"/>
      <c r="T8" s="359" t="n"/>
      <c r="U8" s="359" t="n"/>
    </row>
    <row r="9" ht="15.75" customFormat="1" customHeight="1" s="335">
      <c r="A9" s="279" t="inlineStr">
        <is>
          <t>Date of publication:</t>
        </is>
      </c>
      <c r="B9" s="333" t="n"/>
      <c r="C9" s="969" t="n">
        <v>45881</v>
      </c>
      <c r="E9" s="331" t="n"/>
      <c r="F9" s="279" t="n"/>
      <c r="G9" s="333" t="n"/>
      <c r="H9" s="279" t="n"/>
      <c r="I9" s="280" t="inlineStr">
        <is>
          <t>Date of next publication:</t>
        </is>
      </c>
      <c r="J9" s="969" t="n">
        <v>45916</v>
      </c>
      <c r="L9" s="331" t="n"/>
      <c r="M9" s="334" t="n"/>
      <c r="N9" s="334" t="n"/>
    </row>
    <row r="10" ht="15.65" customFormat="1" customHeight="1" s="335">
      <c r="A10" s="376" t="n"/>
      <c r="C10" s="282" t="n"/>
      <c r="G10" s="281" t="n"/>
      <c r="H10" s="281" t="n"/>
      <c r="I10" s="332" t="n"/>
      <c r="J10" s="1094" t="n"/>
      <c r="L10" s="331" t="n"/>
      <c r="M10" s="331" t="n"/>
      <c r="N10" s="334" t="n"/>
      <c r="Y10" s="1095" t="n"/>
    </row>
    <row r="11" ht="21" customFormat="1" customHeight="1" s="335" thickBot="1">
      <c r="A11" s="355" t="n"/>
      <c r="B11" s="357" t="n"/>
      <c r="C11" s="357" t="n"/>
      <c r="D11" s="357" t="n"/>
      <c r="E11" s="357" t="n"/>
      <c r="F11" s="357" t="n"/>
      <c r="G11" s="357" t="n"/>
      <c r="H11" s="357" t="n"/>
      <c r="I11" s="358" t="n"/>
      <c r="J11" s="357" t="n"/>
      <c r="Y11" s="1095" t="n"/>
    </row>
    <row r="12" ht="11.25" customHeight="1" s="828">
      <c r="A12" s="346" t="n"/>
      <c r="B12" s="347" t="n"/>
      <c r="C12" s="349" t="n"/>
      <c r="D12" s="349" t="n"/>
      <c r="E12" s="349" t="n"/>
      <c r="F12" s="349" t="n"/>
      <c r="G12" s="349" t="n"/>
      <c r="H12" s="349" t="n"/>
      <c r="I12" s="350" t="n"/>
      <c r="J12" s="349" t="n"/>
      <c r="K12" s="351" t="n"/>
      <c r="L12" s="351" t="n"/>
      <c r="M12" s="351" t="n"/>
      <c r="N12" s="351" t="n"/>
      <c r="O12" s="351" t="n"/>
      <c r="P12" s="351" t="n"/>
      <c r="Q12" s="351" t="n"/>
      <c r="R12" s="351" t="n"/>
      <c r="S12" s="351" t="n"/>
      <c r="T12" s="351" t="n"/>
      <c r="U12" s="351" t="n"/>
      <c r="V12" s="351" t="n"/>
      <c r="W12" s="351" t="n"/>
      <c r="X12" s="351" t="n"/>
      <c r="Y12" s="351" t="n"/>
    </row>
    <row r="13" ht="11.25" customHeight="1" s="828">
      <c r="A13" s="866" t="n"/>
      <c r="B13" s="1047" t="n"/>
      <c r="C13" s="1047" t="n"/>
      <c r="D13" s="1047" t="n"/>
      <c r="E13" s="1047" t="n"/>
      <c r="F13" s="1047" t="n"/>
      <c r="G13" s="1047" t="n"/>
      <c r="H13" s="1047" t="n"/>
      <c r="I13" s="1047" t="n"/>
      <c r="J13" s="1047" t="n"/>
      <c r="K13" s="1047" t="n"/>
      <c r="L13" s="1047" t="n"/>
      <c r="M13" s="1047" t="n"/>
      <c r="N13" s="1047" t="n"/>
      <c r="O13" s="1047" t="n"/>
      <c r="P13" s="1047" t="n"/>
      <c r="Q13" s="1047" t="n"/>
      <c r="R13" s="1047" t="n"/>
      <c r="S13" s="1047" t="n"/>
      <c r="T13" s="1047" t="n"/>
      <c r="U13" s="1047" t="n"/>
      <c r="V13" s="1047" t="n"/>
      <c r="W13" s="1047" t="n"/>
      <c r="X13" s="1047" t="n"/>
      <c r="Y13" s="1047" t="n"/>
    </row>
    <row r="14" ht="77.15000000000001" customHeight="1" s="828">
      <c r="A14" s="377" t="n"/>
      <c r="B14" s="378" t="n"/>
      <c r="C14" s="379" t="n"/>
      <c r="D14" s="379" t="n"/>
      <c r="E14" s="379" t="n"/>
      <c r="F14" s="379" t="n"/>
      <c r="G14" s="379" t="n"/>
      <c r="H14" s="379" t="n"/>
      <c r="I14" s="379" t="n"/>
      <c r="J14" s="379" t="n"/>
      <c r="K14" s="379" t="n"/>
      <c r="L14" s="379" t="n"/>
      <c r="M14" s="380" t="n"/>
      <c r="N14" s="380" t="n"/>
      <c r="O14" s="380" t="n"/>
      <c r="P14" s="380" t="n"/>
      <c r="Q14" s="380" t="n"/>
      <c r="R14" s="380" t="n"/>
      <c r="S14" s="380" t="n"/>
      <c r="T14" s="380" t="n"/>
      <c r="U14" s="380" t="n"/>
      <c r="V14" s="380" t="n"/>
      <c r="W14" s="380" t="n"/>
      <c r="X14" s="380" t="n"/>
      <c r="Y14" s="380" t="n"/>
    </row>
    <row r="15" ht="19.5" customHeight="1" s="828">
      <c r="A15" s="381" t="n"/>
      <c r="B15" s="382" t="n"/>
      <c r="C15" s="379" t="n"/>
      <c r="D15" s="379" t="n"/>
      <c r="E15" s="379" t="n"/>
      <c r="F15" s="379" t="n"/>
      <c r="G15" s="379" t="n"/>
      <c r="H15" s="379" t="n"/>
      <c r="I15" s="379" t="n"/>
      <c r="J15" s="379" t="n"/>
      <c r="K15" s="379" t="n"/>
      <c r="L15" s="379" t="n"/>
      <c r="M15" s="379" t="n"/>
      <c r="N15" s="379" t="n"/>
      <c r="O15" s="379" t="n"/>
      <c r="P15" s="379" t="n"/>
      <c r="Q15" s="379" t="n"/>
      <c r="R15" s="379" t="n"/>
      <c r="S15" s="379" t="n"/>
      <c r="T15" s="379" t="n"/>
      <c r="U15" s="379" t="n"/>
      <c r="V15" s="379" t="n"/>
      <c r="W15" s="379" t="n"/>
      <c r="X15" s="379" t="n"/>
      <c r="Y15" s="379" t="n"/>
    </row>
    <row r="16" ht="14.9" customHeight="1" s="828">
      <c r="A16" s="383" t="n"/>
      <c r="B16" s="382" t="n"/>
      <c r="C16" s="384" t="n"/>
      <c r="D16" s="384" t="n"/>
      <c r="E16" s="384" t="n"/>
      <c r="F16" s="384" t="n"/>
      <c r="G16" s="384" t="n"/>
      <c r="H16" s="384" t="n"/>
      <c r="I16" s="384" t="n"/>
      <c r="J16" s="384" t="n"/>
      <c r="K16" s="384" t="n"/>
      <c r="L16" s="384" t="n"/>
      <c r="M16" s="384" t="n"/>
      <c r="N16" s="384" t="n"/>
      <c r="O16" s="384" t="n"/>
      <c r="P16" s="384" t="n"/>
      <c r="Q16" s="384" t="n"/>
      <c r="R16" s="384" t="n"/>
      <c r="S16" s="384" t="n"/>
      <c r="T16" s="384" t="n"/>
      <c r="U16" s="384" t="n"/>
      <c r="V16" s="384" t="n"/>
      <c r="W16" s="835" t="n"/>
      <c r="X16" s="835" t="n"/>
      <c r="Y16" s="835" t="n"/>
    </row>
    <row r="17" ht="14.5" customHeight="1" s="828">
      <c r="A17" s="345" t="n"/>
      <c r="B17" s="338" t="n"/>
      <c r="C17" s="339" t="n"/>
      <c r="D17" s="339" t="n"/>
      <c r="E17" s="339" t="n"/>
      <c r="F17" s="339" t="n"/>
      <c r="G17" s="336" t="n"/>
      <c r="H17" s="336" t="n"/>
      <c r="I17" s="336" t="n"/>
      <c r="J17" s="336" t="n"/>
      <c r="K17" s="339" t="n"/>
      <c r="L17" s="339" t="n"/>
      <c r="M17" s="226" t="n"/>
      <c r="N17" s="226" t="n"/>
      <c r="O17" s="226" t="n"/>
      <c r="P17" s="226" t="n"/>
      <c r="Q17" s="226" t="n"/>
      <c r="R17" s="226" t="n"/>
      <c r="S17" s="226" t="n"/>
      <c r="T17" s="226" t="n"/>
      <c r="U17" s="226" t="n"/>
      <c r="V17" s="226" t="n"/>
      <c r="W17" s="226" t="n"/>
      <c r="X17" s="226" t="n"/>
      <c r="Y17" s="226" t="n"/>
    </row>
    <row r="18" ht="10.5" customHeight="1" s="828">
      <c r="A18" s="337" t="n"/>
      <c r="B18" s="338" t="n"/>
      <c r="C18" s="339" t="n"/>
      <c r="D18" s="339" t="n"/>
      <c r="E18" s="339" t="n"/>
      <c r="F18" s="339" t="n"/>
      <c r="G18" s="336" t="n"/>
      <c r="H18" s="336" t="n"/>
      <c r="I18" s="336" t="n"/>
      <c r="J18" s="336" t="n"/>
      <c r="K18" s="339" t="n"/>
      <c r="L18" s="339" t="n"/>
      <c r="M18" s="226" t="n"/>
      <c r="N18" s="226" t="n"/>
      <c r="O18" s="226" t="n"/>
      <c r="P18" s="226" t="n"/>
      <c r="Q18" s="226" t="n"/>
      <c r="R18" s="226" t="n"/>
      <c r="S18" s="226" t="n"/>
      <c r="T18" s="226" t="n"/>
      <c r="U18" s="226" t="n"/>
      <c r="V18" s="226" t="n"/>
      <c r="W18" s="226" t="n"/>
      <c r="X18" s="226" t="n"/>
      <c r="Y18" s="226" t="n"/>
    </row>
    <row r="19" ht="15" customHeight="1" s="828">
      <c r="A19" s="773" t="n"/>
      <c r="B19" s="735" t="n"/>
      <c r="C19" s="736" t="n"/>
      <c r="D19" s="736" t="n"/>
      <c r="E19" s="736" t="n"/>
      <c r="F19" s="736" t="n"/>
      <c r="G19" s="736" t="n"/>
      <c r="H19" s="736" t="n"/>
      <c r="I19" s="736" t="n"/>
      <c r="J19" s="736" t="n"/>
      <c r="K19" s="736" t="n"/>
      <c r="L19" s="736" t="n"/>
      <c r="M19" s="736" t="n"/>
      <c r="N19" s="736" t="n"/>
      <c r="O19" s="736" t="n"/>
      <c r="P19" s="736" t="n"/>
      <c r="Q19" s="736" t="n"/>
      <c r="R19" s="736" t="n"/>
      <c r="S19" s="736" t="n"/>
      <c r="T19" s="736" t="n"/>
      <c r="U19" s="736" t="n"/>
      <c r="V19" s="736" t="n"/>
      <c r="W19" s="736" t="n"/>
      <c r="X19" s="736" t="n"/>
      <c r="Y19" s="736" t="n"/>
    </row>
    <row r="20" ht="15" customHeight="1" s="828">
      <c r="A20" s="773" t="n"/>
      <c r="B20" s="735" t="n"/>
      <c r="C20" s="736" t="n"/>
      <c r="D20" s="736" t="n"/>
      <c r="E20" s="736" t="n"/>
      <c r="F20" s="736" t="n"/>
      <c r="G20" s="736" t="n"/>
      <c r="H20" s="736" t="n"/>
      <c r="I20" s="736" t="n"/>
      <c r="J20" s="736" t="n"/>
      <c r="K20" s="736" t="n"/>
      <c r="L20" s="736" t="n"/>
      <c r="M20" s="736" t="n"/>
      <c r="N20" s="736" t="n"/>
      <c r="O20" s="736" t="n"/>
      <c r="P20" s="736" t="n"/>
      <c r="Q20" s="736" t="n"/>
      <c r="R20" s="736" t="n"/>
      <c r="S20" s="736" t="n"/>
      <c r="T20" s="736" t="n"/>
      <c r="U20" s="736" t="n"/>
      <c r="V20" s="736" t="n"/>
      <c r="W20" s="736" t="n"/>
      <c r="X20" s="736" t="n"/>
      <c r="Y20" s="736" t="n"/>
    </row>
    <row r="21" ht="15" customHeight="1" s="828">
      <c r="A21" s="773" t="n"/>
      <c r="B21" s="735" t="n"/>
      <c r="C21" s="736" t="n"/>
      <c r="D21" s="736" t="n"/>
      <c r="E21" s="736" t="n"/>
      <c r="F21" s="736" t="n"/>
      <c r="G21" s="736" t="n"/>
      <c r="H21" s="736" t="n"/>
      <c r="I21" s="736" t="n"/>
      <c r="J21" s="736" t="n"/>
      <c r="K21" s="736" t="n"/>
      <c r="L21" s="736" t="n"/>
      <c r="M21" s="736" t="n"/>
      <c r="N21" s="736" t="n"/>
      <c r="O21" s="736" t="n"/>
      <c r="P21" s="736" t="n"/>
      <c r="Q21" s="736" t="n"/>
      <c r="R21" s="736" t="n"/>
      <c r="S21" s="736" t="n"/>
      <c r="T21" s="736" t="n"/>
      <c r="U21" s="736" t="n"/>
      <c r="V21" s="736" t="n"/>
      <c r="W21" s="736" t="n"/>
      <c r="X21" s="736" t="n"/>
      <c r="Y21" s="736" t="n"/>
    </row>
    <row r="22" ht="15" customHeight="1" s="828">
      <c r="A22" s="773" t="n"/>
      <c r="B22" s="735" t="n"/>
      <c r="C22" s="736" t="n"/>
      <c r="D22" s="736" t="n"/>
      <c r="E22" s="736" t="n"/>
      <c r="F22" s="736" t="n"/>
      <c r="G22" s="736" t="n"/>
      <c r="H22" s="736" t="n"/>
      <c r="I22" s="736" t="n"/>
      <c r="J22" s="736" t="n"/>
      <c r="K22" s="736" t="n"/>
      <c r="L22" s="736" t="n"/>
      <c r="M22" s="736" t="n"/>
      <c r="N22" s="736" t="n"/>
      <c r="O22" s="736" t="n"/>
      <c r="P22" s="736" t="n"/>
      <c r="Q22" s="736" t="n"/>
      <c r="R22" s="736" t="n"/>
      <c r="S22" s="736" t="n"/>
      <c r="T22" s="736" t="n"/>
      <c r="U22" s="736" t="n"/>
      <c r="V22" s="736" t="n"/>
      <c r="W22" s="736" t="n"/>
      <c r="X22" s="736" t="n"/>
      <c r="Y22" s="736" t="n"/>
    </row>
    <row r="23" ht="15" customHeight="1" s="828">
      <c r="A23" s="773" t="n"/>
      <c r="B23" s="735" t="n"/>
      <c r="C23" s="736" t="n"/>
      <c r="D23" s="736" t="n"/>
      <c r="E23" s="736" t="n"/>
      <c r="F23" s="736" t="n"/>
      <c r="G23" s="736" t="n"/>
      <c r="H23" s="736" t="n"/>
      <c r="I23" s="736" t="n"/>
      <c r="J23" s="736" t="n"/>
      <c r="K23" s="736" t="n"/>
      <c r="L23" s="736" t="n"/>
      <c r="M23" s="736" t="n"/>
      <c r="N23" s="736" t="n"/>
      <c r="O23" s="736" t="n"/>
      <c r="P23" s="736" t="n"/>
      <c r="Q23" s="736" t="n"/>
      <c r="R23" s="736" t="n"/>
      <c r="S23" s="736" t="n"/>
      <c r="T23" s="736" t="n"/>
      <c r="U23" s="736" t="n"/>
      <c r="V23" s="736" t="n"/>
      <c r="W23" s="736" t="n"/>
      <c r="X23" s="736" t="n"/>
      <c r="Y23" s="736" t="n"/>
    </row>
    <row r="24" ht="15" customHeight="1" s="828">
      <c r="A24" s="773" t="n"/>
      <c r="B24" s="735" t="n"/>
      <c r="C24" s="736" t="n"/>
      <c r="D24" s="736" t="n"/>
      <c r="E24" s="736" t="n"/>
      <c r="F24" s="736" t="n"/>
      <c r="G24" s="736" t="n"/>
      <c r="H24" s="736" t="n"/>
      <c r="I24" s="736" t="n"/>
      <c r="J24" s="736" t="n"/>
      <c r="K24" s="736" t="n"/>
      <c r="L24" s="736" t="n"/>
      <c r="M24" s="736" t="n"/>
      <c r="N24" s="736" t="n"/>
      <c r="O24" s="736" t="n"/>
      <c r="P24" s="736" t="n"/>
      <c r="Q24" s="736" t="n"/>
      <c r="R24" s="736" t="n"/>
      <c r="S24" s="736" t="n"/>
      <c r="T24" s="736" t="n"/>
      <c r="U24" s="736" t="n"/>
      <c r="V24" s="736" t="n"/>
      <c r="W24" s="736" t="n"/>
      <c r="X24" s="736" t="n"/>
      <c r="Y24" s="736" t="n"/>
    </row>
    <row r="25" ht="15" customHeight="1" s="828">
      <c r="A25" s="773" t="n"/>
      <c r="B25" s="735" t="n"/>
      <c r="C25" s="736" t="n"/>
      <c r="D25" s="736" t="n"/>
      <c r="E25" s="736" t="n"/>
      <c r="F25" s="736" t="n"/>
      <c r="G25" s="736" t="n"/>
      <c r="H25" s="736" t="n"/>
      <c r="I25" s="736" t="n"/>
      <c r="J25" s="736" t="n"/>
      <c r="K25" s="736" t="n"/>
      <c r="L25" s="736" t="n"/>
      <c r="M25" s="736" t="n"/>
      <c r="N25" s="736" t="n"/>
      <c r="O25" s="736" t="n"/>
      <c r="P25" s="736" t="n"/>
      <c r="Q25" s="736" t="n"/>
      <c r="R25" s="736" t="n"/>
      <c r="S25" s="736" t="n"/>
      <c r="T25" s="736" t="n"/>
      <c r="U25" s="736" t="n"/>
      <c r="V25" s="736" t="n"/>
      <c r="W25" s="736" t="n"/>
      <c r="X25" s="736" t="n"/>
      <c r="Y25" s="736" t="n"/>
    </row>
    <row r="26" ht="15" customHeight="1" s="828">
      <c r="A26" s="773" t="n"/>
      <c r="B26" s="735" t="n"/>
      <c r="C26" s="736" t="n"/>
      <c r="D26" s="736" t="n"/>
      <c r="E26" s="736" t="n"/>
      <c r="F26" s="736" t="n"/>
      <c r="G26" s="736" t="n"/>
      <c r="H26" s="736" t="n"/>
      <c r="I26" s="736" t="n"/>
      <c r="J26" s="736" t="n"/>
      <c r="K26" s="736" t="n"/>
      <c r="L26" s="736" t="n"/>
      <c r="M26" s="736" t="n"/>
      <c r="N26" s="736" t="n"/>
      <c r="O26" s="736" t="n"/>
      <c r="P26" s="736" t="n"/>
      <c r="Q26" s="736" t="n"/>
      <c r="R26" s="736" t="n"/>
      <c r="S26" s="736" t="n"/>
      <c r="T26" s="736" t="n"/>
      <c r="U26" s="736" t="n"/>
      <c r="V26" s="736" t="n"/>
      <c r="W26" s="736" t="n"/>
      <c r="X26" s="736" t="n"/>
      <c r="Y26" s="736" t="n"/>
    </row>
    <row r="27" ht="15" customHeight="1" s="828">
      <c r="A27" s="773" t="n"/>
      <c r="B27" s="735" t="n"/>
      <c r="C27" s="736" t="n"/>
      <c r="D27" s="736" t="n"/>
      <c r="E27" s="736" t="n"/>
      <c r="F27" s="736" t="n"/>
      <c r="G27" s="736" t="n"/>
      <c r="H27" s="736" t="n"/>
      <c r="I27" s="736" t="n"/>
      <c r="J27" s="736" t="n"/>
      <c r="K27" s="736" t="n"/>
      <c r="L27" s="736" t="n"/>
      <c r="M27" s="736" t="n"/>
      <c r="N27" s="736" t="n"/>
      <c r="O27" s="736" t="n"/>
      <c r="P27" s="736" t="n"/>
      <c r="Q27" s="736" t="n"/>
      <c r="R27" s="736" t="n"/>
      <c r="S27" s="736" t="n"/>
      <c r="T27" s="736" t="n"/>
      <c r="U27" s="736" t="n"/>
      <c r="V27" s="736" t="n"/>
      <c r="W27" s="736" t="n"/>
      <c r="X27" s="736" t="n"/>
      <c r="Y27" s="736" t="n"/>
    </row>
    <row r="28" ht="15" customHeight="1" s="828">
      <c r="A28" s="773" t="n"/>
      <c r="B28" s="735" t="n"/>
      <c r="C28" s="736" t="n"/>
      <c r="D28" s="736" t="n"/>
      <c r="E28" s="736" t="n"/>
      <c r="F28" s="736" t="n"/>
      <c r="G28" s="736" t="n"/>
      <c r="H28" s="736" t="n"/>
      <c r="I28" s="736" t="n"/>
      <c r="J28" s="736" t="n"/>
      <c r="K28" s="736" t="n"/>
      <c r="L28" s="736" t="n"/>
      <c r="M28" s="736" t="n"/>
      <c r="N28" s="736" t="n"/>
      <c r="O28" s="736" t="n"/>
      <c r="P28" s="736" t="n"/>
      <c r="Q28" s="736" t="n"/>
      <c r="R28" s="736" t="n"/>
      <c r="S28" s="736" t="n"/>
      <c r="T28" s="736" t="n"/>
      <c r="U28" s="736" t="n"/>
      <c r="V28" s="736" t="n"/>
      <c r="W28" s="736" t="n"/>
      <c r="X28" s="736" t="n"/>
      <c r="Y28" s="736" t="n"/>
    </row>
    <row r="29" ht="15" customHeight="1" s="828">
      <c r="A29" s="773" t="n"/>
      <c r="B29" s="735" t="n"/>
      <c r="C29" s="736" t="n"/>
      <c r="D29" s="736" t="n"/>
      <c r="E29" s="736" t="n"/>
      <c r="F29" s="736" t="n"/>
      <c r="G29" s="736" t="n"/>
      <c r="H29" s="736" t="n"/>
      <c r="I29" s="736" t="n"/>
      <c r="J29" s="736" t="n"/>
      <c r="K29" s="736" t="n"/>
      <c r="L29" s="736" t="n"/>
      <c r="M29" s="736" t="n"/>
      <c r="N29" s="736" t="n"/>
      <c r="O29" s="736" t="n"/>
      <c r="P29" s="736" t="n"/>
      <c r="Q29" s="736" t="n"/>
      <c r="R29" s="736" t="n"/>
      <c r="S29" s="736" t="n"/>
      <c r="T29" s="736" t="n"/>
      <c r="U29" s="736" t="n"/>
      <c r="V29" s="736" t="n"/>
      <c r="W29" s="736" t="n"/>
      <c r="X29" s="736" t="n"/>
      <c r="Y29" s="736" t="n"/>
    </row>
    <row r="30" ht="15" customHeight="1" s="828">
      <c r="A30" s="773" t="n"/>
      <c r="B30" s="735" t="n"/>
      <c r="C30" s="736" t="n"/>
      <c r="D30" s="736" t="n"/>
      <c r="E30" s="736" t="n"/>
      <c r="F30" s="736" t="n"/>
      <c r="G30" s="736" t="n"/>
      <c r="H30" s="736" t="n"/>
      <c r="I30" s="736" t="n"/>
      <c r="J30" s="736" t="n"/>
      <c r="K30" s="736" t="n"/>
      <c r="L30" s="736" t="n"/>
      <c r="M30" s="736" t="n"/>
      <c r="N30" s="736" t="n"/>
      <c r="O30" s="736" t="n"/>
      <c r="P30" s="736" t="n"/>
      <c r="Q30" s="736" t="n"/>
      <c r="R30" s="736" t="n"/>
      <c r="S30" s="736" t="n"/>
      <c r="T30" s="736" t="n"/>
      <c r="U30" s="736" t="n"/>
      <c r="V30" s="736" t="n"/>
      <c r="W30" s="736" t="n"/>
      <c r="X30" s="736" t="n"/>
      <c r="Y30" s="736" t="n"/>
    </row>
    <row r="31" ht="15" customHeight="1" s="828">
      <c r="A31" s="773" t="n"/>
      <c r="B31" s="735" t="n"/>
      <c r="C31" s="736" t="n"/>
      <c r="D31" s="736" t="n"/>
      <c r="E31" s="736" t="n"/>
      <c r="F31" s="736" t="n"/>
      <c r="G31" s="736" t="n"/>
      <c r="H31" s="736" t="n"/>
      <c r="I31" s="736" t="n"/>
      <c r="J31" s="736" t="n"/>
      <c r="K31" s="736" t="n"/>
      <c r="L31" s="736" t="n"/>
      <c r="M31" s="736" t="n"/>
      <c r="N31" s="736" t="n"/>
      <c r="O31" s="736" t="n"/>
      <c r="P31" s="736" t="n"/>
      <c r="Q31" s="736" t="n"/>
      <c r="R31" s="736" t="n"/>
      <c r="S31" s="736" t="n"/>
      <c r="T31" s="736" t="n"/>
      <c r="U31" s="736" t="n"/>
      <c r="V31" s="736" t="n"/>
      <c r="W31" s="736" t="n"/>
      <c r="X31" s="736" t="n"/>
      <c r="Y31" s="736" t="n"/>
    </row>
    <row r="32" ht="15" customHeight="1" s="828">
      <c r="A32" s="773" t="n"/>
      <c r="B32" s="735" t="n"/>
      <c r="C32" s="736" t="n"/>
      <c r="D32" s="736" t="n"/>
      <c r="E32" s="736" t="n"/>
      <c r="F32" s="736" t="n"/>
      <c r="G32" s="736" t="n"/>
      <c r="H32" s="736" t="n"/>
      <c r="I32" s="736" t="n"/>
      <c r="J32" s="736" t="n"/>
      <c r="K32" s="736" t="n"/>
      <c r="L32" s="736" t="n"/>
      <c r="M32" s="736" t="n"/>
      <c r="N32" s="736" t="n"/>
      <c r="O32" s="736" t="n"/>
      <c r="P32" s="736" t="n"/>
      <c r="Q32" s="736" t="n"/>
      <c r="R32" s="736" t="n"/>
      <c r="S32" s="736" t="n"/>
      <c r="T32" s="736" t="n"/>
      <c r="U32" s="736" t="n"/>
      <c r="V32" s="736" t="n"/>
      <c r="W32" s="736" t="n"/>
      <c r="X32" s="736" t="n"/>
      <c r="Y32" s="736" t="n"/>
    </row>
    <row r="33" ht="15" customHeight="1" s="828">
      <c r="A33" s="773" t="n"/>
      <c r="B33" s="735" t="n"/>
      <c r="C33" s="736" t="n"/>
      <c r="D33" s="736" t="n"/>
      <c r="E33" s="736" t="n"/>
      <c r="F33" s="736" t="n"/>
      <c r="G33" s="736" t="n"/>
      <c r="H33" s="736" t="n"/>
      <c r="I33" s="736" t="n"/>
      <c r="J33" s="736" t="n"/>
      <c r="K33" s="736" t="n"/>
      <c r="L33" s="736" t="n"/>
      <c r="M33" s="736" t="n"/>
      <c r="N33" s="736" t="n"/>
      <c r="O33" s="736" t="n"/>
      <c r="P33" s="736" t="n"/>
      <c r="Q33" s="736" t="n"/>
      <c r="R33" s="736" t="n"/>
      <c r="S33" s="736" t="n"/>
      <c r="T33" s="736" t="n"/>
      <c r="U33" s="736" t="n"/>
      <c r="V33" s="736" t="n"/>
      <c r="W33" s="736" t="n"/>
      <c r="X33" s="736" t="n"/>
      <c r="Y33" s="736" t="n"/>
    </row>
    <row r="34" ht="15" customHeight="1" s="828">
      <c r="A34" s="773" t="n"/>
      <c r="B34" s="735" t="n"/>
      <c r="C34" s="736" t="n"/>
      <c r="D34" s="736" t="n"/>
      <c r="E34" s="736" t="n"/>
      <c r="F34" s="736" t="n"/>
      <c r="G34" s="736" t="n"/>
      <c r="H34" s="736" t="n"/>
      <c r="I34" s="736" t="n"/>
      <c r="J34" s="736" t="n"/>
      <c r="K34" s="736" t="n"/>
      <c r="L34" s="736" t="n"/>
      <c r="M34" s="736" t="n"/>
      <c r="N34" s="736" t="n"/>
      <c r="O34" s="736" t="n"/>
      <c r="P34" s="736" t="n"/>
      <c r="Q34" s="736" t="n"/>
      <c r="R34" s="736" t="n"/>
      <c r="S34" s="736" t="n"/>
      <c r="T34" s="736" t="n"/>
      <c r="U34" s="736" t="n"/>
      <c r="V34" s="736" t="n"/>
      <c r="W34" s="736" t="n"/>
      <c r="X34" s="736" t="n"/>
      <c r="Y34" s="736" t="n"/>
    </row>
    <row r="35" ht="15" customHeight="1" s="828">
      <c r="A35" s="773" t="n"/>
      <c r="B35" s="735" t="n"/>
      <c r="C35" s="736" t="n"/>
      <c r="D35" s="736" t="n"/>
      <c r="E35" s="736" t="n"/>
      <c r="F35" s="736" t="n"/>
      <c r="G35" s="736" t="n"/>
      <c r="H35" s="736" t="n"/>
      <c r="I35" s="736" t="n"/>
      <c r="J35" s="736" t="n"/>
      <c r="K35" s="736" t="n"/>
      <c r="L35" s="736" t="n"/>
      <c r="M35" s="736" t="n"/>
      <c r="N35" s="736" t="n"/>
      <c r="O35" s="736" t="n"/>
      <c r="P35" s="736" t="n"/>
      <c r="Q35" s="736" t="n"/>
      <c r="R35" s="736" t="n"/>
      <c r="S35" s="736" t="n"/>
      <c r="T35" s="736" t="n"/>
      <c r="U35" s="736" t="n"/>
      <c r="V35" s="736" t="n"/>
      <c r="W35" s="736" t="n"/>
      <c r="X35" s="736" t="n"/>
      <c r="Y35" s="736" t="n"/>
    </row>
    <row r="36" ht="15" customHeight="1" s="828">
      <c r="A36" s="773" t="n"/>
      <c r="B36" s="735" t="n"/>
      <c r="C36" s="736" t="n"/>
      <c r="D36" s="736" t="n"/>
      <c r="E36" s="736" t="n"/>
      <c r="F36" s="736" t="n"/>
      <c r="G36" s="736" t="n"/>
      <c r="H36" s="736" t="n"/>
      <c r="I36" s="736" t="n"/>
      <c r="J36" s="736" t="n"/>
      <c r="K36" s="736" t="n"/>
      <c r="L36" s="736" t="n"/>
      <c r="M36" s="736" t="n"/>
      <c r="N36" s="736" t="n"/>
      <c r="O36" s="736" t="n"/>
      <c r="P36" s="736" t="n"/>
      <c r="Q36" s="736" t="n"/>
      <c r="R36" s="736" t="n"/>
      <c r="S36" s="736" t="n"/>
      <c r="T36" s="736" t="n"/>
      <c r="U36" s="736" t="n"/>
      <c r="V36" s="736" t="n"/>
      <c r="W36" s="736" t="n"/>
      <c r="X36" s="736" t="n"/>
      <c r="Y36" s="736" t="n"/>
    </row>
    <row r="37" ht="15" customHeight="1" s="828">
      <c r="A37" s="773" t="n"/>
      <c r="B37" s="735" t="n"/>
      <c r="C37" s="736" t="n"/>
      <c r="D37" s="736" t="n"/>
      <c r="E37" s="736" t="n"/>
      <c r="F37" s="736" t="n"/>
      <c r="G37" s="736" t="n"/>
      <c r="H37" s="736" t="n"/>
      <c r="I37" s="736" t="n"/>
      <c r="J37" s="736" t="n"/>
      <c r="K37" s="736" t="n"/>
      <c r="L37" s="736" t="n"/>
      <c r="M37" s="736" t="n"/>
      <c r="N37" s="736" t="n"/>
      <c r="O37" s="736" t="n"/>
      <c r="P37" s="736" t="n"/>
      <c r="Q37" s="736" t="n"/>
      <c r="R37" s="736" t="n"/>
      <c r="S37" s="736" t="n"/>
      <c r="T37" s="736" t="n"/>
      <c r="U37" s="736" t="n"/>
      <c r="V37" s="736" t="n"/>
      <c r="W37" s="736" t="n"/>
      <c r="X37" s="736" t="n"/>
      <c r="Y37" s="736" t="n"/>
    </row>
    <row r="38" ht="15" customHeight="1" s="828">
      <c r="A38" s="773" t="n"/>
      <c r="B38" s="735" t="n"/>
      <c r="C38" s="736" t="n"/>
      <c r="D38" s="736" t="n"/>
      <c r="E38" s="736" t="n"/>
      <c r="F38" s="736" t="n"/>
      <c r="G38" s="736" t="n"/>
      <c r="H38" s="736" t="n"/>
      <c r="I38" s="736" t="n"/>
      <c r="J38" s="736" t="n"/>
      <c r="K38" s="736" t="n"/>
      <c r="L38" s="736" t="n"/>
      <c r="M38" s="736" t="n"/>
      <c r="N38" s="736" t="n"/>
      <c r="O38" s="736" t="n"/>
      <c r="P38" s="736" t="n"/>
      <c r="Q38" s="736" t="n"/>
      <c r="R38" s="736" t="n"/>
      <c r="S38" s="736" t="n"/>
      <c r="T38" s="736" t="n"/>
      <c r="U38" s="736" t="n"/>
      <c r="V38" s="736" t="n"/>
      <c r="W38" s="736" t="n"/>
      <c r="X38" s="736" t="n"/>
      <c r="Y38" s="736" t="n"/>
    </row>
    <row r="39" ht="15" customHeight="1" s="828">
      <c r="A39" s="773" t="n"/>
      <c r="B39" s="735" t="n"/>
      <c r="C39" s="736" t="n"/>
      <c r="D39" s="736" t="n"/>
      <c r="E39" s="736" t="n"/>
      <c r="F39" s="736" t="n"/>
      <c r="G39" s="736" t="n"/>
      <c r="H39" s="736" t="n"/>
      <c r="I39" s="736" t="n"/>
      <c r="J39" s="736" t="n"/>
      <c r="K39" s="736" t="n"/>
      <c r="L39" s="736" t="n"/>
      <c r="M39" s="736" t="n"/>
      <c r="N39" s="736" t="n"/>
      <c r="O39" s="736" t="n"/>
      <c r="P39" s="736" t="n"/>
      <c r="Q39" s="736" t="n"/>
      <c r="R39" s="736" t="n"/>
      <c r="S39" s="736" t="n"/>
      <c r="T39" s="736" t="n"/>
      <c r="U39" s="736" t="n"/>
      <c r="V39" s="736" t="n"/>
      <c r="W39" s="736" t="n"/>
      <c r="X39" s="736" t="n"/>
      <c r="Y39" s="736" t="n"/>
    </row>
    <row r="40" ht="15" customHeight="1" s="828">
      <c r="A40" s="773" t="n"/>
      <c r="B40" s="735" t="n"/>
      <c r="C40" s="736" t="n"/>
      <c r="D40" s="736" t="n"/>
      <c r="E40" s="736" t="n"/>
      <c r="F40" s="736" t="n"/>
      <c r="G40" s="736" t="n"/>
      <c r="H40" s="736" t="n"/>
      <c r="I40" s="736" t="n"/>
      <c r="J40" s="736" t="n"/>
      <c r="K40" s="736" t="n"/>
      <c r="L40" s="736" t="n"/>
      <c r="M40" s="736" t="n"/>
      <c r="N40" s="736" t="n"/>
      <c r="O40" s="736" t="n"/>
      <c r="P40" s="736" t="n"/>
      <c r="Q40" s="736" t="n"/>
      <c r="R40" s="736" t="n"/>
      <c r="S40" s="736" t="n"/>
      <c r="T40" s="736" t="n"/>
      <c r="U40" s="736" t="n"/>
      <c r="V40" s="736" t="n"/>
      <c r="W40" s="736" t="n"/>
      <c r="X40" s="736" t="n"/>
      <c r="Y40" s="736" t="n"/>
    </row>
    <row r="41" ht="15" customHeight="1" s="828">
      <c r="A41" s="773" t="n"/>
      <c r="B41" s="735" t="n"/>
      <c r="C41" s="736" t="n"/>
      <c r="D41" s="736" t="n"/>
      <c r="E41" s="736" t="n"/>
      <c r="F41" s="736" t="n"/>
      <c r="G41" s="736" t="n"/>
      <c r="H41" s="736" t="n"/>
      <c r="I41" s="736" t="n"/>
      <c r="J41" s="736" t="n"/>
      <c r="K41" s="736" t="n"/>
      <c r="L41" s="736" t="n"/>
      <c r="M41" s="736" t="n"/>
      <c r="N41" s="736" t="n"/>
      <c r="O41" s="736" t="n"/>
      <c r="P41" s="736" t="n"/>
      <c r="Q41" s="736" t="n"/>
      <c r="R41" s="736" t="n"/>
      <c r="S41" s="736" t="n"/>
      <c r="T41" s="736" t="n"/>
      <c r="U41" s="736" t="n"/>
      <c r="V41" s="736" t="n"/>
      <c r="W41" s="736" t="n"/>
      <c r="X41" s="736" t="n"/>
      <c r="Y41" s="736" t="n"/>
    </row>
    <row r="42" ht="15" customHeight="1" s="828">
      <c r="A42" s="773" t="n"/>
      <c r="B42" s="735" t="n"/>
      <c r="C42" s="736" t="n"/>
      <c r="D42" s="736" t="n"/>
      <c r="E42" s="736" t="n"/>
      <c r="F42" s="736" t="n"/>
      <c r="G42" s="736" t="n"/>
      <c r="H42" s="736" t="n"/>
      <c r="I42" s="736" t="n"/>
      <c r="J42" s="736" t="n"/>
      <c r="K42" s="736" t="n"/>
      <c r="L42" s="736" t="n"/>
      <c r="M42" s="736" t="n"/>
      <c r="N42" s="736" t="n"/>
      <c r="O42" s="736" t="n"/>
      <c r="P42" s="736" t="n"/>
      <c r="Q42" s="736" t="n"/>
      <c r="R42" s="736" t="n"/>
      <c r="S42" s="736" t="n"/>
      <c r="T42" s="736" t="n"/>
      <c r="U42" s="736" t="n"/>
      <c r="V42" s="736" t="n"/>
      <c r="W42" s="736" t="n"/>
      <c r="X42" s="736" t="n"/>
      <c r="Y42" s="736" t="n"/>
    </row>
    <row r="43" ht="15" customHeight="1" s="828">
      <c r="A43" s="773" t="n"/>
      <c r="B43" s="735" t="n"/>
      <c r="C43" s="736" t="n"/>
      <c r="D43" s="736" t="n"/>
      <c r="E43" s="736" t="n"/>
      <c r="F43" s="736" t="n"/>
      <c r="G43" s="736" t="n"/>
      <c r="H43" s="736" t="n"/>
      <c r="I43" s="736" t="n"/>
      <c r="J43" s="736" t="n"/>
      <c r="K43" s="736" t="n"/>
      <c r="L43" s="736" t="n"/>
      <c r="M43" s="736" t="n"/>
      <c r="N43" s="736" t="n"/>
      <c r="O43" s="736" t="n"/>
      <c r="P43" s="736" t="n"/>
      <c r="Q43" s="736" t="n"/>
      <c r="R43" s="736" t="n"/>
      <c r="S43" s="736" t="n"/>
      <c r="T43" s="736" t="n"/>
      <c r="U43" s="736" t="n"/>
      <c r="V43" s="736" t="n"/>
      <c r="W43" s="736" t="n"/>
      <c r="X43" s="736" t="n"/>
      <c r="Y43" s="736" t="n"/>
    </row>
    <row r="44" ht="15" customFormat="1" customHeight="1" s="340">
      <c r="A44" s="740" t="n"/>
      <c r="B44" s="740" t="n"/>
      <c r="C44" s="740" t="n"/>
      <c r="D44" s="740" t="n"/>
      <c r="E44" s="740" t="n"/>
      <c r="F44" s="740" t="n"/>
      <c r="G44" s="740" t="n"/>
      <c r="H44" s="740" t="n"/>
      <c r="I44" s="740" t="n"/>
      <c r="J44" s="740" t="n"/>
      <c r="K44" s="740" t="n"/>
      <c r="L44" s="740" t="n"/>
      <c r="M44" s="740" t="n"/>
      <c r="N44" s="740" t="n"/>
      <c r="O44" s="740" t="n"/>
      <c r="P44" s="740" t="n"/>
      <c r="Q44" s="740" t="n"/>
      <c r="R44" s="740" t="n"/>
      <c r="S44" s="740" t="n"/>
      <c r="T44" s="740" t="n"/>
      <c r="U44" s="740" t="n"/>
      <c r="V44" s="740" t="n"/>
      <c r="W44" s="740" t="n"/>
      <c r="X44" s="740" t="n"/>
      <c r="Y44" s="740" t="n"/>
    </row>
    <row r="45" ht="15" customFormat="1" customHeight="1" s="340">
      <c r="A45" s="740" t="n"/>
      <c r="B45" s="740" t="n"/>
      <c r="C45" s="740" t="n"/>
      <c r="D45" s="740" t="n"/>
      <c r="E45" s="740" t="n"/>
      <c r="F45" s="740" t="n"/>
      <c r="G45" s="740" t="n"/>
      <c r="H45" s="740" t="n"/>
      <c r="I45" s="740" t="n"/>
      <c r="J45" s="740" t="n"/>
      <c r="K45" s="740" t="n"/>
      <c r="L45" s="740" t="n"/>
      <c r="M45" s="740" t="n"/>
      <c r="N45" s="740" t="n"/>
      <c r="O45" s="740" t="n"/>
      <c r="P45" s="740" t="n"/>
      <c r="Q45" s="740" t="n"/>
      <c r="R45" s="740" t="n"/>
      <c r="S45" s="740" t="n"/>
      <c r="T45" s="740" t="n"/>
      <c r="U45" s="740" t="n"/>
      <c r="V45" s="740" t="n"/>
      <c r="W45" s="740" t="n"/>
      <c r="X45" s="740" t="n"/>
      <c r="Y45" s="740" t="n"/>
    </row>
    <row r="46" ht="15" customFormat="1" customHeight="1" s="340">
      <c r="A46" s="740" t="n"/>
      <c r="B46" s="740" t="n"/>
      <c r="C46" s="740" t="n"/>
      <c r="D46" s="740" t="n"/>
      <c r="E46" s="740" t="n"/>
      <c r="F46" s="740" t="n"/>
      <c r="G46" s="740" t="n"/>
      <c r="H46" s="740" t="n"/>
      <c r="I46" s="740" t="n"/>
      <c r="J46" s="740" t="n"/>
      <c r="K46" s="740" t="n"/>
      <c r="L46" s="740" t="n"/>
      <c r="M46" s="740" t="n"/>
      <c r="N46" s="740" t="n"/>
      <c r="O46" s="740" t="n"/>
      <c r="P46" s="740" t="n"/>
      <c r="Q46" s="740" t="n"/>
      <c r="R46" s="740" t="n"/>
      <c r="S46" s="740" t="n"/>
      <c r="T46" s="740" t="n"/>
      <c r="U46" s="740" t="n"/>
      <c r="V46" s="740" t="n"/>
      <c r="W46" s="740" t="n"/>
      <c r="X46" s="740" t="n"/>
      <c r="Y46" s="740" t="n"/>
    </row>
    <row r="47" ht="15" customFormat="1" customHeight="1" s="340">
      <c r="A47" s="740" t="n"/>
      <c r="B47" s="740" t="n"/>
      <c r="C47" s="740" t="n"/>
      <c r="D47" s="740" t="n"/>
      <c r="E47" s="740" t="n"/>
      <c r="F47" s="740" t="n"/>
      <c r="G47" s="740" t="n"/>
      <c r="H47" s="740" t="n"/>
      <c r="I47" s="740" t="n"/>
      <c r="J47" s="740" t="n"/>
      <c r="K47" s="740" t="n"/>
      <c r="L47" s="740" t="n"/>
      <c r="M47" s="740" t="n"/>
      <c r="N47" s="740" t="n"/>
      <c r="O47" s="740" t="n"/>
      <c r="P47" s="740" t="n"/>
      <c r="Q47" s="740" t="n"/>
      <c r="R47" s="740" t="n"/>
      <c r="S47" s="740" t="n"/>
      <c r="T47" s="740" t="n"/>
      <c r="U47" s="740" t="n"/>
      <c r="V47" s="740" t="n"/>
      <c r="W47" s="740" t="n"/>
      <c r="X47" s="740" t="n"/>
      <c r="Y47" s="740" t="n"/>
    </row>
    <row r="48" ht="15" customFormat="1" customHeight="1" s="340">
      <c r="A48" s="740" t="n"/>
      <c r="B48" s="740" t="n"/>
      <c r="C48" s="740" t="n"/>
      <c r="D48" s="740" t="n"/>
      <c r="E48" s="740" t="n"/>
      <c r="F48" s="740" t="n"/>
      <c r="G48" s="740" t="n"/>
      <c r="H48" s="740" t="n"/>
      <c r="I48" s="740" t="n"/>
      <c r="J48" s="740" t="n"/>
      <c r="K48" s="740" t="n"/>
      <c r="L48" s="740" t="n"/>
      <c r="M48" s="740" t="n"/>
      <c r="N48" s="740" t="n"/>
      <c r="O48" s="740" t="n"/>
      <c r="P48" s="740" t="n"/>
      <c r="Q48" s="740" t="n"/>
      <c r="R48" s="740" t="n"/>
      <c r="S48" s="740" t="n"/>
      <c r="T48" s="740" t="n"/>
      <c r="U48" s="740" t="n"/>
      <c r="V48" s="740" t="n"/>
      <c r="W48" s="740" t="n"/>
      <c r="X48" s="740" t="n"/>
      <c r="Y48" s="740" t="n"/>
    </row>
    <row r="49" ht="15" customFormat="1" customHeight="1" s="340">
      <c r="A49" s="740" t="n"/>
      <c r="B49" s="740" t="n"/>
      <c r="C49" s="740" t="n"/>
      <c r="D49" s="740" t="n"/>
      <c r="E49" s="740" t="n"/>
      <c r="F49" s="740" t="n"/>
      <c r="G49" s="740" t="n"/>
      <c r="H49" s="740" t="n"/>
      <c r="I49" s="740" t="n"/>
      <c r="J49" s="740" t="n"/>
      <c r="K49" s="740" t="n"/>
      <c r="L49" s="740" t="n"/>
      <c r="M49" s="740" t="n"/>
      <c r="N49" s="740" t="n"/>
      <c r="O49" s="740" t="n"/>
      <c r="P49" s="740" t="n"/>
      <c r="Q49" s="740" t="n"/>
      <c r="R49" s="740" t="n"/>
      <c r="S49" s="740" t="n"/>
      <c r="T49" s="740" t="n"/>
      <c r="U49" s="740" t="n"/>
      <c r="V49" s="740" t="n"/>
      <c r="W49" s="740" t="n"/>
      <c r="X49" s="740" t="n"/>
      <c r="Y49" s="740" t="n"/>
    </row>
    <row r="50" ht="15" customFormat="1" customHeight="1" s="340">
      <c r="A50" s="740" t="n"/>
      <c r="B50" s="740" t="n"/>
      <c r="C50" s="740" t="n"/>
      <c r="D50" s="740" t="n"/>
      <c r="E50" s="740" t="n"/>
      <c r="F50" s="740" t="n"/>
      <c r="G50" s="740" t="n"/>
      <c r="H50" s="740" t="n"/>
      <c r="I50" s="740" t="n"/>
      <c r="J50" s="740" t="n"/>
      <c r="K50" s="740" t="n"/>
      <c r="L50" s="740" t="n"/>
      <c r="M50" s="740" t="n"/>
      <c r="N50" s="740" t="n"/>
      <c r="O50" s="740" t="n"/>
      <c r="P50" s="740" t="n"/>
      <c r="Q50" s="740" t="n"/>
      <c r="R50" s="740" t="n"/>
      <c r="S50" s="740" t="n"/>
      <c r="T50" s="740" t="n"/>
      <c r="U50" s="740" t="n"/>
      <c r="V50" s="740" t="n"/>
      <c r="W50" s="740" t="n"/>
      <c r="X50" s="740" t="n"/>
      <c r="Y50" s="740" t="n"/>
    </row>
    <row r="51" ht="15" customFormat="1" customHeight="1" s="340">
      <c r="A51" s="740" t="n"/>
      <c r="B51" s="740" t="n"/>
      <c r="C51" s="740" t="n"/>
      <c r="D51" s="740" t="n"/>
      <c r="E51" s="740" t="n"/>
      <c r="F51" s="740" t="n"/>
      <c r="G51" s="740" t="n"/>
      <c r="H51" s="740" t="n"/>
      <c r="I51" s="740" t="n"/>
      <c r="J51" s="740" t="n"/>
      <c r="K51" s="740" t="n"/>
      <c r="L51" s="740" t="n"/>
      <c r="M51" s="740" t="n"/>
      <c r="N51" s="740" t="n"/>
      <c r="O51" s="740" t="n"/>
      <c r="P51" s="740" t="n"/>
      <c r="Q51" s="740" t="n"/>
      <c r="R51" s="740" t="n"/>
      <c r="S51" s="740" t="n"/>
      <c r="T51" s="740" t="n"/>
      <c r="U51" s="740" t="n"/>
      <c r="V51" s="740" t="n"/>
      <c r="W51" s="740" t="n"/>
      <c r="X51" s="740" t="n"/>
      <c r="Y51" s="740" t="n"/>
    </row>
    <row r="52" ht="15" customFormat="1" customHeight="1" s="340">
      <c r="A52" s="740" t="n"/>
      <c r="B52" s="740" t="n"/>
      <c r="C52" s="740" t="n"/>
      <c r="D52" s="740" t="n"/>
      <c r="E52" s="740" t="n"/>
      <c r="F52" s="740" t="n"/>
      <c r="G52" s="740" t="n"/>
      <c r="H52" s="740" t="n"/>
      <c r="I52" s="740" t="n"/>
      <c r="J52" s="740" t="n"/>
      <c r="K52" s="740" t="n"/>
      <c r="L52" s="740" t="n"/>
      <c r="M52" s="740" t="n"/>
      <c r="N52" s="740" t="n"/>
      <c r="O52" s="740" t="n"/>
      <c r="P52" s="740" t="n"/>
      <c r="Q52" s="740" t="n"/>
      <c r="R52" s="740" t="n"/>
      <c r="S52" s="740" t="n"/>
      <c r="T52" s="740" t="n"/>
      <c r="U52" s="740" t="n"/>
      <c r="V52" s="740" t="n"/>
      <c r="W52" s="740" t="n"/>
      <c r="X52" s="740" t="n"/>
      <c r="Y52" s="740" t="n"/>
    </row>
    <row r="53" ht="15" customFormat="1" customHeight="1" s="340">
      <c r="A53" s="740" t="n"/>
      <c r="B53" s="740" t="n"/>
      <c r="C53" s="740" t="n"/>
      <c r="D53" s="740" t="n"/>
      <c r="E53" s="740" t="n"/>
      <c r="F53" s="740" t="n"/>
      <c r="G53" s="740" t="n"/>
      <c r="H53" s="740" t="n"/>
      <c r="I53" s="740" t="n"/>
      <c r="J53" s="740" t="n"/>
      <c r="K53" s="740" t="n"/>
      <c r="L53" s="740" t="n"/>
      <c r="M53" s="740" t="n"/>
      <c r="N53" s="740" t="n"/>
      <c r="O53" s="740" t="n"/>
      <c r="P53" s="740" t="n"/>
      <c r="Q53" s="740" t="n"/>
      <c r="R53" s="740" t="n"/>
      <c r="S53" s="740" t="n"/>
      <c r="T53" s="740" t="n"/>
      <c r="U53" s="740" t="n"/>
      <c r="V53" s="740" t="n"/>
      <c r="W53" s="740" t="n"/>
      <c r="X53" s="740" t="n"/>
      <c r="Y53" s="740" t="n"/>
    </row>
    <row r="54" ht="15" customFormat="1" customHeight="1" s="340">
      <c r="A54" s="740" t="n"/>
      <c r="B54" s="740" t="n"/>
      <c r="C54" s="740" t="n"/>
      <c r="D54" s="740" t="n"/>
      <c r="E54" s="740" t="n"/>
      <c r="F54" s="740" t="n"/>
      <c r="G54" s="740" t="n"/>
      <c r="H54" s="740" t="n"/>
      <c r="I54" s="740" t="n"/>
      <c r="J54" s="740" t="n"/>
      <c r="K54" s="740" t="n"/>
      <c r="L54" s="740" t="n"/>
      <c r="M54" s="740" t="n"/>
      <c r="N54" s="740" t="n"/>
      <c r="O54" s="740" t="n"/>
      <c r="P54" s="740" t="n"/>
      <c r="Q54" s="740" t="n"/>
      <c r="R54" s="740" t="n"/>
      <c r="S54" s="740" t="n"/>
      <c r="T54" s="740" t="n"/>
      <c r="U54" s="740" t="n"/>
      <c r="V54" s="740" t="n"/>
      <c r="W54" s="740" t="n"/>
      <c r="X54" s="740" t="n"/>
      <c r="Y54" s="740" t="n"/>
    </row>
    <row r="55" ht="15" customFormat="1" customHeight="1" s="340">
      <c r="A55" s="740" t="n"/>
      <c r="B55" s="740" t="n"/>
      <c r="C55" s="740" t="n"/>
      <c r="D55" s="740" t="n"/>
      <c r="E55" s="740" t="n"/>
      <c r="F55" s="740" t="n"/>
      <c r="G55" s="740" t="n"/>
      <c r="H55" s="740" t="n"/>
      <c r="I55" s="740" t="n"/>
      <c r="J55" s="740" t="n"/>
      <c r="K55" s="740" t="n"/>
      <c r="L55" s="740" t="n"/>
      <c r="M55" s="740" t="n"/>
      <c r="N55" s="740" t="n"/>
      <c r="O55" s="740" t="n"/>
      <c r="P55" s="740" t="n"/>
      <c r="Q55" s="740" t="n"/>
      <c r="R55" s="740" t="n"/>
      <c r="S55" s="740" t="n"/>
      <c r="T55" s="740" t="n"/>
      <c r="U55" s="740" t="n"/>
      <c r="V55" s="740" t="n"/>
      <c r="W55" s="740" t="n"/>
      <c r="X55" s="740" t="n"/>
      <c r="Y55" s="740" t="n"/>
    </row>
    <row r="56" ht="15" customFormat="1" customHeight="1" s="340">
      <c r="A56" s="740" t="n"/>
      <c r="B56" s="740" t="n"/>
      <c r="C56" s="740" t="n"/>
      <c r="D56" s="740" t="n"/>
      <c r="E56" s="740" t="n"/>
      <c r="F56" s="740" t="n"/>
      <c r="G56" s="740" t="n"/>
      <c r="H56" s="740" t="n"/>
      <c r="I56" s="740" t="n"/>
      <c r="J56" s="740" t="n"/>
      <c r="K56" s="740" t="n"/>
      <c r="L56" s="740" t="n"/>
      <c r="M56" s="740" t="n"/>
      <c r="N56" s="740" t="n"/>
      <c r="O56" s="740" t="n"/>
      <c r="P56" s="740" t="n"/>
      <c r="Q56" s="740" t="n"/>
      <c r="R56" s="740" t="n"/>
      <c r="S56" s="740" t="n"/>
      <c r="T56" s="740" t="n"/>
      <c r="U56" s="740" t="n"/>
      <c r="V56" s="740" t="n"/>
      <c r="W56" s="740" t="n"/>
      <c r="X56" s="740" t="n"/>
      <c r="Y56" s="740" t="n"/>
    </row>
    <row r="57" ht="15" customFormat="1" customHeight="1" s="340">
      <c r="A57" s="740" t="n"/>
      <c r="B57" s="740" t="n"/>
      <c r="C57" s="740" t="n"/>
      <c r="D57" s="740" t="n"/>
      <c r="E57" s="740" t="n"/>
      <c r="F57" s="740" t="n"/>
      <c r="G57" s="740" t="n"/>
      <c r="H57" s="740" t="n"/>
      <c r="I57" s="740" t="n"/>
      <c r="J57" s="740" t="n"/>
      <c r="K57" s="740" t="n"/>
      <c r="L57" s="740" t="n"/>
      <c r="M57" s="740" t="n"/>
      <c r="N57" s="740" t="n"/>
      <c r="O57" s="740" t="n"/>
      <c r="P57" s="740" t="n"/>
      <c r="Q57" s="740" t="n"/>
      <c r="R57" s="740" t="n"/>
      <c r="S57" s="740" t="n"/>
      <c r="T57" s="740" t="n"/>
      <c r="U57" s="740" t="n"/>
      <c r="V57" s="740" t="n"/>
      <c r="W57" s="740" t="n"/>
      <c r="X57" s="740" t="n"/>
      <c r="Y57" s="740" t="n"/>
    </row>
    <row r="58" ht="15" customFormat="1" customHeight="1" s="340">
      <c r="A58" s="740" t="n"/>
      <c r="B58" s="740" t="n"/>
      <c r="C58" s="740" t="n"/>
      <c r="D58" s="740" t="n"/>
      <c r="E58" s="740" t="n"/>
      <c r="F58" s="740" t="n"/>
      <c r="G58" s="740" t="n"/>
      <c r="H58" s="740" t="n"/>
      <c r="I58" s="740" t="n"/>
      <c r="J58" s="740" t="n"/>
      <c r="K58" s="740" t="n"/>
      <c r="L58" s="740" t="n"/>
      <c r="M58" s="740" t="n"/>
      <c r="N58" s="740" t="n"/>
      <c r="O58" s="740" t="n"/>
      <c r="P58" s="740" t="n"/>
      <c r="Q58" s="740" t="n"/>
      <c r="R58" s="740" t="n"/>
      <c r="S58" s="740" t="n"/>
      <c r="T58" s="740" t="n"/>
      <c r="U58" s="740" t="n"/>
      <c r="V58" s="740" t="n"/>
      <c r="W58" s="740" t="n"/>
      <c r="X58" s="740" t="n"/>
      <c r="Y58" s="740" t="n"/>
    </row>
    <row r="59" ht="15" customFormat="1" customHeight="1" s="340">
      <c r="A59" s="740" t="n"/>
      <c r="B59" s="740" t="n"/>
      <c r="C59" s="740" t="n"/>
      <c r="D59" s="740" t="n"/>
      <c r="E59" s="740" t="n"/>
      <c r="F59" s="740" t="n"/>
      <c r="G59" s="740" t="n"/>
      <c r="H59" s="740" t="n"/>
      <c r="I59" s="740" t="n"/>
      <c r="J59" s="740" t="n"/>
      <c r="K59" s="740" t="n"/>
      <c r="L59" s="740" t="n"/>
      <c r="M59" s="740" t="n"/>
      <c r="N59" s="740" t="n"/>
      <c r="O59" s="740" t="n"/>
      <c r="P59" s="740" t="n"/>
      <c r="Q59" s="740" t="n"/>
      <c r="R59" s="740" t="n"/>
      <c r="S59" s="740" t="n"/>
      <c r="T59" s="740" t="n"/>
      <c r="U59" s="740" t="n"/>
      <c r="V59" s="740" t="n"/>
      <c r="W59" s="740" t="n"/>
      <c r="X59" s="740" t="n"/>
      <c r="Y59" s="740" t="n"/>
    </row>
    <row r="60" ht="15" customFormat="1" customHeight="1" s="340">
      <c r="A60" s="740" t="n"/>
      <c r="B60" s="740" t="n"/>
      <c r="C60" s="740" t="n"/>
      <c r="D60" s="740" t="n"/>
      <c r="E60" s="740" t="n"/>
      <c r="F60" s="740" t="n"/>
      <c r="G60" s="740" t="n"/>
      <c r="H60" s="740" t="n"/>
      <c r="I60" s="740" t="n"/>
      <c r="J60" s="740" t="n"/>
      <c r="K60" s="740" t="n"/>
      <c r="L60" s="740" t="n"/>
      <c r="M60" s="740" t="n"/>
      <c r="N60" s="740" t="n"/>
      <c r="O60" s="740" t="n"/>
      <c r="P60" s="740" t="n"/>
      <c r="Q60" s="740" t="n"/>
      <c r="R60" s="740" t="n"/>
      <c r="S60" s="740" t="n"/>
      <c r="T60" s="740" t="n"/>
      <c r="U60" s="740" t="n"/>
      <c r="V60" s="740" t="n"/>
      <c r="W60" s="740" t="n"/>
      <c r="X60" s="740" t="n"/>
      <c r="Y60" s="740" t="n"/>
    </row>
    <row r="61" ht="15" customFormat="1" customHeight="1" s="340">
      <c r="A61" s="740" t="n"/>
      <c r="B61" s="740" t="n"/>
      <c r="C61" s="740" t="n"/>
      <c r="D61" s="740" t="n"/>
      <c r="E61" s="740" t="n"/>
      <c r="F61" s="740" t="n"/>
      <c r="G61" s="740" t="n"/>
      <c r="H61" s="740" t="n"/>
      <c r="I61" s="740" t="n"/>
      <c r="J61" s="740" t="n"/>
      <c r="K61" s="740" t="n"/>
      <c r="L61" s="740" t="n"/>
      <c r="M61" s="740" t="n"/>
      <c r="N61" s="740" t="n"/>
      <c r="O61" s="740" t="n"/>
      <c r="P61" s="740" t="n"/>
      <c r="Q61" s="740" t="n"/>
      <c r="R61" s="740" t="n"/>
      <c r="S61" s="740" t="n"/>
      <c r="T61" s="740" t="n"/>
      <c r="U61" s="740" t="n"/>
      <c r="V61" s="740" t="n"/>
      <c r="W61" s="740" t="n"/>
      <c r="X61" s="740" t="n"/>
      <c r="Y61" s="740" t="n"/>
    </row>
    <row r="62" ht="15" customFormat="1" customHeight="1" s="340">
      <c r="A62" s="740" t="n"/>
      <c r="B62" s="740" t="n"/>
      <c r="C62" s="740" t="n"/>
      <c r="D62" s="740" t="n"/>
      <c r="E62" s="740" t="n"/>
      <c r="F62" s="740" t="n"/>
      <c r="G62" s="740" t="n"/>
      <c r="H62" s="740" t="n"/>
      <c r="I62" s="740" t="n"/>
      <c r="J62" s="740" t="n"/>
      <c r="K62" s="740" t="n"/>
      <c r="L62" s="740" t="n"/>
      <c r="M62" s="740" t="n"/>
      <c r="N62" s="740" t="n"/>
      <c r="O62" s="740" t="n"/>
      <c r="P62" s="740" t="n"/>
      <c r="Q62" s="740" t="n"/>
      <c r="R62" s="740" t="n"/>
      <c r="S62" s="740" t="n"/>
      <c r="T62" s="740" t="n"/>
      <c r="U62" s="740" t="n"/>
      <c r="V62" s="740" t="n"/>
      <c r="W62" s="740" t="n"/>
      <c r="X62" s="740" t="n"/>
      <c r="Y62" s="740" t="n"/>
    </row>
    <row r="63" ht="15" customFormat="1" customHeight="1" s="340">
      <c r="A63" s="740" t="n"/>
      <c r="B63" s="740" t="n"/>
      <c r="C63" s="740" t="n"/>
      <c r="D63" s="740" t="n"/>
      <c r="E63" s="740" t="n"/>
      <c r="F63" s="740" t="n"/>
      <c r="G63" s="740" t="n"/>
      <c r="H63" s="740" t="n"/>
      <c r="I63" s="740" t="n"/>
      <c r="J63" s="740" t="n"/>
      <c r="K63" s="740" t="n"/>
      <c r="L63" s="740" t="n"/>
      <c r="M63" s="740" t="n"/>
      <c r="N63" s="740" t="n"/>
      <c r="O63" s="740" t="n"/>
      <c r="P63" s="740" t="n"/>
      <c r="Q63" s="740" t="n"/>
      <c r="R63" s="740" t="n"/>
      <c r="S63" s="740" t="n"/>
      <c r="T63" s="740" t="n"/>
      <c r="U63" s="740" t="n"/>
      <c r="V63" s="740" t="n"/>
      <c r="W63" s="740" t="n"/>
      <c r="X63" s="740" t="n"/>
      <c r="Y63" s="740" t="n"/>
    </row>
    <row r="64" ht="15" customFormat="1" customHeight="1" s="340">
      <c r="A64" s="740" t="n"/>
      <c r="B64" s="740" t="n"/>
      <c r="C64" s="740" t="n"/>
      <c r="D64" s="740" t="n"/>
      <c r="E64" s="740" t="n"/>
      <c r="F64" s="740" t="n"/>
      <c r="G64" s="740" t="n"/>
      <c r="H64" s="740" t="n"/>
      <c r="I64" s="740" t="n"/>
      <c r="J64" s="740" t="n"/>
      <c r="K64" s="740" t="n"/>
      <c r="L64" s="740" t="n"/>
      <c r="M64" s="740" t="n"/>
      <c r="N64" s="740" t="n"/>
      <c r="O64" s="740" t="n"/>
      <c r="P64" s="740" t="n"/>
      <c r="Q64" s="740" t="n"/>
      <c r="R64" s="740" t="n"/>
      <c r="S64" s="740" t="n"/>
      <c r="T64" s="740" t="n"/>
      <c r="U64" s="740" t="n"/>
      <c r="V64" s="740" t="n"/>
      <c r="W64" s="740" t="n"/>
      <c r="X64" s="740" t="n"/>
      <c r="Y64" s="740" t="n"/>
    </row>
    <row r="65" ht="15" customFormat="1" customHeight="1" s="340">
      <c r="A65" s="740" t="n"/>
      <c r="B65" s="740" t="n"/>
      <c r="C65" s="740" t="n"/>
      <c r="D65" s="740" t="n"/>
      <c r="E65" s="740" t="n"/>
      <c r="F65" s="740" t="n"/>
      <c r="G65" s="740" t="n"/>
      <c r="H65" s="740" t="n"/>
      <c r="I65" s="740" t="n"/>
      <c r="J65" s="740" t="n"/>
      <c r="K65" s="740" t="n"/>
      <c r="L65" s="740" t="n"/>
      <c r="M65" s="740" t="n"/>
      <c r="N65" s="740" t="n"/>
      <c r="O65" s="740" t="n"/>
      <c r="P65" s="740" t="n"/>
      <c r="Q65" s="740" t="n"/>
      <c r="R65" s="740" t="n"/>
      <c r="S65" s="740" t="n"/>
      <c r="T65" s="740" t="n"/>
      <c r="U65" s="740" t="n"/>
      <c r="V65" s="740" t="n"/>
      <c r="W65" s="740" t="n"/>
      <c r="X65" s="740" t="n"/>
      <c r="Y65" s="740" t="n"/>
    </row>
    <row r="66" ht="15" customFormat="1" customHeight="1" s="340">
      <c r="A66" s="740" t="n"/>
      <c r="B66" s="740" t="n"/>
      <c r="C66" s="740" t="n"/>
      <c r="D66" s="740" t="n"/>
      <c r="E66" s="740" t="n"/>
      <c r="F66" s="740" t="n"/>
      <c r="G66" s="740" t="n"/>
      <c r="H66" s="740" t="n"/>
      <c r="I66" s="740" t="n"/>
      <c r="J66" s="740" t="n"/>
      <c r="K66" s="740" t="n"/>
      <c r="L66" s="740" t="n"/>
      <c r="M66" s="740" t="n"/>
      <c r="N66" s="740" t="n"/>
      <c r="O66" s="740" t="n"/>
      <c r="P66" s="740" t="n"/>
      <c r="Q66" s="740" t="n"/>
      <c r="R66" s="740" t="n"/>
      <c r="S66" s="740" t="n"/>
      <c r="T66" s="740" t="n"/>
      <c r="U66" s="740" t="n"/>
      <c r="V66" s="740" t="n"/>
      <c r="W66" s="740" t="n"/>
      <c r="X66" s="740" t="n"/>
      <c r="Y66" s="740" t="n"/>
    </row>
    <row r="67" ht="15" customFormat="1" customHeight="1" s="340">
      <c r="A67" s="740" t="n"/>
      <c r="B67" s="740" t="n"/>
      <c r="C67" s="740" t="n"/>
      <c r="D67" s="740" t="n"/>
      <c r="E67" s="740" t="n"/>
      <c r="F67" s="740" t="n"/>
      <c r="G67" s="740" t="n"/>
      <c r="H67" s="740" t="n"/>
      <c r="I67" s="740" t="n"/>
      <c r="J67" s="740" t="n"/>
      <c r="K67" s="740" t="n"/>
      <c r="L67" s="740" t="n"/>
      <c r="M67" s="740" t="n"/>
      <c r="N67" s="740" t="n"/>
      <c r="O67" s="740" t="n"/>
      <c r="P67" s="740" t="n"/>
      <c r="Q67" s="740" t="n"/>
      <c r="R67" s="740" t="n"/>
      <c r="S67" s="740" t="n"/>
      <c r="T67" s="740" t="n"/>
      <c r="U67" s="740" t="n"/>
      <c r="V67" s="740" t="n"/>
      <c r="W67" s="740" t="n"/>
      <c r="X67" s="740" t="n"/>
      <c r="Y67" s="740" t="n"/>
    </row>
    <row r="68" ht="15" customFormat="1" customHeight="1" s="340">
      <c r="A68" s="740" t="n"/>
      <c r="B68" s="740" t="n"/>
      <c r="C68" s="740" t="n"/>
      <c r="D68" s="740" t="n"/>
      <c r="E68" s="740" t="n"/>
      <c r="F68" s="740" t="n"/>
      <c r="G68" s="740" t="n"/>
      <c r="H68" s="740" t="n"/>
      <c r="I68" s="740" t="n"/>
      <c r="J68" s="740" t="n"/>
      <c r="K68" s="740" t="n"/>
      <c r="L68" s="740" t="n"/>
      <c r="M68" s="740" t="n"/>
      <c r="N68" s="740" t="n"/>
      <c r="O68" s="740" t="n"/>
      <c r="P68" s="740" t="n"/>
      <c r="Q68" s="740" t="n"/>
      <c r="R68" s="740" t="n"/>
      <c r="S68" s="740" t="n"/>
      <c r="T68" s="740" t="n"/>
      <c r="U68" s="740" t="n"/>
      <c r="V68" s="740" t="n"/>
      <c r="W68" s="740" t="n"/>
      <c r="X68" s="740" t="n"/>
      <c r="Y68" s="740" t="n"/>
    </row>
    <row r="69" ht="15" customHeight="1" s="828">
      <c r="A69" s="773" t="n"/>
      <c r="B69" s="735" t="n"/>
      <c r="C69" s="736" t="n"/>
      <c r="D69" s="736" t="n"/>
      <c r="E69" s="736" t="n"/>
      <c r="F69" s="736" t="n"/>
      <c r="G69" s="736" t="n"/>
      <c r="H69" s="736" t="n"/>
      <c r="I69" s="736" t="n"/>
      <c r="J69" s="736" t="n"/>
      <c r="K69" s="736" t="n"/>
      <c r="L69" s="736" t="n"/>
      <c r="M69" s="736" t="n"/>
      <c r="N69" s="736" t="n"/>
      <c r="O69" s="736" t="n"/>
      <c r="P69" s="736" t="n"/>
      <c r="Q69" s="736" t="n"/>
      <c r="R69" s="736" t="n"/>
      <c r="S69" s="736" t="n"/>
      <c r="T69" s="736" t="n"/>
      <c r="U69" s="736" t="n"/>
      <c r="V69" s="736" t="n"/>
      <c r="W69" s="736" t="n"/>
      <c r="X69" s="736" t="n"/>
      <c r="Y69" s="736" t="n"/>
    </row>
    <row r="70" ht="15" customFormat="1" customHeight="1" s="340">
      <c r="A70" s="740" t="n"/>
      <c r="B70" s="740" t="n"/>
      <c r="C70" s="740" t="n"/>
      <c r="D70" s="740" t="n"/>
      <c r="E70" s="740" t="n"/>
      <c r="F70" s="740" t="n"/>
      <c r="G70" s="740" t="n"/>
      <c r="H70" s="740" t="n"/>
      <c r="I70" s="740" t="n"/>
      <c r="J70" s="740" t="n"/>
      <c r="K70" s="740" t="n"/>
      <c r="L70" s="740" t="n"/>
      <c r="M70" s="740" t="n"/>
      <c r="N70" s="740" t="n"/>
      <c r="O70" s="740" t="n"/>
      <c r="P70" s="740" t="n"/>
      <c r="Q70" s="740" t="n"/>
      <c r="R70" s="740" t="n"/>
      <c r="S70" s="740" t="n"/>
      <c r="T70" s="740" t="n"/>
      <c r="U70" s="740" t="n"/>
      <c r="V70" s="740" t="n"/>
      <c r="W70" s="740" t="n"/>
      <c r="X70" s="740" t="n"/>
      <c r="Y70" s="740" t="n"/>
    </row>
    <row r="71" ht="15" customHeight="1" s="828">
      <c r="A71" s="773" t="n"/>
      <c r="B71" s="735" t="n"/>
      <c r="C71" s="736" t="n"/>
      <c r="D71" s="736" t="n"/>
      <c r="E71" s="736" t="n"/>
      <c r="F71" s="736" t="n"/>
      <c r="G71" s="736" t="n"/>
      <c r="H71" s="736" t="n"/>
      <c r="I71" s="736" t="n"/>
      <c r="J71" s="736" t="n"/>
      <c r="K71" s="736" t="n"/>
      <c r="L71" s="736" t="n"/>
      <c r="M71" s="736" t="n"/>
      <c r="N71" s="736" t="n"/>
      <c r="O71" s="736" t="n"/>
      <c r="P71" s="736" t="n"/>
      <c r="Q71" s="736" t="n"/>
      <c r="R71" s="736" t="n"/>
      <c r="S71" s="736" t="n"/>
      <c r="T71" s="736" t="n"/>
      <c r="U71" s="736" t="n"/>
      <c r="V71" s="736" t="n"/>
      <c r="W71" s="736" t="n"/>
      <c r="X71" s="736" t="n"/>
      <c r="Y71" s="736" t="n"/>
    </row>
    <row r="72" ht="15" customHeight="1" s="828">
      <c r="A72" s="773" t="n"/>
      <c r="B72" s="735" t="n"/>
      <c r="C72" s="736" t="n"/>
      <c r="D72" s="736" t="n"/>
      <c r="E72" s="736" t="n"/>
      <c r="F72" s="736" t="n"/>
      <c r="G72" s="736" t="n"/>
      <c r="H72" s="736" t="n"/>
      <c r="I72" s="736" t="n"/>
      <c r="J72" s="736" t="n"/>
      <c r="K72" s="736" t="n"/>
      <c r="L72" s="736" t="n"/>
      <c r="M72" s="736" t="n"/>
      <c r="N72" s="736" t="n"/>
      <c r="O72" s="736" t="n"/>
      <c r="P72" s="736" t="n"/>
      <c r="Q72" s="736" t="n"/>
      <c r="R72" s="736" t="n"/>
      <c r="S72" s="736" t="n"/>
      <c r="T72" s="736" t="n"/>
      <c r="U72" s="736" t="n"/>
      <c r="V72" s="736" t="n"/>
      <c r="W72" s="736" t="n"/>
      <c r="X72" s="736" t="n"/>
      <c r="Y72" s="736" t="n"/>
    </row>
    <row r="73" ht="15" customHeight="1" s="828">
      <c r="A73" s="773" t="n"/>
      <c r="B73" s="735" t="n"/>
      <c r="C73" s="736" t="n"/>
      <c r="D73" s="736" t="n"/>
      <c r="E73" s="736" t="n"/>
      <c r="F73" s="736" t="n"/>
      <c r="G73" s="736" t="n"/>
      <c r="H73" s="736" t="n"/>
      <c r="I73" s="736" t="n"/>
      <c r="J73" s="736" t="n"/>
      <c r="K73" s="736" t="n"/>
      <c r="L73" s="736" t="n"/>
      <c r="M73" s="736" t="n"/>
      <c r="N73" s="736" t="n"/>
      <c r="O73" s="736" t="n"/>
      <c r="P73" s="736" t="n"/>
      <c r="Q73" s="736" t="n"/>
      <c r="R73" s="736" t="n"/>
      <c r="S73" s="736" t="n"/>
      <c r="T73" s="736" t="n"/>
      <c r="U73" s="736" t="n"/>
      <c r="V73" s="736" t="n"/>
      <c r="W73" s="736" t="n"/>
      <c r="X73" s="736" t="n"/>
      <c r="Y73" s="736" t="n"/>
    </row>
    <row r="74" ht="15" customHeight="1" s="828">
      <c r="A74" s="773" t="n"/>
      <c r="B74" s="735" t="n"/>
      <c r="C74" s="736" t="n"/>
      <c r="D74" s="736" t="n"/>
      <c r="E74" s="736" t="n"/>
      <c r="F74" s="736" t="n"/>
      <c r="G74" s="736" t="n"/>
      <c r="H74" s="736" t="n"/>
      <c r="I74" s="736" t="n"/>
      <c r="J74" s="736" t="n"/>
      <c r="K74" s="736" t="n"/>
      <c r="L74" s="736" t="n"/>
      <c r="M74" s="736" t="n"/>
      <c r="N74" s="736" t="n"/>
      <c r="O74" s="736" t="n"/>
      <c r="P74" s="736" t="n"/>
      <c r="Q74" s="736" t="n"/>
      <c r="R74" s="736" t="n"/>
      <c r="S74" s="736" t="n"/>
      <c r="T74" s="736" t="n"/>
      <c r="U74" s="736" t="n"/>
      <c r="V74" s="736" t="n"/>
      <c r="W74" s="736" t="n"/>
      <c r="X74" s="736" t="n"/>
      <c r="Y74" s="736" t="n"/>
    </row>
    <row r="75" ht="15" customHeight="1" s="828">
      <c r="A75" s="773" t="n"/>
      <c r="B75" s="735" t="n"/>
      <c r="C75" s="736" t="n"/>
      <c r="D75" s="736" t="n"/>
      <c r="E75" s="736" t="n"/>
      <c r="F75" s="736" t="n"/>
      <c r="G75" s="736" t="n"/>
      <c r="H75" s="736" t="n"/>
      <c r="I75" s="736" t="n"/>
      <c r="J75" s="736" t="n"/>
      <c r="K75" s="736" t="n"/>
      <c r="L75" s="736" t="n"/>
      <c r="M75" s="736" t="n"/>
      <c r="N75" s="736" t="n"/>
      <c r="O75" s="736" t="n"/>
      <c r="P75" s="736" t="n"/>
      <c r="Q75" s="736" t="n"/>
      <c r="R75" s="736" t="n"/>
      <c r="S75" s="736" t="n"/>
      <c r="T75" s="736" t="n"/>
      <c r="U75" s="736" t="n"/>
      <c r="V75" s="736" t="n"/>
      <c r="W75" s="736" t="n"/>
      <c r="X75" s="736" t="n"/>
      <c r="Y75" s="736" t="n"/>
    </row>
    <row r="76" ht="15" customHeight="1" s="828">
      <c r="A76" s="773" t="n"/>
      <c r="B76" s="735" t="n"/>
      <c r="C76" s="736" t="n"/>
      <c r="D76" s="736" t="n"/>
      <c r="E76" s="736" t="n"/>
      <c r="F76" s="736" t="n"/>
      <c r="G76" s="736" t="n"/>
      <c r="H76" s="736" t="n"/>
      <c r="I76" s="736" t="n"/>
      <c r="J76" s="736" t="n"/>
      <c r="K76" s="736" t="n"/>
      <c r="L76" s="736" t="n"/>
      <c r="M76" s="736" t="n"/>
      <c r="N76" s="736" t="n"/>
      <c r="O76" s="736" t="n"/>
      <c r="P76" s="736" t="n"/>
      <c r="Q76" s="736" t="n"/>
      <c r="R76" s="736" t="n"/>
      <c r="S76" s="736" t="n"/>
      <c r="T76" s="736" t="n"/>
      <c r="U76" s="736" t="n"/>
      <c r="V76" s="736" t="n"/>
      <c r="W76" s="736" t="n"/>
      <c r="X76" s="736" t="n"/>
      <c r="Y76" s="736" t="n"/>
    </row>
    <row r="77" ht="15" customHeight="1" s="828">
      <c r="A77" s="773" t="n"/>
      <c r="B77" s="735" t="n"/>
      <c r="C77" s="736" t="n"/>
      <c r="D77" s="736" t="n"/>
      <c r="E77" s="736" t="n"/>
      <c r="F77" s="736" t="n"/>
      <c r="G77" s="736" t="n"/>
      <c r="H77" s="736" t="n"/>
      <c r="I77" s="736" t="n"/>
      <c r="J77" s="736" t="n"/>
      <c r="K77" s="736" t="n"/>
      <c r="L77" s="736" t="n"/>
      <c r="M77" s="736" t="n"/>
      <c r="N77" s="736" t="n"/>
      <c r="O77" s="736" t="n"/>
      <c r="P77" s="736" t="n"/>
      <c r="Q77" s="736" t="n"/>
      <c r="R77" s="736" t="n"/>
      <c r="S77" s="736" t="n"/>
      <c r="T77" s="736" t="n"/>
      <c r="U77" s="736" t="n"/>
      <c r="V77" s="736" t="n"/>
      <c r="W77" s="736" t="n"/>
      <c r="X77" s="736" t="n"/>
      <c r="Y77" s="736" t="n"/>
    </row>
    <row r="78" ht="15" customHeight="1" s="828">
      <c r="A78" s="773" t="n"/>
      <c r="B78" s="735" t="n"/>
      <c r="C78" s="736" t="n"/>
      <c r="D78" s="736" t="n"/>
      <c r="E78" s="736" t="n"/>
      <c r="F78" s="736" t="n"/>
      <c r="G78" s="736" t="n"/>
      <c r="H78" s="736" t="n"/>
      <c r="I78" s="736" t="n"/>
      <c r="J78" s="736" t="n"/>
      <c r="K78" s="736" t="n"/>
      <c r="L78" s="736" t="n"/>
      <c r="M78" s="736" t="n"/>
      <c r="N78" s="736" t="n"/>
      <c r="O78" s="736" t="n"/>
      <c r="P78" s="736" t="n"/>
      <c r="Q78" s="736" t="n"/>
      <c r="R78" s="736" t="n"/>
      <c r="S78" s="736" t="n"/>
      <c r="T78" s="736" t="n"/>
      <c r="U78" s="736" t="n"/>
      <c r="V78" s="736" t="n"/>
      <c r="W78" s="736" t="n"/>
      <c r="X78" s="736" t="n"/>
      <c r="Y78" s="736" t="n"/>
    </row>
    <row r="79" ht="15" customHeight="1" s="828">
      <c r="A79" s="773" t="n"/>
      <c r="B79" s="735" t="n"/>
      <c r="C79" s="736" t="n"/>
      <c r="D79" s="736" t="n"/>
      <c r="E79" s="736" t="n"/>
      <c r="F79" s="736" t="n"/>
      <c r="G79" s="736" t="n"/>
      <c r="H79" s="736" t="n"/>
      <c r="I79" s="736" t="n"/>
      <c r="J79" s="736" t="n"/>
      <c r="K79" s="736" t="n"/>
      <c r="L79" s="736" t="n"/>
      <c r="M79" s="736" t="n"/>
      <c r="N79" s="736" t="n"/>
      <c r="O79" s="736" t="n"/>
      <c r="P79" s="736" t="n"/>
      <c r="Q79" s="736" t="n"/>
      <c r="R79" s="736" t="n"/>
      <c r="S79" s="736" t="n"/>
      <c r="T79" s="736" t="n"/>
      <c r="U79" s="736" t="n"/>
      <c r="V79" s="736" t="n"/>
      <c r="W79" s="736" t="n"/>
      <c r="X79" s="736" t="n"/>
      <c r="Y79" s="736" t="n"/>
    </row>
    <row r="80" ht="15" customHeight="1" s="828">
      <c r="A80" s="773" t="n"/>
      <c r="B80" s="735" t="n"/>
      <c r="C80" s="736" t="n"/>
      <c r="D80" s="736" t="n"/>
      <c r="E80" s="736" t="n"/>
      <c r="F80" s="736" t="n"/>
      <c r="G80" s="736" t="n"/>
      <c r="H80" s="736" t="n"/>
      <c r="I80" s="736" t="n"/>
      <c r="J80" s="736" t="n"/>
      <c r="K80" s="736" t="n"/>
      <c r="L80" s="736" t="n"/>
      <c r="M80" s="736" t="n"/>
      <c r="N80" s="736" t="n"/>
      <c r="O80" s="736" t="n"/>
      <c r="P80" s="736" t="n"/>
      <c r="Q80" s="736" t="n"/>
      <c r="R80" s="736" t="n"/>
      <c r="S80" s="736" t="n"/>
      <c r="T80" s="736" t="n"/>
      <c r="U80" s="736" t="n"/>
      <c r="V80" s="736" t="n"/>
      <c r="W80" s="736" t="n"/>
      <c r="X80" s="736" t="n"/>
      <c r="Y80" s="736" t="n"/>
    </row>
    <row r="81" ht="15" customHeight="1" s="828">
      <c r="A81" s="773" t="n"/>
      <c r="B81" s="735" t="n"/>
      <c r="C81" s="736" t="n"/>
      <c r="D81" s="736" t="n"/>
      <c r="E81" s="736" t="n"/>
      <c r="F81" s="736" t="n"/>
      <c r="G81" s="736" t="n"/>
      <c r="H81" s="736" t="n"/>
      <c r="I81" s="736" t="n"/>
      <c r="J81" s="736" t="n"/>
      <c r="K81" s="736" t="n"/>
      <c r="L81" s="736" t="n"/>
      <c r="M81" s="736" t="n"/>
      <c r="N81" s="736" t="n"/>
      <c r="O81" s="736" t="n"/>
      <c r="P81" s="736" t="n"/>
      <c r="Q81" s="736" t="n"/>
      <c r="R81" s="736" t="n"/>
      <c r="S81" s="736" t="n"/>
      <c r="T81" s="736" t="n"/>
      <c r="U81" s="736" t="n"/>
      <c r="V81" s="736" t="n"/>
      <c r="W81" s="736" t="n"/>
      <c r="X81" s="736" t="n"/>
      <c r="Y81" s="736" t="n"/>
    </row>
    <row r="82" ht="15" customHeight="1" s="828">
      <c r="A82" s="773" t="n"/>
      <c r="B82" s="735" t="n"/>
      <c r="C82" s="736" t="n"/>
      <c r="D82" s="736" t="n"/>
      <c r="E82" s="736" t="n"/>
      <c r="F82" s="736" t="n"/>
      <c r="G82" s="736" t="n"/>
      <c r="H82" s="736" t="n"/>
      <c r="I82" s="736" t="n"/>
      <c r="J82" s="736" t="n"/>
      <c r="K82" s="736" t="n"/>
      <c r="L82" s="736" t="n"/>
      <c r="M82" s="736" t="n"/>
      <c r="N82" s="736" t="n"/>
      <c r="O82" s="736" t="n"/>
      <c r="P82" s="736" t="n"/>
      <c r="Q82" s="736" t="n"/>
      <c r="R82" s="736" t="n"/>
      <c r="S82" s="736" t="n"/>
      <c r="T82" s="736" t="n"/>
      <c r="U82" s="736" t="n"/>
      <c r="V82" s="736" t="n"/>
      <c r="W82" s="736" t="n"/>
      <c r="X82" s="736" t="n"/>
      <c r="Y82" s="736" t="n"/>
    </row>
    <row r="83" ht="15" customHeight="1" s="828">
      <c r="A83" s="773" t="n"/>
      <c r="B83" s="735" t="n"/>
      <c r="C83" s="736" t="n"/>
      <c r="D83" s="736" t="n"/>
      <c r="E83" s="736" t="n"/>
      <c r="F83" s="736" t="n"/>
      <c r="G83" s="736" t="n"/>
      <c r="H83" s="736" t="n"/>
      <c r="I83" s="736" t="n"/>
      <c r="J83" s="736" t="n"/>
      <c r="K83" s="736" t="n"/>
      <c r="L83" s="736" t="n"/>
      <c r="M83" s="736" t="n"/>
      <c r="N83" s="736" t="n"/>
      <c r="O83" s="736" t="n"/>
      <c r="P83" s="736" t="n"/>
      <c r="Q83" s="736" t="n"/>
      <c r="R83" s="736" t="n"/>
      <c r="S83" s="736" t="n"/>
      <c r="T83" s="736" t="n"/>
      <c r="U83" s="736" t="n"/>
      <c r="V83" s="736" t="n"/>
      <c r="W83" s="736" t="n"/>
      <c r="X83" s="736" t="n"/>
      <c r="Y83" s="736" t="n"/>
    </row>
    <row r="84" ht="15" customFormat="1" customHeight="1" s="385">
      <c r="A84" s="739" t="n"/>
      <c r="B84" s="739" t="n"/>
      <c r="C84" s="739" t="n"/>
      <c r="D84" s="739" t="n"/>
      <c r="E84" s="739" t="n"/>
      <c r="F84" s="739" t="n"/>
      <c r="G84" s="739" t="n"/>
      <c r="H84" s="739" t="n"/>
      <c r="I84" s="739" t="n"/>
      <c r="J84" s="739" t="n"/>
      <c r="K84" s="739" t="n"/>
      <c r="L84" s="739" t="n"/>
      <c r="M84" s="739" t="n"/>
      <c r="N84" s="739" t="n"/>
      <c r="O84" s="739" t="n"/>
      <c r="P84" s="739" t="n"/>
      <c r="Q84" s="739" t="n"/>
      <c r="R84" s="739" t="n"/>
      <c r="S84" s="739" t="n"/>
      <c r="T84" s="739" t="n"/>
      <c r="U84" s="739" t="n"/>
      <c r="V84" s="739" t="n"/>
      <c r="W84" s="739" t="n"/>
      <c r="X84" s="739" t="n"/>
      <c r="Y84" s="739" t="n"/>
    </row>
    <row r="85" ht="15" customHeight="1" s="828">
      <c r="A85" s="773" t="n"/>
      <c r="B85" s="735" t="n"/>
      <c r="C85" s="736" t="n"/>
      <c r="D85" s="736" t="n"/>
      <c r="E85" s="736" t="n"/>
      <c r="F85" s="736" t="n"/>
      <c r="G85" s="736" t="n"/>
      <c r="H85" s="736" t="n"/>
      <c r="I85" s="736" t="n"/>
      <c r="J85" s="736" t="n"/>
      <c r="K85" s="736" t="n"/>
      <c r="L85" s="736" t="n"/>
      <c r="M85" s="736" t="n"/>
      <c r="N85" s="736" t="n"/>
      <c r="O85" s="736" t="n"/>
      <c r="P85" s="736" t="n"/>
      <c r="Q85" s="736" t="n"/>
      <c r="R85" s="736" t="n"/>
      <c r="S85" s="736" t="n"/>
      <c r="T85" s="736" t="n"/>
      <c r="U85" s="736" t="n"/>
      <c r="V85" s="736" t="n"/>
      <c r="W85" s="736" t="n"/>
      <c r="X85" s="736" t="n"/>
      <c r="Y85" s="736" t="n"/>
    </row>
    <row r="86" ht="15" customHeight="1" s="828">
      <c r="A86" s="773" t="n"/>
      <c r="B86" s="735" t="n"/>
      <c r="C86" s="736" t="n"/>
      <c r="D86" s="736" t="n"/>
      <c r="E86" s="736" t="n"/>
      <c r="F86" s="736" t="n"/>
      <c r="G86" s="736" t="n"/>
      <c r="H86" s="736" t="n"/>
      <c r="I86" s="736" t="n"/>
      <c r="J86" s="736" t="n"/>
      <c r="K86" s="736" t="n"/>
      <c r="L86" s="736" t="n"/>
      <c r="M86" s="736" t="n"/>
      <c r="N86" s="736" t="n"/>
      <c r="O86" s="736" t="n"/>
      <c r="P86" s="736" t="n"/>
      <c r="Q86" s="736" t="n"/>
      <c r="R86" s="736" t="n"/>
      <c r="S86" s="736" t="n"/>
      <c r="T86" s="736" t="n"/>
      <c r="U86" s="736" t="n"/>
      <c r="V86" s="736" t="n"/>
      <c r="W86" s="736" t="n"/>
      <c r="X86" s="736" t="n"/>
      <c r="Y86" s="736" t="n"/>
    </row>
    <row r="87" ht="15" customFormat="1" customHeight="1" s="340">
      <c r="A87" s="740" t="n"/>
      <c r="B87" s="740" t="n"/>
      <c r="C87" s="740" t="n"/>
      <c r="D87" s="740" t="n"/>
      <c r="E87" s="740" t="n"/>
      <c r="F87" s="740" t="n"/>
      <c r="G87" s="740" t="n"/>
      <c r="H87" s="740" t="n"/>
      <c r="I87" s="740" t="n"/>
      <c r="J87" s="740" t="n"/>
      <c r="K87" s="740" t="n"/>
      <c r="L87" s="740" t="n"/>
      <c r="M87" s="740" t="n"/>
      <c r="N87" s="740" t="n"/>
      <c r="O87" s="740" t="n"/>
      <c r="P87" s="740" t="n"/>
      <c r="Q87" s="740" t="n"/>
      <c r="R87" s="740" t="n"/>
      <c r="S87" s="740" t="n"/>
      <c r="T87" s="740" t="n"/>
      <c r="U87" s="740" t="n"/>
      <c r="V87" s="740" t="n"/>
      <c r="W87" s="740" t="n"/>
      <c r="X87" s="740" t="n"/>
      <c r="Y87" s="740" t="n"/>
    </row>
    <row r="88" ht="15" customFormat="1" customHeight="1" s="340">
      <c r="A88" s="740" t="n"/>
      <c r="B88" s="740" t="n"/>
      <c r="C88" s="740" t="n"/>
      <c r="D88" s="740" t="n"/>
      <c r="E88" s="740" t="n"/>
      <c r="F88" s="740" t="n"/>
      <c r="G88" s="740" t="n"/>
      <c r="H88" s="740" t="n"/>
      <c r="I88" s="740" t="n"/>
      <c r="J88" s="740" t="n"/>
      <c r="K88" s="740" t="n"/>
      <c r="L88" s="740" t="n"/>
      <c r="M88" s="740" t="n"/>
      <c r="N88" s="740" t="n"/>
      <c r="O88" s="740" t="n"/>
      <c r="P88" s="740" t="n"/>
      <c r="Q88" s="740" t="n"/>
      <c r="R88" s="740" t="n"/>
      <c r="S88" s="740" t="n"/>
      <c r="T88" s="740" t="n"/>
      <c r="U88" s="740" t="n"/>
      <c r="V88" s="740" t="n"/>
      <c r="W88" s="740" t="n"/>
      <c r="X88" s="740" t="n"/>
      <c r="Y88" s="740" t="n"/>
    </row>
    <row r="89" ht="15" customFormat="1" customHeight="1" s="340">
      <c r="A89" s="740" t="n"/>
      <c r="B89" s="740" t="n"/>
      <c r="C89" s="740" t="n"/>
      <c r="D89" s="740" t="n"/>
      <c r="E89" s="740" t="n"/>
      <c r="F89" s="740" t="n"/>
      <c r="G89" s="740" t="n"/>
      <c r="H89" s="740" t="n"/>
      <c r="I89" s="740" t="n"/>
      <c r="J89" s="740" t="n"/>
      <c r="K89" s="740" t="n"/>
      <c r="L89" s="740" t="n"/>
      <c r="M89" s="740" t="n"/>
      <c r="N89" s="740" t="n"/>
      <c r="O89" s="740" t="n"/>
      <c r="P89" s="740" t="n"/>
      <c r="Q89" s="740" t="n"/>
      <c r="R89" s="740" t="n"/>
      <c r="S89" s="740" t="n"/>
      <c r="T89" s="740" t="n"/>
      <c r="U89" s="740" t="n"/>
      <c r="V89" s="740" t="n"/>
      <c r="W89" s="740" t="n"/>
      <c r="X89" s="740" t="n"/>
      <c r="Y89" s="740" t="n"/>
    </row>
    <row r="90" ht="15" customFormat="1" customHeight="1" s="340">
      <c r="A90" s="740" t="n"/>
      <c r="B90" s="740" t="n"/>
      <c r="C90" s="740" t="n"/>
      <c r="D90" s="740" t="n"/>
      <c r="E90" s="740" t="n"/>
      <c r="F90" s="740" t="n"/>
      <c r="G90" s="740" t="n"/>
      <c r="H90" s="740" t="n"/>
      <c r="I90" s="740" t="n"/>
      <c r="J90" s="740" t="n"/>
      <c r="K90" s="740" t="n"/>
      <c r="L90" s="740" t="n"/>
      <c r="M90" s="740" t="n"/>
      <c r="N90" s="740" t="n"/>
      <c r="O90" s="740" t="n"/>
      <c r="P90" s="740" t="n"/>
      <c r="Q90" s="740" t="n"/>
      <c r="R90" s="740" t="n"/>
      <c r="S90" s="740" t="n"/>
      <c r="T90" s="740" t="n"/>
      <c r="U90" s="740" t="n"/>
      <c r="V90" s="740" t="n"/>
      <c r="W90" s="740" t="n"/>
      <c r="X90" s="740" t="n"/>
      <c r="Y90" s="740" t="n"/>
    </row>
    <row r="91" ht="15" customFormat="1" customHeight="1" s="340">
      <c r="A91" s="740" t="n"/>
      <c r="B91" s="740" t="n"/>
      <c r="C91" s="740" t="n"/>
      <c r="D91" s="740" t="n"/>
      <c r="E91" s="740" t="n"/>
      <c r="F91" s="740" t="n"/>
      <c r="G91" s="740" t="n"/>
      <c r="H91" s="740" t="n"/>
      <c r="I91" s="740" t="n"/>
      <c r="J91" s="740" t="n"/>
      <c r="K91" s="740" t="n"/>
      <c r="L91" s="740" t="n"/>
      <c r="M91" s="740" t="n"/>
      <c r="N91" s="740" t="n"/>
      <c r="O91" s="740" t="n"/>
      <c r="P91" s="740" t="n"/>
      <c r="Q91" s="740" t="n"/>
      <c r="R91" s="740" t="n"/>
      <c r="S91" s="740" t="n"/>
      <c r="T91" s="740" t="n"/>
      <c r="U91" s="740" t="n"/>
      <c r="V91" s="740" t="n"/>
      <c r="W91" s="740" t="n"/>
      <c r="X91" s="740" t="n"/>
      <c r="Y91" s="740" t="n"/>
    </row>
    <row r="92" ht="15" customFormat="1" customHeight="1" s="340">
      <c r="A92" s="740" t="n"/>
      <c r="B92" s="740" t="n"/>
      <c r="C92" s="740" t="n"/>
      <c r="D92" s="740" t="n"/>
      <c r="E92" s="740" t="n"/>
      <c r="F92" s="740" t="n"/>
      <c r="G92" s="740" t="n"/>
      <c r="H92" s="740" t="n"/>
      <c r="I92" s="740" t="n"/>
      <c r="J92" s="740" t="n"/>
      <c r="K92" s="740" t="n"/>
      <c r="L92" s="740" t="n"/>
      <c r="M92" s="740" t="n"/>
      <c r="N92" s="740" t="n"/>
      <c r="O92" s="740" t="n"/>
      <c r="P92" s="740" t="n"/>
      <c r="Q92" s="740" t="n"/>
      <c r="R92" s="740" t="n"/>
      <c r="S92" s="740" t="n"/>
      <c r="T92" s="740" t="n"/>
      <c r="U92" s="740" t="n"/>
      <c r="V92" s="740" t="n"/>
      <c r="W92" s="740" t="n"/>
      <c r="X92" s="740" t="n"/>
      <c r="Y92" s="740" t="n"/>
    </row>
    <row r="93" ht="15" customFormat="1" customHeight="1" s="340">
      <c r="A93" s="740" t="n"/>
      <c r="B93" s="740" t="n"/>
      <c r="C93" s="740" t="n"/>
      <c r="D93" s="740" t="n"/>
      <c r="E93" s="740" t="n"/>
      <c r="F93" s="740" t="n"/>
      <c r="G93" s="740" t="n"/>
      <c r="H93" s="740" t="n"/>
      <c r="I93" s="740" t="n"/>
      <c r="J93" s="740" t="n"/>
      <c r="K93" s="740" t="n"/>
      <c r="L93" s="740" t="n"/>
      <c r="M93" s="740" t="n"/>
      <c r="N93" s="740" t="n"/>
      <c r="O93" s="740" t="n"/>
      <c r="P93" s="740" t="n"/>
      <c r="Q93" s="740" t="n"/>
      <c r="R93" s="740" t="n"/>
      <c r="S93" s="740" t="n"/>
      <c r="T93" s="740" t="n"/>
      <c r="U93" s="740" t="n"/>
      <c r="V93" s="740" t="n"/>
      <c r="W93" s="740" t="n"/>
      <c r="X93" s="740" t="n"/>
      <c r="Y93" s="740" t="n"/>
    </row>
    <row r="94" ht="15" customFormat="1" customHeight="1" s="340">
      <c r="A94" s="740" t="n"/>
      <c r="B94" s="740" t="n"/>
      <c r="C94" s="740" t="n"/>
      <c r="D94" s="740" t="n"/>
      <c r="E94" s="740" t="n"/>
      <c r="F94" s="740" t="n"/>
      <c r="G94" s="740" t="n"/>
      <c r="H94" s="740" t="n"/>
      <c r="I94" s="740" t="n"/>
      <c r="J94" s="740" t="n"/>
      <c r="K94" s="740" t="n"/>
      <c r="L94" s="740" t="n"/>
      <c r="M94" s="740" t="n"/>
      <c r="N94" s="740" t="n"/>
      <c r="O94" s="740" t="n"/>
      <c r="P94" s="740" t="n"/>
      <c r="Q94" s="740" t="n"/>
      <c r="R94" s="740" t="n"/>
      <c r="S94" s="740" t="n"/>
      <c r="T94" s="740" t="n"/>
      <c r="U94" s="740" t="n"/>
      <c r="V94" s="740" t="n"/>
      <c r="W94" s="740" t="n"/>
      <c r="X94" s="740" t="n"/>
      <c r="Y94" s="740" t="n"/>
    </row>
    <row r="95" ht="15" customFormat="1" customHeight="1" s="340">
      <c r="A95" s="740" t="n"/>
      <c r="B95" s="740" t="n"/>
      <c r="C95" s="740" t="n"/>
      <c r="D95" s="740" t="n"/>
      <c r="E95" s="740" t="n"/>
      <c r="F95" s="740" t="n"/>
      <c r="G95" s="740" t="n"/>
      <c r="H95" s="740" t="n"/>
      <c r="I95" s="740" t="n"/>
      <c r="J95" s="740" t="n"/>
      <c r="K95" s="740" t="n"/>
      <c r="L95" s="740" t="n"/>
      <c r="M95" s="740" t="n"/>
      <c r="N95" s="740" t="n"/>
      <c r="O95" s="740" t="n"/>
      <c r="P95" s="740" t="n"/>
      <c r="Q95" s="740" t="n"/>
      <c r="R95" s="740" t="n"/>
      <c r="S95" s="740" t="n"/>
      <c r="T95" s="740" t="n"/>
      <c r="U95" s="740" t="n"/>
      <c r="V95" s="740" t="n"/>
      <c r="W95" s="740" t="n"/>
      <c r="X95" s="740" t="n"/>
      <c r="Y95" s="740" t="n"/>
    </row>
    <row r="96" ht="15" customFormat="1" customHeight="1" s="340">
      <c r="A96" s="740" t="n"/>
      <c r="B96" s="740" t="n"/>
      <c r="C96" s="740" t="n"/>
      <c r="D96" s="740" t="n"/>
      <c r="E96" s="740" t="n"/>
      <c r="F96" s="740" t="n"/>
      <c r="G96" s="740" t="n"/>
      <c r="H96" s="740" t="n"/>
      <c r="I96" s="740" t="n"/>
      <c r="J96" s="740" t="n"/>
      <c r="K96" s="740" t="n"/>
      <c r="L96" s="740" t="n"/>
      <c r="M96" s="740" t="n"/>
      <c r="N96" s="740" t="n"/>
      <c r="O96" s="740" t="n"/>
      <c r="P96" s="740" t="n"/>
      <c r="Q96" s="740" t="n"/>
      <c r="R96" s="740" t="n"/>
      <c r="S96" s="740" t="n"/>
      <c r="T96" s="740" t="n"/>
      <c r="U96" s="740" t="n"/>
      <c r="V96" s="740" t="n"/>
      <c r="W96" s="740" t="n"/>
      <c r="X96" s="740" t="n"/>
      <c r="Y96" s="740" t="n"/>
    </row>
    <row r="97" ht="15" customFormat="1" customHeight="1" s="340">
      <c r="A97" s="740" t="n"/>
      <c r="B97" s="740" t="n"/>
      <c r="C97" s="740" t="n"/>
      <c r="D97" s="740" t="n"/>
      <c r="E97" s="740" t="n"/>
      <c r="F97" s="740" t="n"/>
      <c r="G97" s="740" t="n"/>
      <c r="H97" s="740" t="n"/>
      <c r="I97" s="740" t="n"/>
      <c r="J97" s="740" t="n"/>
      <c r="K97" s="740" t="n"/>
      <c r="L97" s="740" t="n"/>
      <c r="M97" s="740" t="n"/>
      <c r="N97" s="740" t="n"/>
      <c r="O97" s="740" t="n"/>
      <c r="P97" s="740" t="n"/>
      <c r="Q97" s="740" t="n"/>
      <c r="R97" s="740" t="n"/>
      <c r="S97" s="740" t="n"/>
      <c r="T97" s="740" t="n"/>
      <c r="U97" s="740" t="n"/>
      <c r="V97" s="740" t="n"/>
      <c r="W97" s="740" t="n"/>
      <c r="X97" s="740" t="n"/>
      <c r="Y97" s="740" t="n"/>
    </row>
    <row r="98" ht="15" customFormat="1" customHeight="1" s="340">
      <c r="A98" s="740" t="n"/>
      <c r="B98" s="740" t="n"/>
      <c r="C98" s="740" t="n"/>
      <c r="D98" s="740" t="n"/>
      <c r="E98" s="740" t="n"/>
      <c r="F98" s="740" t="n"/>
      <c r="G98" s="740" t="n"/>
      <c r="H98" s="740" t="n"/>
      <c r="I98" s="740" t="n"/>
      <c r="J98" s="740" t="n"/>
      <c r="K98" s="740" t="n"/>
      <c r="L98" s="740" t="n"/>
      <c r="M98" s="740" t="n"/>
      <c r="N98" s="740" t="n"/>
      <c r="O98" s="740" t="n"/>
      <c r="P98" s="740" t="n"/>
      <c r="Q98" s="740" t="n"/>
      <c r="R98" s="740" t="n"/>
      <c r="S98" s="740" t="n"/>
      <c r="T98" s="740" t="n"/>
      <c r="U98" s="740" t="n"/>
      <c r="V98" s="740" t="n"/>
      <c r="W98" s="740" t="n"/>
      <c r="X98" s="740" t="n"/>
      <c r="Y98" s="740" t="n"/>
    </row>
    <row r="99" ht="15" customFormat="1" customHeight="1" s="340">
      <c r="A99" s="740" t="n"/>
      <c r="B99" s="740" t="n"/>
      <c r="C99" s="740" t="n"/>
      <c r="D99" s="740" t="n"/>
      <c r="E99" s="740" t="n"/>
      <c r="F99" s="740" t="n"/>
      <c r="G99" s="740" t="n"/>
      <c r="H99" s="740" t="n"/>
      <c r="I99" s="740" t="n"/>
      <c r="J99" s="740" t="n"/>
      <c r="K99" s="740" t="n"/>
      <c r="L99" s="740" t="n"/>
      <c r="M99" s="740" t="n"/>
      <c r="N99" s="740" t="n"/>
      <c r="O99" s="740" t="n"/>
      <c r="P99" s="740" t="n"/>
      <c r="Q99" s="740" t="n"/>
      <c r="R99" s="740" t="n"/>
      <c r="S99" s="740" t="n"/>
      <c r="T99" s="740" t="n"/>
      <c r="U99" s="740" t="n"/>
      <c r="V99" s="740" t="n"/>
      <c r="W99" s="740" t="n"/>
      <c r="X99" s="740" t="n"/>
      <c r="Y99" s="740" t="n"/>
    </row>
    <row r="100" ht="15" customFormat="1" customHeight="1" s="340">
      <c r="A100" s="740" t="n"/>
      <c r="B100" s="740" t="n"/>
      <c r="C100" s="740" t="n"/>
      <c r="D100" s="740" t="n"/>
      <c r="E100" s="740" t="n"/>
      <c r="F100" s="740" t="n"/>
      <c r="G100" s="740" t="n"/>
      <c r="H100" s="740" t="n"/>
      <c r="I100" s="740" t="n"/>
      <c r="J100" s="740" t="n"/>
      <c r="K100" s="740" t="n"/>
      <c r="L100" s="740" t="n"/>
      <c r="M100" s="740" t="n"/>
      <c r="N100" s="740" t="n"/>
      <c r="O100" s="740" t="n"/>
      <c r="P100" s="740" t="n"/>
      <c r="Q100" s="740" t="n"/>
      <c r="R100" s="740" t="n"/>
      <c r="S100" s="740" t="n"/>
      <c r="T100" s="740" t="n"/>
      <c r="U100" s="740" t="n"/>
      <c r="V100" s="740" t="n"/>
      <c r="W100" s="740" t="n"/>
      <c r="X100" s="740" t="n"/>
      <c r="Y100" s="740" t="n"/>
    </row>
    <row r="101" ht="15" customFormat="1" customHeight="1" s="340">
      <c r="A101" s="740" t="n"/>
      <c r="B101" s="740" t="n"/>
      <c r="C101" s="740" t="n"/>
      <c r="D101" s="740" t="n"/>
      <c r="E101" s="740" t="n"/>
      <c r="F101" s="740" t="n"/>
      <c r="G101" s="740" t="n"/>
      <c r="H101" s="740" t="n"/>
      <c r="I101" s="740" t="n"/>
      <c r="J101" s="740" t="n"/>
      <c r="K101" s="740" t="n"/>
      <c r="L101" s="740" t="n"/>
      <c r="M101" s="740" t="n"/>
      <c r="N101" s="740" t="n"/>
      <c r="O101" s="740" t="n"/>
      <c r="P101" s="740" t="n"/>
      <c r="Q101" s="740" t="n"/>
      <c r="R101" s="740" t="n"/>
      <c r="S101" s="740" t="n"/>
      <c r="T101" s="740" t="n"/>
      <c r="U101" s="740" t="n"/>
      <c r="V101" s="740" t="n"/>
      <c r="W101" s="740" t="n"/>
      <c r="X101" s="740" t="n"/>
      <c r="Y101" s="740" t="n"/>
    </row>
    <row r="102" ht="15" customFormat="1" customHeight="1" s="340">
      <c r="A102" s="740" t="n"/>
      <c r="B102" s="740" t="n"/>
      <c r="C102" s="740" t="n"/>
      <c r="D102" s="740" t="n"/>
      <c r="E102" s="740" t="n"/>
      <c r="F102" s="740" t="n"/>
      <c r="G102" s="740" t="n"/>
      <c r="H102" s="740" t="n"/>
      <c r="I102" s="740" t="n"/>
      <c r="J102" s="740" t="n"/>
      <c r="K102" s="740" t="n"/>
      <c r="L102" s="740" t="n"/>
      <c r="M102" s="740" t="n"/>
      <c r="N102" s="740" t="n"/>
      <c r="O102" s="740" t="n"/>
      <c r="P102" s="740" t="n"/>
      <c r="Q102" s="740" t="n"/>
      <c r="R102" s="740" t="n"/>
      <c r="S102" s="740" t="n"/>
      <c r="T102" s="740" t="n"/>
      <c r="U102" s="740" t="n"/>
      <c r="V102" s="740" t="n"/>
      <c r="W102" s="740" t="n"/>
      <c r="X102" s="740" t="n"/>
      <c r="Y102" s="740" t="n"/>
    </row>
    <row r="103" ht="15" customFormat="1" customHeight="1" s="340">
      <c r="A103" s="740" t="n"/>
      <c r="B103" s="740" t="n"/>
      <c r="C103" s="740" t="n"/>
      <c r="D103" s="740" t="n"/>
      <c r="E103" s="740" t="n"/>
      <c r="F103" s="740" t="n"/>
      <c r="G103" s="740" t="n"/>
      <c r="H103" s="740" t="n"/>
      <c r="I103" s="740" t="n"/>
      <c r="J103" s="740" t="n"/>
      <c r="K103" s="740" t="n"/>
      <c r="L103" s="740" t="n"/>
      <c r="M103" s="740" t="n"/>
      <c r="N103" s="740" t="n"/>
      <c r="O103" s="740" t="n"/>
      <c r="P103" s="740" t="n"/>
      <c r="Q103" s="740" t="n"/>
      <c r="R103" s="740" t="n"/>
      <c r="S103" s="740" t="n"/>
      <c r="T103" s="740" t="n"/>
      <c r="U103" s="740" t="n"/>
      <c r="V103" s="740" t="n"/>
      <c r="W103" s="740" t="n"/>
      <c r="X103" s="740" t="n"/>
      <c r="Y103" s="740" t="n"/>
    </row>
    <row r="104" ht="15" customFormat="1" customHeight="1" s="340">
      <c r="A104" s="740" t="n"/>
      <c r="B104" s="740" t="n"/>
      <c r="C104" s="740" t="n"/>
      <c r="D104" s="740" t="n"/>
      <c r="E104" s="740" t="n"/>
      <c r="F104" s="740" t="n"/>
      <c r="G104" s="740" t="n"/>
      <c r="H104" s="740" t="n"/>
      <c r="I104" s="740" t="n"/>
      <c r="J104" s="740" t="n"/>
      <c r="K104" s="740" t="n"/>
      <c r="L104" s="740" t="n"/>
      <c r="M104" s="740" t="n"/>
      <c r="N104" s="740" t="n"/>
      <c r="O104" s="740" t="n"/>
      <c r="P104" s="740" t="n"/>
      <c r="Q104" s="740" t="n"/>
      <c r="R104" s="740" t="n"/>
      <c r="S104" s="740" t="n"/>
      <c r="T104" s="740" t="n"/>
      <c r="U104" s="740" t="n"/>
      <c r="V104" s="740" t="n"/>
      <c r="W104" s="740" t="n"/>
      <c r="X104" s="740" t="n"/>
      <c r="Y104" s="740" t="n"/>
    </row>
    <row r="105" ht="15" customFormat="1" customHeight="1" s="340">
      <c r="A105" s="740" t="n"/>
      <c r="B105" s="740" t="n"/>
      <c r="C105" s="740" t="n"/>
      <c r="D105" s="740" t="n"/>
      <c r="E105" s="740" t="n"/>
      <c r="F105" s="740" t="n"/>
      <c r="G105" s="740" t="n"/>
      <c r="H105" s="740" t="n"/>
      <c r="I105" s="740" t="n"/>
      <c r="J105" s="740" t="n"/>
      <c r="K105" s="740" t="n"/>
      <c r="L105" s="740" t="n"/>
      <c r="M105" s="740" t="n"/>
      <c r="N105" s="740" t="n"/>
      <c r="O105" s="740" t="n"/>
      <c r="P105" s="740" t="n"/>
      <c r="Q105" s="740" t="n"/>
      <c r="R105" s="740" t="n"/>
      <c r="S105" s="740" t="n"/>
      <c r="T105" s="740" t="n"/>
      <c r="U105" s="740" t="n"/>
      <c r="V105" s="740" t="n"/>
      <c r="W105" s="740" t="n"/>
      <c r="X105" s="740" t="n"/>
      <c r="Y105" s="740" t="n"/>
    </row>
    <row r="106" ht="15" customFormat="1" customHeight="1" s="340">
      <c r="A106" s="740" t="n"/>
      <c r="B106" s="740" t="n"/>
      <c r="C106" s="740" t="n"/>
      <c r="D106" s="740" t="n"/>
      <c r="E106" s="740" t="n"/>
      <c r="F106" s="740" t="n"/>
      <c r="G106" s="740" t="n"/>
      <c r="H106" s="740" t="n"/>
      <c r="I106" s="740" t="n"/>
      <c r="J106" s="740" t="n"/>
      <c r="K106" s="740" t="n"/>
      <c r="L106" s="740" t="n"/>
      <c r="M106" s="740" t="n"/>
      <c r="N106" s="740" t="n"/>
      <c r="O106" s="740" t="n"/>
      <c r="P106" s="740" t="n"/>
      <c r="Q106" s="740" t="n"/>
      <c r="R106" s="740" t="n"/>
      <c r="S106" s="740" t="n"/>
      <c r="T106" s="740" t="n"/>
      <c r="U106" s="740" t="n"/>
      <c r="V106" s="740" t="n"/>
      <c r="W106" s="740" t="n"/>
      <c r="X106" s="740" t="n"/>
      <c r="Y106" s="740" t="n"/>
    </row>
    <row r="107" ht="15" customFormat="1" customHeight="1" s="340">
      <c r="A107" s="740" t="n"/>
      <c r="B107" s="740" t="n"/>
      <c r="C107" s="740" t="n"/>
      <c r="D107" s="740" t="n"/>
      <c r="E107" s="740" t="n"/>
      <c r="F107" s="740" t="n"/>
      <c r="G107" s="740" t="n"/>
      <c r="H107" s="740" t="n"/>
      <c r="I107" s="740" t="n"/>
      <c r="J107" s="740" t="n"/>
      <c r="K107" s="740" t="n"/>
      <c r="L107" s="740" t="n"/>
      <c r="M107" s="740" t="n"/>
      <c r="N107" s="740" t="n"/>
      <c r="O107" s="740" t="n"/>
      <c r="P107" s="740" t="n"/>
      <c r="Q107" s="740" t="n"/>
      <c r="R107" s="740" t="n"/>
      <c r="S107" s="740" t="n"/>
      <c r="T107" s="740" t="n"/>
      <c r="U107" s="740" t="n"/>
      <c r="V107" s="740" t="n"/>
      <c r="W107" s="740" t="n"/>
      <c r="X107" s="740" t="n"/>
      <c r="Y107" s="740" t="n"/>
    </row>
    <row r="108" ht="15" customFormat="1" customHeight="1" s="340">
      <c r="A108" s="740" t="n"/>
      <c r="B108" s="740" t="n"/>
      <c r="C108" s="740" t="n"/>
      <c r="D108" s="740" t="n"/>
      <c r="E108" s="740" t="n"/>
      <c r="F108" s="740" t="n"/>
      <c r="G108" s="740" t="n"/>
      <c r="H108" s="740" t="n"/>
      <c r="I108" s="740" t="n"/>
      <c r="J108" s="740" t="n"/>
      <c r="K108" s="740" t="n"/>
      <c r="L108" s="740" t="n"/>
      <c r="M108" s="740" t="n"/>
      <c r="N108" s="740" t="n"/>
      <c r="O108" s="740" t="n"/>
      <c r="P108" s="740" t="n"/>
      <c r="Q108" s="740" t="n"/>
      <c r="R108" s="740" t="n"/>
      <c r="S108" s="740" t="n"/>
      <c r="T108" s="740" t="n"/>
      <c r="U108" s="740" t="n"/>
      <c r="V108" s="740" t="n"/>
      <c r="W108" s="740" t="n"/>
      <c r="X108" s="740" t="n"/>
      <c r="Y108" s="740" t="n"/>
    </row>
    <row r="109" ht="15" customFormat="1" customHeight="1" s="340">
      <c r="A109" s="740" t="n"/>
      <c r="B109" s="740" t="n"/>
      <c r="C109" s="740" t="n"/>
      <c r="D109" s="740" t="n"/>
      <c r="E109" s="740" t="n"/>
      <c r="F109" s="740" t="n"/>
      <c r="G109" s="740" t="n"/>
      <c r="H109" s="740" t="n"/>
      <c r="I109" s="740" t="n"/>
      <c r="J109" s="740" t="n"/>
      <c r="K109" s="740" t="n"/>
      <c r="L109" s="740" t="n"/>
      <c r="M109" s="740" t="n"/>
      <c r="N109" s="740" t="n"/>
      <c r="O109" s="740" t="n"/>
      <c r="P109" s="740" t="n"/>
      <c r="Q109" s="740" t="n"/>
      <c r="R109" s="740" t="n"/>
      <c r="S109" s="740" t="n"/>
      <c r="T109" s="740" t="n"/>
      <c r="U109" s="740" t="n"/>
      <c r="V109" s="740" t="n"/>
      <c r="W109" s="740" t="n"/>
      <c r="X109" s="740" t="n"/>
      <c r="Y109" s="740" t="n"/>
    </row>
    <row r="110" ht="15" customFormat="1" customHeight="1" s="340">
      <c r="A110" s="740" t="n"/>
      <c r="B110" s="740" t="n"/>
      <c r="C110" s="740" t="n"/>
      <c r="D110" s="740" t="n"/>
      <c r="E110" s="740" t="n"/>
      <c r="F110" s="740" t="n"/>
      <c r="G110" s="740" t="n"/>
      <c r="H110" s="740" t="n"/>
      <c r="I110" s="740" t="n"/>
      <c r="J110" s="740" t="n"/>
      <c r="K110" s="740" t="n"/>
      <c r="L110" s="740" t="n"/>
      <c r="M110" s="740" t="n"/>
      <c r="N110" s="740" t="n"/>
      <c r="O110" s="740" t="n"/>
      <c r="P110" s="740" t="n"/>
      <c r="Q110" s="740" t="n"/>
      <c r="R110" s="740" t="n"/>
      <c r="S110" s="740" t="n"/>
      <c r="T110" s="740" t="n"/>
      <c r="U110" s="740" t="n"/>
      <c r="V110" s="740" t="n"/>
      <c r="W110" s="740" t="n"/>
      <c r="X110" s="740" t="n"/>
      <c r="Y110" s="740" t="n"/>
    </row>
    <row r="111" ht="15" customFormat="1" customHeight="1" s="340">
      <c r="A111" s="740" t="n"/>
      <c r="B111" s="740" t="n"/>
      <c r="C111" s="740" t="n"/>
      <c r="D111" s="740" t="n"/>
      <c r="E111" s="740" t="n"/>
      <c r="F111" s="740" t="n"/>
      <c r="G111" s="740" t="n"/>
      <c r="H111" s="740" t="n"/>
      <c r="I111" s="740" t="n"/>
      <c r="J111" s="740" t="n"/>
      <c r="K111" s="740" t="n"/>
      <c r="L111" s="740" t="n"/>
      <c r="M111" s="740" t="n"/>
      <c r="N111" s="740" t="n"/>
      <c r="O111" s="740" t="n"/>
      <c r="P111" s="740" t="n"/>
      <c r="Q111" s="740" t="n"/>
      <c r="R111" s="740" t="n"/>
      <c r="S111" s="740" t="n"/>
      <c r="T111" s="740" t="n"/>
      <c r="U111" s="740" t="n"/>
      <c r="V111" s="740" t="n"/>
      <c r="W111" s="740" t="n"/>
      <c r="X111" s="740" t="n"/>
      <c r="Y111" s="740" t="n"/>
    </row>
    <row r="112" ht="15" customFormat="1" customHeight="1" s="340">
      <c r="A112" s="740" t="n"/>
      <c r="B112" s="740" t="n"/>
      <c r="C112" s="740" t="n"/>
      <c r="D112" s="740" t="n"/>
      <c r="E112" s="740" t="n"/>
      <c r="F112" s="740" t="n"/>
      <c r="G112" s="740" t="n"/>
      <c r="H112" s="740" t="n"/>
      <c r="I112" s="740" t="n"/>
      <c r="J112" s="740" t="n"/>
      <c r="K112" s="740" t="n"/>
      <c r="L112" s="740" t="n"/>
      <c r="M112" s="740" t="n"/>
      <c r="N112" s="740" t="n"/>
      <c r="O112" s="740" t="n"/>
      <c r="P112" s="740" t="n"/>
      <c r="Q112" s="740" t="n"/>
      <c r="R112" s="740" t="n"/>
      <c r="S112" s="740" t="n"/>
      <c r="T112" s="740" t="n"/>
      <c r="U112" s="740" t="n"/>
      <c r="V112" s="740" t="n"/>
      <c r="W112" s="740" t="n"/>
      <c r="X112" s="740" t="n"/>
      <c r="Y112" s="740" t="n"/>
    </row>
    <row r="113" ht="15" customFormat="1" customHeight="1" s="340">
      <c r="A113" s="740" t="n"/>
      <c r="B113" s="740" t="n"/>
      <c r="C113" s="740" t="n"/>
      <c r="D113" s="740" t="n"/>
      <c r="E113" s="740" t="n"/>
      <c r="F113" s="740" t="n"/>
      <c r="G113" s="740" t="n"/>
      <c r="H113" s="740" t="n"/>
      <c r="I113" s="740" t="n"/>
      <c r="J113" s="740" t="n"/>
      <c r="K113" s="740" t="n"/>
      <c r="L113" s="740" t="n"/>
      <c r="M113" s="740" t="n"/>
      <c r="N113" s="740" t="n"/>
      <c r="O113" s="740" t="n"/>
      <c r="P113" s="740" t="n"/>
      <c r="Q113" s="740" t="n"/>
      <c r="R113" s="740" t="n"/>
      <c r="S113" s="740" t="n"/>
      <c r="T113" s="740" t="n"/>
      <c r="U113" s="740" t="n"/>
      <c r="V113" s="740" t="n"/>
      <c r="W113" s="740" t="n"/>
      <c r="X113" s="740" t="n"/>
      <c r="Y113" s="740" t="n"/>
    </row>
    <row r="114" ht="15" customFormat="1" customHeight="1" s="340">
      <c r="A114" s="740" t="n"/>
      <c r="B114" s="740" t="n"/>
      <c r="C114" s="740" t="n"/>
      <c r="D114" s="740" t="n"/>
      <c r="E114" s="740" t="n"/>
      <c r="F114" s="740" t="n"/>
      <c r="G114" s="740" t="n"/>
      <c r="H114" s="740" t="n"/>
      <c r="I114" s="740" t="n"/>
      <c r="J114" s="740" t="n"/>
      <c r="K114" s="740" t="n"/>
      <c r="L114" s="740" t="n"/>
      <c r="M114" s="740" t="n"/>
      <c r="N114" s="740" t="n"/>
      <c r="O114" s="740" t="n"/>
      <c r="P114" s="740" t="n"/>
      <c r="Q114" s="740" t="n"/>
      <c r="R114" s="740" t="n"/>
      <c r="S114" s="740" t="n"/>
      <c r="T114" s="740" t="n"/>
      <c r="U114" s="740" t="n"/>
      <c r="V114" s="740" t="n"/>
      <c r="W114" s="740" t="n"/>
      <c r="X114" s="740" t="n"/>
      <c r="Y114" s="740" t="n"/>
    </row>
    <row r="115" ht="15" customFormat="1" customHeight="1" s="340">
      <c r="A115" s="740" t="n"/>
      <c r="B115" s="740" t="n"/>
      <c r="C115" s="740" t="n"/>
      <c r="D115" s="740" t="n"/>
      <c r="E115" s="740" t="n"/>
      <c r="F115" s="740" t="n"/>
      <c r="G115" s="740" t="n"/>
      <c r="H115" s="740" t="n"/>
      <c r="I115" s="740" t="n"/>
      <c r="J115" s="740" t="n"/>
      <c r="K115" s="740" t="n"/>
      <c r="L115" s="740" t="n"/>
      <c r="M115" s="740" t="n"/>
      <c r="N115" s="740" t="n"/>
      <c r="O115" s="740" t="n"/>
      <c r="P115" s="740" t="n"/>
      <c r="Q115" s="740" t="n"/>
      <c r="R115" s="740" t="n"/>
      <c r="S115" s="740" t="n"/>
      <c r="T115" s="740" t="n"/>
      <c r="U115" s="740" t="n"/>
      <c r="V115" s="740" t="n"/>
      <c r="W115" s="740" t="n"/>
      <c r="X115" s="740" t="n"/>
      <c r="Y115" s="740" t="n"/>
    </row>
    <row r="116" ht="15" customFormat="1" customHeight="1" s="340">
      <c r="A116" s="740" t="n"/>
      <c r="B116" s="740" t="n"/>
      <c r="C116" s="740" t="n"/>
      <c r="D116" s="740" t="n"/>
      <c r="E116" s="740" t="n"/>
      <c r="F116" s="740" t="n"/>
      <c r="G116" s="740" t="n"/>
      <c r="H116" s="740" t="n"/>
      <c r="I116" s="740" t="n"/>
      <c r="J116" s="740" t="n"/>
      <c r="K116" s="740" t="n"/>
      <c r="L116" s="740" t="n"/>
      <c r="M116" s="740" t="n"/>
      <c r="N116" s="740" t="n"/>
      <c r="O116" s="740" t="n"/>
      <c r="P116" s="740" t="n"/>
      <c r="Q116" s="740" t="n"/>
      <c r="R116" s="740" t="n"/>
      <c r="S116" s="740" t="n"/>
      <c r="T116" s="740" t="n"/>
      <c r="U116" s="740" t="n"/>
      <c r="V116" s="740" t="n"/>
      <c r="W116" s="740" t="n"/>
      <c r="X116" s="740" t="n"/>
      <c r="Y116" s="740" t="n"/>
    </row>
    <row r="117" ht="15" customFormat="1" customHeight="1" s="340">
      <c r="A117" s="740" t="n"/>
      <c r="B117" s="740" t="n"/>
      <c r="C117" s="740" t="n"/>
      <c r="D117" s="740" t="n"/>
      <c r="E117" s="740" t="n"/>
      <c r="F117" s="740" t="n"/>
      <c r="G117" s="740" t="n"/>
      <c r="H117" s="740" t="n"/>
      <c r="I117" s="740" t="n"/>
      <c r="J117" s="740" t="n"/>
      <c r="K117" s="740" t="n"/>
      <c r="L117" s="740" t="n"/>
      <c r="M117" s="740" t="n"/>
      <c r="N117" s="740" t="n"/>
      <c r="O117" s="740" t="n"/>
      <c r="P117" s="740" t="n"/>
      <c r="Q117" s="740" t="n"/>
      <c r="R117" s="740" t="n"/>
      <c r="S117" s="740" t="n"/>
      <c r="T117" s="740" t="n"/>
      <c r="U117" s="740" t="n"/>
      <c r="V117" s="740" t="n"/>
      <c r="W117" s="740" t="n"/>
      <c r="X117" s="740" t="n"/>
      <c r="Y117" s="740" t="n"/>
    </row>
    <row r="118" ht="15" customFormat="1" customHeight="1" s="340">
      <c r="A118" s="740" t="n"/>
      <c r="B118" s="740" t="n"/>
      <c r="C118" s="740" t="n"/>
      <c r="D118" s="740" t="n"/>
      <c r="E118" s="740" t="n"/>
      <c r="F118" s="740" t="n"/>
      <c r="G118" s="740" t="n"/>
      <c r="H118" s="740" t="n"/>
      <c r="I118" s="740" t="n"/>
      <c r="J118" s="740" t="n"/>
      <c r="K118" s="740" t="n"/>
      <c r="L118" s="740" t="n"/>
      <c r="M118" s="740" t="n"/>
      <c r="N118" s="740" t="n"/>
      <c r="O118" s="740" t="n"/>
      <c r="P118" s="740" t="n"/>
      <c r="Q118" s="740" t="n"/>
      <c r="R118" s="740" t="n"/>
      <c r="S118" s="740" t="n"/>
      <c r="T118" s="740" t="n"/>
      <c r="U118" s="740" t="n"/>
      <c r="V118" s="740" t="n"/>
      <c r="W118" s="740" t="n"/>
      <c r="X118" s="740" t="n"/>
      <c r="Y118" s="740" t="n"/>
    </row>
    <row r="119" ht="15" customFormat="1" customHeight="1" s="340">
      <c r="A119" s="740" t="n"/>
      <c r="B119" s="740" t="n"/>
      <c r="C119" s="740" t="n"/>
      <c r="D119" s="740" t="n"/>
      <c r="E119" s="740" t="n"/>
      <c r="F119" s="740" t="n"/>
      <c r="G119" s="740" t="n"/>
      <c r="H119" s="740" t="n"/>
      <c r="I119" s="740" t="n"/>
      <c r="J119" s="740" t="n"/>
      <c r="K119" s="740" t="n"/>
      <c r="L119" s="740" t="n"/>
      <c r="M119" s="740" t="n"/>
      <c r="N119" s="740" t="n"/>
      <c r="O119" s="740" t="n"/>
      <c r="P119" s="740" t="n"/>
      <c r="Q119" s="740" t="n"/>
      <c r="R119" s="740" t="n"/>
      <c r="S119" s="740" t="n"/>
      <c r="T119" s="740" t="n"/>
      <c r="U119" s="740" t="n"/>
      <c r="V119" s="740" t="n"/>
      <c r="W119" s="740" t="n"/>
      <c r="X119" s="740" t="n"/>
      <c r="Y119" s="740" t="n"/>
    </row>
    <row r="120" ht="15" customFormat="1" customHeight="1" s="340">
      <c r="A120" s="740" t="n"/>
      <c r="B120" s="740" t="n"/>
      <c r="C120" s="740" t="n"/>
      <c r="D120" s="740" t="n"/>
      <c r="E120" s="740" t="n"/>
      <c r="F120" s="740" t="n"/>
      <c r="G120" s="740" t="n"/>
      <c r="H120" s="740" t="n"/>
      <c r="I120" s="740" t="n"/>
      <c r="J120" s="740" t="n"/>
      <c r="K120" s="740" t="n"/>
      <c r="L120" s="740" t="n"/>
      <c r="M120" s="740" t="n"/>
      <c r="N120" s="740" t="n"/>
      <c r="O120" s="740" t="n"/>
      <c r="P120" s="740" t="n"/>
      <c r="Q120" s="740" t="n"/>
      <c r="R120" s="740" t="n"/>
      <c r="S120" s="740" t="n"/>
      <c r="T120" s="740" t="n"/>
      <c r="U120" s="740" t="n"/>
      <c r="V120" s="740" t="n"/>
      <c r="W120" s="740" t="n"/>
      <c r="X120" s="740" t="n"/>
      <c r="Y120" s="740" t="n"/>
    </row>
    <row r="121" ht="15" customFormat="1" customHeight="1" s="340">
      <c r="A121" s="740" t="n"/>
      <c r="B121" s="740" t="n"/>
      <c r="C121" s="740" t="n"/>
      <c r="D121" s="740" t="n"/>
      <c r="E121" s="740" t="n"/>
      <c r="F121" s="740" t="n"/>
      <c r="G121" s="740" t="n"/>
      <c r="H121" s="740" t="n"/>
      <c r="I121" s="740" t="n"/>
      <c r="J121" s="740" t="n"/>
      <c r="K121" s="740" t="n"/>
      <c r="L121" s="740" t="n"/>
      <c r="M121" s="740" t="n"/>
      <c r="N121" s="740" t="n"/>
      <c r="O121" s="740" t="n"/>
      <c r="P121" s="740" t="n"/>
      <c r="Q121" s="740" t="n"/>
      <c r="R121" s="740" t="n"/>
      <c r="S121" s="740" t="n"/>
      <c r="T121" s="740" t="n"/>
      <c r="U121" s="740" t="n"/>
      <c r="V121" s="740" t="n"/>
      <c r="W121" s="740" t="n"/>
      <c r="X121" s="740" t="n"/>
      <c r="Y121" s="740" t="n"/>
    </row>
    <row r="122" ht="15" customFormat="1" customHeight="1" s="340">
      <c r="A122" s="740" t="n"/>
      <c r="B122" s="740" t="n"/>
      <c r="C122" s="740" t="n"/>
      <c r="D122" s="740" t="n"/>
      <c r="E122" s="740" t="n"/>
      <c r="F122" s="740" t="n"/>
      <c r="G122" s="740" t="n"/>
      <c r="H122" s="740" t="n"/>
      <c r="I122" s="740" t="n"/>
      <c r="J122" s="740" t="n"/>
      <c r="K122" s="740" t="n"/>
      <c r="L122" s="740" t="n"/>
      <c r="M122" s="740" t="n"/>
      <c r="N122" s="740" t="n"/>
      <c r="O122" s="740" t="n"/>
      <c r="P122" s="740" t="n"/>
      <c r="Q122" s="740" t="n"/>
      <c r="R122" s="740" t="n"/>
      <c r="S122" s="740" t="n"/>
      <c r="T122" s="740" t="n"/>
      <c r="U122" s="740" t="n"/>
      <c r="V122" s="740" t="n"/>
      <c r="W122" s="740" t="n"/>
      <c r="X122" s="740" t="n"/>
      <c r="Y122" s="740" t="n"/>
    </row>
    <row r="123" ht="15" customFormat="1" customHeight="1" s="340">
      <c r="A123" s="740" t="n"/>
      <c r="B123" s="740" t="n"/>
      <c r="C123" s="740" t="n"/>
      <c r="D123" s="740" t="n"/>
      <c r="E123" s="740" t="n"/>
      <c r="F123" s="740" t="n"/>
      <c r="G123" s="740" t="n"/>
      <c r="H123" s="740" t="n"/>
      <c r="I123" s="740" t="n"/>
      <c r="J123" s="740" t="n"/>
      <c r="K123" s="740" t="n"/>
      <c r="L123" s="740" t="n"/>
      <c r="M123" s="740" t="n"/>
      <c r="N123" s="740" t="n"/>
      <c r="O123" s="740" t="n"/>
      <c r="P123" s="740" t="n"/>
      <c r="Q123" s="740" t="n"/>
      <c r="R123" s="740" t="n"/>
      <c r="S123" s="740" t="n"/>
      <c r="T123" s="740" t="n"/>
      <c r="U123" s="740" t="n"/>
      <c r="V123" s="740" t="n"/>
      <c r="W123" s="740" t="n"/>
      <c r="X123" s="740" t="n"/>
      <c r="Y123" s="740" t="n"/>
    </row>
    <row r="124" ht="15" customFormat="1" customHeight="1" s="340">
      <c r="A124" s="740" t="n"/>
      <c r="B124" s="740" t="n"/>
      <c r="C124" s="740" t="n"/>
      <c r="D124" s="740" t="n"/>
      <c r="E124" s="740" t="n"/>
      <c r="F124" s="740" t="n"/>
      <c r="G124" s="740" t="n"/>
      <c r="H124" s="740" t="n"/>
      <c r="I124" s="740" t="n"/>
      <c r="J124" s="740" t="n"/>
      <c r="K124" s="740" t="n"/>
      <c r="L124" s="740" t="n"/>
      <c r="M124" s="740" t="n"/>
      <c r="N124" s="740" t="n"/>
      <c r="O124" s="740" t="n"/>
      <c r="P124" s="740" t="n"/>
      <c r="Q124" s="740" t="n"/>
      <c r="R124" s="740" t="n"/>
      <c r="S124" s="740" t="n"/>
      <c r="T124" s="740" t="n"/>
      <c r="U124" s="740" t="n"/>
      <c r="V124" s="740" t="n"/>
      <c r="W124" s="740" t="n"/>
      <c r="X124" s="740" t="n"/>
      <c r="Y124" s="740" t="n"/>
    </row>
    <row r="125" ht="15" customFormat="1" customHeight="1" s="340">
      <c r="A125" s="740" t="n"/>
      <c r="B125" s="740" t="n"/>
      <c r="C125" s="740" t="n"/>
      <c r="D125" s="740" t="n"/>
      <c r="E125" s="740" t="n"/>
      <c r="F125" s="740" t="n"/>
      <c r="G125" s="740" t="n"/>
      <c r="H125" s="740" t="n"/>
      <c r="I125" s="740" t="n"/>
      <c r="J125" s="740" t="n"/>
      <c r="K125" s="740" t="n"/>
      <c r="L125" s="740" t="n"/>
      <c r="M125" s="740" t="n"/>
      <c r="N125" s="740" t="n"/>
      <c r="O125" s="740" t="n"/>
      <c r="P125" s="740" t="n"/>
      <c r="Q125" s="740" t="n"/>
      <c r="R125" s="740" t="n"/>
      <c r="S125" s="740" t="n"/>
      <c r="T125" s="740" t="n"/>
      <c r="U125" s="740" t="n"/>
      <c r="V125" s="740" t="n"/>
      <c r="W125" s="740" t="n"/>
      <c r="X125" s="740" t="n"/>
      <c r="Y125" s="740" t="n"/>
    </row>
    <row r="126" ht="15" customFormat="1" customHeight="1" s="340">
      <c r="A126" s="740" t="n"/>
      <c r="B126" s="740" t="n"/>
      <c r="C126" s="740" t="n"/>
      <c r="D126" s="740" t="n"/>
      <c r="E126" s="740" t="n"/>
      <c r="F126" s="740" t="n"/>
      <c r="G126" s="740" t="n"/>
      <c r="H126" s="740" t="n"/>
      <c r="I126" s="740" t="n"/>
      <c r="J126" s="740" t="n"/>
      <c r="K126" s="740" t="n"/>
      <c r="L126" s="740" t="n"/>
      <c r="M126" s="740" t="n"/>
      <c r="N126" s="740" t="n"/>
      <c r="O126" s="740" t="n"/>
      <c r="P126" s="740" t="n"/>
      <c r="Q126" s="740" t="n"/>
      <c r="R126" s="740" t="n"/>
      <c r="S126" s="740" t="n"/>
      <c r="T126" s="740" t="n"/>
      <c r="U126" s="740" t="n"/>
      <c r="V126" s="740" t="n"/>
      <c r="W126" s="740" t="n"/>
      <c r="X126" s="740" t="n"/>
      <c r="Y126" s="740" t="n"/>
    </row>
    <row r="127" ht="15" customFormat="1" customHeight="1" s="340">
      <c r="A127" s="740" t="n"/>
      <c r="B127" s="740" t="n"/>
      <c r="C127" s="740" t="n"/>
      <c r="D127" s="740" t="n"/>
      <c r="E127" s="740" t="n"/>
      <c r="F127" s="740" t="n"/>
      <c r="G127" s="740" t="n"/>
      <c r="H127" s="740" t="n"/>
      <c r="I127" s="740" t="n"/>
      <c r="J127" s="740" t="n"/>
      <c r="K127" s="740" t="n"/>
      <c r="L127" s="740" t="n"/>
      <c r="M127" s="740" t="n"/>
      <c r="N127" s="740" t="n"/>
      <c r="O127" s="740" t="n"/>
      <c r="P127" s="740" t="n"/>
      <c r="Q127" s="740" t="n"/>
      <c r="R127" s="740" t="n"/>
      <c r="S127" s="740" t="n"/>
      <c r="T127" s="740" t="n"/>
      <c r="U127" s="740" t="n"/>
      <c r="V127" s="740" t="n"/>
      <c r="W127" s="740" t="n"/>
      <c r="X127" s="740" t="n"/>
      <c r="Y127" s="740" t="n"/>
    </row>
    <row r="128" ht="15" customFormat="1" customHeight="1" s="340">
      <c r="A128" s="740" t="n"/>
      <c r="B128" s="740" t="n"/>
      <c r="C128" s="740" t="n"/>
      <c r="D128" s="740" t="n"/>
      <c r="E128" s="740" t="n"/>
      <c r="F128" s="740" t="n"/>
      <c r="G128" s="740" t="n"/>
      <c r="H128" s="740" t="n"/>
      <c r="I128" s="740" t="n"/>
      <c r="J128" s="740" t="n"/>
      <c r="K128" s="740" t="n"/>
      <c r="L128" s="740" t="n"/>
      <c r="M128" s="740" t="n"/>
      <c r="N128" s="740" t="n"/>
      <c r="O128" s="740" t="n"/>
      <c r="P128" s="740" t="n"/>
      <c r="Q128" s="740" t="n"/>
      <c r="R128" s="740" t="n"/>
      <c r="S128" s="740" t="n"/>
      <c r="T128" s="740" t="n"/>
      <c r="U128" s="740" t="n"/>
      <c r="V128" s="740" t="n"/>
      <c r="W128" s="740" t="n"/>
      <c r="X128" s="740" t="n"/>
      <c r="Y128" s="740" t="n"/>
    </row>
    <row r="129" ht="15" customFormat="1" customHeight="1" s="340">
      <c r="A129" s="740" t="n"/>
      <c r="B129" s="740" t="n"/>
      <c r="C129" s="740" t="n"/>
      <c r="D129" s="740" t="n"/>
      <c r="E129" s="740" t="n"/>
      <c r="F129" s="740" t="n"/>
      <c r="G129" s="740" t="n"/>
      <c r="H129" s="740" t="n"/>
      <c r="I129" s="740" t="n"/>
      <c r="J129" s="740" t="n"/>
      <c r="K129" s="740" t="n"/>
      <c r="L129" s="740" t="n"/>
      <c r="M129" s="740" t="n"/>
      <c r="N129" s="740" t="n"/>
      <c r="O129" s="740" t="n"/>
      <c r="P129" s="740" t="n"/>
      <c r="Q129" s="740" t="n"/>
      <c r="R129" s="740" t="n"/>
      <c r="S129" s="740" t="n"/>
      <c r="T129" s="740" t="n"/>
      <c r="U129" s="740" t="n"/>
      <c r="V129" s="740" t="n"/>
      <c r="W129" s="740" t="n"/>
      <c r="X129" s="740" t="n"/>
      <c r="Y129" s="740" t="n"/>
    </row>
    <row r="130" ht="15" customFormat="1" customHeight="1" s="340">
      <c r="A130" s="740" t="n"/>
      <c r="B130" s="740" t="n"/>
      <c r="C130" s="740" t="n"/>
      <c r="D130" s="740" t="n"/>
      <c r="E130" s="740" t="n"/>
      <c r="F130" s="740" t="n"/>
      <c r="G130" s="740" t="n"/>
      <c r="H130" s="740" t="n"/>
      <c r="I130" s="740" t="n"/>
      <c r="J130" s="740" t="n"/>
      <c r="K130" s="740" t="n"/>
      <c r="L130" s="740" t="n"/>
      <c r="M130" s="740" t="n"/>
      <c r="N130" s="740" t="n"/>
      <c r="O130" s="740" t="n"/>
      <c r="P130" s="740" t="n"/>
      <c r="Q130" s="740" t="n"/>
      <c r="R130" s="740" t="n"/>
      <c r="S130" s="740" t="n"/>
      <c r="T130" s="740" t="n"/>
      <c r="U130" s="740" t="n"/>
      <c r="V130" s="740" t="n"/>
      <c r="W130" s="740" t="n"/>
      <c r="X130" s="740" t="n"/>
      <c r="Y130" s="740" t="n"/>
    </row>
    <row r="131" ht="15" customFormat="1" customHeight="1" s="340">
      <c r="A131" s="740" t="n"/>
      <c r="B131" s="740" t="n"/>
      <c r="C131" s="740" t="n"/>
      <c r="D131" s="740" t="n"/>
      <c r="E131" s="740" t="n"/>
      <c r="F131" s="740" t="n"/>
      <c r="G131" s="740" t="n"/>
      <c r="H131" s="740" t="n"/>
      <c r="I131" s="740" t="n"/>
      <c r="J131" s="740" t="n"/>
      <c r="K131" s="740" t="n"/>
      <c r="L131" s="740" t="n"/>
      <c r="M131" s="740" t="n"/>
      <c r="N131" s="740" t="n"/>
      <c r="O131" s="740" t="n"/>
      <c r="P131" s="740" t="n"/>
      <c r="Q131" s="740" t="n"/>
      <c r="R131" s="740" t="n"/>
      <c r="S131" s="740" t="n"/>
      <c r="T131" s="740" t="n"/>
      <c r="U131" s="740" t="n"/>
      <c r="V131" s="740" t="n"/>
      <c r="W131" s="740" t="n"/>
      <c r="X131" s="740" t="n"/>
      <c r="Y131" s="740" t="n"/>
    </row>
    <row r="132" ht="15" customFormat="1" customHeight="1" s="340">
      <c r="A132" s="740" t="n"/>
      <c r="B132" s="740" t="n"/>
      <c r="C132" s="740" t="n"/>
      <c r="D132" s="740" t="n"/>
      <c r="E132" s="740" t="n"/>
      <c r="F132" s="740" t="n"/>
      <c r="G132" s="740" t="n"/>
      <c r="H132" s="740" t="n"/>
      <c r="I132" s="740" t="n"/>
      <c r="J132" s="740" t="n"/>
      <c r="K132" s="740" t="n"/>
      <c r="L132" s="740" t="n"/>
      <c r="M132" s="740" t="n"/>
      <c r="N132" s="740" t="n"/>
      <c r="O132" s="740" t="n"/>
      <c r="P132" s="740" t="n"/>
      <c r="Q132" s="740" t="n"/>
      <c r="R132" s="740" t="n"/>
      <c r="S132" s="740" t="n"/>
      <c r="T132" s="740" t="n"/>
      <c r="U132" s="740" t="n"/>
      <c r="V132" s="740" t="n"/>
      <c r="W132" s="740" t="n"/>
      <c r="X132" s="740" t="n"/>
      <c r="Y132" s="740" t="n"/>
    </row>
    <row r="133" ht="15" customFormat="1" customHeight="1" s="340">
      <c r="A133" s="740" t="n"/>
      <c r="B133" s="740" t="n"/>
      <c r="C133" s="740" t="n"/>
      <c r="D133" s="740" t="n"/>
      <c r="E133" s="740" t="n"/>
      <c r="F133" s="740" t="n"/>
      <c r="G133" s="740" t="n"/>
      <c r="H133" s="740" t="n"/>
      <c r="I133" s="740" t="n"/>
      <c r="J133" s="740" t="n"/>
      <c r="K133" s="740" t="n"/>
      <c r="L133" s="740" t="n"/>
      <c r="M133" s="740" t="n"/>
      <c r="N133" s="740" t="n"/>
      <c r="O133" s="740" t="n"/>
      <c r="P133" s="740" t="n"/>
      <c r="Q133" s="740" t="n"/>
      <c r="R133" s="740" t="n"/>
      <c r="S133" s="740" t="n"/>
      <c r="T133" s="740" t="n"/>
      <c r="U133" s="740" t="n"/>
      <c r="V133" s="740" t="n"/>
      <c r="W133" s="740" t="n"/>
      <c r="X133" s="740" t="n"/>
      <c r="Y133" s="740" t="n"/>
    </row>
    <row r="134" ht="15" customFormat="1" customHeight="1" s="340">
      <c r="A134" s="740" t="n"/>
      <c r="B134" s="740" t="n"/>
      <c r="C134" s="740" t="n"/>
      <c r="D134" s="740" t="n"/>
      <c r="E134" s="740" t="n"/>
      <c r="F134" s="740" t="n"/>
      <c r="G134" s="740" t="n"/>
      <c r="H134" s="740" t="n"/>
      <c r="I134" s="740" t="n"/>
      <c r="J134" s="740" t="n"/>
      <c r="K134" s="740" t="n"/>
      <c r="L134" s="740" t="n"/>
      <c r="M134" s="740" t="n"/>
      <c r="N134" s="740" t="n"/>
      <c r="O134" s="740" t="n"/>
      <c r="P134" s="740" t="n"/>
      <c r="Q134" s="740" t="n"/>
      <c r="R134" s="740" t="n"/>
      <c r="S134" s="740" t="n"/>
      <c r="T134" s="740" t="n"/>
      <c r="U134" s="740" t="n"/>
      <c r="V134" s="740" t="n"/>
      <c r="W134" s="740" t="n"/>
      <c r="X134" s="740" t="n"/>
      <c r="Y134" s="740" t="n"/>
    </row>
    <row r="135" ht="15" customFormat="1" customHeight="1" s="340">
      <c r="A135" s="740" t="n"/>
      <c r="B135" s="740" t="n"/>
      <c r="C135" s="740" t="n"/>
      <c r="D135" s="740" t="n"/>
      <c r="E135" s="740" t="n"/>
      <c r="F135" s="740" t="n"/>
      <c r="G135" s="740" t="n"/>
      <c r="H135" s="740" t="n"/>
      <c r="I135" s="740" t="n"/>
      <c r="J135" s="740" t="n"/>
      <c r="K135" s="740" t="n"/>
      <c r="L135" s="740" t="n"/>
      <c r="M135" s="740" t="n"/>
      <c r="N135" s="740" t="n"/>
      <c r="O135" s="740" t="n"/>
      <c r="P135" s="740" t="n"/>
      <c r="Q135" s="740" t="n"/>
      <c r="R135" s="740" t="n"/>
      <c r="S135" s="740" t="n"/>
      <c r="T135" s="740" t="n"/>
      <c r="U135" s="740" t="n"/>
      <c r="V135" s="740" t="n"/>
      <c r="W135" s="740" t="n"/>
      <c r="X135" s="740" t="n"/>
      <c r="Y135" s="740" t="n"/>
    </row>
    <row r="136" ht="15" customFormat="1" customHeight="1" s="340">
      <c r="A136" s="740" t="n"/>
      <c r="B136" s="740" t="n"/>
      <c r="C136" s="740" t="n"/>
      <c r="D136" s="740" t="n"/>
      <c r="E136" s="740" t="n"/>
      <c r="F136" s="740" t="n"/>
      <c r="G136" s="740" t="n"/>
      <c r="H136" s="740" t="n"/>
      <c r="I136" s="740" t="n"/>
      <c r="J136" s="740" t="n"/>
      <c r="K136" s="740" t="n"/>
      <c r="L136" s="740" t="n"/>
      <c r="M136" s="740" t="n"/>
      <c r="N136" s="740" t="n"/>
      <c r="O136" s="740" t="n"/>
      <c r="P136" s="740" t="n"/>
      <c r="Q136" s="740" t="n"/>
      <c r="R136" s="740" t="n"/>
      <c r="S136" s="740" t="n"/>
      <c r="T136" s="740" t="n"/>
      <c r="U136" s="740" t="n"/>
      <c r="V136" s="740" t="n"/>
      <c r="W136" s="740" t="n"/>
      <c r="X136" s="740" t="n"/>
      <c r="Y136" s="740" t="n"/>
    </row>
    <row r="137" ht="15" customFormat="1" customHeight="1" s="340">
      <c r="A137" s="740" t="n"/>
      <c r="B137" s="740" t="n"/>
      <c r="C137" s="740" t="n"/>
      <c r="D137" s="740" t="n"/>
      <c r="E137" s="740" t="n"/>
      <c r="F137" s="740" t="n"/>
      <c r="G137" s="740" t="n"/>
      <c r="H137" s="740" t="n"/>
      <c r="I137" s="740" t="n"/>
      <c r="J137" s="740" t="n"/>
      <c r="K137" s="740" t="n"/>
      <c r="L137" s="740" t="n"/>
      <c r="M137" s="740" t="n"/>
      <c r="N137" s="740" t="n"/>
      <c r="O137" s="740" t="n"/>
      <c r="P137" s="740" t="n"/>
      <c r="Q137" s="740" t="n"/>
      <c r="R137" s="740" t="n"/>
      <c r="S137" s="740" t="n"/>
      <c r="T137" s="740" t="n"/>
      <c r="U137" s="740" t="n"/>
      <c r="V137" s="740" t="n"/>
      <c r="W137" s="740" t="n"/>
      <c r="X137" s="740" t="n"/>
      <c r="Y137" s="740" t="n"/>
    </row>
    <row r="138" ht="15" customFormat="1" customHeight="1" s="340">
      <c r="A138" s="740" t="n"/>
      <c r="B138" s="740" t="n"/>
      <c r="C138" s="740" t="n"/>
      <c r="D138" s="740" t="n"/>
      <c r="E138" s="740" t="n"/>
      <c r="F138" s="740" t="n"/>
      <c r="G138" s="740" t="n"/>
      <c r="H138" s="740" t="n"/>
      <c r="I138" s="740" t="n"/>
      <c r="J138" s="740" t="n"/>
      <c r="K138" s="740" t="n"/>
      <c r="L138" s="740" t="n"/>
      <c r="M138" s="740" t="n"/>
      <c r="N138" s="740" t="n"/>
      <c r="O138" s="740" t="n"/>
      <c r="P138" s="740" t="n"/>
      <c r="Q138" s="740" t="n"/>
      <c r="R138" s="740" t="n"/>
      <c r="S138" s="740" t="n"/>
      <c r="T138" s="740" t="n"/>
      <c r="U138" s="740" t="n"/>
      <c r="V138" s="740" t="n"/>
      <c r="W138" s="740" t="n"/>
      <c r="X138" s="740" t="n"/>
      <c r="Y138" s="740" t="n"/>
    </row>
    <row r="139" ht="15" customFormat="1" customHeight="1" s="340">
      <c r="A139" s="740" t="n"/>
      <c r="B139" s="738" t="n"/>
      <c r="C139" s="740" t="n"/>
      <c r="D139" s="740" t="n"/>
      <c r="E139" s="740" t="n"/>
      <c r="F139" s="740" t="n"/>
      <c r="G139" s="740" t="n"/>
      <c r="H139" s="740" t="n"/>
      <c r="I139" s="740" t="n"/>
      <c r="J139" s="740" t="n"/>
      <c r="K139" s="740" t="n"/>
      <c r="L139" s="740" t="n"/>
      <c r="M139" s="740" t="n"/>
      <c r="N139" s="740" t="n"/>
      <c r="O139" s="740" t="n"/>
      <c r="P139" s="740" t="n"/>
      <c r="Q139" s="740" t="n"/>
      <c r="R139" s="740" t="n"/>
      <c r="S139" s="740" t="n"/>
      <c r="T139" s="740" t="n"/>
      <c r="U139" s="740" t="n"/>
      <c r="V139" s="740" t="n"/>
      <c r="W139" s="740" t="n"/>
      <c r="X139" s="740" t="n"/>
      <c r="Y139" s="740" t="n"/>
    </row>
    <row r="140" ht="15" customFormat="1" customHeight="1" s="340">
      <c r="A140" s="740" t="n"/>
      <c r="B140" s="738" t="n"/>
      <c r="C140" s="740" t="n"/>
      <c r="D140" s="740" t="n"/>
      <c r="E140" s="740" t="n"/>
      <c r="F140" s="740" t="n"/>
      <c r="G140" s="740" t="n"/>
      <c r="H140" s="740" t="n"/>
      <c r="I140" s="740" t="n"/>
      <c r="J140" s="740" t="n"/>
      <c r="K140" s="740" t="n"/>
      <c r="L140" s="740" t="n"/>
      <c r="M140" s="740" t="n"/>
      <c r="N140" s="740" t="n"/>
      <c r="O140" s="740" t="n"/>
      <c r="P140" s="740" t="n"/>
      <c r="Q140" s="740" t="n"/>
      <c r="R140" s="740" t="n"/>
      <c r="S140" s="740" t="n"/>
      <c r="T140" s="740" t="n"/>
      <c r="U140" s="740" t="n"/>
      <c r="V140" s="740" t="n"/>
      <c r="W140" s="740" t="n"/>
      <c r="X140" s="740" t="n"/>
      <c r="Y140" s="740" t="n"/>
    </row>
    <row r="141" ht="15" customFormat="1" customHeight="1" s="340">
      <c r="A141" s="740" t="n"/>
      <c r="B141" s="738" t="n"/>
      <c r="C141" s="740" t="n"/>
      <c r="D141" s="740" t="n"/>
      <c r="E141" s="740" t="n"/>
      <c r="F141" s="740" t="n"/>
      <c r="G141" s="740" t="n"/>
      <c r="H141" s="740" t="n"/>
      <c r="I141" s="740" t="n"/>
      <c r="J141" s="740" t="n"/>
      <c r="K141" s="740" t="n"/>
      <c r="L141" s="740" t="n"/>
      <c r="M141" s="740" t="n"/>
      <c r="N141" s="740" t="n"/>
      <c r="O141" s="740" t="n"/>
      <c r="P141" s="740" t="n"/>
      <c r="Q141" s="740" t="n"/>
      <c r="R141" s="740" t="n"/>
      <c r="S141" s="740" t="n"/>
      <c r="T141" s="740" t="n"/>
      <c r="U141" s="740" t="n"/>
      <c r="V141" s="740" t="n"/>
      <c r="W141" s="740" t="n"/>
      <c r="X141" s="740" t="n"/>
      <c r="Y141" s="740" t="n"/>
    </row>
    <row r="142" ht="15" customFormat="1" customHeight="1" s="340">
      <c r="A142" s="740" t="n"/>
      <c r="B142" s="738" t="n"/>
      <c r="C142" s="740" t="n"/>
      <c r="D142" s="740" t="n"/>
      <c r="E142" s="740" t="n"/>
      <c r="F142" s="740" t="n"/>
      <c r="G142" s="740" t="n"/>
      <c r="H142" s="740" t="n"/>
      <c r="I142" s="740" t="n"/>
      <c r="J142" s="740" t="n"/>
      <c r="K142" s="740" t="n"/>
      <c r="L142" s="740" t="n"/>
      <c r="M142" s="740" t="n"/>
      <c r="N142" s="740" t="n"/>
      <c r="O142" s="740" t="n"/>
      <c r="P142" s="740" t="n"/>
      <c r="Q142" s="740" t="n"/>
      <c r="R142" s="740" t="n"/>
      <c r="S142" s="740" t="n"/>
      <c r="T142" s="740" t="n"/>
      <c r="U142" s="740" t="n"/>
      <c r="V142" s="740" t="n"/>
      <c r="W142" s="740" t="n"/>
      <c r="X142" s="740" t="n"/>
      <c r="Y142" s="740" t="n"/>
    </row>
    <row r="143" ht="15" customFormat="1" customHeight="1" s="340">
      <c r="A143" s="740" t="n"/>
      <c r="B143" s="738" t="n"/>
      <c r="C143" s="740" t="n"/>
      <c r="D143" s="740" t="n"/>
      <c r="E143" s="740" t="n"/>
      <c r="F143" s="740" t="n"/>
      <c r="G143" s="740" t="n"/>
      <c r="H143" s="740" t="n"/>
      <c r="I143" s="740" t="n"/>
      <c r="J143" s="740" t="n"/>
      <c r="K143" s="740" t="n"/>
      <c r="L143" s="740" t="n"/>
      <c r="M143" s="740" t="n"/>
      <c r="N143" s="740" t="n"/>
      <c r="O143" s="740" t="n"/>
      <c r="P143" s="740" t="n"/>
      <c r="Q143" s="740" t="n"/>
      <c r="R143" s="740" t="n"/>
      <c r="S143" s="740" t="n"/>
      <c r="T143" s="740" t="n"/>
      <c r="U143" s="740" t="n"/>
      <c r="V143" s="740" t="n"/>
      <c r="W143" s="740" t="n"/>
      <c r="X143" s="740" t="n"/>
      <c r="Y143" s="740" t="n"/>
    </row>
    <row r="144" ht="15" customFormat="1" customHeight="1" s="340">
      <c r="A144" s="740" t="n"/>
      <c r="B144" s="738" t="n"/>
      <c r="C144" s="740" t="n"/>
      <c r="D144" s="740" t="n"/>
      <c r="E144" s="740" t="n"/>
      <c r="F144" s="740" t="n"/>
      <c r="G144" s="740" t="n"/>
      <c r="H144" s="740" t="n"/>
      <c r="I144" s="740" t="n"/>
      <c r="J144" s="740" t="n"/>
      <c r="K144" s="740" t="n"/>
      <c r="L144" s="740" t="n"/>
      <c r="M144" s="740" t="n"/>
      <c r="N144" s="740" t="n"/>
      <c r="O144" s="740" t="n"/>
      <c r="P144" s="740" t="n"/>
      <c r="Q144" s="740" t="n"/>
      <c r="R144" s="740" t="n"/>
      <c r="S144" s="740" t="n"/>
      <c r="T144" s="740" t="n"/>
      <c r="U144" s="740" t="n"/>
      <c r="V144" s="740" t="n"/>
      <c r="W144" s="740" t="n"/>
      <c r="X144" s="740" t="n"/>
      <c r="Y144" s="740" t="n"/>
    </row>
    <row r="145" ht="15" customFormat="1" customHeight="1" s="340">
      <c r="A145" s="740" t="n"/>
      <c r="B145" s="738" t="n"/>
      <c r="C145" s="740" t="n"/>
      <c r="D145" s="740" t="n"/>
      <c r="E145" s="740" t="n"/>
      <c r="F145" s="740" t="n"/>
      <c r="G145" s="740" t="n"/>
      <c r="H145" s="740" t="n"/>
      <c r="I145" s="740" t="n"/>
      <c r="J145" s="740" t="n"/>
      <c r="K145" s="740" t="n"/>
      <c r="L145" s="740" t="n"/>
      <c r="M145" s="740" t="n"/>
      <c r="N145" s="740" t="n"/>
      <c r="O145" s="740" t="n"/>
      <c r="P145" s="740" t="n"/>
      <c r="Q145" s="740" t="n"/>
      <c r="R145" s="740" t="n"/>
      <c r="S145" s="740" t="n"/>
      <c r="T145" s="740" t="n"/>
      <c r="U145" s="740" t="n"/>
      <c r="V145" s="740" t="n"/>
      <c r="W145" s="740" t="n"/>
      <c r="X145" s="740" t="n"/>
      <c r="Y145" s="740" t="n"/>
    </row>
    <row r="146" ht="15" customFormat="1" customHeight="1" s="340">
      <c r="A146" s="740" t="n"/>
      <c r="B146" s="738" t="n"/>
      <c r="C146" s="740" t="n"/>
      <c r="D146" s="740" t="n"/>
      <c r="E146" s="740" t="n"/>
      <c r="F146" s="740" t="n"/>
      <c r="G146" s="740" t="n"/>
      <c r="H146" s="740" t="n"/>
      <c r="I146" s="740" t="n"/>
      <c r="J146" s="740" t="n"/>
      <c r="K146" s="740" t="n"/>
      <c r="L146" s="740" t="n"/>
      <c r="M146" s="740" t="n"/>
      <c r="N146" s="740" t="n"/>
      <c r="O146" s="740" t="n"/>
      <c r="P146" s="740" t="n"/>
      <c r="Q146" s="740" t="n"/>
      <c r="R146" s="740" t="n"/>
      <c r="S146" s="740" t="n"/>
      <c r="T146" s="740" t="n"/>
      <c r="U146" s="740" t="n"/>
      <c r="V146" s="740" t="n"/>
      <c r="W146" s="740" t="n"/>
      <c r="X146" s="740" t="n"/>
      <c r="Y146" s="740" t="n"/>
    </row>
    <row r="147" ht="15" customFormat="1" customHeight="1" s="340">
      <c r="A147" s="740" t="n"/>
      <c r="B147" s="738" t="n"/>
      <c r="C147" s="740" t="n"/>
      <c r="D147" s="740" t="n"/>
      <c r="E147" s="740" t="n"/>
      <c r="F147" s="740" t="n"/>
      <c r="G147" s="740" t="n"/>
      <c r="H147" s="740" t="n"/>
      <c r="I147" s="740" t="n"/>
      <c r="J147" s="740" t="n"/>
      <c r="K147" s="740" t="n"/>
      <c r="L147" s="740" t="n"/>
      <c r="M147" s="740" t="n"/>
      <c r="N147" s="740" t="n"/>
      <c r="O147" s="740" t="n"/>
      <c r="P147" s="740" t="n"/>
      <c r="Q147" s="740" t="n"/>
      <c r="R147" s="740" t="n"/>
      <c r="S147" s="740" t="n"/>
      <c r="T147" s="740" t="n"/>
      <c r="U147" s="740" t="n"/>
      <c r="V147" s="740" t="n"/>
      <c r="W147" s="740" t="n"/>
      <c r="X147" s="740" t="n"/>
      <c r="Y147" s="740" t="n"/>
    </row>
    <row r="148" ht="15" customFormat="1" customHeight="1" s="340">
      <c r="A148" s="740" t="n"/>
      <c r="B148" s="738" t="n"/>
      <c r="C148" s="740" t="n"/>
      <c r="D148" s="740" t="n"/>
      <c r="E148" s="740" t="n"/>
      <c r="F148" s="740" t="n"/>
      <c r="G148" s="740" t="n"/>
      <c r="H148" s="740" t="n"/>
      <c r="I148" s="740" t="n"/>
      <c r="J148" s="740" t="n"/>
      <c r="K148" s="740" t="n"/>
      <c r="L148" s="740" t="n"/>
      <c r="M148" s="740" t="n"/>
      <c r="N148" s="740" t="n"/>
      <c r="O148" s="740" t="n"/>
      <c r="P148" s="740" t="n"/>
      <c r="Q148" s="740" t="n"/>
      <c r="R148" s="740" t="n"/>
      <c r="S148" s="740" t="n"/>
      <c r="T148" s="740" t="n"/>
      <c r="U148" s="740" t="n"/>
      <c r="V148" s="740" t="n"/>
      <c r="W148" s="740" t="n"/>
      <c r="X148" s="740" t="n"/>
      <c r="Y148" s="740" t="n"/>
    </row>
    <row r="149" ht="15" customFormat="1" customHeight="1" s="340">
      <c r="A149" s="740" t="n"/>
      <c r="B149" s="738" t="n"/>
      <c r="C149" s="740" t="n"/>
      <c r="D149" s="740" t="n"/>
      <c r="E149" s="740" t="n"/>
      <c r="F149" s="740" t="n"/>
      <c r="G149" s="740" t="n"/>
      <c r="H149" s="740" t="n"/>
      <c r="I149" s="740" t="n"/>
      <c r="J149" s="740" t="n"/>
      <c r="K149" s="740" t="n"/>
      <c r="L149" s="740" t="n"/>
      <c r="M149" s="740" t="n"/>
      <c r="N149" s="740" t="n"/>
      <c r="O149" s="740" t="n"/>
      <c r="P149" s="740" t="n"/>
      <c r="Q149" s="740" t="n"/>
      <c r="R149" s="740" t="n"/>
      <c r="S149" s="740" t="n"/>
      <c r="T149" s="740" t="n"/>
      <c r="U149" s="740" t="n"/>
      <c r="V149" s="740" t="n"/>
      <c r="W149" s="740" t="n"/>
      <c r="X149" s="740" t="n"/>
      <c r="Y149" s="740" t="n"/>
    </row>
    <row r="150" ht="15" customFormat="1" customHeight="1" s="340">
      <c r="A150" s="740" t="n"/>
      <c r="B150" s="738" t="n"/>
      <c r="C150" s="740" t="n"/>
      <c r="D150" s="740" t="n"/>
      <c r="E150" s="740" t="n"/>
      <c r="F150" s="740" t="n"/>
      <c r="G150" s="740" t="n"/>
      <c r="H150" s="740" t="n"/>
      <c r="I150" s="740" t="n"/>
      <c r="J150" s="740" t="n"/>
      <c r="K150" s="740" t="n"/>
      <c r="L150" s="740" t="n"/>
      <c r="M150" s="740" t="n"/>
      <c r="N150" s="740" t="n"/>
      <c r="O150" s="740" t="n"/>
      <c r="P150" s="740" t="n"/>
      <c r="Q150" s="740" t="n"/>
      <c r="R150" s="740" t="n"/>
      <c r="S150" s="740" t="n"/>
      <c r="T150" s="740" t="n"/>
      <c r="U150" s="740" t="n"/>
      <c r="V150" s="740" t="n"/>
      <c r="W150" s="740" t="n"/>
      <c r="X150" s="740" t="n"/>
      <c r="Y150" s="740" t="n"/>
    </row>
    <row r="151" ht="15" customFormat="1" customHeight="1" s="385">
      <c r="A151" s="739" t="n"/>
      <c r="B151" s="738" t="n"/>
      <c r="C151" s="739" t="n"/>
      <c r="D151" s="739" t="n"/>
      <c r="E151" s="739" t="n"/>
      <c r="F151" s="739" t="n"/>
      <c r="G151" s="739" t="n"/>
      <c r="H151" s="739" t="n"/>
      <c r="I151" s="739" t="n"/>
      <c r="J151" s="739" t="n"/>
      <c r="K151" s="739" t="n"/>
      <c r="L151" s="739" t="n"/>
      <c r="M151" s="739" t="n"/>
      <c r="N151" s="739" t="n"/>
      <c r="O151" s="739" t="n"/>
      <c r="P151" s="739" t="n"/>
      <c r="Q151" s="739" t="n"/>
      <c r="R151" s="739" t="n"/>
      <c r="S151" s="739" t="n"/>
      <c r="T151" s="739" t="n"/>
      <c r="U151" s="739" t="n"/>
      <c r="V151" s="739" t="n"/>
      <c r="W151" s="739" t="n"/>
      <c r="X151" s="739" t="n"/>
      <c r="Y151" s="739" t="n"/>
    </row>
    <row r="152" ht="15" customFormat="1" customHeight="1" s="385">
      <c r="A152" s="739" t="n"/>
      <c r="B152" s="738" t="n"/>
      <c r="C152" s="739" t="n"/>
      <c r="D152" s="739" t="n"/>
      <c r="E152" s="739" t="n"/>
      <c r="F152" s="739" t="n"/>
      <c r="G152" s="739" t="n"/>
      <c r="H152" s="739" t="n"/>
      <c r="I152" s="739" t="n"/>
      <c r="J152" s="739" t="n"/>
      <c r="K152" s="739" t="n"/>
      <c r="L152" s="739" t="n"/>
      <c r="M152" s="739" t="n"/>
      <c r="N152" s="739" t="n"/>
      <c r="O152" s="739" t="n"/>
      <c r="P152" s="739" t="n"/>
      <c r="Q152" s="739" t="n"/>
      <c r="R152" s="739" t="n"/>
      <c r="S152" s="739" t="n"/>
      <c r="T152" s="739" t="n"/>
      <c r="U152" s="739" t="n"/>
      <c r="V152" s="739" t="n"/>
      <c r="W152" s="739" t="n"/>
      <c r="X152" s="739" t="n"/>
      <c r="Y152" s="739" t="n"/>
    </row>
    <row r="153" ht="15" customFormat="1" customHeight="1" s="385">
      <c r="A153" s="739" t="n"/>
      <c r="B153" s="738" t="n"/>
      <c r="C153" s="739" t="n"/>
      <c r="D153" s="739" t="n"/>
      <c r="E153" s="739" t="n"/>
      <c r="F153" s="739" t="n"/>
      <c r="G153" s="739" t="n"/>
      <c r="H153" s="739" t="n"/>
      <c r="I153" s="739" t="n"/>
      <c r="J153" s="739" t="n"/>
      <c r="K153" s="739" t="n"/>
      <c r="L153" s="739" t="n"/>
      <c r="M153" s="739" t="n"/>
      <c r="N153" s="739" t="n"/>
      <c r="O153" s="739" t="n"/>
      <c r="P153" s="739" t="n"/>
      <c r="Q153" s="739" t="n"/>
      <c r="R153" s="739" t="n"/>
      <c r="S153" s="739" t="n"/>
      <c r="T153" s="739" t="n"/>
      <c r="U153" s="739" t="n"/>
      <c r="V153" s="739" t="n"/>
      <c r="W153" s="739" t="n"/>
      <c r="X153" s="739" t="n"/>
      <c r="Y153" s="739" t="n"/>
    </row>
    <row r="154" ht="15" customFormat="1" customHeight="1" s="385">
      <c r="A154" s="739" t="n"/>
      <c r="B154" s="738" t="n"/>
      <c r="C154" s="739" t="n"/>
      <c r="D154" s="739" t="n"/>
      <c r="E154" s="739" t="n"/>
      <c r="F154" s="739" t="n"/>
      <c r="G154" s="739" t="n"/>
      <c r="H154" s="739" t="n"/>
      <c r="I154" s="739" t="n"/>
      <c r="J154" s="739" t="n"/>
      <c r="K154" s="739" t="n"/>
      <c r="L154" s="739" t="n"/>
      <c r="M154" s="739" t="n"/>
      <c r="N154" s="739" t="n"/>
      <c r="O154" s="739" t="n"/>
      <c r="P154" s="739" t="n"/>
      <c r="Q154" s="739" t="n"/>
      <c r="R154" s="739" t="n"/>
      <c r="S154" s="739" t="n"/>
      <c r="T154" s="739" t="n"/>
      <c r="U154" s="739" t="n"/>
      <c r="V154" s="739" t="n"/>
      <c r="W154" s="739" t="n"/>
      <c r="X154" s="739" t="n"/>
      <c r="Y154" s="739" t="n"/>
    </row>
    <row r="155" ht="15" customFormat="1" customHeight="1" s="385">
      <c r="A155" s="739" t="n"/>
      <c r="B155" s="738" t="n"/>
      <c r="C155" s="739" t="n"/>
      <c r="D155" s="739" t="n"/>
      <c r="E155" s="739" t="n"/>
      <c r="F155" s="739" t="n"/>
      <c r="G155" s="739" t="n"/>
      <c r="H155" s="739" t="n"/>
      <c r="I155" s="739" t="n"/>
      <c r="J155" s="739" t="n"/>
      <c r="K155" s="739" t="n"/>
      <c r="L155" s="739" t="n"/>
      <c r="M155" s="739" t="n"/>
      <c r="N155" s="739" t="n"/>
      <c r="O155" s="739" t="n"/>
      <c r="P155" s="739" t="n"/>
      <c r="Q155" s="739" t="n"/>
      <c r="R155" s="739" t="n"/>
      <c r="S155" s="739" t="n"/>
      <c r="T155" s="739" t="n"/>
      <c r="U155" s="739" t="n"/>
      <c r="V155" s="739" t="n"/>
      <c r="W155" s="739" t="n"/>
      <c r="X155" s="739" t="n"/>
      <c r="Y155" s="739" t="n"/>
    </row>
    <row r="156" ht="15" customFormat="1" customHeight="1" s="385">
      <c r="A156" s="739" t="n"/>
      <c r="B156" s="738" t="n"/>
      <c r="C156" s="739" t="n"/>
      <c r="D156" s="739" t="n"/>
      <c r="E156" s="739" t="n"/>
      <c r="F156" s="739" t="n"/>
      <c r="G156" s="739" t="n"/>
      <c r="H156" s="739" t="n"/>
      <c r="I156" s="739" t="n"/>
      <c r="J156" s="739" t="n"/>
      <c r="K156" s="739" t="n"/>
      <c r="L156" s="739" t="n"/>
      <c r="M156" s="739" t="n"/>
      <c r="N156" s="739" t="n"/>
      <c r="O156" s="739" t="n"/>
      <c r="P156" s="739" t="n"/>
      <c r="Q156" s="739" t="n"/>
      <c r="R156" s="739" t="n"/>
      <c r="S156" s="739" t="n"/>
      <c r="T156" s="739" t="n"/>
      <c r="U156" s="739" t="n"/>
      <c r="V156" s="739" t="n"/>
      <c r="W156" s="739" t="n"/>
      <c r="X156" s="739" t="n"/>
      <c r="Y156" s="739" t="n"/>
    </row>
    <row r="157" ht="15" customFormat="1" customHeight="1" s="385">
      <c r="A157" s="739" t="n"/>
      <c r="B157" s="738" t="n"/>
      <c r="C157" s="739" t="n"/>
      <c r="D157" s="739" t="n"/>
      <c r="E157" s="739" t="n"/>
      <c r="F157" s="739" t="n"/>
      <c r="G157" s="739" t="n"/>
      <c r="H157" s="739" t="n"/>
      <c r="I157" s="739" t="n"/>
      <c r="J157" s="739" t="n"/>
      <c r="K157" s="739" t="n"/>
      <c r="L157" s="739" t="n"/>
      <c r="M157" s="739" t="n"/>
      <c r="N157" s="739" t="n"/>
      <c r="O157" s="739" t="n"/>
      <c r="P157" s="739" t="n"/>
      <c r="Q157" s="739" t="n"/>
      <c r="R157" s="739" t="n"/>
      <c r="S157" s="739" t="n"/>
      <c r="T157" s="739" t="n"/>
      <c r="U157" s="739" t="n"/>
      <c r="V157" s="739" t="n"/>
      <c r="W157" s="739" t="n"/>
      <c r="X157" s="739" t="n"/>
      <c r="Y157" s="739" t="n"/>
    </row>
    <row r="158" ht="15" customFormat="1" customHeight="1" s="385">
      <c r="A158" s="739" t="n"/>
      <c r="B158" s="738" t="n"/>
      <c r="C158" s="739" t="n"/>
      <c r="D158" s="739" t="n"/>
      <c r="E158" s="739" t="n"/>
      <c r="F158" s="739" t="n"/>
      <c r="G158" s="739" t="n"/>
      <c r="H158" s="739" t="n"/>
      <c r="I158" s="739" t="n"/>
      <c r="J158" s="739" t="n"/>
      <c r="K158" s="739" t="n"/>
      <c r="L158" s="739" t="n"/>
      <c r="M158" s="739" t="n"/>
      <c r="N158" s="739" t="n"/>
      <c r="O158" s="739" t="n"/>
      <c r="P158" s="739" t="n"/>
      <c r="Q158" s="739" t="n"/>
      <c r="R158" s="739" t="n"/>
      <c r="S158" s="739" t="n"/>
      <c r="T158" s="739" t="n"/>
      <c r="U158" s="739" t="n"/>
      <c r="V158" s="739" t="n"/>
      <c r="W158" s="739" t="n"/>
      <c r="X158" s="739" t="n"/>
      <c r="Y158" s="739" t="n"/>
    </row>
    <row r="159" ht="15" customFormat="1" customHeight="1" s="385">
      <c r="A159" s="739" t="n"/>
      <c r="B159" s="738" t="n"/>
      <c r="C159" s="739" t="n"/>
      <c r="D159" s="739" t="n"/>
      <c r="E159" s="739" t="n"/>
      <c r="F159" s="739" t="n"/>
      <c r="G159" s="739" t="n"/>
      <c r="H159" s="739" t="n"/>
      <c r="I159" s="739" t="n"/>
      <c r="J159" s="739" t="n"/>
      <c r="K159" s="739" t="n"/>
      <c r="L159" s="739" t="n"/>
      <c r="M159" s="739" t="n"/>
      <c r="N159" s="739" t="n"/>
      <c r="O159" s="739" t="n"/>
      <c r="P159" s="739" t="n"/>
      <c r="Q159" s="739" t="n"/>
      <c r="R159" s="739" t="n"/>
      <c r="S159" s="739" t="n"/>
      <c r="T159" s="739" t="n"/>
      <c r="U159" s="739" t="n"/>
      <c r="V159" s="739" t="n"/>
      <c r="W159" s="739" t="n"/>
      <c r="X159" s="739" t="n"/>
      <c r="Y159" s="739" t="n"/>
    </row>
    <row r="160" ht="15" customFormat="1" customHeight="1" s="385">
      <c r="A160" s="739" t="n"/>
      <c r="B160" s="738" t="n"/>
      <c r="C160" s="739" t="n"/>
      <c r="D160" s="739" t="n"/>
      <c r="E160" s="739" t="n"/>
      <c r="F160" s="739" t="n"/>
      <c r="G160" s="739" t="n"/>
      <c r="H160" s="739" t="n"/>
      <c r="I160" s="739" t="n"/>
      <c r="J160" s="739" t="n"/>
      <c r="K160" s="739" t="n"/>
      <c r="L160" s="739" t="n"/>
      <c r="M160" s="739" t="n"/>
      <c r="N160" s="739" t="n"/>
      <c r="O160" s="739" t="n"/>
      <c r="P160" s="739" t="n"/>
      <c r="Q160" s="739" t="n"/>
      <c r="R160" s="739" t="n"/>
      <c r="S160" s="739" t="n"/>
      <c r="T160" s="739" t="n"/>
      <c r="U160" s="739" t="n"/>
      <c r="V160" s="739" t="n"/>
      <c r="W160" s="739" t="n"/>
      <c r="X160" s="739" t="n"/>
      <c r="Y160" s="739" t="n"/>
    </row>
    <row r="161" ht="15" customFormat="1" customHeight="1" s="385">
      <c r="A161" s="739" t="n"/>
      <c r="B161" s="738" t="n"/>
      <c r="C161" s="739" t="n"/>
      <c r="D161" s="739" t="n"/>
      <c r="E161" s="739" t="n"/>
      <c r="F161" s="739" t="n"/>
      <c r="G161" s="739" t="n"/>
      <c r="H161" s="739" t="n"/>
      <c r="I161" s="739" t="n"/>
      <c r="J161" s="739" t="n"/>
      <c r="K161" s="739" t="n"/>
      <c r="L161" s="739" t="n"/>
      <c r="M161" s="739" t="n"/>
      <c r="N161" s="739" t="n"/>
      <c r="O161" s="739" t="n"/>
      <c r="P161" s="739" t="n"/>
      <c r="Q161" s="739" t="n"/>
      <c r="R161" s="739" t="n"/>
      <c r="S161" s="739" t="n"/>
      <c r="T161" s="739" t="n"/>
      <c r="U161" s="739" t="n"/>
      <c r="V161" s="739" t="n"/>
      <c r="W161" s="739" t="n"/>
      <c r="X161" s="739" t="n"/>
      <c r="Y161" s="739" t="n"/>
    </row>
    <row r="162" ht="15" customFormat="1" customHeight="1" s="385">
      <c r="A162" s="739" t="n"/>
      <c r="B162" s="738" t="n"/>
      <c r="C162" s="739" t="n"/>
      <c r="D162" s="739" t="n"/>
      <c r="E162" s="739" t="n"/>
      <c r="F162" s="739" t="n"/>
      <c r="G162" s="739" t="n"/>
      <c r="H162" s="739" t="n"/>
      <c r="I162" s="739" t="n"/>
      <c r="J162" s="739" t="n"/>
      <c r="K162" s="739" t="n"/>
      <c r="L162" s="739" t="n"/>
      <c r="M162" s="739" t="n"/>
      <c r="N162" s="739" t="n"/>
      <c r="O162" s="739" t="n"/>
      <c r="P162" s="739" t="n"/>
      <c r="Q162" s="739" t="n"/>
      <c r="R162" s="739" t="n"/>
      <c r="S162" s="739" t="n"/>
      <c r="T162" s="739" t="n"/>
      <c r="U162" s="739" t="n"/>
      <c r="V162" s="739" t="n"/>
      <c r="W162" s="739" t="n"/>
      <c r="X162" s="739" t="n"/>
      <c r="Y162" s="739" t="n"/>
    </row>
    <row r="163" ht="15" customFormat="1" customHeight="1" s="385">
      <c r="A163" s="739" t="n"/>
      <c r="B163" s="738" t="n"/>
      <c r="C163" s="739" t="n"/>
      <c r="D163" s="739" t="n"/>
      <c r="E163" s="739" t="n"/>
      <c r="F163" s="739" t="n"/>
      <c r="G163" s="739" t="n"/>
      <c r="H163" s="739" t="n"/>
      <c r="I163" s="739" t="n"/>
      <c r="J163" s="739" t="n"/>
      <c r="K163" s="739" t="n"/>
      <c r="L163" s="739" t="n"/>
      <c r="M163" s="739" t="n"/>
      <c r="N163" s="739" t="n"/>
      <c r="O163" s="739" t="n"/>
      <c r="P163" s="739" t="n"/>
      <c r="Q163" s="739" t="n"/>
      <c r="R163" s="739" t="n"/>
      <c r="S163" s="739" t="n"/>
      <c r="T163" s="739" t="n"/>
      <c r="U163" s="739" t="n"/>
      <c r="V163" s="739" t="n"/>
      <c r="W163" s="739" t="n"/>
      <c r="X163" s="739" t="n"/>
      <c r="Y163" s="739" t="n"/>
    </row>
    <row r="164" ht="15" customFormat="1" customHeight="1" s="385">
      <c r="A164" s="739" t="n"/>
      <c r="B164" s="738" t="n"/>
      <c r="C164" s="739" t="n"/>
      <c r="D164" s="739" t="n"/>
      <c r="E164" s="739" t="n"/>
      <c r="F164" s="739" t="n"/>
      <c r="G164" s="739" t="n"/>
      <c r="H164" s="739" t="n"/>
      <c r="I164" s="739" t="n"/>
      <c r="J164" s="739" t="n"/>
      <c r="K164" s="739" t="n"/>
      <c r="L164" s="739" t="n"/>
      <c r="M164" s="739" t="n"/>
      <c r="N164" s="739" t="n"/>
      <c r="O164" s="739" t="n"/>
      <c r="P164" s="739" t="n"/>
      <c r="Q164" s="739" t="n"/>
      <c r="R164" s="739" t="n"/>
      <c r="S164" s="739" t="n"/>
      <c r="T164" s="739" t="n"/>
      <c r="U164" s="739" t="n"/>
      <c r="V164" s="739" t="n"/>
      <c r="W164" s="739" t="n"/>
      <c r="X164" s="739" t="n"/>
      <c r="Y164" s="739" t="n"/>
    </row>
    <row r="165" ht="15" customFormat="1" customHeight="1" s="385">
      <c r="A165" s="739" t="n"/>
      <c r="B165" s="738" t="n"/>
      <c r="C165" s="739" t="n"/>
      <c r="D165" s="739" t="n"/>
      <c r="E165" s="739" t="n"/>
      <c r="F165" s="739" t="n"/>
      <c r="G165" s="739" t="n"/>
      <c r="H165" s="739" t="n"/>
      <c r="I165" s="739" t="n"/>
      <c r="J165" s="739" t="n"/>
      <c r="K165" s="739" t="n"/>
      <c r="L165" s="739" t="n"/>
      <c r="M165" s="739" t="n"/>
      <c r="N165" s="739" t="n"/>
      <c r="O165" s="739" t="n"/>
      <c r="P165" s="739" t="n"/>
      <c r="Q165" s="739" t="n"/>
      <c r="R165" s="739" t="n"/>
      <c r="S165" s="739" t="n"/>
      <c r="T165" s="739" t="n"/>
      <c r="U165" s="739" t="n"/>
      <c r="V165" s="739" t="n"/>
      <c r="W165" s="739" t="n"/>
      <c r="X165" s="739" t="n"/>
      <c r="Y165" s="739" t="n"/>
    </row>
    <row r="166" ht="15" customFormat="1" customHeight="1" s="385">
      <c r="A166" s="739" t="n"/>
      <c r="B166" s="738" t="n"/>
      <c r="C166" s="739" t="n"/>
      <c r="D166" s="739" t="n"/>
      <c r="E166" s="739" t="n"/>
      <c r="F166" s="739" t="n"/>
      <c r="G166" s="739" t="n"/>
      <c r="H166" s="739" t="n"/>
      <c r="I166" s="739" t="n"/>
      <c r="J166" s="739" t="n"/>
      <c r="K166" s="739" t="n"/>
      <c r="L166" s="739" t="n"/>
      <c r="M166" s="739" t="n"/>
      <c r="N166" s="739" t="n"/>
      <c r="O166" s="739" t="n"/>
      <c r="P166" s="739" t="n"/>
      <c r="Q166" s="739" t="n"/>
      <c r="R166" s="739" t="n"/>
      <c r="S166" s="739" t="n"/>
      <c r="T166" s="739" t="n"/>
      <c r="U166" s="739" t="n"/>
      <c r="V166" s="739" t="n"/>
      <c r="W166" s="739" t="n"/>
      <c r="X166" s="739" t="n"/>
      <c r="Y166" s="739" t="n"/>
    </row>
    <row r="167" ht="15" customFormat="1" customHeight="1" s="385">
      <c r="A167" s="739" t="n"/>
      <c r="B167" s="738" t="n"/>
      <c r="C167" s="739" t="n"/>
      <c r="D167" s="739" t="n"/>
      <c r="E167" s="739" t="n"/>
      <c r="F167" s="739" t="n"/>
      <c r="G167" s="739" t="n"/>
      <c r="H167" s="739" t="n"/>
      <c r="I167" s="739" t="n"/>
      <c r="J167" s="739" t="n"/>
      <c r="K167" s="739" t="n"/>
      <c r="L167" s="739" t="n"/>
      <c r="M167" s="739" t="n"/>
      <c r="N167" s="739" t="n"/>
      <c r="O167" s="739" t="n"/>
      <c r="P167" s="739" t="n"/>
      <c r="Q167" s="739" t="n"/>
      <c r="R167" s="739" t="n"/>
      <c r="S167" s="739" t="n"/>
      <c r="T167" s="739" t="n"/>
      <c r="U167" s="739" t="n"/>
      <c r="V167" s="739" t="n"/>
      <c r="W167" s="739" t="n"/>
      <c r="X167" s="739" t="n"/>
      <c r="Y167" s="739" t="n"/>
    </row>
    <row r="168" ht="15" customFormat="1" customHeight="1" s="385">
      <c r="A168" s="739" t="n"/>
      <c r="B168" s="738" t="n"/>
      <c r="C168" s="739" t="n"/>
      <c r="D168" s="739" t="n"/>
      <c r="E168" s="739" t="n"/>
      <c r="F168" s="739" t="n"/>
      <c r="G168" s="739" t="n"/>
      <c r="H168" s="739" t="n"/>
      <c r="I168" s="739" t="n"/>
      <c r="J168" s="739" t="n"/>
      <c r="K168" s="739" t="n"/>
      <c r="L168" s="739" t="n"/>
      <c r="M168" s="739" t="n"/>
      <c r="N168" s="739" t="n"/>
      <c r="O168" s="739" t="n"/>
      <c r="P168" s="739" t="n"/>
      <c r="Q168" s="739" t="n"/>
      <c r="R168" s="739" t="n"/>
      <c r="S168" s="739" t="n"/>
      <c r="T168" s="739" t="n"/>
      <c r="U168" s="739" t="n"/>
      <c r="V168" s="739" t="n"/>
      <c r="W168" s="739" t="n"/>
      <c r="X168" s="739" t="n"/>
      <c r="Y168" s="739" t="n"/>
    </row>
    <row r="169" ht="15" customFormat="1" customHeight="1" s="385">
      <c r="A169" s="739" t="n"/>
      <c r="B169" s="738" t="n"/>
      <c r="C169" s="739" t="n"/>
      <c r="D169" s="739" t="n"/>
      <c r="E169" s="739" t="n"/>
      <c r="F169" s="739" t="n"/>
      <c r="G169" s="739" t="n"/>
      <c r="H169" s="739" t="n"/>
      <c r="I169" s="739" t="n"/>
      <c r="J169" s="739" t="n"/>
      <c r="K169" s="739" t="n"/>
      <c r="L169" s="739" t="n"/>
      <c r="M169" s="739" t="n"/>
      <c r="N169" s="739" t="n"/>
      <c r="O169" s="739" t="n"/>
      <c r="P169" s="739" t="n"/>
      <c r="Q169" s="739" t="n"/>
      <c r="R169" s="739" t="n"/>
      <c r="S169" s="739" t="n"/>
      <c r="T169" s="739" t="n"/>
      <c r="U169" s="739" t="n"/>
      <c r="V169" s="739" t="n"/>
      <c r="W169" s="739" t="n"/>
      <c r="X169" s="739" t="n"/>
      <c r="Y169" s="739" t="n"/>
    </row>
    <row r="170" ht="15" customFormat="1" customHeight="1" s="385">
      <c r="A170" s="739" t="n"/>
      <c r="B170" s="738" t="n"/>
      <c r="C170" s="739" t="n"/>
      <c r="D170" s="739" t="n"/>
      <c r="E170" s="739" t="n"/>
      <c r="F170" s="739" t="n"/>
      <c r="G170" s="739" t="n"/>
      <c r="H170" s="739" t="n"/>
      <c r="I170" s="739" t="n"/>
      <c r="J170" s="739" t="n"/>
      <c r="K170" s="739" t="n"/>
      <c r="L170" s="739" t="n"/>
      <c r="M170" s="739" t="n"/>
      <c r="N170" s="739" t="n"/>
      <c r="O170" s="739" t="n"/>
      <c r="P170" s="739" t="n"/>
      <c r="Q170" s="739" t="n"/>
      <c r="R170" s="739" t="n"/>
      <c r="S170" s="739" t="n"/>
      <c r="T170" s="739" t="n"/>
      <c r="U170" s="739" t="n"/>
      <c r="V170" s="739" t="n"/>
      <c r="W170" s="739" t="n"/>
      <c r="X170" s="739" t="n"/>
      <c r="Y170" s="739" t="n"/>
    </row>
    <row r="171" ht="15" customFormat="1" customHeight="1" s="385">
      <c r="A171" s="739" t="n"/>
      <c r="B171" s="738" t="n"/>
      <c r="C171" s="739" t="n"/>
      <c r="D171" s="739" t="n"/>
      <c r="E171" s="739" t="n"/>
      <c r="F171" s="739" t="n"/>
      <c r="G171" s="739" t="n"/>
      <c r="H171" s="739" t="n"/>
      <c r="I171" s="739" t="n"/>
      <c r="J171" s="739" t="n"/>
      <c r="K171" s="739" t="n"/>
      <c r="L171" s="739" t="n"/>
      <c r="M171" s="739" t="n"/>
      <c r="N171" s="739" t="n"/>
      <c r="O171" s="739" t="n"/>
      <c r="P171" s="739" t="n"/>
      <c r="Q171" s="739" t="n"/>
      <c r="R171" s="739" t="n"/>
      <c r="S171" s="739" t="n"/>
      <c r="T171" s="739" t="n"/>
      <c r="U171" s="739" t="n"/>
      <c r="V171" s="739" t="n"/>
      <c r="W171" s="739" t="n"/>
      <c r="X171" s="739" t="n"/>
      <c r="Y171" s="739" t="n"/>
    </row>
    <row r="172" ht="15" customFormat="1" customHeight="1" s="385">
      <c r="A172" s="739" t="n"/>
      <c r="B172" s="738" t="n"/>
      <c r="C172" s="739" t="n"/>
      <c r="D172" s="739" t="n"/>
      <c r="E172" s="739" t="n"/>
      <c r="F172" s="739" t="n"/>
      <c r="G172" s="739" t="n"/>
      <c r="H172" s="739" t="n"/>
      <c r="I172" s="739" t="n"/>
      <c r="J172" s="739" t="n"/>
      <c r="K172" s="739" t="n"/>
      <c r="L172" s="739" t="n"/>
      <c r="M172" s="739" t="n"/>
      <c r="N172" s="739" t="n"/>
      <c r="O172" s="739" t="n"/>
      <c r="P172" s="739" t="n"/>
      <c r="Q172" s="739" t="n"/>
      <c r="R172" s="739" t="n"/>
      <c r="S172" s="739" t="n"/>
      <c r="T172" s="739" t="n"/>
      <c r="U172" s="739" t="n"/>
      <c r="V172" s="739" t="n"/>
      <c r="W172" s="739" t="n"/>
      <c r="X172" s="739" t="n"/>
      <c r="Y172" s="739" t="n"/>
    </row>
    <row r="173" ht="15" customFormat="1" customHeight="1" s="385">
      <c r="A173" s="739" t="n"/>
      <c r="B173" s="738" t="n"/>
      <c r="C173" s="739" t="n"/>
      <c r="D173" s="739" t="n"/>
      <c r="E173" s="739" t="n"/>
      <c r="F173" s="739" t="n"/>
      <c r="G173" s="739" t="n"/>
      <c r="H173" s="739" t="n"/>
      <c r="I173" s="739" t="n"/>
      <c r="J173" s="739" t="n"/>
      <c r="K173" s="739" t="n"/>
      <c r="L173" s="739" t="n"/>
      <c r="M173" s="739" t="n"/>
      <c r="N173" s="739" t="n"/>
      <c r="O173" s="739" t="n"/>
      <c r="P173" s="739" t="n"/>
      <c r="Q173" s="739" t="n"/>
      <c r="R173" s="739" t="n"/>
      <c r="S173" s="739" t="n"/>
      <c r="T173" s="739" t="n"/>
      <c r="U173" s="739" t="n"/>
      <c r="V173" s="739" t="n"/>
      <c r="W173" s="739" t="n"/>
      <c r="X173" s="739" t="n"/>
      <c r="Y173" s="739" t="n"/>
    </row>
    <row r="174" ht="15" customFormat="1" customHeight="1" s="385">
      <c r="A174" s="739" t="n"/>
      <c r="B174" s="738" t="n"/>
      <c r="C174" s="739" t="n"/>
      <c r="D174" s="739" t="n"/>
      <c r="E174" s="739" t="n"/>
      <c r="F174" s="739" t="n"/>
      <c r="G174" s="739" t="n"/>
      <c r="H174" s="739" t="n"/>
      <c r="I174" s="739" t="n"/>
      <c r="J174" s="739" t="n"/>
      <c r="K174" s="739" t="n"/>
      <c r="L174" s="739" t="n"/>
      <c r="M174" s="739" t="n"/>
      <c r="N174" s="739" t="n"/>
      <c r="O174" s="739" t="n"/>
      <c r="P174" s="739" t="n"/>
      <c r="Q174" s="739" t="n"/>
      <c r="R174" s="739" t="n"/>
      <c r="S174" s="739" t="n"/>
      <c r="T174" s="739" t="n"/>
      <c r="U174" s="739" t="n"/>
      <c r="V174" s="739" t="n"/>
      <c r="W174" s="739" t="n"/>
      <c r="X174" s="739" t="n"/>
      <c r="Y174" s="739" t="n"/>
    </row>
    <row r="175" ht="15" customFormat="1" customHeight="1" s="385">
      <c r="A175" s="739" t="n"/>
      <c r="B175" s="738" t="n"/>
      <c r="C175" s="739" t="n"/>
      <c r="D175" s="739" t="n"/>
      <c r="E175" s="739" t="n"/>
      <c r="F175" s="739" t="n"/>
      <c r="G175" s="739" t="n"/>
      <c r="H175" s="739" t="n"/>
      <c r="I175" s="739" t="n"/>
      <c r="J175" s="739" t="n"/>
      <c r="K175" s="739" t="n"/>
      <c r="L175" s="739" t="n"/>
      <c r="M175" s="739" t="n"/>
      <c r="N175" s="739" t="n"/>
      <c r="O175" s="739" t="n"/>
      <c r="P175" s="739" t="n"/>
      <c r="Q175" s="739" t="n"/>
      <c r="R175" s="739" t="n"/>
      <c r="S175" s="739" t="n"/>
      <c r="T175" s="739" t="n"/>
      <c r="U175" s="739" t="n"/>
      <c r="V175" s="739" t="n"/>
      <c r="W175" s="739" t="n"/>
      <c r="X175" s="739" t="n"/>
      <c r="Y175" s="739" t="n"/>
    </row>
    <row r="176" ht="15" customFormat="1" customHeight="1" s="385">
      <c r="A176" s="739" t="n"/>
      <c r="B176" s="738" t="n"/>
      <c r="C176" s="739" t="n"/>
      <c r="D176" s="739" t="n"/>
      <c r="E176" s="739" t="n"/>
      <c r="F176" s="739" t="n"/>
      <c r="G176" s="739" t="n"/>
      <c r="H176" s="739" t="n"/>
      <c r="I176" s="739" t="n"/>
      <c r="J176" s="739" t="n"/>
      <c r="K176" s="739" t="n"/>
      <c r="L176" s="739" t="n"/>
      <c r="M176" s="739" t="n"/>
      <c r="N176" s="739" t="n"/>
      <c r="O176" s="739" t="n"/>
      <c r="P176" s="739" t="n"/>
      <c r="Q176" s="739" t="n"/>
      <c r="R176" s="739" t="n"/>
      <c r="S176" s="739" t="n"/>
      <c r="T176" s="739" t="n"/>
      <c r="U176" s="739" t="n"/>
      <c r="V176" s="739" t="n"/>
      <c r="W176" s="739" t="n"/>
      <c r="X176" s="739" t="n"/>
      <c r="Y176" s="739" t="n"/>
    </row>
    <row r="177" ht="15" customFormat="1" customHeight="1" s="385">
      <c r="A177" s="739" t="n"/>
      <c r="B177" s="738" t="n"/>
      <c r="C177" s="739" t="n"/>
      <c r="D177" s="739" t="n"/>
      <c r="E177" s="739" t="n"/>
      <c r="F177" s="739" t="n"/>
      <c r="G177" s="739" t="n"/>
      <c r="H177" s="739" t="n"/>
      <c r="I177" s="739" t="n"/>
      <c r="J177" s="739" t="n"/>
      <c r="K177" s="739" t="n"/>
      <c r="L177" s="739" t="n"/>
      <c r="M177" s="739" t="n"/>
      <c r="N177" s="739" t="n"/>
      <c r="O177" s="739" t="n"/>
      <c r="P177" s="739" t="n"/>
      <c r="Q177" s="739" t="n"/>
      <c r="R177" s="739" t="n"/>
      <c r="S177" s="739" t="n"/>
      <c r="T177" s="739" t="n"/>
      <c r="U177" s="739" t="n"/>
      <c r="V177" s="739" t="n"/>
      <c r="W177" s="739" t="n"/>
      <c r="X177" s="739" t="n"/>
      <c r="Y177" s="739" t="n"/>
    </row>
    <row r="178" ht="15" customFormat="1" customHeight="1" s="385">
      <c r="A178" s="739" t="n"/>
      <c r="B178" s="738" t="n"/>
      <c r="C178" s="739" t="n"/>
      <c r="D178" s="739" t="n"/>
      <c r="E178" s="739" t="n"/>
      <c r="F178" s="739" t="n"/>
      <c r="G178" s="739" t="n"/>
      <c r="H178" s="739" t="n"/>
      <c r="I178" s="739" t="n"/>
      <c r="J178" s="739" t="n"/>
      <c r="K178" s="739" t="n"/>
      <c r="L178" s="739" t="n"/>
      <c r="M178" s="739" t="n"/>
      <c r="N178" s="739" t="n"/>
      <c r="O178" s="739" t="n"/>
      <c r="P178" s="739" t="n"/>
      <c r="Q178" s="739" t="n"/>
      <c r="R178" s="739" t="n"/>
      <c r="S178" s="739" t="n"/>
      <c r="T178" s="739" t="n"/>
      <c r="U178" s="739" t="n"/>
      <c r="V178" s="739" t="n"/>
      <c r="W178" s="739" t="n"/>
      <c r="X178" s="739" t="n"/>
      <c r="Y178" s="739" t="n"/>
    </row>
    <row r="179" ht="15" customFormat="1" customHeight="1" s="385">
      <c r="A179" s="739" t="n"/>
      <c r="B179" s="738" t="n"/>
      <c r="C179" s="739" t="n"/>
      <c r="D179" s="739" t="n"/>
      <c r="E179" s="739" t="n"/>
      <c r="F179" s="739" t="n"/>
      <c r="G179" s="739" t="n"/>
      <c r="H179" s="739" t="n"/>
      <c r="I179" s="739" t="n"/>
      <c r="J179" s="739" t="n"/>
      <c r="K179" s="739" t="n"/>
      <c r="L179" s="739" t="n"/>
      <c r="M179" s="739" t="n"/>
      <c r="N179" s="739" t="n"/>
      <c r="O179" s="739" t="n"/>
      <c r="P179" s="739" t="n"/>
      <c r="Q179" s="739" t="n"/>
      <c r="R179" s="739" t="n"/>
      <c r="S179" s="739" t="n"/>
      <c r="T179" s="739" t="n"/>
      <c r="U179" s="739" t="n"/>
      <c r="V179" s="739" t="n"/>
      <c r="W179" s="739" t="n"/>
      <c r="X179" s="739" t="n"/>
      <c r="Y179" s="739" t="n"/>
    </row>
    <row r="180" ht="15" customFormat="1" customHeight="1" s="385">
      <c r="A180" s="739" t="n"/>
      <c r="B180" s="738" t="n"/>
      <c r="C180" s="739" t="n"/>
      <c r="D180" s="739" t="n"/>
      <c r="E180" s="739" t="n"/>
      <c r="F180" s="739" t="n"/>
      <c r="G180" s="739" t="n"/>
      <c r="H180" s="739" t="n"/>
      <c r="I180" s="739" t="n"/>
      <c r="J180" s="739" t="n"/>
      <c r="K180" s="739" t="n"/>
      <c r="L180" s="739" t="n"/>
      <c r="M180" s="739" t="n"/>
      <c r="N180" s="739" t="n"/>
      <c r="O180" s="739" t="n"/>
      <c r="P180" s="739" t="n"/>
      <c r="Q180" s="739" t="n"/>
      <c r="R180" s="739" t="n"/>
      <c r="S180" s="739" t="n"/>
      <c r="T180" s="739" t="n"/>
      <c r="U180" s="739" t="n"/>
      <c r="V180" s="739" t="n"/>
      <c r="W180" s="739" t="n"/>
      <c r="X180" s="739" t="n"/>
      <c r="Y180" s="739" t="n"/>
    </row>
    <row r="181" ht="15" customFormat="1" customHeight="1" s="385">
      <c r="A181" s="739" t="n"/>
      <c r="B181" s="738" t="n"/>
      <c r="C181" s="739" t="n"/>
      <c r="D181" s="739" t="n"/>
      <c r="E181" s="739" t="n"/>
      <c r="F181" s="739" t="n"/>
      <c r="G181" s="739" t="n"/>
      <c r="H181" s="739" t="n"/>
      <c r="I181" s="739" t="n"/>
      <c r="J181" s="739" t="n"/>
      <c r="K181" s="739" t="n"/>
      <c r="L181" s="739" t="n"/>
      <c r="M181" s="739" t="n"/>
      <c r="N181" s="739" t="n"/>
      <c r="O181" s="739" t="n"/>
      <c r="P181" s="739" t="n"/>
      <c r="Q181" s="739" t="n"/>
      <c r="R181" s="739" t="n"/>
      <c r="S181" s="739" t="n"/>
      <c r="T181" s="739" t="n"/>
      <c r="U181" s="739" t="n"/>
      <c r="V181" s="739" t="n"/>
      <c r="W181" s="739" t="n"/>
      <c r="X181" s="739" t="n"/>
      <c r="Y181" s="739" t="n"/>
    </row>
    <row r="182" ht="15" customFormat="1" customHeight="1" s="385">
      <c r="A182" s="739" t="n"/>
      <c r="B182" s="738" t="n"/>
      <c r="C182" s="739" t="n"/>
      <c r="D182" s="739" t="n"/>
      <c r="E182" s="739" t="n"/>
      <c r="F182" s="739" t="n"/>
      <c r="G182" s="739" t="n"/>
      <c r="H182" s="739" t="n"/>
      <c r="I182" s="739" t="n"/>
      <c r="J182" s="739" t="n"/>
      <c r="K182" s="739" t="n"/>
      <c r="L182" s="739" t="n"/>
      <c r="M182" s="739" t="n"/>
      <c r="N182" s="739" t="n"/>
      <c r="O182" s="739" t="n"/>
      <c r="P182" s="739" t="n"/>
      <c r="Q182" s="739" t="n"/>
      <c r="R182" s="739" t="n"/>
      <c r="S182" s="739" t="n"/>
      <c r="T182" s="739" t="n"/>
      <c r="U182" s="739" t="n"/>
      <c r="V182" s="739" t="n"/>
      <c r="W182" s="739" t="n"/>
      <c r="X182" s="739" t="n"/>
      <c r="Y182" s="739" t="n"/>
    </row>
    <row r="183" ht="15" customFormat="1" customHeight="1" s="385">
      <c r="A183" s="739" t="n"/>
      <c r="B183" s="738" t="n"/>
      <c r="C183" s="739" t="n"/>
      <c r="D183" s="739" t="n"/>
      <c r="E183" s="739" t="n"/>
      <c r="F183" s="739" t="n"/>
      <c r="G183" s="739" t="n"/>
      <c r="H183" s="739" t="n"/>
      <c r="I183" s="739" t="n"/>
      <c r="J183" s="739" t="n"/>
      <c r="K183" s="739" t="n"/>
      <c r="L183" s="739" t="n"/>
      <c r="M183" s="739" t="n"/>
      <c r="N183" s="739" t="n"/>
      <c r="O183" s="739" t="n"/>
      <c r="P183" s="739" t="n"/>
      <c r="Q183" s="739" t="n"/>
      <c r="R183" s="739" t="n"/>
      <c r="S183" s="739" t="n"/>
      <c r="T183" s="739" t="n"/>
      <c r="U183" s="739" t="n"/>
      <c r="V183" s="739" t="n"/>
      <c r="W183" s="739" t="n"/>
      <c r="X183" s="739" t="n"/>
      <c r="Y183" s="739" t="n"/>
    </row>
    <row r="184" ht="15" customFormat="1" customHeight="1" s="385">
      <c r="A184" s="739" t="n"/>
      <c r="B184" s="738" t="n"/>
      <c r="C184" s="739" t="n"/>
      <c r="D184" s="739" t="n"/>
      <c r="E184" s="739" t="n"/>
      <c r="F184" s="739" t="n"/>
      <c r="G184" s="739" t="n"/>
      <c r="H184" s="739" t="n"/>
      <c r="I184" s="739" t="n"/>
      <c r="J184" s="739" t="n"/>
      <c r="K184" s="739" t="n"/>
      <c r="L184" s="739" t="n"/>
      <c r="M184" s="739" t="n"/>
      <c r="N184" s="739" t="n"/>
      <c r="O184" s="739" t="n"/>
      <c r="P184" s="739" t="n"/>
      <c r="Q184" s="739" t="n"/>
      <c r="R184" s="739" t="n"/>
      <c r="S184" s="739" t="n"/>
      <c r="T184" s="739" t="n"/>
      <c r="U184" s="739" t="n"/>
      <c r="V184" s="739" t="n"/>
      <c r="W184" s="739" t="n"/>
      <c r="X184" s="739" t="n"/>
      <c r="Y184" s="739" t="n"/>
    </row>
    <row r="185" ht="15" customFormat="1" customHeight="1" s="385">
      <c r="A185" s="739" t="n"/>
      <c r="B185" s="738" t="n"/>
      <c r="C185" s="739" t="n"/>
      <c r="D185" s="739" t="n"/>
      <c r="E185" s="739" t="n"/>
      <c r="F185" s="739" t="n"/>
      <c r="G185" s="739" t="n"/>
      <c r="H185" s="739" t="n"/>
      <c r="I185" s="739" t="n"/>
      <c r="J185" s="739" t="n"/>
      <c r="K185" s="739" t="n"/>
      <c r="L185" s="739" t="n"/>
      <c r="M185" s="739" t="n"/>
      <c r="N185" s="739" t="n"/>
      <c r="O185" s="739" t="n"/>
      <c r="P185" s="739" t="n"/>
      <c r="Q185" s="739" t="n"/>
      <c r="R185" s="739" t="n"/>
      <c r="S185" s="739" t="n"/>
      <c r="T185" s="739" t="n"/>
      <c r="U185" s="739" t="n"/>
      <c r="V185" s="739" t="n"/>
      <c r="W185" s="739" t="n"/>
      <c r="X185" s="739" t="n"/>
      <c r="Y185" s="739" t="n"/>
    </row>
    <row r="186" ht="15" customFormat="1" customHeight="1" s="340">
      <c r="A186" s="740" t="n"/>
      <c r="B186" s="738" t="n"/>
      <c r="C186" s="740" t="n"/>
      <c r="D186" s="740" t="n"/>
      <c r="E186" s="740" t="n"/>
      <c r="F186" s="740" t="n"/>
      <c r="G186" s="740" t="n"/>
      <c r="H186" s="740" t="n"/>
      <c r="I186" s="740" t="n"/>
      <c r="J186" s="740" t="n"/>
      <c r="K186" s="740" t="n"/>
      <c r="L186" s="740" t="n"/>
      <c r="M186" s="740" t="n"/>
      <c r="N186" s="740" t="n"/>
      <c r="O186" s="740" t="n"/>
      <c r="P186" s="740" t="n"/>
      <c r="Q186" s="740" t="n"/>
      <c r="R186" s="740" t="n"/>
      <c r="S186" s="740" t="n"/>
      <c r="T186" s="740" t="n"/>
      <c r="U186" s="740" t="n"/>
      <c r="V186" s="740" t="n"/>
      <c r="W186" s="740" t="n"/>
      <c r="X186" s="740" t="n"/>
      <c r="Y186" s="740" t="n"/>
    </row>
    <row r="187" ht="15" customFormat="1" customHeight="1" s="341">
      <c r="A187" s="737" t="n"/>
      <c r="B187" s="737" t="n"/>
      <c r="C187" s="737" t="n"/>
      <c r="D187" s="737" t="n"/>
      <c r="E187" s="737" t="n"/>
      <c r="F187" s="737" t="n"/>
      <c r="G187" s="737" t="n"/>
      <c r="H187" s="737" t="n"/>
      <c r="I187" s="737" t="n"/>
      <c r="J187" s="737" t="n"/>
      <c r="K187" s="737" t="n"/>
      <c r="L187" s="737" t="n"/>
      <c r="M187" s="737" t="n"/>
      <c r="N187" s="737" t="n"/>
      <c r="O187" s="737" t="n"/>
      <c r="P187" s="737" t="n"/>
      <c r="Q187" s="737" t="n"/>
      <c r="R187" s="737" t="n"/>
      <c r="S187" s="737" t="n"/>
      <c r="T187" s="737" t="n"/>
      <c r="U187" s="737" t="n"/>
      <c r="V187" s="737" t="n"/>
      <c r="W187" s="737" t="n"/>
      <c r="X187" s="737" t="n"/>
      <c r="Y187" s="737" t="n"/>
    </row>
    <row r="188" ht="15" customFormat="1" customHeight="1" s="341">
      <c r="A188" s="737" t="n"/>
      <c r="B188" s="737" t="n"/>
      <c r="C188" s="737" t="n"/>
      <c r="D188" s="737" t="n"/>
      <c r="E188" s="737" t="n"/>
      <c r="F188" s="737" t="n"/>
      <c r="G188" s="737" t="n"/>
      <c r="H188" s="737" t="n"/>
      <c r="I188" s="737" t="n"/>
      <c r="J188" s="737" t="n"/>
      <c r="K188" s="737" t="n"/>
      <c r="L188" s="737" t="n"/>
      <c r="M188" s="737" t="n"/>
      <c r="N188" s="737" t="n"/>
      <c r="O188" s="737" t="n"/>
      <c r="P188" s="737" t="n"/>
      <c r="Q188" s="737" t="n"/>
      <c r="R188" s="737" t="n"/>
      <c r="S188" s="737" t="n"/>
      <c r="T188" s="737" t="n"/>
      <c r="U188" s="737" t="n"/>
      <c r="V188" s="737" t="n"/>
      <c r="W188" s="737" t="n"/>
      <c r="X188" s="737" t="n"/>
      <c r="Y188" s="737" t="n"/>
    </row>
    <row r="189" ht="15" customFormat="1" customHeight="1" s="341">
      <c r="A189" s="737" t="n"/>
      <c r="B189" s="737" t="n"/>
      <c r="C189" s="737" t="n"/>
      <c r="D189" s="737" t="n"/>
      <c r="E189" s="737" t="n"/>
      <c r="F189" s="737" t="n"/>
      <c r="G189" s="737" t="n"/>
      <c r="H189" s="737" t="n"/>
      <c r="I189" s="737" t="n"/>
      <c r="J189" s="737" t="n"/>
      <c r="K189" s="737" t="n"/>
      <c r="L189" s="737" t="n"/>
      <c r="M189" s="737" t="n"/>
      <c r="N189" s="737" t="n"/>
      <c r="O189" s="737" t="n"/>
      <c r="P189" s="737" t="n"/>
      <c r="Q189" s="737" t="n"/>
      <c r="R189" s="737" t="n"/>
      <c r="S189" s="737" t="n"/>
      <c r="T189" s="737" t="n"/>
      <c r="U189" s="737" t="n"/>
      <c r="V189" s="737" t="n"/>
      <c r="W189" s="737" t="n"/>
      <c r="X189" s="737" t="n"/>
      <c r="Y189" s="737" t="n"/>
    </row>
    <row r="190" ht="15" customFormat="1" customHeight="1" s="341">
      <c r="A190" s="737" t="n"/>
      <c r="B190" s="737" t="n"/>
      <c r="C190" s="737" t="n"/>
      <c r="D190" s="737" t="n"/>
      <c r="E190" s="737" t="n"/>
      <c r="F190" s="737" t="n"/>
      <c r="G190" s="737" t="n"/>
      <c r="H190" s="737" t="n"/>
      <c r="I190" s="737" t="n"/>
      <c r="J190" s="737" t="n"/>
      <c r="K190" s="737" t="n"/>
      <c r="L190" s="737" t="n"/>
      <c r="M190" s="737" t="n"/>
      <c r="N190" s="737" t="n"/>
      <c r="O190" s="737" t="n"/>
      <c r="P190" s="737" t="n"/>
      <c r="Q190" s="737" t="n"/>
      <c r="R190" s="737" t="n"/>
      <c r="S190" s="737" t="n"/>
      <c r="T190" s="737" t="n"/>
      <c r="U190" s="737" t="n"/>
      <c r="V190" s="737" t="n"/>
      <c r="W190" s="737" t="n"/>
      <c r="X190" s="737" t="n"/>
      <c r="Y190" s="737" t="n"/>
    </row>
    <row r="191" ht="15" customFormat="1" customHeight="1" s="342">
      <c r="A191" s="741" t="n"/>
      <c r="B191" s="741" t="n"/>
      <c r="C191" s="741" t="n"/>
      <c r="D191" s="741" t="n"/>
      <c r="E191" s="741" t="n"/>
      <c r="F191" s="741" t="n"/>
      <c r="G191" s="741" t="n"/>
      <c r="H191" s="741" t="n"/>
      <c r="I191" s="741" t="n"/>
      <c r="J191" s="741" t="n"/>
      <c r="K191" s="741" t="n"/>
      <c r="L191" s="741" t="n"/>
      <c r="M191" s="741" t="n"/>
      <c r="N191" s="741" t="n"/>
      <c r="O191" s="741" t="n"/>
      <c r="P191" s="741" t="n"/>
      <c r="Q191" s="741" t="n"/>
      <c r="R191" s="741" t="n"/>
      <c r="S191" s="741" t="n"/>
      <c r="T191" s="741" t="n"/>
      <c r="U191" s="741" t="n"/>
      <c r="V191" s="741" t="n"/>
      <c r="W191" s="741" t="n"/>
      <c r="X191" s="741" t="n"/>
      <c r="Y191" s="741" t="n"/>
    </row>
    <row r="192" ht="15" customFormat="1" customHeight="1" s="342">
      <c r="A192" s="741" t="n"/>
      <c r="B192" s="741" t="n"/>
      <c r="C192" s="741" t="n"/>
      <c r="D192" s="741" t="n"/>
      <c r="E192" s="741" t="n"/>
      <c r="F192" s="741" t="n"/>
      <c r="G192" s="741" t="n"/>
      <c r="H192" s="741" t="n"/>
      <c r="I192" s="741" t="n"/>
      <c r="J192" s="741" t="n"/>
      <c r="K192" s="741" t="n"/>
      <c r="L192" s="741" t="n"/>
      <c r="M192" s="741" t="n"/>
      <c r="N192" s="741" t="n"/>
      <c r="O192" s="741" t="n"/>
      <c r="P192" s="741" t="n"/>
      <c r="Q192" s="741" t="n"/>
      <c r="R192" s="741" t="n"/>
      <c r="S192" s="741" t="n"/>
      <c r="T192" s="741" t="n"/>
      <c r="U192" s="741" t="n"/>
      <c r="V192" s="741" t="n"/>
      <c r="W192" s="741" t="n"/>
      <c r="X192" s="741" t="n"/>
      <c r="Y192" s="741" t="n"/>
    </row>
    <row r="193" ht="15" customFormat="1" customHeight="1" s="342">
      <c r="A193" s="741" t="n"/>
      <c r="B193" s="741" t="n"/>
      <c r="C193" s="741" t="n"/>
      <c r="D193" s="741" t="n"/>
      <c r="E193" s="741" t="n"/>
      <c r="F193" s="741" t="n"/>
      <c r="G193" s="741" t="n"/>
      <c r="H193" s="741" t="n"/>
      <c r="I193" s="741" t="n"/>
      <c r="J193" s="741" t="n"/>
      <c r="K193" s="741" t="n"/>
      <c r="L193" s="741" t="n"/>
      <c r="M193" s="741" t="n"/>
      <c r="N193" s="741" t="n"/>
      <c r="O193" s="741" t="n"/>
      <c r="P193" s="741" t="n"/>
      <c r="Q193" s="741" t="n"/>
      <c r="R193" s="741" t="n"/>
      <c r="S193" s="741" t="n"/>
      <c r="T193" s="741" t="n"/>
      <c r="U193" s="741" t="n"/>
      <c r="V193" s="741" t="n"/>
      <c r="W193" s="741" t="n"/>
      <c r="X193" s="741" t="n"/>
      <c r="Y193" s="741" t="n"/>
    </row>
    <row r="194" ht="15" customFormat="1" customHeight="1" s="342">
      <c r="A194" s="741" t="n"/>
      <c r="B194" s="741" t="n"/>
      <c r="C194" s="741" t="n"/>
      <c r="D194" s="741" t="n"/>
      <c r="E194" s="741" t="n"/>
      <c r="F194" s="741" t="n"/>
      <c r="G194" s="741" t="n"/>
      <c r="H194" s="741" t="n"/>
      <c r="I194" s="741" t="n"/>
      <c r="J194" s="741" t="n"/>
      <c r="K194" s="741" t="n"/>
      <c r="L194" s="741" t="n"/>
      <c r="M194" s="741" t="n"/>
      <c r="N194" s="741" t="n"/>
      <c r="O194" s="741" t="n"/>
      <c r="P194" s="741" t="n"/>
      <c r="Q194" s="741" t="n"/>
      <c r="R194" s="741" t="n"/>
      <c r="S194" s="741" t="n"/>
      <c r="T194" s="741" t="n"/>
      <c r="U194" s="741" t="n"/>
      <c r="V194" s="741" t="n"/>
      <c r="W194" s="741" t="n"/>
      <c r="X194" s="741" t="n"/>
      <c r="Y194" s="741" t="n"/>
    </row>
    <row r="195" ht="15" customFormat="1" customHeight="1" s="386">
      <c r="A195" s="775" t="n"/>
      <c r="B195" s="775" t="n"/>
      <c r="C195" s="775" t="n"/>
      <c r="D195" s="775" t="n"/>
      <c r="E195" s="775" t="n"/>
      <c r="F195" s="775" t="n"/>
      <c r="G195" s="775" t="n"/>
      <c r="H195" s="775" t="n"/>
      <c r="I195" s="775" t="n"/>
      <c r="J195" s="775" t="n"/>
      <c r="K195" s="775" t="n"/>
      <c r="L195" s="775" t="n"/>
      <c r="M195" s="775" t="n"/>
      <c r="N195" s="775" t="n"/>
      <c r="O195" s="775" t="n"/>
      <c r="P195" s="775" t="n"/>
      <c r="Q195" s="775" t="n"/>
      <c r="R195" s="775" t="n"/>
      <c r="S195" s="775" t="n"/>
      <c r="T195" s="775" t="n"/>
      <c r="U195" s="775" t="n"/>
      <c r="V195" s="775" t="n"/>
      <c r="W195" s="775" t="n"/>
      <c r="X195" s="775" t="n"/>
      <c r="Y195" s="775" t="n"/>
    </row>
    <row r="196" ht="15" customFormat="1" customHeight="1" s="386">
      <c r="A196" s="775" t="n"/>
      <c r="B196" s="775" t="n"/>
      <c r="C196" s="775" t="n"/>
      <c r="D196" s="775" t="n"/>
      <c r="E196" s="775" t="n"/>
      <c r="F196" s="775" t="n"/>
      <c r="G196" s="775" t="n"/>
      <c r="H196" s="775" t="n"/>
      <c r="I196" s="775" t="n"/>
      <c r="J196" s="775" t="n"/>
      <c r="K196" s="775" t="n"/>
      <c r="L196" s="775" t="n"/>
      <c r="M196" s="775" t="n"/>
      <c r="N196" s="775" t="n"/>
      <c r="O196" s="775" t="n"/>
      <c r="P196" s="775" t="n"/>
      <c r="Q196" s="775" t="n"/>
      <c r="R196" s="775" t="n"/>
      <c r="S196" s="775" t="n"/>
      <c r="T196" s="775" t="n"/>
      <c r="U196" s="775" t="n"/>
      <c r="V196" s="775" t="n"/>
      <c r="W196" s="775" t="n"/>
      <c r="X196" s="775" t="n"/>
      <c r="Y196" s="775" t="n"/>
    </row>
    <row r="197" ht="15" customFormat="1" customHeight="1" s="386">
      <c r="A197" s="775" t="n"/>
      <c r="B197" s="775" t="n"/>
      <c r="C197" s="775" t="n"/>
      <c r="D197" s="775" t="n"/>
      <c r="E197" s="775" t="n"/>
      <c r="F197" s="775" t="n"/>
      <c r="G197" s="775" t="n"/>
      <c r="H197" s="775" t="n"/>
      <c r="I197" s="775" t="n"/>
      <c r="J197" s="775" t="n"/>
      <c r="K197" s="775" t="n"/>
      <c r="L197" s="775" t="n"/>
      <c r="M197" s="775" t="n"/>
      <c r="N197" s="775" t="n"/>
      <c r="O197" s="775" t="n"/>
      <c r="P197" s="775" t="n"/>
      <c r="Q197" s="775" t="n"/>
      <c r="R197" s="775" t="n"/>
      <c r="S197" s="775" t="n"/>
      <c r="T197" s="775" t="n"/>
      <c r="U197" s="775" t="n"/>
      <c r="V197" s="775" t="n"/>
      <c r="W197" s="775" t="n"/>
      <c r="X197" s="775" t="n"/>
      <c r="Y197" s="775" t="n"/>
    </row>
    <row r="198" ht="15" customFormat="1" customHeight="1" s="386">
      <c r="A198" s="775" t="n"/>
      <c r="B198" s="775" t="n"/>
      <c r="C198" s="775" t="n"/>
      <c r="D198" s="775" t="n"/>
      <c r="E198" s="775" t="n"/>
      <c r="F198" s="775" t="n"/>
      <c r="G198" s="775" t="n"/>
      <c r="H198" s="775" t="n"/>
      <c r="I198" s="775" t="n"/>
      <c r="J198" s="775" t="n"/>
      <c r="K198" s="775" t="n"/>
      <c r="L198" s="775" t="n"/>
      <c r="M198" s="775" t="n"/>
      <c r="N198" s="775" t="n"/>
      <c r="O198" s="775" t="n"/>
      <c r="P198" s="775" t="n"/>
      <c r="Q198" s="775" t="n"/>
      <c r="R198" s="775" t="n"/>
      <c r="S198" s="775" t="n"/>
      <c r="T198" s="775" t="n"/>
      <c r="U198" s="775" t="n"/>
      <c r="V198" s="775" t="n"/>
      <c r="W198" s="775" t="n"/>
      <c r="X198" s="775" t="n"/>
      <c r="Y198" s="775" t="n"/>
    </row>
    <row r="199" ht="15" customFormat="1" customHeight="1" s="386">
      <c r="A199" s="775" t="n"/>
      <c r="B199" s="775" t="n"/>
      <c r="C199" s="775" t="n"/>
      <c r="D199" s="775" t="n"/>
      <c r="E199" s="775" t="n"/>
      <c r="F199" s="775" t="n"/>
      <c r="G199" s="775" t="n"/>
      <c r="H199" s="775" t="n"/>
      <c r="I199" s="775" t="n"/>
      <c r="J199" s="775" t="n"/>
      <c r="K199" s="775" t="n"/>
      <c r="L199" s="775" t="n"/>
      <c r="M199" s="775" t="n"/>
      <c r="N199" s="775" t="n"/>
      <c r="O199" s="775" t="n"/>
      <c r="P199" s="775" t="n"/>
      <c r="Q199" s="775" t="n"/>
      <c r="R199" s="775" t="n"/>
      <c r="S199" s="775" t="n"/>
      <c r="T199" s="775" t="n"/>
      <c r="U199" s="775" t="n"/>
      <c r="V199" s="775" t="n"/>
      <c r="W199" s="775" t="n"/>
      <c r="X199" s="775" t="n"/>
      <c r="Y199" s="775" t="n"/>
    </row>
    <row r="200" ht="15" customFormat="1" customHeight="1" s="386">
      <c r="A200" s="775" t="n"/>
      <c r="B200" s="775" t="n"/>
      <c r="C200" s="775" t="n"/>
      <c r="D200" s="775" t="n"/>
      <c r="E200" s="775" t="n"/>
      <c r="F200" s="775" t="n"/>
      <c r="G200" s="775" t="n"/>
      <c r="H200" s="775" t="n"/>
      <c r="I200" s="775" t="n"/>
      <c r="J200" s="775" t="n"/>
      <c r="K200" s="775" t="n"/>
      <c r="L200" s="775" t="n"/>
      <c r="M200" s="775" t="n"/>
      <c r="N200" s="775" t="n"/>
      <c r="O200" s="775" t="n"/>
      <c r="P200" s="775" t="n"/>
      <c r="Q200" s="775" t="n"/>
      <c r="R200" s="775" t="n"/>
      <c r="S200" s="775" t="n"/>
      <c r="T200" s="775" t="n"/>
      <c r="U200" s="775" t="n"/>
      <c r="V200" s="775" t="n"/>
      <c r="W200" s="775" t="n"/>
      <c r="X200" s="775" t="n"/>
      <c r="Y200" s="775" t="n"/>
    </row>
    <row r="201" ht="15" customFormat="1" customHeight="1" s="386">
      <c r="A201" s="775" t="n"/>
      <c r="B201" s="775" t="n"/>
      <c r="C201" s="775" t="n"/>
      <c r="D201" s="775" t="n"/>
      <c r="E201" s="775" t="n"/>
      <c r="F201" s="775" t="n"/>
      <c r="G201" s="775" t="n"/>
      <c r="H201" s="775" t="n"/>
      <c r="I201" s="775" t="n"/>
      <c r="J201" s="775" t="n"/>
      <c r="K201" s="775" t="n"/>
      <c r="L201" s="775" t="n"/>
      <c r="M201" s="775" t="n"/>
      <c r="N201" s="775" t="n"/>
      <c r="O201" s="775" t="n"/>
      <c r="P201" s="775" t="n"/>
      <c r="Q201" s="775" t="n"/>
      <c r="R201" s="775" t="n"/>
      <c r="S201" s="775" t="n"/>
      <c r="T201" s="775" t="n"/>
      <c r="U201" s="775" t="n"/>
      <c r="V201" s="775" t="n"/>
      <c r="W201" s="775" t="n"/>
      <c r="X201" s="775" t="n"/>
      <c r="Y201" s="775" t="n"/>
    </row>
    <row r="202" ht="15" customFormat="1" customHeight="1" s="386">
      <c r="A202" s="775" t="n"/>
      <c r="B202" s="775" t="n"/>
      <c r="C202" s="775" t="n"/>
      <c r="D202" s="775" t="n"/>
      <c r="E202" s="775" t="n"/>
      <c r="F202" s="775" t="n"/>
      <c r="G202" s="775" t="n"/>
      <c r="H202" s="775" t="n"/>
      <c r="I202" s="775" t="n"/>
      <c r="J202" s="775" t="n"/>
      <c r="K202" s="775" t="n"/>
      <c r="L202" s="775" t="n"/>
      <c r="M202" s="775" t="n"/>
      <c r="N202" s="775" t="n"/>
      <c r="O202" s="775" t="n"/>
      <c r="P202" s="775" t="n"/>
      <c r="Q202" s="775" t="n"/>
      <c r="R202" s="775" t="n"/>
      <c r="S202" s="775" t="n"/>
      <c r="T202" s="775" t="n"/>
      <c r="U202" s="775" t="n"/>
      <c r="V202" s="775" t="n"/>
      <c r="W202" s="775" t="n"/>
      <c r="X202" s="775" t="n"/>
      <c r="Y202" s="775" t="n"/>
    </row>
    <row r="203" ht="15" customFormat="1" customHeight="1" s="386">
      <c r="A203" s="775" t="n"/>
      <c r="B203" s="775" t="n"/>
      <c r="C203" s="775" t="n"/>
      <c r="D203" s="775" t="n"/>
      <c r="E203" s="775" t="n"/>
      <c r="F203" s="775" t="n"/>
      <c r="G203" s="775" t="n"/>
      <c r="H203" s="775" t="n"/>
      <c r="I203" s="775" t="n"/>
      <c r="J203" s="775" t="n"/>
      <c r="K203" s="775" t="n"/>
      <c r="L203" s="775" t="n"/>
      <c r="M203" s="775" t="n"/>
      <c r="N203" s="775" t="n"/>
      <c r="O203" s="775" t="n"/>
      <c r="P203" s="775" t="n"/>
      <c r="Q203" s="775" t="n"/>
      <c r="R203" s="775" t="n"/>
      <c r="S203" s="775" t="n"/>
      <c r="T203" s="775" t="n"/>
      <c r="U203" s="775" t="n"/>
      <c r="V203" s="775" t="n"/>
      <c r="W203" s="775" t="n"/>
      <c r="X203" s="775" t="n"/>
      <c r="Y203" s="775" t="n"/>
    </row>
    <row r="204" ht="15" customFormat="1" customHeight="1" s="386">
      <c r="A204" s="775" t="n"/>
      <c r="B204" s="775" t="n"/>
      <c r="C204" s="775" t="n"/>
      <c r="D204" s="775" t="n"/>
      <c r="E204" s="775" t="n"/>
      <c r="F204" s="775" t="n"/>
      <c r="G204" s="775" t="n"/>
      <c r="H204" s="775" t="n"/>
      <c r="I204" s="775" t="n"/>
      <c r="J204" s="775" t="n"/>
      <c r="K204" s="775" t="n"/>
      <c r="L204" s="775" t="n"/>
      <c r="M204" s="775" t="n"/>
      <c r="N204" s="775" t="n"/>
      <c r="O204" s="775" t="n"/>
      <c r="P204" s="775" t="n"/>
      <c r="Q204" s="775" t="n"/>
      <c r="R204" s="775" t="n"/>
      <c r="S204" s="775" t="n"/>
      <c r="T204" s="775" t="n"/>
      <c r="U204" s="775" t="n"/>
      <c r="V204" s="775" t="n"/>
      <c r="W204" s="775" t="n"/>
      <c r="X204" s="775" t="n"/>
      <c r="Y204" s="775" t="n"/>
    </row>
    <row r="205" ht="15" customFormat="1" customHeight="1" s="386">
      <c r="A205" s="775" t="n"/>
      <c r="B205" s="775" t="n"/>
      <c r="C205" s="775" t="n"/>
      <c r="D205" s="775" t="n"/>
      <c r="E205" s="775" t="n"/>
      <c r="F205" s="775" t="n"/>
      <c r="G205" s="775" t="n"/>
      <c r="H205" s="775" t="n"/>
      <c r="I205" s="775" t="n"/>
      <c r="J205" s="775" t="n"/>
      <c r="K205" s="775" t="n"/>
      <c r="L205" s="775" t="n"/>
      <c r="M205" s="775" t="n"/>
      <c r="N205" s="775" t="n"/>
      <c r="O205" s="775" t="n"/>
      <c r="P205" s="775" t="n"/>
      <c r="Q205" s="775" t="n"/>
      <c r="R205" s="775" t="n"/>
      <c r="S205" s="775" t="n"/>
      <c r="T205" s="775" t="n"/>
      <c r="U205" s="775" t="n"/>
      <c r="V205" s="775" t="n"/>
      <c r="W205" s="775" t="n"/>
      <c r="X205" s="775" t="n"/>
      <c r="Y205" s="775" t="n"/>
    </row>
    <row r="206" ht="15" customFormat="1" customHeight="1" s="386">
      <c r="A206" s="775" t="n"/>
      <c r="B206" s="775" t="n"/>
      <c r="C206" s="775" t="n"/>
      <c r="D206" s="775" t="n"/>
      <c r="E206" s="775" t="n"/>
      <c r="F206" s="775" t="n"/>
      <c r="G206" s="775" t="n"/>
      <c r="H206" s="775" t="n"/>
      <c r="I206" s="775" t="n"/>
      <c r="J206" s="775" t="n"/>
      <c r="K206" s="775" t="n"/>
      <c r="L206" s="775" t="n"/>
      <c r="M206" s="775" t="n"/>
      <c r="N206" s="775" t="n"/>
      <c r="O206" s="775" t="n"/>
      <c r="P206" s="775" t="n"/>
      <c r="Q206" s="775" t="n"/>
      <c r="R206" s="775" t="n"/>
      <c r="S206" s="775" t="n"/>
      <c r="T206" s="775" t="n"/>
      <c r="U206" s="775" t="n"/>
      <c r="V206" s="775" t="n"/>
      <c r="W206" s="775" t="n"/>
      <c r="X206" s="775" t="n"/>
      <c r="Y206" s="775" t="n"/>
    </row>
    <row r="207" ht="15" customFormat="1" customHeight="1" s="386">
      <c r="A207" s="775" t="n"/>
      <c r="B207" s="775" t="n"/>
      <c r="C207" s="775" t="n"/>
      <c r="D207" s="775" t="n"/>
      <c r="E207" s="775" t="n"/>
      <c r="F207" s="775" t="n"/>
      <c r="G207" s="775" t="n"/>
      <c r="H207" s="775" t="n"/>
      <c r="I207" s="775" t="n"/>
      <c r="J207" s="775" t="n"/>
      <c r="K207" s="775" t="n"/>
      <c r="L207" s="775" t="n"/>
      <c r="M207" s="775" t="n"/>
      <c r="N207" s="775" t="n"/>
      <c r="O207" s="775" t="n"/>
      <c r="P207" s="775" t="n"/>
      <c r="Q207" s="775" t="n"/>
      <c r="R207" s="775" t="n"/>
      <c r="S207" s="775" t="n"/>
      <c r="T207" s="775" t="n"/>
      <c r="U207" s="775" t="n"/>
      <c r="V207" s="775" t="n"/>
      <c r="W207" s="775" t="n"/>
      <c r="X207" s="775" t="n"/>
      <c r="Y207" s="775" t="n"/>
    </row>
    <row r="208" ht="15" customFormat="1" customHeight="1" s="386">
      <c r="A208" s="775" t="n"/>
      <c r="B208" s="775" t="n"/>
      <c r="C208" s="775" t="n"/>
      <c r="D208" s="775" t="n"/>
      <c r="E208" s="775" t="n"/>
      <c r="F208" s="775" t="n"/>
      <c r="G208" s="775" t="n"/>
      <c r="H208" s="775" t="n"/>
      <c r="I208" s="775" t="n"/>
      <c r="J208" s="775" t="n"/>
      <c r="K208" s="775" t="n"/>
      <c r="L208" s="775" t="n"/>
      <c r="M208" s="775" t="n"/>
      <c r="N208" s="775" t="n"/>
      <c r="O208" s="775" t="n"/>
      <c r="P208" s="775" t="n"/>
      <c r="Q208" s="775" t="n"/>
      <c r="R208" s="775" t="n"/>
      <c r="S208" s="775" t="n"/>
      <c r="T208" s="775" t="n"/>
      <c r="U208" s="775" t="n"/>
      <c r="V208" s="775" t="n"/>
      <c r="W208" s="775" t="n"/>
      <c r="X208" s="775" t="n"/>
      <c r="Y208" s="775" t="n"/>
    </row>
    <row r="209" ht="15" customFormat="1" customHeight="1" s="386">
      <c r="A209" s="775" t="n"/>
      <c r="B209" s="775" t="n"/>
      <c r="C209" s="775" t="n"/>
      <c r="D209" s="775" t="n"/>
      <c r="E209" s="775" t="n"/>
      <c r="F209" s="775" t="n"/>
      <c r="G209" s="775" t="n"/>
      <c r="H209" s="775" t="n"/>
      <c r="I209" s="775" t="n"/>
      <c r="J209" s="775" t="n"/>
      <c r="K209" s="775" t="n"/>
      <c r="L209" s="775" t="n"/>
      <c r="M209" s="775" t="n"/>
      <c r="N209" s="775" t="n"/>
      <c r="O209" s="775" t="n"/>
      <c r="P209" s="775" t="n"/>
      <c r="Q209" s="775" t="n"/>
      <c r="R209" s="775" t="n"/>
      <c r="S209" s="775" t="n"/>
      <c r="T209" s="775" t="n"/>
      <c r="U209" s="775" t="n"/>
      <c r="V209" s="775" t="n"/>
      <c r="W209" s="775" t="n"/>
      <c r="X209" s="775" t="n"/>
      <c r="Y209" s="775" t="n"/>
    </row>
    <row r="210" ht="15" customFormat="1" customHeight="1" s="386">
      <c r="A210" s="775" t="n"/>
      <c r="B210" s="775" t="n"/>
      <c r="C210" s="775" t="n"/>
      <c r="D210" s="775" t="n"/>
      <c r="E210" s="775" t="n"/>
      <c r="F210" s="775" t="n"/>
      <c r="G210" s="775" t="n"/>
      <c r="H210" s="775" t="n"/>
      <c r="I210" s="775" t="n"/>
      <c r="J210" s="775" t="n"/>
      <c r="K210" s="775" t="n"/>
      <c r="L210" s="775" t="n"/>
      <c r="M210" s="775" t="n"/>
      <c r="N210" s="775" t="n"/>
      <c r="O210" s="775" t="n"/>
      <c r="P210" s="775" t="n"/>
      <c r="Q210" s="775" t="n"/>
      <c r="R210" s="775" t="n"/>
      <c r="S210" s="775" t="n"/>
      <c r="T210" s="775" t="n"/>
      <c r="U210" s="775" t="n"/>
      <c r="V210" s="775" t="n"/>
      <c r="W210" s="775" t="n"/>
      <c r="X210" s="775" t="n"/>
      <c r="Y210" s="775" t="n"/>
    </row>
    <row r="211" ht="15" customFormat="1" customHeight="1" s="386">
      <c r="A211" s="775" t="n"/>
      <c r="B211" s="775" t="n"/>
      <c r="C211" s="775" t="n"/>
      <c r="D211" s="775" t="n"/>
      <c r="E211" s="775" t="n"/>
      <c r="F211" s="775" t="n"/>
      <c r="G211" s="775" t="n"/>
      <c r="H211" s="775" t="n"/>
      <c r="I211" s="775" t="n"/>
      <c r="J211" s="775" t="n"/>
      <c r="K211" s="775" t="n"/>
      <c r="L211" s="775" t="n"/>
      <c r="M211" s="775" t="n"/>
      <c r="N211" s="775" t="n"/>
      <c r="O211" s="775" t="n"/>
      <c r="P211" s="775" t="n"/>
      <c r="Q211" s="775" t="n"/>
      <c r="R211" s="775" t="n"/>
      <c r="S211" s="775" t="n"/>
      <c r="T211" s="775" t="n"/>
      <c r="U211" s="775" t="n"/>
      <c r="V211" s="775" t="n"/>
      <c r="W211" s="775" t="n"/>
      <c r="X211" s="775" t="n"/>
      <c r="Y211" s="775" t="n"/>
    </row>
    <row r="212" ht="15" customFormat="1" customHeight="1" s="386">
      <c r="A212" s="775" t="n"/>
      <c r="B212" s="775" t="n"/>
      <c r="C212" s="775" t="n"/>
      <c r="D212" s="775" t="n"/>
      <c r="E212" s="775" t="n"/>
      <c r="F212" s="775" t="n"/>
      <c r="G212" s="775" t="n"/>
      <c r="H212" s="775" t="n"/>
      <c r="I212" s="775" t="n"/>
      <c r="J212" s="775" t="n"/>
      <c r="K212" s="775" t="n"/>
      <c r="L212" s="775" t="n"/>
      <c r="M212" s="775" t="n"/>
      <c r="N212" s="775" t="n"/>
      <c r="O212" s="775" t="n"/>
      <c r="P212" s="775" t="n"/>
      <c r="Q212" s="775" t="n"/>
      <c r="R212" s="775" t="n"/>
      <c r="S212" s="775" t="n"/>
      <c r="T212" s="775" t="n"/>
      <c r="U212" s="775" t="n"/>
      <c r="V212" s="775" t="n"/>
      <c r="W212" s="775" t="n"/>
      <c r="X212" s="775" t="n"/>
      <c r="Y212" s="775" t="n"/>
    </row>
    <row r="213" ht="15" customFormat="1" customHeight="1" s="386">
      <c r="A213" s="775" t="n"/>
      <c r="B213" s="775" t="n"/>
      <c r="C213" s="775" t="n"/>
      <c r="D213" s="775" t="n"/>
      <c r="E213" s="775" t="n"/>
      <c r="F213" s="775" t="n"/>
      <c r="G213" s="775" t="n"/>
      <c r="H213" s="775" t="n"/>
      <c r="I213" s="775" t="n"/>
      <c r="J213" s="775" t="n"/>
      <c r="K213" s="775" t="n"/>
      <c r="L213" s="775" t="n"/>
      <c r="M213" s="775" t="n"/>
      <c r="N213" s="775" t="n"/>
      <c r="O213" s="775" t="n"/>
      <c r="P213" s="775" t="n"/>
      <c r="Q213" s="775" t="n"/>
      <c r="R213" s="775" t="n"/>
      <c r="S213" s="775" t="n"/>
      <c r="T213" s="775" t="n"/>
      <c r="U213" s="775" t="n"/>
      <c r="V213" s="775" t="n"/>
      <c r="W213" s="775" t="n"/>
      <c r="X213" s="775" t="n"/>
      <c r="Y213" s="775" t="n"/>
    </row>
    <row r="214" ht="15" customFormat="1" customHeight="1" s="386">
      <c r="A214" s="775" t="n"/>
      <c r="B214" s="775" t="n"/>
      <c r="C214" s="775" t="n"/>
      <c r="D214" s="775" t="n"/>
      <c r="E214" s="775" t="n"/>
      <c r="F214" s="775" t="n"/>
      <c r="G214" s="775" t="n"/>
      <c r="H214" s="775" t="n"/>
      <c r="I214" s="775" t="n"/>
      <c r="J214" s="775" t="n"/>
      <c r="K214" s="775" t="n"/>
      <c r="L214" s="775" t="n"/>
      <c r="M214" s="775" t="n"/>
      <c r="N214" s="775" t="n"/>
      <c r="O214" s="775" t="n"/>
      <c r="P214" s="775" t="n"/>
      <c r="Q214" s="775" t="n"/>
      <c r="R214" s="775" t="n"/>
      <c r="S214" s="775" t="n"/>
      <c r="T214" s="775" t="n"/>
      <c r="U214" s="775" t="n"/>
      <c r="V214" s="775" t="n"/>
      <c r="W214" s="775" t="n"/>
      <c r="X214" s="775" t="n"/>
      <c r="Y214" s="775" t="n"/>
    </row>
    <row r="215" ht="15" customFormat="1" customHeight="1" s="386">
      <c r="A215" s="775" t="n"/>
      <c r="B215" s="775" t="n"/>
      <c r="C215" s="775" t="n"/>
      <c r="D215" s="775" t="n"/>
      <c r="E215" s="775" t="n"/>
      <c r="F215" s="775" t="n"/>
      <c r="G215" s="775" t="n"/>
      <c r="H215" s="775" t="n"/>
      <c r="I215" s="775" t="n"/>
      <c r="J215" s="775" t="n"/>
      <c r="K215" s="775" t="n"/>
      <c r="L215" s="775" t="n"/>
      <c r="M215" s="775" t="n"/>
      <c r="N215" s="775" t="n"/>
      <c r="O215" s="775" t="n"/>
      <c r="P215" s="775" t="n"/>
      <c r="Q215" s="775" t="n"/>
      <c r="R215" s="775" t="n"/>
      <c r="S215" s="775" t="n"/>
      <c r="T215" s="775" t="n"/>
      <c r="U215" s="775" t="n"/>
      <c r="V215" s="775" t="n"/>
      <c r="W215" s="775" t="n"/>
      <c r="X215" s="775" t="n"/>
      <c r="Y215" s="775" t="n"/>
    </row>
    <row r="216" ht="15" customFormat="1" customHeight="1" s="386">
      <c r="A216" s="775" t="n"/>
      <c r="B216" s="775" t="n"/>
      <c r="C216" s="775" t="n"/>
      <c r="D216" s="775" t="n"/>
      <c r="E216" s="775" t="n"/>
      <c r="F216" s="775" t="n"/>
      <c r="G216" s="775" t="n"/>
      <c r="H216" s="775" t="n"/>
      <c r="I216" s="775" t="n"/>
      <c r="J216" s="775" t="n"/>
      <c r="K216" s="775" t="n"/>
      <c r="L216" s="775" t="n"/>
      <c r="M216" s="775" t="n"/>
      <c r="N216" s="775" t="n"/>
      <c r="O216" s="775" t="n"/>
      <c r="P216" s="775" t="n"/>
      <c r="Q216" s="775" t="n"/>
      <c r="R216" s="775" t="n"/>
      <c r="S216" s="775" t="n"/>
      <c r="T216" s="775" t="n"/>
      <c r="U216" s="775" t="n"/>
      <c r="V216" s="775" t="n"/>
      <c r="W216" s="775" t="n"/>
      <c r="X216" s="775" t="n"/>
      <c r="Y216" s="775" t="n"/>
    </row>
    <row r="217" ht="15" customFormat="1" customHeight="1" s="386">
      <c r="A217" s="775" t="n"/>
      <c r="B217" s="775" t="n"/>
      <c r="C217" s="775" t="n"/>
      <c r="D217" s="775" t="n"/>
      <c r="E217" s="775" t="n"/>
      <c r="F217" s="775" t="n"/>
      <c r="G217" s="775" t="n"/>
      <c r="H217" s="775" t="n"/>
      <c r="I217" s="775" t="n"/>
      <c r="J217" s="775" t="n"/>
      <c r="K217" s="775" t="n"/>
      <c r="L217" s="775" t="n"/>
      <c r="M217" s="775" t="n"/>
      <c r="N217" s="775" t="n"/>
      <c r="O217" s="775" t="n"/>
      <c r="P217" s="775" t="n"/>
      <c r="Q217" s="775" t="n"/>
      <c r="R217" s="775" t="n"/>
      <c r="S217" s="775" t="n"/>
      <c r="T217" s="775" t="n"/>
      <c r="U217" s="775" t="n"/>
      <c r="V217" s="775" t="n"/>
      <c r="W217" s="775" t="n"/>
      <c r="X217" s="775" t="n"/>
      <c r="Y217" s="775" t="n"/>
    </row>
    <row r="218" ht="15" customFormat="1" customHeight="1" s="386">
      <c r="A218" s="775" t="n"/>
      <c r="B218" s="775" t="n"/>
      <c r="C218" s="775" t="n"/>
      <c r="D218" s="775" t="n"/>
      <c r="E218" s="775" t="n"/>
      <c r="F218" s="775" t="n"/>
      <c r="G218" s="775" t="n"/>
      <c r="H218" s="775" t="n"/>
      <c r="I218" s="775" t="n"/>
      <c r="J218" s="775" t="n"/>
      <c r="K218" s="775" t="n"/>
      <c r="L218" s="775" t="n"/>
      <c r="M218" s="775" t="n"/>
      <c r="N218" s="775" t="n"/>
      <c r="O218" s="775" t="n"/>
      <c r="P218" s="775" t="n"/>
      <c r="Q218" s="775" t="n"/>
      <c r="R218" s="775" t="n"/>
      <c r="S218" s="775" t="n"/>
      <c r="T218" s="775" t="n"/>
      <c r="U218" s="775" t="n"/>
      <c r="V218" s="775" t="n"/>
      <c r="W218" s="775" t="n"/>
      <c r="X218" s="775" t="n"/>
      <c r="Y218" s="775" t="n"/>
    </row>
    <row r="219" ht="15" customFormat="1" customHeight="1" s="386">
      <c r="A219" s="775" t="n"/>
      <c r="B219" s="775" t="n"/>
      <c r="C219" s="775" t="n"/>
      <c r="D219" s="775" t="n"/>
      <c r="E219" s="775" t="n"/>
      <c r="F219" s="775" t="n"/>
      <c r="G219" s="775" t="n"/>
      <c r="H219" s="775" t="n"/>
      <c r="I219" s="775" t="n"/>
      <c r="J219" s="775" t="n"/>
      <c r="K219" s="775" t="n"/>
      <c r="L219" s="775" t="n"/>
      <c r="M219" s="775" t="n"/>
      <c r="N219" s="775" t="n"/>
      <c r="O219" s="775" t="n"/>
      <c r="P219" s="775" t="n"/>
      <c r="Q219" s="775" t="n"/>
      <c r="R219" s="775" t="n"/>
      <c r="S219" s="775" t="n"/>
      <c r="T219" s="775" t="n"/>
      <c r="U219" s="775" t="n"/>
      <c r="V219" s="775" t="n"/>
      <c r="W219" s="775" t="n"/>
      <c r="X219" s="775" t="n"/>
      <c r="Y219" s="775" t="n"/>
    </row>
    <row r="220" ht="15" customFormat="1" customHeight="1" s="386">
      <c r="A220" s="775" t="n"/>
      <c r="B220" s="775" t="n"/>
      <c r="C220" s="775" t="n"/>
      <c r="D220" s="775" t="n"/>
      <c r="E220" s="775" t="n"/>
      <c r="F220" s="775" t="n"/>
      <c r="G220" s="775" t="n"/>
      <c r="H220" s="775" t="n"/>
      <c r="I220" s="775" t="n"/>
      <c r="J220" s="775" t="n"/>
      <c r="K220" s="775" t="n"/>
      <c r="L220" s="775" t="n"/>
      <c r="M220" s="775" t="n"/>
      <c r="N220" s="775" t="n"/>
      <c r="O220" s="775" t="n"/>
      <c r="P220" s="775" t="n"/>
      <c r="Q220" s="775" t="n"/>
      <c r="R220" s="775" t="n"/>
      <c r="S220" s="775" t="n"/>
      <c r="T220" s="775" t="n"/>
      <c r="U220" s="775" t="n"/>
      <c r="V220" s="775" t="n"/>
      <c r="W220" s="775" t="n"/>
      <c r="X220" s="775" t="n"/>
      <c r="Y220" s="775" t="n"/>
    </row>
    <row r="221" ht="15" customFormat="1" customHeight="1" s="386">
      <c r="A221" s="775" t="n"/>
      <c r="B221" s="775" t="n"/>
      <c r="C221" s="775" t="n"/>
      <c r="D221" s="775" t="n"/>
      <c r="E221" s="775" t="n"/>
      <c r="F221" s="775" t="n"/>
      <c r="G221" s="775" t="n"/>
      <c r="H221" s="775" t="n"/>
      <c r="I221" s="775" t="n"/>
      <c r="J221" s="775" t="n"/>
      <c r="K221" s="775" t="n"/>
      <c r="L221" s="775" t="n"/>
      <c r="M221" s="775" t="n"/>
      <c r="N221" s="775" t="n"/>
      <c r="O221" s="775" t="n"/>
      <c r="P221" s="775" t="n"/>
      <c r="Q221" s="775" t="n"/>
      <c r="R221" s="775" t="n"/>
      <c r="S221" s="775" t="n"/>
      <c r="T221" s="775" t="n"/>
      <c r="U221" s="775" t="n"/>
      <c r="V221" s="775" t="n"/>
      <c r="W221" s="775" t="n"/>
      <c r="X221" s="775" t="n"/>
      <c r="Y221" s="775" t="n"/>
    </row>
    <row r="222" ht="15" customFormat="1" customHeight="1" s="386">
      <c r="A222" s="775" t="n"/>
      <c r="B222" s="775" t="n"/>
      <c r="C222" s="775" t="n"/>
      <c r="D222" s="775" t="n"/>
      <c r="E222" s="775" t="n"/>
      <c r="F222" s="775" t="n"/>
      <c r="G222" s="775" t="n"/>
      <c r="H222" s="775" t="n"/>
      <c r="I222" s="775" t="n"/>
      <c r="J222" s="775" t="n"/>
      <c r="K222" s="775" t="n"/>
      <c r="L222" s="775" t="n"/>
      <c r="M222" s="775" t="n"/>
      <c r="N222" s="775" t="n"/>
      <c r="O222" s="775" t="n"/>
      <c r="P222" s="775" t="n"/>
      <c r="Q222" s="775" t="n"/>
      <c r="R222" s="775" t="n"/>
      <c r="S222" s="775" t="n"/>
      <c r="T222" s="775" t="n"/>
      <c r="U222" s="775" t="n"/>
      <c r="V222" s="775" t="n"/>
      <c r="W222" s="775" t="n"/>
      <c r="X222" s="775" t="n"/>
      <c r="Y222" s="775" t="n"/>
    </row>
    <row r="223" ht="15" customFormat="1" customHeight="1" s="386">
      <c r="A223" s="775" t="n"/>
      <c r="B223" s="775" t="n"/>
      <c r="C223" s="775" t="n"/>
      <c r="D223" s="775" t="n"/>
      <c r="E223" s="775" t="n"/>
      <c r="F223" s="775" t="n"/>
      <c r="G223" s="775" t="n"/>
      <c r="H223" s="775" t="n"/>
      <c r="I223" s="775" t="n"/>
      <c r="J223" s="775" t="n"/>
      <c r="K223" s="775" t="n"/>
      <c r="L223" s="775" t="n"/>
      <c r="M223" s="775" t="n"/>
      <c r="N223" s="775" t="n"/>
      <c r="O223" s="775" t="n"/>
      <c r="P223" s="775" t="n"/>
      <c r="Q223" s="775" t="n"/>
      <c r="R223" s="775" t="n"/>
      <c r="S223" s="775" t="n"/>
      <c r="T223" s="775" t="n"/>
      <c r="U223" s="775" t="n"/>
      <c r="V223" s="775" t="n"/>
      <c r="W223" s="775" t="n"/>
      <c r="X223" s="775" t="n"/>
      <c r="Y223" s="775" t="n"/>
    </row>
    <row r="224" ht="15" customFormat="1" customHeight="1" s="386">
      <c r="A224" s="775" t="n"/>
      <c r="B224" s="775" t="n"/>
      <c r="C224" s="775" t="n"/>
      <c r="D224" s="775" t="n"/>
      <c r="E224" s="775" t="n"/>
      <c r="F224" s="775" t="n"/>
      <c r="G224" s="775" t="n"/>
      <c r="H224" s="775" t="n"/>
      <c r="I224" s="775" t="n"/>
      <c r="J224" s="775" t="n"/>
      <c r="K224" s="775" t="n"/>
      <c r="L224" s="775" t="n"/>
      <c r="M224" s="775" t="n"/>
      <c r="N224" s="775" t="n"/>
      <c r="O224" s="775" t="n"/>
      <c r="P224" s="775" t="n"/>
      <c r="Q224" s="775" t="n"/>
      <c r="R224" s="775" t="n"/>
      <c r="S224" s="775" t="n"/>
      <c r="T224" s="775" t="n"/>
      <c r="U224" s="775" t="n"/>
      <c r="V224" s="775" t="n"/>
      <c r="W224" s="775" t="n"/>
      <c r="X224" s="775" t="n"/>
      <c r="Y224" s="775" t="n"/>
    </row>
    <row r="225" ht="15" customFormat="1" customHeight="1" s="386">
      <c r="A225" s="775" t="n"/>
      <c r="B225" s="775" t="n"/>
      <c r="C225" s="775" t="n"/>
      <c r="D225" s="775" t="n"/>
      <c r="E225" s="775" t="n"/>
      <c r="F225" s="775" t="n"/>
      <c r="G225" s="775" t="n"/>
      <c r="H225" s="775" t="n"/>
      <c r="I225" s="775" t="n"/>
      <c r="J225" s="775" t="n"/>
      <c r="K225" s="775" t="n"/>
      <c r="L225" s="775" t="n"/>
      <c r="M225" s="775" t="n"/>
      <c r="N225" s="775" t="n"/>
      <c r="O225" s="775" t="n"/>
      <c r="P225" s="775" t="n"/>
      <c r="Q225" s="775" t="n"/>
      <c r="R225" s="775" t="n"/>
      <c r="S225" s="775" t="n"/>
      <c r="T225" s="775" t="n"/>
      <c r="U225" s="775" t="n"/>
      <c r="V225" s="775" t="n"/>
      <c r="W225" s="775" t="n"/>
      <c r="X225" s="775" t="n"/>
      <c r="Y225" s="775" t="n"/>
    </row>
    <row r="226" ht="15" customFormat="1" customHeight="1" s="386">
      <c r="A226" s="775" t="n"/>
      <c r="B226" s="775" t="n"/>
      <c r="C226" s="775" t="n"/>
      <c r="D226" s="775" t="n"/>
      <c r="E226" s="775" t="n"/>
      <c r="F226" s="775" t="n"/>
      <c r="G226" s="775" t="n"/>
      <c r="H226" s="775" t="n"/>
      <c r="I226" s="775" t="n"/>
      <c r="J226" s="775" t="n"/>
      <c r="K226" s="775" t="n"/>
      <c r="L226" s="775" t="n"/>
      <c r="M226" s="775" t="n"/>
      <c r="N226" s="775" t="n"/>
      <c r="O226" s="775" t="n"/>
      <c r="P226" s="775" t="n"/>
      <c r="Q226" s="775" t="n"/>
      <c r="R226" s="775" t="n"/>
      <c r="S226" s="775" t="n"/>
      <c r="T226" s="775" t="n"/>
      <c r="U226" s="775" t="n"/>
      <c r="V226" s="775" t="n"/>
      <c r="W226" s="775" t="n"/>
      <c r="X226" s="775" t="n"/>
      <c r="Y226" s="775" t="n"/>
    </row>
    <row r="227" ht="15" customFormat="1" customHeight="1" s="386">
      <c r="A227" s="775" t="n"/>
      <c r="B227" s="775" t="n"/>
      <c r="C227" s="775" t="n"/>
      <c r="D227" s="775" t="n"/>
      <c r="E227" s="775" t="n"/>
      <c r="F227" s="775" t="n"/>
      <c r="G227" s="775" t="n"/>
      <c r="H227" s="775" t="n"/>
      <c r="I227" s="775" t="n"/>
      <c r="J227" s="775" t="n"/>
      <c r="K227" s="775" t="n"/>
      <c r="L227" s="775" t="n"/>
      <c r="M227" s="775" t="n"/>
      <c r="N227" s="775" t="n"/>
      <c r="O227" s="775" t="n"/>
      <c r="P227" s="775" t="n"/>
      <c r="Q227" s="775" t="n"/>
      <c r="R227" s="775" t="n"/>
      <c r="S227" s="775" t="n"/>
      <c r="T227" s="775" t="n"/>
      <c r="U227" s="775" t="n"/>
      <c r="V227" s="775" t="n"/>
      <c r="W227" s="775" t="n"/>
      <c r="X227" s="775" t="n"/>
      <c r="Y227" s="775" t="n"/>
    </row>
    <row r="228" ht="15" customFormat="1" customHeight="1" s="386">
      <c r="A228" s="775" t="n"/>
      <c r="B228" s="775" t="n"/>
      <c r="C228" s="775" t="n"/>
      <c r="D228" s="775" t="n"/>
      <c r="E228" s="775" t="n"/>
      <c r="F228" s="775" t="n"/>
      <c r="G228" s="775" t="n"/>
      <c r="H228" s="775" t="n"/>
      <c r="I228" s="775" t="n"/>
      <c r="J228" s="775" t="n"/>
      <c r="K228" s="775" t="n"/>
      <c r="L228" s="775" t="n"/>
      <c r="M228" s="775" t="n"/>
      <c r="N228" s="775" t="n"/>
      <c r="O228" s="775" t="n"/>
      <c r="P228" s="775" t="n"/>
      <c r="Q228" s="775" t="n"/>
      <c r="R228" s="775" t="n"/>
      <c r="S228" s="775" t="n"/>
      <c r="T228" s="775" t="n"/>
      <c r="U228" s="775" t="n"/>
      <c r="V228" s="775" t="n"/>
      <c r="W228" s="775" t="n"/>
      <c r="X228" s="775" t="n"/>
      <c r="Y228" s="775" t="n"/>
    </row>
    <row r="229" ht="15" customFormat="1" customHeight="1" s="386">
      <c r="A229" s="775" t="n"/>
      <c r="B229" s="775" t="n"/>
      <c r="C229" s="775" t="n"/>
      <c r="D229" s="775" t="n"/>
      <c r="E229" s="775" t="n"/>
      <c r="F229" s="775" t="n"/>
      <c r="G229" s="775" t="n"/>
      <c r="H229" s="775" t="n"/>
      <c r="I229" s="775" t="n"/>
      <c r="J229" s="775" t="n"/>
      <c r="K229" s="775" t="n"/>
      <c r="L229" s="775" t="n"/>
      <c r="M229" s="775" t="n"/>
      <c r="N229" s="775" t="n"/>
      <c r="O229" s="775" t="n"/>
      <c r="P229" s="775" t="n"/>
      <c r="Q229" s="775" t="n"/>
      <c r="R229" s="775" t="n"/>
      <c r="S229" s="775" t="n"/>
      <c r="T229" s="775" t="n"/>
      <c r="U229" s="775" t="n"/>
      <c r="V229" s="775" t="n"/>
      <c r="W229" s="775" t="n"/>
      <c r="X229" s="775" t="n"/>
      <c r="Y229" s="775" t="n"/>
    </row>
    <row r="230" ht="15" customFormat="1" customHeight="1" s="386">
      <c r="A230" s="775" t="n"/>
      <c r="B230" s="775" t="n"/>
      <c r="C230" s="775" t="n"/>
      <c r="D230" s="775" t="n"/>
      <c r="E230" s="775" t="n"/>
      <c r="F230" s="775" t="n"/>
      <c r="G230" s="775" t="n"/>
      <c r="H230" s="775" t="n"/>
      <c r="I230" s="775" t="n"/>
      <c r="J230" s="775" t="n"/>
      <c r="K230" s="775" t="n"/>
      <c r="L230" s="775" t="n"/>
      <c r="M230" s="775" t="n"/>
      <c r="N230" s="775" t="n"/>
      <c r="O230" s="775" t="n"/>
      <c r="P230" s="775" t="n"/>
      <c r="Q230" s="775" t="n"/>
      <c r="R230" s="775" t="n"/>
      <c r="S230" s="775" t="n"/>
      <c r="T230" s="775" t="n"/>
      <c r="U230" s="775" t="n"/>
      <c r="V230" s="775" t="n"/>
      <c r="W230" s="775" t="n"/>
      <c r="X230" s="775" t="n"/>
      <c r="Y230" s="775" t="n"/>
    </row>
    <row r="231" ht="15" customFormat="1" customHeight="1" s="386">
      <c r="A231" s="775" t="n"/>
      <c r="B231" s="775" t="n"/>
      <c r="C231" s="775" t="n"/>
      <c r="D231" s="775" t="n"/>
      <c r="E231" s="775" t="n"/>
      <c r="F231" s="775" t="n"/>
      <c r="G231" s="775" t="n"/>
      <c r="H231" s="775" t="n"/>
      <c r="I231" s="775" t="n"/>
      <c r="J231" s="775" t="n"/>
      <c r="K231" s="775" t="n"/>
      <c r="L231" s="775" t="n"/>
      <c r="M231" s="775" t="n"/>
      <c r="N231" s="775" t="n"/>
      <c r="O231" s="775" t="n"/>
      <c r="P231" s="775" t="n"/>
      <c r="Q231" s="775" t="n"/>
      <c r="R231" s="775" t="n"/>
      <c r="S231" s="775" t="n"/>
      <c r="T231" s="775" t="n"/>
      <c r="U231" s="775" t="n"/>
      <c r="V231" s="775" t="n"/>
      <c r="W231" s="775" t="n"/>
      <c r="X231" s="775" t="n"/>
      <c r="Y231" s="775" t="n"/>
    </row>
    <row r="232" ht="15" customFormat="1" customHeight="1" s="386">
      <c r="A232" s="775" t="n"/>
      <c r="B232" s="775" t="n"/>
      <c r="C232" s="775" t="n"/>
      <c r="D232" s="775" t="n"/>
      <c r="E232" s="775" t="n"/>
      <c r="F232" s="775" t="n"/>
      <c r="G232" s="775" t="n"/>
      <c r="H232" s="775" t="n"/>
      <c r="I232" s="775" t="n"/>
      <c r="J232" s="775" t="n"/>
      <c r="K232" s="775" t="n"/>
      <c r="L232" s="775" t="n"/>
      <c r="M232" s="775" t="n"/>
      <c r="N232" s="775" t="n"/>
      <c r="O232" s="775" t="n"/>
      <c r="P232" s="775" t="n"/>
      <c r="Q232" s="775" t="n"/>
      <c r="R232" s="775" t="n"/>
      <c r="S232" s="775" t="n"/>
      <c r="T232" s="775" t="n"/>
      <c r="U232" s="775" t="n"/>
      <c r="V232" s="775" t="n"/>
      <c r="W232" s="775" t="n"/>
      <c r="X232" s="775" t="n"/>
      <c r="Y232" s="775" t="n"/>
    </row>
    <row r="233" ht="15" customFormat="1" customHeight="1" s="386">
      <c r="A233" s="775" t="n"/>
      <c r="B233" s="775" t="n"/>
      <c r="C233" s="775" t="n"/>
      <c r="D233" s="775" t="n"/>
      <c r="E233" s="775" t="n"/>
      <c r="F233" s="775" t="n"/>
      <c r="G233" s="775" t="n"/>
      <c r="H233" s="775" t="n"/>
      <c r="I233" s="775" t="n"/>
      <c r="J233" s="775" t="n"/>
      <c r="K233" s="775" t="n"/>
      <c r="L233" s="775" t="n"/>
      <c r="M233" s="775" t="n"/>
      <c r="N233" s="775" t="n"/>
      <c r="O233" s="775" t="n"/>
      <c r="P233" s="775" t="n"/>
      <c r="Q233" s="775" t="n"/>
      <c r="R233" s="775" t="n"/>
      <c r="S233" s="775" t="n"/>
      <c r="T233" s="775" t="n"/>
      <c r="U233" s="775" t="n"/>
      <c r="V233" s="775" t="n"/>
      <c r="W233" s="775" t="n"/>
      <c r="X233" s="775" t="n"/>
      <c r="Y233" s="775" t="n"/>
    </row>
    <row r="234" ht="15" customFormat="1" customHeight="1" s="386">
      <c r="A234" s="775" t="n"/>
      <c r="B234" s="775" t="n"/>
      <c r="C234" s="775" t="n"/>
      <c r="D234" s="775" t="n"/>
      <c r="E234" s="775" t="n"/>
      <c r="F234" s="775" t="n"/>
      <c r="G234" s="775" t="n"/>
      <c r="H234" s="775" t="n"/>
      <c r="I234" s="775" t="n"/>
      <c r="J234" s="775" t="n"/>
      <c r="K234" s="775" t="n"/>
      <c r="L234" s="775" t="n"/>
      <c r="M234" s="775" t="n"/>
      <c r="N234" s="775" t="n"/>
      <c r="O234" s="775" t="n"/>
      <c r="P234" s="775" t="n"/>
      <c r="Q234" s="775" t="n"/>
      <c r="R234" s="775" t="n"/>
      <c r="S234" s="775" t="n"/>
      <c r="T234" s="775" t="n"/>
      <c r="U234" s="775" t="n"/>
      <c r="V234" s="775" t="n"/>
      <c r="W234" s="775" t="n"/>
      <c r="X234" s="775" t="n"/>
      <c r="Y234" s="775" t="n"/>
    </row>
    <row r="235" ht="15" customHeight="1" s="828">
      <c r="A235" s="773" t="n"/>
      <c r="B235" s="738" t="n"/>
      <c r="C235" s="736" t="n"/>
      <c r="D235" s="736" t="n"/>
      <c r="E235" s="736" t="n"/>
      <c r="F235" s="736" t="n"/>
      <c r="G235" s="736" t="n"/>
      <c r="H235" s="736" t="n"/>
      <c r="I235" s="736" t="n"/>
      <c r="J235" s="736" t="n"/>
      <c r="K235" s="736" t="n"/>
      <c r="L235" s="736" t="n"/>
      <c r="M235" s="736" t="n"/>
      <c r="N235" s="736" t="n"/>
      <c r="O235" s="736" t="n"/>
      <c r="P235" s="736" t="n"/>
      <c r="Q235" s="736" t="n"/>
      <c r="R235" s="736" t="n"/>
      <c r="S235" s="736" t="n"/>
      <c r="T235" s="736" t="n"/>
      <c r="U235" s="736" t="n"/>
      <c r="V235" s="736" t="n"/>
      <c r="W235" s="736" t="n"/>
      <c r="X235" s="736" t="n"/>
      <c r="Y235" s="736" t="n"/>
    </row>
    <row r="236" ht="15" customHeight="1" s="828">
      <c r="A236" s="773" t="n"/>
      <c r="B236" s="738" t="n"/>
      <c r="C236" s="736" t="n"/>
      <c r="D236" s="736" t="n"/>
      <c r="E236" s="736" t="n"/>
      <c r="F236" s="736" t="n"/>
      <c r="G236" s="736" t="n"/>
      <c r="H236" s="736" t="n"/>
      <c r="I236" s="736" t="n"/>
      <c r="J236" s="736" t="n"/>
      <c r="K236" s="736" t="n"/>
      <c r="L236" s="736" t="n"/>
      <c r="M236" s="736" t="n"/>
      <c r="N236" s="736" t="n"/>
      <c r="O236" s="736" t="n"/>
      <c r="P236" s="736" t="n"/>
      <c r="Q236" s="736" t="n"/>
      <c r="R236" s="736" t="n"/>
      <c r="S236" s="736" t="n"/>
      <c r="T236" s="736" t="n"/>
      <c r="U236" s="736" t="n"/>
      <c r="V236" s="736" t="n"/>
      <c r="W236" s="736" t="n"/>
      <c r="X236" s="736" t="n"/>
      <c r="Y236" s="736" t="n"/>
    </row>
    <row r="237" ht="15" customHeight="1" s="828">
      <c r="A237" s="773" t="n"/>
      <c r="B237" s="738" t="n"/>
      <c r="C237" s="736" t="n"/>
      <c r="D237" s="736" t="n"/>
      <c r="E237" s="736" t="n"/>
      <c r="F237" s="736" t="n"/>
      <c r="G237" s="736" t="n"/>
      <c r="H237" s="736" t="n"/>
      <c r="I237" s="736" t="n"/>
      <c r="J237" s="736" t="n"/>
      <c r="K237" s="736" t="n"/>
      <c r="L237" s="736" t="n"/>
      <c r="M237" s="736" t="n"/>
      <c r="N237" s="736" t="n"/>
      <c r="O237" s="736" t="n"/>
      <c r="P237" s="736" t="n"/>
      <c r="Q237" s="736" t="n"/>
      <c r="R237" s="736" t="n"/>
      <c r="S237" s="736" t="n"/>
      <c r="T237" s="736" t="n"/>
      <c r="U237" s="736" t="n"/>
      <c r="V237" s="736" t="n"/>
      <c r="W237" s="736" t="n"/>
      <c r="X237" s="736" t="n"/>
      <c r="Y237" s="736" t="n"/>
    </row>
    <row r="238" ht="15" customHeight="1" s="828">
      <c r="A238" s="773" t="n"/>
      <c r="B238" s="738" t="n"/>
      <c r="C238" s="736" t="n"/>
      <c r="D238" s="736" t="n"/>
      <c r="E238" s="736" t="n"/>
      <c r="F238" s="736" t="n"/>
      <c r="G238" s="736" t="n"/>
      <c r="H238" s="736" t="n"/>
      <c r="I238" s="736" t="n"/>
      <c r="J238" s="736" t="n"/>
      <c r="K238" s="736" t="n"/>
      <c r="L238" s="736" t="n"/>
      <c r="M238" s="736" t="n"/>
      <c r="N238" s="736" t="n"/>
      <c r="O238" s="736" t="n"/>
      <c r="P238" s="736" t="n"/>
      <c r="Q238" s="736" t="n"/>
      <c r="R238" s="736" t="n"/>
      <c r="S238" s="736" t="n"/>
      <c r="T238" s="736" t="n"/>
      <c r="U238" s="736" t="n"/>
      <c r="V238" s="736" t="n"/>
      <c r="W238" s="736" t="n"/>
      <c r="X238" s="736" t="n"/>
      <c r="Y238" s="736" t="n"/>
    </row>
    <row r="239" ht="15" customHeight="1" s="828">
      <c r="A239" s="773" t="n"/>
      <c r="B239" s="738" t="n"/>
      <c r="C239" s="736" t="n"/>
      <c r="D239" s="736" t="n"/>
      <c r="E239" s="736" t="n"/>
      <c r="F239" s="736" t="n"/>
      <c r="G239" s="736" t="n"/>
      <c r="H239" s="736" t="n"/>
      <c r="I239" s="736" t="n"/>
      <c r="J239" s="736" t="n"/>
      <c r="K239" s="736" t="n"/>
      <c r="L239" s="736" t="n"/>
      <c r="M239" s="736" t="n"/>
      <c r="N239" s="736" t="n"/>
      <c r="O239" s="736" t="n"/>
      <c r="P239" s="736" t="n"/>
      <c r="Q239" s="736" t="n"/>
      <c r="R239" s="736" t="n"/>
      <c r="S239" s="736" t="n"/>
      <c r="T239" s="736" t="n"/>
      <c r="U239" s="736" t="n"/>
      <c r="V239" s="736" t="n"/>
      <c r="W239" s="736" t="n"/>
      <c r="X239" s="736" t="n"/>
      <c r="Y239" s="736" t="n"/>
    </row>
    <row r="240" ht="15" customHeight="1" s="828">
      <c r="A240" s="773" t="n"/>
      <c r="B240" s="738" t="n"/>
      <c r="C240" s="736" t="n"/>
      <c r="D240" s="736" t="n"/>
      <c r="E240" s="736" t="n"/>
      <c r="F240" s="736" t="n"/>
      <c r="G240" s="736" t="n"/>
      <c r="H240" s="736" t="n"/>
      <c r="I240" s="736" t="n"/>
      <c r="J240" s="736" t="n"/>
      <c r="K240" s="736" t="n"/>
      <c r="L240" s="736" t="n"/>
      <c r="M240" s="736" t="n"/>
      <c r="N240" s="736" t="n"/>
      <c r="O240" s="736" t="n"/>
      <c r="P240" s="736" t="n"/>
      <c r="Q240" s="736" t="n"/>
      <c r="R240" s="736" t="n"/>
      <c r="S240" s="736" t="n"/>
      <c r="T240" s="736" t="n"/>
      <c r="U240" s="736" t="n"/>
      <c r="V240" s="736" t="n"/>
      <c r="W240" s="736" t="n"/>
      <c r="X240" s="736" t="n"/>
      <c r="Y240" s="736" t="n"/>
    </row>
    <row r="241" ht="15" customHeight="1" s="828">
      <c r="A241" s="773" t="n"/>
      <c r="B241" s="738" t="n"/>
      <c r="C241" s="736" t="n"/>
      <c r="D241" s="736" t="n"/>
      <c r="E241" s="736" t="n"/>
      <c r="F241" s="736" t="n"/>
      <c r="G241" s="736" t="n"/>
      <c r="H241" s="736" t="n"/>
      <c r="I241" s="736" t="n"/>
      <c r="J241" s="736" t="n"/>
      <c r="K241" s="736" t="n"/>
      <c r="L241" s="736" t="n"/>
      <c r="M241" s="736" t="n"/>
      <c r="N241" s="736" t="n"/>
      <c r="O241" s="736" t="n"/>
      <c r="P241" s="736" t="n"/>
      <c r="Q241" s="736" t="n"/>
      <c r="R241" s="736" t="n"/>
      <c r="S241" s="736" t="n"/>
      <c r="T241" s="736" t="n"/>
      <c r="U241" s="736" t="n"/>
      <c r="V241" s="736" t="n"/>
      <c r="W241" s="736" t="n"/>
      <c r="X241" s="736" t="n"/>
      <c r="Y241" s="736" t="n"/>
    </row>
    <row r="242" ht="15" customHeight="1" s="828">
      <c r="A242" s="773" t="n"/>
      <c r="B242" s="738" t="n"/>
      <c r="C242" s="736" t="n"/>
      <c r="D242" s="736" t="n"/>
      <c r="E242" s="736" t="n"/>
      <c r="F242" s="736" t="n"/>
      <c r="G242" s="736" t="n"/>
      <c r="H242" s="736" t="n"/>
      <c r="I242" s="736" t="n"/>
      <c r="J242" s="736" t="n"/>
      <c r="K242" s="736" t="n"/>
      <c r="L242" s="736" t="n"/>
      <c r="M242" s="736" t="n"/>
      <c r="N242" s="736" t="n"/>
      <c r="O242" s="736" t="n"/>
      <c r="P242" s="736" t="n"/>
      <c r="Q242" s="736" t="n"/>
      <c r="R242" s="736" t="n"/>
      <c r="S242" s="736" t="n"/>
      <c r="T242" s="736" t="n"/>
      <c r="U242" s="736" t="n"/>
      <c r="V242" s="736" t="n"/>
      <c r="W242" s="736" t="n"/>
      <c r="X242" s="736" t="n"/>
      <c r="Y242" s="736" t="n"/>
    </row>
    <row r="243" ht="15" customFormat="1" customHeight="1" s="343">
      <c r="A243" s="749" t="n"/>
      <c r="B243" s="749" t="n"/>
      <c r="C243" s="749" t="n"/>
      <c r="D243" s="749" t="n"/>
      <c r="E243" s="749" t="n"/>
      <c r="F243" s="749" t="n"/>
      <c r="G243" s="749" t="n"/>
      <c r="H243" s="749" t="n"/>
      <c r="I243" s="749" t="n"/>
      <c r="J243" s="749" t="n"/>
      <c r="K243" s="749" t="n"/>
      <c r="L243" s="749" t="n"/>
      <c r="M243" s="749" t="n"/>
      <c r="N243" s="749" t="n"/>
      <c r="O243" s="749" t="n"/>
      <c r="P243" s="749" t="n"/>
      <c r="Q243" s="749" t="n"/>
      <c r="R243" s="749" t="n"/>
      <c r="S243" s="749" t="n"/>
      <c r="T243" s="749" t="n"/>
      <c r="U243" s="749" t="n"/>
      <c r="V243" s="749" t="n"/>
      <c r="W243" s="749" t="n"/>
      <c r="X243" s="749" t="n"/>
      <c r="Y243" s="749" t="n"/>
    </row>
    <row r="244" ht="15" customFormat="1" customHeight="1" s="386">
      <c r="A244" s="775" t="n"/>
      <c r="B244" s="775" t="n"/>
      <c r="C244" s="775" t="n"/>
      <c r="D244" s="775" t="n"/>
      <c r="E244" s="775" t="n"/>
      <c r="F244" s="775" t="n"/>
      <c r="G244" s="775" t="n"/>
      <c r="H244" s="775" t="n"/>
      <c r="I244" s="775" t="n"/>
      <c r="J244" s="775" t="n"/>
      <c r="K244" s="775" t="n"/>
      <c r="L244" s="775" t="n"/>
      <c r="M244" s="775" t="n"/>
      <c r="N244" s="775" t="n"/>
      <c r="O244" s="775" t="n"/>
      <c r="P244" s="775" t="n"/>
      <c r="Q244" s="775" t="n"/>
      <c r="R244" s="775" t="n"/>
      <c r="S244" s="775" t="n"/>
      <c r="T244" s="775" t="n"/>
      <c r="U244" s="775" t="n"/>
      <c r="V244" s="775" t="n"/>
      <c r="W244" s="775" t="n"/>
      <c r="X244" s="775" t="n"/>
      <c r="Y244" s="775" t="n"/>
    </row>
    <row r="245" ht="15" customFormat="1" customHeight="1" s="343">
      <c r="A245" s="749" t="n"/>
      <c r="B245" s="749" t="n"/>
      <c r="C245" s="749" t="n"/>
      <c r="D245" s="749" t="n"/>
      <c r="E245" s="749" t="n"/>
      <c r="F245" s="749" t="n"/>
      <c r="G245" s="749" t="n"/>
      <c r="H245" s="749" t="n"/>
      <c r="I245" s="749" t="n"/>
      <c r="J245" s="749" t="n"/>
      <c r="K245" s="749" t="n"/>
      <c r="L245" s="749" t="n"/>
      <c r="M245" s="749" t="n"/>
      <c r="N245" s="749" t="n"/>
      <c r="O245" s="749" t="n"/>
      <c r="P245" s="749" t="n"/>
      <c r="Q245" s="749" t="n"/>
      <c r="R245" s="749" t="n"/>
      <c r="S245" s="749" t="n"/>
      <c r="T245" s="749" t="n"/>
      <c r="U245" s="749" t="n"/>
      <c r="V245" s="749" t="n"/>
      <c r="W245" s="749" t="n"/>
      <c r="X245" s="749" t="n"/>
      <c r="Y245" s="749" t="n"/>
    </row>
    <row r="246" ht="15" customFormat="1" customHeight="1" s="343">
      <c r="A246" s="749" t="n"/>
      <c r="B246" s="749" t="n"/>
      <c r="C246" s="749" t="n"/>
      <c r="D246" s="749" t="n"/>
      <c r="E246" s="749" t="n"/>
      <c r="F246" s="749" t="n"/>
      <c r="G246" s="749" t="n"/>
      <c r="H246" s="749" t="n"/>
      <c r="I246" s="749" t="n"/>
      <c r="J246" s="749" t="n"/>
      <c r="K246" s="749" t="n"/>
      <c r="L246" s="749" t="n"/>
      <c r="M246" s="749" t="n"/>
      <c r="N246" s="749" t="n"/>
      <c r="O246" s="749" t="n"/>
      <c r="P246" s="749" t="n"/>
      <c r="Q246" s="749" t="n"/>
      <c r="R246" s="749" t="n"/>
      <c r="S246" s="749" t="n"/>
      <c r="T246" s="749" t="n"/>
      <c r="U246" s="749" t="n"/>
      <c r="V246" s="749" t="n"/>
      <c r="W246" s="749" t="n"/>
      <c r="X246" s="749" t="n"/>
      <c r="Y246" s="749" t="n"/>
    </row>
    <row r="247" ht="15" customFormat="1" customHeight="1" s="386">
      <c r="A247" s="775" t="n"/>
      <c r="B247" s="775" t="n"/>
      <c r="C247" s="775" t="n"/>
      <c r="D247" s="775" t="n"/>
      <c r="E247" s="775" t="n"/>
      <c r="F247" s="775" t="n"/>
      <c r="G247" s="775" t="n"/>
      <c r="H247" s="775" t="n"/>
      <c r="I247" s="775" t="n"/>
      <c r="J247" s="775" t="n"/>
      <c r="K247" s="775" t="n"/>
      <c r="L247" s="775" t="n"/>
      <c r="M247" s="775" t="n"/>
      <c r="N247" s="775" t="n"/>
      <c r="O247" s="775" t="n"/>
      <c r="P247" s="775" t="n"/>
      <c r="Q247" s="775" t="n"/>
      <c r="R247" s="775" t="n"/>
      <c r="S247" s="775" t="n"/>
      <c r="T247" s="775" t="n"/>
      <c r="U247" s="775" t="n"/>
      <c r="V247" s="775" t="n"/>
      <c r="W247" s="775" t="n"/>
      <c r="X247" s="775" t="n"/>
      <c r="Y247" s="775" t="n"/>
    </row>
    <row r="248" ht="15" customFormat="1" customHeight="1" s="386">
      <c r="A248" s="775" t="n"/>
      <c r="B248" s="775" t="n"/>
      <c r="C248" s="775" t="n"/>
      <c r="D248" s="775" t="n"/>
      <c r="E248" s="775" t="n"/>
      <c r="F248" s="775" t="n"/>
      <c r="G248" s="775" t="n"/>
      <c r="H248" s="775" t="n"/>
      <c r="I248" s="775" t="n"/>
      <c r="J248" s="775" t="n"/>
      <c r="K248" s="775" t="n"/>
      <c r="L248" s="775" t="n"/>
      <c r="M248" s="775" t="n"/>
      <c r="N248" s="775" t="n"/>
      <c r="O248" s="775" t="n"/>
      <c r="P248" s="775" t="n"/>
      <c r="Q248" s="775" t="n"/>
      <c r="R248" s="775" t="n"/>
      <c r="S248" s="775" t="n"/>
      <c r="T248" s="775" t="n"/>
      <c r="U248" s="775" t="n"/>
      <c r="V248" s="775" t="n"/>
      <c r="W248" s="775" t="n"/>
      <c r="X248" s="775" t="n"/>
      <c r="Y248" s="775" t="n"/>
    </row>
    <row r="249" ht="15" customFormat="1" customHeight="1" s="343">
      <c r="A249" s="749" t="n"/>
      <c r="B249" s="749" t="n"/>
      <c r="C249" s="749" t="n"/>
      <c r="D249" s="749" t="n"/>
      <c r="E249" s="749" t="n"/>
      <c r="F249" s="749" t="n"/>
      <c r="G249" s="749" t="n"/>
      <c r="H249" s="749" t="n"/>
      <c r="I249" s="749" t="n"/>
      <c r="J249" s="749" t="n"/>
      <c r="K249" s="749" t="n"/>
      <c r="L249" s="749" t="n"/>
      <c r="M249" s="749" t="n"/>
      <c r="N249" s="749" t="n"/>
      <c r="O249" s="749" t="n"/>
      <c r="P249" s="749" t="n"/>
      <c r="Q249" s="749" t="n"/>
      <c r="R249" s="749" t="n"/>
      <c r="S249" s="749" t="n"/>
      <c r="T249" s="749" t="n"/>
      <c r="U249" s="749" t="n"/>
      <c r="V249" s="749" t="n"/>
      <c r="W249" s="749" t="n"/>
      <c r="X249" s="749" t="n"/>
      <c r="Y249" s="749" t="n"/>
    </row>
    <row r="250" ht="15" customFormat="1" customHeight="1" s="343">
      <c r="A250" s="749" t="n"/>
      <c r="B250" s="749" t="n"/>
      <c r="C250" s="749" t="n"/>
      <c r="D250" s="749" t="n"/>
      <c r="E250" s="749" t="n"/>
      <c r="F250" s="749" t="n"/>
      <c r="G250" s="749" t="n"/>
      <c r="H250" s="749" t="n"/>
      <c r="I250" s="749" t="n"/>
      <c r="J250" s="749" t="n"/>
      <c r="K250" s="749" t="n"/>
      <c r="L250" s="749" t="n"/>
      <c r="M250" s="749" t="n"/>
      <c r="N250" s="749" t="n"/>
      <c r="O250" s="749" t="n"/>
      <c r="P250" s="749" t="n"/>
      <c r="Q250" s="749" t="n"/>
      <c r="R250" s="749" t="n"/>
      <c r="S250" s="749" t="n"/>
      <c r="T250" s="749" t="n"/>
      <c r="U250" s="749" t="n"/>
      <c r="V250" s="749" t="n"/>
      <c r="W250" s="749" t="n"/>
      <c r="X250" s="749" t="n"/>
      <c r="Y250" s="749" t="n"/>
    </row>
    <row r="251" ht="15" customFormat="1" customHeight="1" s="343">
      <c r="A251" s="749" t="n"/>
      <c r="B251" s="749" t="n"/>
      <c r="C251" s="749" t="n"/>
      <c r="D251" s="749" t="n"/>
      <c r="E251" s="749" t="n"/>
      <c r="F251" s="749" t="n"/>
      <c r="G251" s="749" t="n"/>
      <c r="H251" s="749" t="n"/>
      <c r="I251" s="749" t="n"/>
      <c r="J251" s="749" t="n"/>
      <c r="K251" s="749" t="n"/>
      <c r="L251" s="749" t="n"/>
      <c r="M251" s="749" t="n"/>
      <c r="N251" s="749" t="n"/>
      <c r="O251" s="749" t="n"/>
      <c r="P251" s="749" t="n"/>
      <c r="Q251" s="749" t="n"/>
      <c r="R251" s="749" t="n"/>
      <c r="S251" s="749" t="n"/>
      <c r="T251" s="749" t="n"/>
      <c r="U251" s="749" t="n"/>
      <c r="V251" s="749" t="n"/>
      <c r="W251" s="749" t="n"/>
      <c r="X251" s="749" t="n"/>
      <c r="Y251" s="749" t="n"/>
    </row>
    <row r="252" ht="15" customFormat="1" customHeight="1" s="343">
      <c r="A252" s="749" t="n"/>
      <c r="B252" s="749" t="n"/>
      <c r="C252" s="749" t="n"/>
      <c r="D252" s="749" t="n"/>
      <c r="E252" s="749" t="n"/>
      <c r="F252" s="749" t="n"/>
      <c r="G252" s="749" t="n"/>
      <c r="H252" s="749" t="n"/>
      <c r="I252" s="749" t="n"/>
      <c r="J252" s="749" t="n"/>
      <c r="K252" s="749" t="n"/>
      <c r="L252" s="749" t="n"/>
      <c r="M252" s="749" t="n"/>
      <c r="N252" s="749" t="n"/>
      <c r="O252" s="749" t="n"/>
      <c r="P252" s="749" t="n"/>
      <c r="Q252" s="749" t="n"/>
      <c r="R252" s="749" t="n"/>
      <c r="S252" s="749" t="n"/>
      <c r="T252" s="749" t="n"/>
      <c r="U252" s="749" t="n"/>
      <c r="V252" s="749" t="n"/>
      <c r="W252" s="749" t="n"/>
      <c r="X252" s="749" t="n"/>
      <c r="Y252" s="749" t="n"/>
    </row>
    <row r="253" ht="15" customHeight="1" s="828">
      <c r="A253" s="748" t="n"/>
      <c r="B253" s="748" t="n"/>
      <c r="C253" s="748" t="n"/>
      <c r="D253" s="748" t="n"/>
      <c r="E253" s="748" t="n"/>
      <c r="F253" s="748" t="n"/>
      <c r="G253" s="748" t="n"/>
      <c r="H253" s="748" t="n"/>
      <c r="I253" s="748" t="n"/>
      <c r="J253" s="748" t="n"/>
      <c r="K253" s="748" t="n"/>
      <c r="L253" s="748" t="n"/>
      <c r="M253" s="748" t="n"/>
      <c r="N253" s="748" t="n"/>
      <c r="O253" s="748" t="n"/>
      <c r="P253" s="748" t="n"/>
      <c r="Q253" s="748" t="n"/>
      <c r="R253" s="748" t="n"/>
      <c r="S253" s="748" t="n"/>
      <c r="T253" s="748" t="n"/>
      <c r="U253" s="748" t="n"/>
      <c r="V253" s="748" t="n"/>
      <c r="W253" s="748" t="n"/>
      <c r="X253" s="748" t="n"/>
      <c r="Y253" s="748" t="n"/>
    </row>
    <row r="254" ht="15" customHeight="1" s="828">
      <c r="A254" s="748" t="n"/>
      <c r="B254" s="748" t="n"/>
      <c r="C254" s="748" t="n"/>
      <c r="D254" s="748" t="n"/>
      <c r="E254" s="748" t="n"/>
      <c r="F254" s="748" t="n"/>
      <c r="G254" s="748" t="n"/>
      <c r="H254" s="748" t="n"/>
      <c r="I254" s="748" t="n"/>
      <c r="J254" s="748" t="n"/>
      <c r="K254" s="748" t="n"/>
      <c r="L254" s="748" t="n"/>
      <c r="M254" s="748" t="n"/>
      <c r="N254" s="748" t="n"/>
      <c r="O254" s="748" t="n"/>
      <c r="P254" s="748" t="n"/>
      <c r="Q254" s="748" t="n"/>
      <c r="R254" s="748" t="n"/>
      <c r="S254" s="748" t="n"/>
      <c r="T254" s="748" t="n"/>
      <c r="U254" s="748" t="n"/>
      <c r="V254" s="748" t="n"/>
      <c r="W254" s="748" t="n"/>
      <c r="X254" s="748" t="n"/>
      <c r="Y254" s="748" t="n"/>
    </row>
    <row r="255" ht="15" customHeight="1" s="828">
      <c r="A255" s="748" t="n"/>
      <c r="B255" s="748" t="n"/>
      <c r="C255" s="748" t="n"/>
      <c r="D255" s="748" t="n"/>
      <c r="E255" s="748" t="n"/>
      <c r="F255" s="748" t="n"/>
      <c r="G255" s="748" t="n"/>
      <c r="H255" s="748" t="n"/>
      <c r="I255" s="748" t="n"/>
      <c r="J255" s="748" t="n"/>
      <c r="K255" s="748" t="n"/>
      <c r="L255" s="748" t="n"/>
      <c r="M255" s="748" t="n"/>
      <c r="N255" s="748" t="n"/>
      <c r="O255" s="748" t="n"/>
      <c r="P255" s="748" t="n"/>
      <c r="Q255" s="748" t="n"/>
      <c r="R255" s="748" t="n"/>
      <c r="S255" s="748" t="n"/>
      <c r="T255" s="748" t="n"/>
      <c r="U255" s="748" t="n"/>
      <c r="V255" s="748" t="n"/>
      <c r="W255" s="748" t="n"/>
      <c r="X255" s="748" t="n"/>
      <c r="Y255" s="748" t="n"/>
    </row>
    <row r="256" ht="15" customFormat="1" customHeight="1" s="353">
      <c r="A256" s="750" t="n"/>
      <c r="B256" s="750" t="n"/>
      <c r="C256" s="750" t="n"/>
      <c r="D256" s="750" t="n"/>
      <c r="E256" s="750" t="n"/>
      <c r="F256" s="750" t="n"/>
      <c r="G256" s="750" t="n"/>
      <c r="H256" s="750" t="n"/>
      <c r="I256" s="750" t="n"/>
      <c r="J256" s="750" t="n"/>
      <c r="K256" s="750" t="n"/>
      <c r="L256" s="750" t="n"/>
      <c r="M256" s="750" t="n"/>
      <c r="N256" s="750" t="n"/>
      <c r="O256" s="750" t="n"/>
      <c r="P256" s="750" t="n"/>
      <c r="Q256" s="750" t="n"/>
      <c r="R256" s="750" t="n"/>
      <c r="S256" s="750" t="n"/>
      <c r="T256" s="750" t="n"/>
      <c r="U256" s="750" t="n"/>
      <c r="V256" s="750" t="n"/>
      <c r="W256" s="750" t="n"/>
      <c r="X256" s="750" t="n"/>
      <c r="Y256" s="750" t="n"/>
      <c r="Z256" s="230" t="n"/>
      <c r="AA256" s="230" t="n"/>
      <c r="AB256" s="230" t="n"/>
    </row>
    <row r="257" ht="15" customHeight="1" s="828">
      <c r="A257" s="748" t="n"/>
      <c r="B257" s="748" t="n"/>
      <c r="C257" s="748" t="n"/>
      <c r="D257" s="748" t="n"/>
      <c r="E257" s="748" t="n"/>
      <c r="F257" s="748" t="n"/>
      <c r="G257" s="748" t="n"/>
      <c r="H257" s="748" t="n"/>
      <c r="I257" s="748" t="n"/>
      <c r="J257" s="748" t="n"/>
      <c r="K257" s="748" t="n"/>
      <c r="L257" s="748" t="n"/>
      <c r="M257" s="748" t="n"/>
      <c r="N257" s="748" t="n"/>
      <c r="O257" s="748" t="n"/>
      <c r="P257" s="748" t="n"/>
      <c r="Q257" s="748" t="n"/>
      <c r="R257" s="748" t="n"/>
      <c r="S257" s="748" t="n"/>
      <c r="T257" s="748" t="n"/>
      <c r="U257" s="748" t="n"/>
      <c r="V257" s="748" t="n"/>
      <c r="W257" s="748" t="n"/>
      <c r="X257" s="748" t="n"/>
      <c r="Y257" s="748" t="n"/>
    </row>
    <row r="258" ht="15" customFormat="1" customHeight="1" s="353">
      <c r="A258" s="750" t="n"/>
      <c r="B258" s="750" t="n"/>
      <c r="C258" s="750" t="n"/>
      <c r="D258" s="750" t="n"/>
      <c r="E258" s="750" t="n"/>
      <c r="F258" s="750" t="n"/>
      <c r="G258" s="750" t="n"/>
      <c r="H258" s="750" t="n"/>
      <c r="I258" s="750" t="n"/>
      <c r="J258" s="750" t="n"/>
      <c r="K258" s="750" t="n"/>
      <c r="L258" s="750" t="n"/>
      <c r="M258" s="750" t="n"/>
      <c r="N258" s="750" t="n"/>
      <c r="O258" s="750" t="n"/>
      <c r="P258" s="750" t="n"/>
      <c r="Q258" s="750" t="n"/>
      <c r="R258" s="750" t="n"/>
      <c r="S258" s="750" t="n"/>
      <c r="T258" s="750" t="n"/>
      <c r="U258" s="750" t="n"/>
      <c r="V258" s="750" t="n"/>
      <c r="W258" s="750" t="n"/>
      <c r="X258" s="750" t="n"/>
      <c r="Y258" s="750" t="n"/>
    </row>
    <row r="259" ht="15" customFormat="1" customHeight="1" s="353">
      <c r="A259" s="750" t="n"/>
      <c r="B259" s="750" t="n"/>
      <c r="C259" s="750" t="n"/>
      <c r="D259" s="750" t="n"/>
      <c r="E259" s="750" t="n"/>
      <c r="F259" s="750" t="n"/>
      <c r="G259" s="750" t="n"/>
      <c r="H259" s="750" t="n"/>
      <c r="I259" s="750" t="n"/>
      <c r="J259" s="750" t="n"/>
      <c r="K259" s="750" t="n"/>
      <c r="L259" s="750" t="n"/>
      <c r="M259" s="750" t="n"/>
      <c r="N259" s="750" t="n"/>
      <c r="O259" s="750" t="n"/>
      <c r="P259" s="750" t="n"/>
      <c r="Q259" s="750" t="n"/>
      <c r="R259" s="750" t="n"/>
      <c r="S259" s="750" t="n"/>
      <c r="T259" s="750" t="n"/>
      <c r="U259" s="750" t="n"/>
      <c r="V259" s="750" t="n"/>
      <c r="W259" s="750" t="n"/>
      <c r="X259" s="750" t="n"/>
      <c r="Y259" s="750" t="n"/>
    </row>
    <row r="260" ht="15" customHeight="1" s="828">
      <c r="A260" s="773" t="n"/>
      <c r="B260" s="738" t="n"/>
      <c r="C260" s="736" t="n"/>
      <c r="D260" s="736" t="n"/>
      <c r="E260" s="736" t="n"/>
      <c r="F260" s="736" t="n"/>
      <c r="G260" s="736" t="n"/>
      <c r="H260" s="736" t="n"/>
      <c r="I260" s="736" t="n"/>
      <c r="J260" s="736" t="n"/>
      <c r="K260" s="736" t="n"/>
      <c r="L260" s="736" t="n"/>
      <c r="M260" s="736" t="n"/>
      <c r="N260" s="736" t="n"/>
      <c r="O260" s="736" t="n"/>
      <c r="P260" s="736" t="n"/>
      <c r="Q260" s="736" t="n"/>
      <c r="R260" s="736" t="n"/>
      <c r="S260" s="736" t="n"/>
      <c r="T260" s="736" t="n"/>
      <c r="U260" s="736" t="n"/>
      <c r="V260" s="736" t="n"/>
      <c r="W260" s="736" t="n"/>
      <c r="X260" s="736" t="n"/>
      <c r="Y260" s="736" t="n"/>
    </row>
    <row r="261" ht="15" customHeight="1" s="828">
      <c r="A261" s="773" t="n"/>
      <c r="B261" s="738" t="n"/>
      <c r="C261" s="736" t="n"/>
      <c r="D261" s="736" t="n"/>
      <c r="E261" s="736" t="n"/>
      <c r="F261" s="736" t="n"/>
      <c r="G261" s="736" t="n"/>
      <c r="H261" s="736" t="n"/>
      <c r="I261" s="736" t="n"/>
      <c r="J261" s="736" t="n"/>
      <c r="K261" s="736" t="n"/>
      <c r="L261" s="736" t="n"/>
      <c r="M261" s="736" t="n"/>
      <c r="N261" s="736" t="n"/>
      <c r="O261" s="736" t="n"/>
      <c r="P261" s="736" t="n"/>
      <c r="Q261" s="736" t="n"/>
      <c r="R261" s="736" t="n"/>
      <c r="S261" s="736" t="n"/>
      <c r="T261" s="736" t="n"/>
      <c r="U261" s="736" t="n"/>
      <c r="V261" s="736" t="n"/>
      <c r="W261" s="736" t="n"/>
      <c r="X261" s="736" t="n"/>
      <c r="Y261" s="736" t="n"/>
    </row>
    <row r="262" ht="15" customHeight="1" s="828">
      <c r="A262" s="773" t="n"/>
      <c r="B262" s="738" t="n"/>
      <c r="C262" s="736" t="n"/>
      <c r="D262" s="736" t="n"/>
      <c r="E262" s="736" t="n"/>
      <c r="F262" s="736" t="n"/>
      <c r="G262" s="736" t="n"/>
      <c r="H262" s="736" t="n"/>
      <c r="I262" s="736" t="n"/>
      <c r="J262" s="736" t="n"/>
      <c r="K262" s="736" t="n"/>
      <c r="L262" s="736" t="n"/>
      <c r="M262" s="736" t="n"/>
      <c r="N262" s="736" t="n"/>
      <c r="O262" s="736" t="n"/>
      <c r="P262" s="736" t="n"/>
      <c r="Q262" s="736" t="n"/>
      <c r="R262" s="736" t="n"/>
      <c r="S262" s="736" t="n"/>
      <c r="T262" s="736" t="n"/>
      <c r="U262" s="736" t="n"/>
      <c r="V262" s="736" t="n"/>
      <c r="W262" s="736" t="n"/>
      <c r="X262" s="736" t="n"/>
      <c r="Y262" s="736" t="n"/>
    </row>
    <row r="263" ht="15" customHeight="1" s="828">
      <c r="A263" s="773" t="n"/>
      <c r="B263" s="738" t="n"/>
      <c r="C263" s="736" t="n"/>
      <c r="D263" s="736" t="n"/>
      <c r="E263" s="736" t="n"/>
      <c r="F263" s="736" t="n"/>
      <c r="G263" s="736" t="n"/>
      <c r="H263" s="736" t="n"/>
      <c r="I263" s="736" t="n"/>
      <c r="J263" s="736" t="n"/>
      <c r="K263" s="736" t="n"/>
      <c r="L263" s="736" t="n"/>
      <c r="M263" s="736" t="n"/>
      <c r="N263" s="736" t="n"/>
      <c r="O263" s="736" t="n"/>
      <c r="P263" s="736" t="n"/>
      <c r="Q263" s="736" t="n"/>
      <c r="R263" s="736" t="n"/>
      <c r="S263" s="736" t="n"/>
      <c r="T263" s="736" t="n"/>
      <c r="U263" s="736" t="n"/>
      <c r="V263" s="736" t="n"/>
      <c r="W263" s="736" t="n"/>
      <c r="X263" s="736" t="n"/>
      <c r="Y263" s="736" t="n"/>
    </row>
    <row r="264" ht="15" customHeight="1" s="828">
      <c r="A264" s="773" t="n"/>
      <c r="B264" s="738" t="n"/>
      <c r="C264" s="736" t="n"/>
      <c r="D264" s="736" t="n"/>
      <c r="E264" s="736" t="n"/>
      <c r="F264" s="736" t="n"/>
      <c r="G264" s="736" t="n"/>
      <c r="H264" s="736" t="n"/>
      <c r="I264" s="736" t="n"/>
      <c r="J264" s="736" t="n"/>
      <c r="K264" s="736" t="n"/>
      <c r="L264" s="736" t="n"/>
      <c r="M264" s="736" t="n"/>
      <c r="N264" s="736" t="n"/>
      <c r="O264" s="736" t="n"/>
      <c r="P264" s="736" t="n"/>
      <c r="Q264" s="736" t="n"/>
      <c r="R264" s="736" t="n"/>
      <c r="S264" s="736" t="n"/>
      <c r="T264" s="736" t="n"/>
      <c r="U264" s="736" t="n"/>
      <c r="V264" s="736" t="n"/>
      <c r="W264" s="736" t="n"/>
      <c r="X264" s="736" t="n"/>
      <c r="Y264" s="736" t="n"/>
    </row>
    <row r="265" ht="15" customHeight="1" s="828">
      <c r="A265" s="748" t="n"/>
      <c r="B265" s="748" t="n"/>
      <c r="C265" s="748" t="n"/>
      <c r="D265" s="748" t="n"/>
      <c r="E265" s="748" t="n"/>
      <c r="F265" s="748" t="n"/>
      <c r="G265" s="748" t="n"/>
      <c r="H265" s="748" t="n"/>
      <c r="I265" s="748" t="n"/>
      <c r="J265" s="748" t="n"/>
      <c r="K265" s="748" t="n"/>
      <c r="L265" s="748" t="n"/>
      <c r="M265" s="748" t="n"/>
      <c r="N265" s="748" t="n"/>
      <c r="O265" s="748" t="n"/>
      <c r="P265" s="748" t="n"/>
      <c r="Q265" s="748" t="n"/>
      <c r="R265" s="748" t="n"/>
      <c r="S265" s="748" t="n"/>
      <c r="T265" s="748" t="n"/>
      <c r="U265" s="748" t="n"/>
      <c r="V265" s="748" t="n"/>
      <c r="W265" s="748" t="n"/>
      <c r="X265" s="748" t="n"/>
      <c r="Y265" s="748" t="n"/>
    </row>
    <row r="266" ht="15" customHeight="1" s="828">
      <c r="A266" s="773" t="n"/>
      <c r="B266" s="738" t="n"/>
      <c r="C266" s="736" t="n"/>
      <c r="D266" s="736" t="n"/>
      <c r="E266" s="736" t="n"/>
      <c r="F266" s="736" t="n"/>
      <c r="G266" s="736" t="n"/>
      <c r="H266" s="736" t="n"/>
      <c r="I266" s="736" t="n"/>
      <c r="J266" s="736" t="n"/>
      <c r="K266" s="736" t="n"/>
      <c r="L266" s="736" t="n"/>
      <c r="M266" s="736" t="n"/>
      <c r="N266" s="736" t="n"/>
      <c r="O266" s="736" t="n"/>
      <c r="P266" s="736" t="n"/>
      <c r="Q266" s="736" t="n"/>
      <c r="R266" s="736" t="n"/>
      <c r="S266" s="736" t="n"/>
      <c r="T266" s="736" t="n"/>
      <c r="U266" s="736" t="n"/>
      <c r="V266" s="736" t="n"/>
      <c r="W266" s="736" t="n"/>
      <c r="X266" s="736" t="n"/>
      <c r="Y266" s="736" t="n"/>
    </row>
    <row r="267" ht="15" customHeight="1" s="828">
      <c r="A267" s="773" t="n"/>
      <c r="B267" s="738" t="n"/>
      <c r="C267" s="736" t="n"/>
      <c r="D267" s="736" t="n"/>
      <c r="E267" s="736" t="n"/>
      <c r="F267" s="736" t="n"/>
      <c r="G267" s="736" t="n"/>
      <c r="H267" s="736" t="n"/>
      <c r="I267" s="736" t="n"/>
      <c r="J267" s="736" t="n"/>
      <c r="K267" s="736" t="n"/>
      <c r="L267" s="736" t="n"/>
      <c r="M267" s="736" t="n"/>
      <c r="N267" s="736" t="n"/>
      <c r="O267" s="736" t="n"/>
      <c r="P267" s="736" t="n"/>
      <c r="Q267" s="736" t="n"/>
      <c r="R267" s="736" t="n"/>
      <c r="S267" s="736" t="n"/>
      <c r="T267" s="736" t="n"/>
      <c r="U267" s="736" t="n"/>
      <c r="V267" s="736" t="n"/>
      <c r="W267" s="736" t="n"/>
      <c r="X267" s="736" t="n"/>
      <c r="Y267" s="736" t="n"/>
    </row>
    <row r="268" ht="15" customHeight="1" s="828">
      <c r="A268" s="773" t="n"/>
      <c r="B268" s="738" t="n"/>
      <c r="C268" s="736" t="n"/>
      <c r="D268" s="736" t="n"/>
      <c r="E268" s="736" t="n"/>
      <c r="F268" s="736" t="n"/>
      <c r="G268" s="736" t="n"/>
      <c r="H268" s="736" t="n"/>
      <c r="I268" s="736" t="n"/>
      <c r="J268" s="736" t="n"/>
      <c r="K268" s="736" t="n"/>
      <c r="L268" s="736" t="n"/>
      <c r="M268" s="736" t="n"/>
      <c r="N268" s="736" t="n"/>
      <c r="O268" s="736" t="n"/>
      <c r="P268" s="736" t="n"/>
      <c r="Q268" s="736" t="n"/>
      <c r="R268" s="736" t="n"/>
      <c r="S268" s="736" t="n"/>
      <c r="T268" s="736" t="n"/>
      <c r="U268" s="736" t="n"/>
      <c r="V268" s="736" t="n"/>
      <c r="W268" s="736" t="n"/>
      <c r="X268" s="736" t="n"/>
      <c r="Y268" s="736" t="n"/>
    </row>
    <row r="269" ht="15" customHeight="1" s="828">
      <c r="A269" s="773" t="n"/>
      <c r="B269" s="751" t="n"/>
      <c r="C269" s="736" t="n"/>
      <c r="D269" s="736" t="n"/>
      <c r="E269" s="736" t="n"/>
      <c r="F269" s="736" t="n"/>
      <c r="G269" s="736" t="n"/>
      <c r="H269" s="736" t="n"/>
      <c r="I269" s="736" t="n"/>
      <c r="J269" s="736" t="n"/>
      <c r="K269" s="736" t="n"/>
      <c r="L269" s="736" t="n"/>
      <c r="M269" s="736" t="n"/>
      <c r="N269" s="736" t="n"/>
      <c r="O269" s="736" t="n"/>
      <c r="P269" s="736" t="n"/>
      <c r="Q269" s="736" t="n"/>
      <c r="R269" s="736" t="n"/>
      <c r="S269" s="736" t="n"/>
      <c r="T269" s="736" t="n"/>
      <c r="U269" s="736" t="n"/>
      <c r="V269" s="736" t="n"/>
      <c r="W269" s="736" t="n"/>
      <c r="X269" s="736" t="n"/>
      <c r="Y269" s="736" t="n"/>
    </row>
    <row r="270" ht="15" customHeight="1" s="828">
      <c r="A270" s="773" t="n"/>
      <c r="B270" s="738" t="n"/>
      <c r="C270" s="736" t="n"/>
      <c r="D270" s="736" t="n"/>
      <c r="E270" s="736" t="n"/>
      <c r="F270" s="736" t="n"/>
      <c r="G270" s="736" t="n"/>
      <c r="H270" s="736" t="n"/>
      <c r="I270" s="736" t="n"/>
      <c r="J270" s="736" t="n"/>
      <c r="K270" s="736" t="n"/>
      <c r="L270" s="736" t="n"/>
      <c r="M270" s="736" t="n"/>
      <c r="N270" s="736" t="n"/>
      <c r="O270" s="736" t="n"/>
      <c r="P270" s="736" t="n"/>
      <c r="Q270" s="736" t="n"/>
      <c r="R270" s="736" t="n"/>
      <c r="S270" s="736" t="n"/>
      <c r="T270" s="736" t="n"/>
      <c r="U270" s="736" t="n"/>
      <c r="V270" s="736" t="n"/>
      <c r="W270" s="736" t="n"/>
      <c r="X270" s="736" t="n"/>
      <c r="Y270" s="736" t="n"/>
    </row>
    <row r="271" ht="15" customHeight="1" s="828">
      <c r="A271" s="773" t="n"/>
      <c r="B271" s="738" t="n"/>
      <c r="C271" s="736" t="n"/>
      <c r="D271" s="736" t="n"/>
      <c r="E271" s="736" t="n"/>
      <c r="F271" s="736" t="n"/>
      <c r="G271" s="736" t="n"/>
      <c r="H271" s="736" t="n"/>
      <c r="I271" s="736" t="n"/>
      <c r="J271" s="736" t="n"/>
      <c r="K271" s="736" t="n"/>
      <c r="L271" s="736" t="n"/>
      <c r="M271" s="736" t="n"/>
      <c r="N271" s="736" t="n"/>
      <c r="O271" s="736" t="n"/>
      <c r="P271" s="736" t="n"/>
      <c r="Q271" s="736" t="n"/>
      <c r="R271" s="736" t="n"/>
      <c r="S271" s="736" t="n"/>
      <c r="T271" s="736" t="n"/>
      <c r="U271" s="736" t="n"/>
      <c r="V271" s="736" t="n"/>
      <c r="W271" s="736" t="n"/>
      <c r="X271" s="736" t="n"/>
      <c r="Y271" s="736" t="n"/>
    </row>
    <row r="272" ht="15" customHeight="1" s="828">
      <c r="A272" s="773" t="n"/>
      <c r="B272" s="738" t="n"/>
      <c r="C272" s="736" t="n"/>
      <c r="D272" s="736" t="n"/>
      <c r="E272" s="736" t="n"/>
      <c r="F272" s="736" t="n"/>
      <c r="G272" s="736" t="n"/>
      <c r="H272" s="736" t="n"/>
      <c r="I272" s="736" t="n"/>
      <c r="J272" s="736" t="n"/>
      <c r="K272" s="736" t="n"/>
      <c r="L272" s="736" t="n"/>
      <c r="M272" s="736" t="n"/>
      <c r="N272" s="736" t="n"/>
      <c r="O272" s="736" t="n"/>
      <c r="P272" s="736" t="n"/>
      <c r="Q272" s="736" t="n"/>
      <c r="R272" s="736" t="n"/>
      <c r="S272" s="736" t="n"/>
      <c r="T272" s="736" t="n"/>
      <c r="U272" s="736" t="n"/>
      <c r="V272" s="736" t="n"/>
      <c r="W272" s="736" t="n"/>
      <c r="X272" s="736" t="n"/>
      <c r="Y272" s="736" t="n"/>
    </row>
    <row r="273" ht="15" customHeight="1" s="828">
      <c r="A273" s="773" t="n"/>
      <c r="B273" s="738" t="n"/>
      <c r="C273" s="736" t="n"/>
      <c r="D273" s="736" t="n"/>
      <c r="E273" s="736" t="n"/>
      <c r="F273" s="736" t="n"/>
      <c r="G273" s="736" t="n"/>
      <c r="H273" s="736" t="n"/>
      <c r="I273" s="736" t="n"/>
      <c r="J273" s="736" t="n"/>
      <c r="K273" s="736" t="n"/>
      <c r="L273" s="736" t="n"/>
      <c r="M273" s="736" t="n"/>
      <c r="N273" s="736" t="n"/>
      <c r="O273" s="736" t="n"/>
      <c r="P273" s="736" t="n"/>
      <c r="Q273" s="736" t="n"/>
      <c r="R273" s="736" t="n"/>
      <c r="S273" s="736" t="n"/>
      <c r="T273" s="736" t="n"/>
      <c r="U273" s="736" t="n"/>
      <c r="V273" s="736" t="n"/>
      <c r="W273" s="736" t="n"/>
      <c r="X273" s="736" t="n"/>
      <c r="Y273" s="736" t="n"/>
    </row>
    <row r="274" ht="15" customHeight="1" s="828">
      <c r="A274" s="773" t="n"/>
      <c r="B274" s="738" t="n"/>
      <c r="C274" s="736" t="n"/>
      <c r="D274" s="736" t="n"/>
      <c r="E274" s="736" t="n"/>
      <c r="F274" s="736" t="n"/>
      <c r="G274" s="736" t="n"/>
      <c r="H274" s="736" t="n"/>
      <c r="I274" s="736" t="n"/>
      <c r="J274" s="736" t="n"/>
      <c r="K274" s="736" t="n"/>
      <c r="L274" s="736" t="n"/>
      <c r="M274" s="736" t="n"/>
      <c r="N274" s="736" t="n"/>
      <c r="O274" s="736" t="n"/>
      <c r="P274" s="736" t="n"/>
      <c r="Q274" s="736" t="n"/>
      <c r="R274" s="736" t="n"/>
      <c r="S274" s="736" t="n"/>
      <c r="T274" s="736" t="n"/>
      <c r="U274" s="736" t="n"/>
      <c r="V274" s="736" t="n"/>
      <c r="W274" s="736" t="n"/>
      <c r="X274" s="736" t="n"/>
      <c r="Y274" s="736" t="n"/>
    </row>
    <row r="275" ht="15" customHeight="1" s="828">
      <c r="A275" s="773" t="n"/>
      <c r="B275" s="738" t="n"/>
      <c r="C275" s="736" t="n"/>
      <c r="D275" s="736" t="n"/>
      <c r="E275" s="736" t="n"/>
      <c r="F275" s="736" t="n"/>
      <c r="G275" s="736" t="n"/>
      <c r="H275" s="736" t="n"/>
      <c r="I275" s="736" t="n"/>
      <c r="J275" s="736" t="n"/>
      <c r="K275" s="736" t="n"/>
      <c r="L275" s="736" t="n"/>
      <c r="M275" s="736" t="n"/>
      <c r="N275" s="736" t="n"/>
      <c r="O275" s="736" t="n"/>
      <c r="P275" s="736" t="n"/>
      <c r="Q275" s="736" t="n"/>
      <c r="R275" s="736" t="n"/>
      <c r="S275" s="736" t="n"/>
      <c r="T275" s="736" t="n"/>
      <c r="U275" s="736" t="n"/>
      <c r="V275" s="736" t="n"/>
      <c r="W275" s="736" t="n"/>
      <c r="X275" s="736" t="n"/>
      <c r="Y275" s="736" t="n"/>
    </row>
    <row r="276" ht="15" customHeight="1" s="828">
      <c r="A276" s="773" t="n"/>
      <c r="B276" s="738" t="n"/>
      <c r="C276" s="736" t="n"/>
      <c r="D276" s="736" t="n"/>
      <c r="E276" s="736" t="n"/>
      <c r="F276" s="736" t="n"/>
      <c r="G276" s="736" t="n"/>
      <c r="H276" s="736" t="n"/>
      <c r="I276" s="736" t="n"/>
      <c r="J276" s="736" t="n"/>
      <c r="K276" s="736" t="n"/>
      <c r="L276" s="736" t="n"/>
      <c r="M276" s="736" t="n"/>
      <c r="N276" s="736" t="n"/>
      <c r="O276" s="736" t="n"/>
      <c r="P276" s="736" t="n"/>
      <c r="Q276" s="736" t="n"/>
      <c r="R276" s="736" t="n"/>
      <c r="S276" s="736" t="n"/>
      <c r="T276" s="736" t="n"/>
      <c r="U276" s="736" t="n"/>
      <c r="V276" s="736" t="n"/>
      <c r="W276" s="736" t="n"/>
      <c r="X276" s="736" t="n"/>
      <c r="Y276" s="736" t="n"/>
    </row>
    <row r="277" ht="15" customHeight="1" s="828">
      <c r="A277" s="773" t="n"/>
      <c r="B277" s="738" t="n"/>
      <c r="C277" s="736" t="n"/>
      <c r="D277" s="736" t="n"/>
      <c r="E277" s="736" t="n"/>
      <c r="F277" s="736" t="n"/>
      <c r="G277" s="736" t="n"/>
      <c r="H277" s="736" t="n"/>
      <c r="I277" s="736" t="n"/>
      <c r="J277" s="736" t="n"/>
      <c r="K277" s="736" t="n"/>
      <c r="L277" s="736" t="n"/>
      <c r="M277" s="736" t="n"/>
      <c r="N277" s="736" t="n"/>
      <c r="O277" s="736" t="n"/>
      <c r="P277" s="736" t="n"/>
      <c r="Q277" s="736" t="n"/>
      <c r="R277" s="736" t="n"/>
      <c r="S277" s="736" t="n"/>
      <c r="T277" s="736" t="n"/>
      <c r="U277" s="736" t="n"/>
      <c r="V277" s="736" t="n"/>
      <c r="W277" s="736" t="n"/>
      <c r="X277" s="736" t="n"/>
      <c r="Y277" s="736" t="n"/>
    </row>
    <row r="278" ht="15" customHeight="1" s="828">
      <c r="A278" s="773" t="n"/>
      <c r="B278" s="751" t="n"/>
      <c r="C278" s="736" t="n"/>
      <c r="D278" s="736" t="n"/>
      <c r="E278" s="736" t="n"/>
      <c r="F278" s="736" t="n"/>
      <c r="G278" s="736" t="n"/>
      <c r="H278" s="736" t="n"/>
      <c r="I278" s="736" t="n"/>
      <c r="J278" s="736" t="n"/>
      <c r="K278" s="736" t="n"/>
      <c r="L278" s="736" t="n"/>
      <c r="M278" s="736" t="n"/>
      <c r="N278" s="736" t="n"/>
      <c r="O278" s="736" t="n"/>
      <c r="P278" s="736" t="n"/>
      <c r="Q278" s="736" t="n"/>
      <c r="R278" s="736" t="n"/>
      <c r="S278" s="736" t="n"/>
      <c r="T278" s="736" t="n"/>
      <c r="U278" s="736" t="n"/>
      <c r="V278" s="736" t="n"/>
      <c r="W278" s="736" t="n"/>
      <c r="X278" s="736" t="n"/>
      <c r="Y278" s="736" t="n"/>
    </row>
    <row r="279" ht="15" customHeight="1" s="828">
      <c r="A279" s="773" t="n"/>
      <c r="B279" s="751" t="n"/>
      <c r="C279" s="736" t="n"/>
      <c r="D279" s="736" t="n"/>
      <c r="E279" s="736" t="n"/>
      <c r="F279" s="736" t="n"/>
      <c r="G279" s="736" t="n"/>
      <c r="H279" s="736" t="n"/>
      <c r="I279" s="736" t="n"/>
      <c r="J279" s="736" t="n"/>
      <c r="K279" s="736" t="n"/>
      <c r="L279" s="736" t="n"/>
      <c r="M279" s="736" t="n"/>
      <c r="N279" s="736" t="n"/>
      <c r="O279" s="736" t="n"/>
      <c r="P279" s="736" t="n"/>
      <c r="Q279" s="736" t="n"/>
      <c r="R279" s="736" t="n"/>
      <c r="S279" s="736" t="n"/>
      <c r="T279" s="736" t="n"/>
      <c r="U279" s="736" t="n"/>
      <c r="V279" s="736" t="n"/>
      <c r="W279" s="736" t="n"/>
      <c r="X279" s="736" t="n"/>
      <c r="Y279" s="736" t="n"/>
    </row>
    <row r="280" ht="15" customHeight="1" s="828">
      <c r="A280" s="773" t="n"/>
      <c r="B280" s="751" t="n"/>
      <c r="C280" s="736" t="n"/>
      <c r="D280" s="736" t="n"/>
      <c r="E280" s="736" t="n"/>
      <c r="F280" s="736" t="n"/>
      <c r="G280" s="736" t="n"/>
      <c r="H280" s="736" t="n"/>
      <c r="I280" s="736" t="n"/>
      <c r="J280" s="736" t="n"/>
      <c r="K280" s="736" t="n"/>
      <c r="L280" s="736" t="n"/>
      <c r="M280" s="736" t="n"/>
      <c r="N280" s="736" t="n"/>
      <c r="O280" s="736" t="n"/>
      <c r="P280" s="736" t="n"/>
      <c r="Q280" s="736" t="n"/>
      <c r="R280" s="736" t="n"/>
      <c r="S280" s="736" t="n"/>
      <c r="T280" s="736" t="n"/>
      <c r="U280" s="736" t="n"/>
      <c r="V280" s="736" t="n"/>
      <c r="W280" s="736" t="n"/>
      <c r="X280" s="736" t="n"/>
      <c r="Y280" s="736" t="n"/>
    </row>
    <row r="281" ht="15" customHeight="1" s="828">
      <c r="A281" s="773" t="n"/>
      <c r="B281" s="738" t="n"/>
      <c r="C281" s="736" t="n"/>
      <c r="D281" s="736" t="n"/>
      <c r="E281" s="736" t="n"/>
      <c r="F281" s="736" t="n"/>
      <c r="G281" s="736" t="n"/>
      <c r="H281" s="736" t="n"/>
      <c r="I281" s="736" t="n"/>
      <c r="J281" s="736" t="n"/>
      <c r="K281" s="736" t="n"/>
      <c r="L281" s="736" t="n"/>
      <c r="M281" s="736" t="n"/>
      <c r="N281" s="736" t="n"/>
      <c r="O281" s="736" t="n"/>
      <c r="P281" s="736" t="n"/>
      <c r="Q281" s="736" t="n"/>
      <c r="R281" s="736" t="n"/>
      <c r="S281" s="736" t="n"/>
      <c r="T281" s="736" t="n"/>
      <c r="U281" s="736" t="n"/>
      <c r="V281" s="736" t="n"/>
      <c r="W281" s="736" t="n"/>
      <c r="X281" s="736" t="n"/>
      <c r="Y281" s="736" t="n"/>
    </row>
    <row r="282" ht="15" customHeight="1" s="828">
      <c r="A282" s="773" t="n"/>
      <c r="B282" s="738" t="n"/>
      <c r="C282" s="736" t="n"/>
      <c r="D282" s="736" t="n"/>
      <c r="E282" s="736" t="n"/>
      <c r="F282" s="736" t="n"/>
      <c r="G282" s="736" t="n"/>
      <c r="H282" s="736" t="n"/>
      <c r="I282" s="736" t="n"/>
      <c r="J282" s="736" t="n"/>
      <c r="K282" s="736" t="n"/>
      <c r="L282" s="736" t="n"/>
      <c r="M282" s="736" t="n"/>
      <c r="N282" s="736" t="n"/>
      <c r="O282" s="736" t="n"/>
      <c r="P282" s="736" t="n"/>
      <c r="Q282" s="736" t="n"/>
      <c r="R282" s="736" t="n"/>
      <c r="S282" s="736" t="n"/>
      <c r="T282" s="736" t="n"/>
      <c r="U282" s="736" t="n"/>
      <c r="V282" s="736" t="n"/>
      <c r="W282" s="736" t="n"/>
      <c r="X282" s="736" t="n"/>
      <c r="Y282" s="736" t="n"/>
    </row>
    <row r="283" ht="15" customHeight="1" s="828">
      <c r="A283" s="773" t="n"/>
      <c r="B283" s="738" t="n"/>
      <c r="C283" s="736" t="n"/>
      <c r="D283" s="736" t="n"/>
      <c r="E283" s="736" t="n"/>
      <c r="F283" s="736" t="n"/>
      <c r="G283" s="736" t="n"/>
      <c r="H283" s="736" t="n"/>
      <c r="I283" s="736" t="n"/>
      <c r="J283" s="736" t="n"/>
      <c r="K283" s="736" t="n"/>
      <c r="L283" s="736" t="n"/>
      <c r="M283" s="736" t="n"/>
      <c r="N283" s="736" t="n"/>
      <c r="O283" s="736" t="n"/>
      <c r="P283" s="736" t="n"/>
      <c r="Q283" s="736" t="n"/>
      <c r="R283" s="736" t="n"/>
      <c r="S283" s="736" t="n"/>
      <c r="T283" s="736" t="n"/>
      <c r="U283" s="736" t="n"/>
      <c r="V283" s="736" t="n"/>
      <c r="W283" s="736" t="n"/>
      <c r="X283" s="736" t="n"/>
      <c r="Y283" s="736" t="n"/>
    </row>
    <row r="284" ht="15" customHeight="1" s="828">
      <c r="A284" s="773" t="n"/>
      <c r="B284" s="738" t="n"/>
      <c r="C284" s="736" t="n"/>
      <c r="D284" s="736" t="n"/>
      <c r="E284" s="736" t="n"/>
      <c r="F284" s="736" t="n"/>
      <c r="G284" s="736" t="n"/>
      <c r="H284" s="736" t="n"/>
      <c r="I284" s="736" t="n"/>
      <c r="J284" s="736" t="n"/>
      <c r="K284" s="736" t="n"/>
      <c r="L284" s="736" t="n"/>
      <c r="M284" s="736" t="n"/>
      <c r="N284" s="736" t="n"/>
      <c r="O284" s="736" t="n"/>
      <c r="P284" s="736" t="n"/>
      <c r="Q284" s="736" t="n"/>
      <c r="R284" s="736" t="n"/>
      <c r="S284" s="736" t="n"/>
      <c r="T284" s="736" t="n"/>
      <c r="U284" s="736" t="n"/>
      <c r="V284" s="736" t="n"/>
      <c r="W284" s="736" t="n"/>
      <c r="X284" s="736" t="n"/>
      <c r="Y284" s="736" t="n"/>
    </row>
    <row r="285" ht="15" customHeight="1" s="828">
      <c r="A285" s="773" t="n"/>
      <c r="B285" s="738" t="n"/>
      <c r="C285" s="736" t="n"/>
      <c r="D285" s="736" t="n"/>
      <c r="E285" s="736" t="n"/>
      <c r="F285" s="736" t="n"/>
      <c r="G285" s="736" t="n"/>
      <c r="H285" s="736" t="n"/>
      <c r="I285" s="736" t="n"/>
      <c r="J285" s="736" t="n"/>
      <c r="K285" s="736" t="n"/>
      <c r="L285" s="736" t="n"/>
      <c r="M285" s="736" t="n"/>
      <c r="N285" s="736" t="n"/>
      <c r="O285" s="736" t="n"/>
      <c r="P285" s="736" t="n"/>
      <c r="Q285" s="736" t="n"/>
      <c r="R285" s="736" t="n"/>
      <c r="S285" s="736" t="n"/>
      <c r="T285" s="736" t="n"/>
      <c r="U285" s="736" t="n"/>
      <c r="V285" s="736" t="n"/>
      <c r="W285" s="736" t="n"/>
      <c r="X285" s="736" t="n"/>
      <c r="Y285" s="736" t="n"/>
    </row>
    <row r="286" ht="15" customHeight="1" s="828">
      <c r="A286" s="773" t="n"/>
      <c r="B286" s="738" t="n"/>
      <c r="C286" s="736" t="n"/>
      <c r="D286" s="736" t="n"/>
      <c r="E286" s="736" t="n"/>
      <c r="F286" s="736" t="n"/>
      <c r="G286" s="736" t="n"/>
      <c r="H286" s="736" t="n"/>
      <c r="I286" s="736" t="n"/>
      <c r="J286" s="736" t="n"/>
      <c r="K286" s="736" t="n"/>
      <c r="L286" s="736" t="n"/>
      <c r="M286" s="736" t="n"/>
      <c r="N286" s="736" t="n"/>
      <c r="O286" s="736" t="n"/>
      <c r="P286" s="736" t="n"/>
      <c r="Q286" s="736" t="n"/>
      <c r="R286" s="736" t="n"/>
      <c r="S286" s="736" t="n"/>
      <c r="T286" s="736" t="n"/>
      <c r="U286" s="736" t="n"/>
      <c r="V286" s="736" t="n"/>
      <c r="W286" s="736" t="n"/>
      <c r="X286" s="736" t="n"/>
      <c r="Y286" s="736" t="n"/>
    </row>
    <row r="287" ht="15" customHeight="1" s="828">
      <c r="A287" s="773" t="n"/>
      <c r="B287" s="738" t="n"/>
      <c r="C287" s="736" t="n"/>
      <c r="D287" s="736" t="n"/>
      <c r="E287" s="736" t="n"/>
      <c r="F287" s="736" t="n"/>
      <c r="G287" s="736" t="n"/>
      <c r="H287" s="736" t="n"/>
      <c r="I287" s="736" t="n"/>
      <c r="J287" s="736" t="n"/>
      <c r="K287" s="736" t="n"/>
      <c r="L287" s="736" t="n"/>
      <c r="M287" s="736" t="n"/>
      <c r="N287" s="736" t="n"/>
      <c r="O287" s="736" t="n"/>
      <c r="P287" s="736" t="n"/>
      <c r="Q287" s="736" t="n"/>
      <c r="R287" s="736" t="n"/>
      <c r="S287" s="736" t="n"/>
      <c r="T287" s="736" t="n"/>
      <c r="U287" s="736" t="n"/>
      <c r="V287" s="736" t="n"/>
      <c r="W287" s="736" t="n"/>
      <c r="X287" s="736" t="n"/>
      <c r="Y287" s="736" t="n"/>
    </row>
    <row r="288" ht="15" customHeight="1" s="828">
      <c r="A288" s="773" t="n"/>
      <c r="B288" s="738" t="n"/>
      <c r="C288" s="736" t="n"/>
      <c r="D288" s="736" t="n"/>
      <c r="E288" s="736" t="n"/>
      <c r="F288" s="736" t="n"/>
      <c r="G288" s="736" t="n"/>
      <c r="H288" s="736" t="n"/>
      <c r="I288" s="736" t="n"/>
      <c r="J288" s="736" t="n"/>
      <c r="K288" s="736" t="n"/>
      <c r="L288" s="736" t="n"/>
      <c r="M288" s="736" t="n"/>
      <c r="N288" s="736" t="n"/>
      <c r="O288" s="736" t="n"/>
      <c r="P288" s="736" t="n"/>
      <c r="Q288" s="736" t="n"/>
      <c r="R288" s="736" t="n"/>
      <c r="S288" s="736" t="n"/>
      <c r="T288" s="736" t="n"/>
      <c r="U288" s="736" t="n"/>
      <c r="V288" s="736" t="n"/>
      <c r="W288" s="736" t="n"/>
      <c r="X288" s="736" t="n"/>
      <c r="Y288" s="736" t="n"/>
    </row>
    <row r="289" ht="15" customHeight="1" s="828">
      <c r="A289" s="773" t="n"/>
      <c r="B289" s="738" t="n"/>
      <c r="C289" s="736" t="n"/>
      <c r="D289" s="736" t="n"/>
      <c r="E289" s="736" t="n"/>
      <c r="F289" s="736" t="n"/>
      <c r="G289" s="736" t="n"/>
      <c r="H289" s="736" t="n"/>
      <c r="I289" s="736" t="n"/>
      <c r="J289" s="736" t="n"/>
      <c r="K289" s="736" t="n"/>
      <c r="L289" s="736" t="n"/>
      <c r="M289" s="736" t="n"/>
      <c r="N289" s="736" t="n"/>
      <c r="O289" s="736" t="n"/>
      <c r="P289" s="736" t="n"/>
      <c r="Q289" s="736" t="n"/>
      <c r="R289" s="736" t="n"/>
      <c r="S289" s="736" t="n"/>
      <c r="T289" s="736" t="n"/>
      <c r="U289" s="736" t="n"/>
      <c r="V289" s="736" t="n"/>
      <c r="W289" s="736" t="n"/>
      <c r="X289" s="736" t="n"/>
      <c r="Y289" s="736" t="n"/>
    </row>
    <row r="290" ht="15" customHeight="1" s="828">
      <c r="A290" s="773" t="n"/>
      <c r="B290" s="738" t="n"/>
      <c r="C290" s="736" t="n"/>
      <c r="D290" s="736" t="n"/>
      <c r="E290" s="736" t="n"/>
      <c r="F290" s="736" t="n"/>
      <c r="G290" s="736" t="n"/>
      <c r="H290" s="736" t="n"/>
      <c r="I290" s="736" t="n"/>
      <c r="J290" s="736" t="n"/>
      <c r="K290" s="736" t="n"/>
      <c r="L290" s="736" t="n"/>
      <c r="M290" s="736" t="n"/>
      <c r="N290" s="736" t="n"/>
      <c r="O290" s="736" t="n"/>
      <c r="P290" s="736" t="n"/>
      <c r="Q290" s="736" t="n"/>
      <c r="R290" s="736" t="n"/>
      <c r="S290" s="736" t="n"/>
      <c r="T290" s="736" t="n"/>
      <c r="U290" s="736" t="n"/>
      <c r="V290" s="736" t="n"/>
      <c r="W290" s="736" t="n"/>
      <c r="X290" s="736" t="n"/>
      <c r="Y290" s="736" t="n"/>
    </row>
    <row r="291" ht="15" customHeight="1" s="828">
      <c r="A291" s="773" t="n"/>
      <c r="B291" s="738" t="n"/>
      <c r="C291" s="736" t="n"/>
      <c r="D291" s="736" t="n"/>
      <c r="E291" s="736" t="n"/>
      <c r="F291" s="736" t="n"/>
      <c r="G291" s="736" t="n"/>
      <c r="H291" s="736" t="n"/>
      <c r="I291" s="736" t="n"/>
      <c r="J291" s="736" t="n"/>
      <c r="K291" s="736" t="n"/>
      <c r="L291" s="736" t="n"/>
      <c r="M291" s="736" t="n"/>
      <c r="N291" s="736" t="n"/>
      <c r="O291" s="736" t="n"/>
      <c r="P291" s="736" t="n"/>
      <c r="Q291" s="736" t="n"/>
      <c r="R291" s="736" t="n"/>
      <c r="S291" s="736" t="n"/>
      <c r="T291" s="736" t="n"/>
      <c r="U291" s="736" t="n"/>
      <c r="V291" s="736" t="n"/>
      <c r="W291" s="736" t="n"/>
      <c r="X291" s="736" t="n"/>
      <c r="Y291" s="736" t="n"/>
    </row>
    <row r="292" ht="15" customHeight="1" s="828">
      <c r="A292" s="773" t="n"/>
      <c r="B292" s="738" t="n"/>
      <c r="C292" s="736" t="n"/>
      <c r="D292" s="736" t="n"/>
      <c r="E292" s="736" t="n"/>
      <c r="F292" s="736" t="n"/>
      <c r="G292" s="736" t="n"/>
      <c r="H292" s="736" t="n"/>
      <c r="I292" s="736" t="n"/>
      <c r="J292" s="736" t="n"/>
      <c r="K292" s="736" t="n"/>
      <c r="L292" s="736" t="n"/>
      <c r="M292" s="736" t="n"/>
      <c r="N292" s="736" t="n"/>
      <c r="O292" s="736" t="n"/>
      <c r="P292" s="736" t="n"/>
      <c r="Q292" s="736" t="n"/>
      <c r="R292" s="736" t="n"/>
      <c r="S292" s="736" t="n"/>
      <c r="T292" s="736" t="n"/>
      <c r="U292" s="736" t="n"/>
      <c r="V292" s="736" t="n"/>
      <c r="W292" s="736" t="n"/>
      <c r="X292" s="736" t="n"/>
      <c r="Y292" s="736" t="n"/>
    </row>
    <row r="293" ht="15" customHeight="1" s="828">
      <c r="A293" s="773" t="n"/>
      <c r="B293" s="738" t="n"/>
      <c r="C293" s="736" t="n"/>
      <c r="D293" s="736" t="n"/>
      <c r="E293" s="736" t="n"/>
      <c r="F293" s="736" t="n"/>
      <c r="G293" s="736" t="n"/>
      <c r="H293" s="736" t="n"/>
      <c r="I293" s="736" t="n"/>
      <c r="J293" s="736" t="n"/>
      <c r="K293" s="736" t="n"/>
      <c r="L293" s="736" t="n"/>
      <c r="M293" s="736" t="n"/>
      <c r="N293" s="736" t="n"/>
      <c r="O293" s="736" t="n"/>
      <c r="P293" s="736" t="n"/>
      <c r="Q293" s="736" t="n"/>
      <c r="R293" s="736" t="n"/>
      <c r="S293" s="736" t="n"/>
      <c r="T293" s="736" t="n"/>
      <c r="U293" s="736" t="n"/>
      <c r="V293" s="736" t="n"/>
      <c r="W293" s="736" t="n"/>
      <c r="X293" s="736" t="n"/>
      <c r="Y293" s="736" t="n"/>
    </row>
    <row r="294" ht="15" customHeight="1" s="828">
      <c r="A294" s="773" t="n"/>
      <c r="B294" s="738" t="n"/>
      <c r="C294" s="736" t="n"/>
      <c r="D294" s="736" t="n"/>
      <c r="E294" s="736" t="n"/>
      <c r="F294" s="736" t="n"/>
      <c r="G294" s="736" t="n"/>
      <c r="H294" s="736" t="n"/>
      <c r="I294" s="736" t="n"/>
      <c r="J294" s="736" t="n"/>
      <c r="K294" s="736" t="n"/>
      <c r="L294" s="736" t="n"/>
      <c r="M294" s="736" t="n"/>
      <c r="N294" s="736" t="n"/>
      <c r="O294" s="736" t="n"/>
      <c r="P294" s="736" t="n"/>
      <c r="Q294" s="736" t="n"/>
      <c r="R294" s="736" t="n"/>
      <c r="S294" s="736" t="n"/>
      <c r="T294" s="736" t="n"/>
      <c r="U294" s="736" t="n"/>
      <c r="V294" s="736" t="n"/>
      <c r="W294" s="736" t="n"/>
      <c r="X294" s="736" t="n"/>
      <c r="Y294" s="736" t="n"/>
    </row>
    <row r="295" ht="15" customHeight="1" s="828">
      <c r="A295" s="773" t="n"/>
      <c r="B295" s="738" t="n"/>
      <c r="C295" s="736" t="n"/>
      <c r="D295" s="736" t="n"/>
      <c r="E295" s="736" t="n"/>
      <c r="F295" s="736" t="n"/>
      <c r="G295" s="736" t="n"/>
      <c r="H295" s="736" t="n"/>
      <c r="I295" s="736" t="n"/>
      <c r="J295" s="736" t="n"/>
      <c r="K295" s="736" t="n"/>
      <c r="L295" s="736" t="n"/>
      <c r="M295" s="736" t="n"/>
      <c r="N295" s="736" t="n"/>
      <c r="O295" s="736" t="n"/>
      <c r="P295" s="736" t="n"/>
      <c r="Q295" s="736" t="n"/>
      <c r="R295" s="736" t="n"/>
      <c r="S295" s="736" t="n"/>
      <c r="T295" s="736" t="n"/>
      <c r="U295" s="736" t="n"/>
      <c r="V295" s="736" t="n"/>
      <c r="W295" s="736" t="n"/>
      <c r="X295" s="736" t="n"/>
      <c r="Y295" s="736" t="n"/>
    </row>
    <row r="296" ht="15" customHeight="1" s="828">
      <c r="A296" s="773" t="n"/>
      <c r="B296" s="738" t="n"/>
      <c r="C296" s="736" t="n"/>
      <c r="D296" s="736" t="n"/>
      <c r="E296" s="736" t="n"/>
      <c r="F296" s="736" t="n"/>
      <c r="G296" s="736" t="n"/>
      <c r="H296" s="736" t="n"/>
      <c r="I296" s="736" t="n"/>
      <c r="J296" s="736" t="n"/>
      <c r="K296" s="736" t="n"/>
      <c r="L296" s="736" t="n"/>
      <c r="M296" s="736" t="n"/>
      <c r="N296" s="736" t="n"/>
      <c r="O296" s="736" t="n"/>
      <c r="P296" s="736" t="n"/>
      <c r="Q296" s="736" t="n"/>
      <c r="R296" s="736" t="n"/>
      <c r="S296" s="736" t="n"/>
      <c r="T296" s="736" t="n"/>
      <c r="U296" s="736" t="n"/>
      <c r="V296" s="736" t="n"/>
      <c r="W296" s="736" t="n"/>
      <c r="X296" s="736" t="n"/>
      <c r="Y296" s="736" t="n"/>
    </row>
    <row r="297" ht="15" customHeight="1" s="828">
      <c r="A297" s="773" t="n"/>
      <c r="B297" s="738" t="n"/>
      <c r="C297" s="736" t="n"/>
      <c r="D297" s="736" t="n"/>
      <c r="E297" s="736" t="n"/>
      <c r="F297" s="736" t="n"/>
      <c r="G297" s="736" t="n"/>
      <c r="H297" s="736" t="n"/>
      <c r="I297" s="736" t="n"/>
      <c r="J297" s="736" t="n"/>
      <c r="K297" s="736" t="n"/>
      <c r="L297" s="736" t="n"/>
      <c r="M297" s="736" t="n"/>
      <c r="N297" s="736" t="n"/>
      <c r="O297" s="736" t="n"/>
      <c r="P297" s="736" t="n"/>
      <c r="Q297" s="736" t="n"/>
      <c r="R297" s="736" t="n"/>
      <c r="S297" s="736" t="n"/>
      <c r="T297" s="736" t="n"/>
      <c r="U297" s="736" t="n"/>
      <c r="V297" s="736" t="n"/>
      <c r="W297" s="736" t="n"/>
      <c r="X297" s="736" t="n"/>
      <c r="Y297" s="736" t="n"/>
    </row>
    <row r="298" ht="15" customHeight="1" s="828">
      <c r="A298" s="773" t="n"/>
      <c r="B298" s="738" t="n"/>
      <c r="C298" s="736" t="n"/>
      <c r="D298" s="736" t="n"/>
      <c r="E298" s="736" t="n"/>
      <c r="F298" s="736" t="n"/>
      <c r="G298" s="736" t="n"/>
      <c r="H298" s="736" t="n"/>
      <c r="I298" s="736" t="n"/>
      <c r="J298" s="736" t="n"/>
      <c r="K298" s="736" t="n"/>
      <c r="L298" s="736" t="n"/>
      <c r="M298" s="736" t="n"/>
      <c r="N298" s="736" t="n"/>
      <c r="O298" s="736" t="n"/>
      <c r="P298" s="736" t="n"/>
      <c r="Q298" s="736" t="n"/>
      <c r="R298" s="736" t="n"/>
      <c r="S298" s="736" t="n"/>
      <c r="T298" s="736" t="n"/>
      <c r="U298" s="736" t="n"/>
      <c r="V298" s="736" t="n"/>
      <c r="W298" s="736" t="n"/>
      <c r="X298" s="736" t="n"/>
      <c r="Y298" s="736" t="n"/>
    </row>
    <row r="299" ht="15" customHeight="1" s="828">
      <c r="A299" s="773" t="n"/>
      <c r="B299" s="738" t="n"/>
      <c r="C299" s="736" t="n"/>
      <c r="D299" s="736" t="n"/>
      <c r="E299" s="736" t="n"/>
      <c r="F299" s="736" t="n"/>
      <c r="G299" s="736" t="n"/>
      <c r="H299" s="736" t="n"/>
      <c r="I299" s="736" t="n"/>
      <c r="J299" s="736" t="n"/>
      <c r="K299" s="736" t="n"/>
      <c r="L299" s="736" t="n"/>
      <c r="M299" s="736" t="n"/>
      <c r="N299" s="736" t="n"/>
      <c r="O299" s="736" t="n"/>
      <c r="P299" s="736" t="n"/>
      <c r="Q299" s="736" t="n"/>
      <c r="R299" s="736" t="n"/>
      <c r="S299" s="736" t="n"/>
      <c r="T299" s="736" t="n"/>
      <c r="U299" s="736" t="n"/>
      <c r="V299" s="736" t="n"/>
      <c r="W299" s="736" t="n"/>
      <c r="X299" s="736" t="n"/>
      <c r="Y299" s="736" t="n"/>
    </row>
    <row r="300" ht="15" customHeight="1" s="828">
      <c r="A300" s="773" t="n"/>
      <c r="B300" s="738" t="n"/>
      <c r="C300" s="736" t="n"/>
      <c r="D300" s="736" t="n"/>
      <c r="E300" s="736" t="n"/>
      <c r="F300" s="736" t="n"/>
      <c r="G300" s="736" t="n"/>
      <c r="H300" s="736" t="n"/>
      <c r="I300" s="736" t="n"/>
      <c r="J300" s="736" t="n"/>
      <c r="K300" s="736" t="n"/>
      <c r="L300" s="736" t="n"/>
      <c r="M300" s="736" t="n"/>
      <c r="N300" s="736" t="n"/>
      <c r="O300" s="736" t="n"/>
      <c r="P300" s="736" t="n"/>
      <c r="Q300" s="736" t="n"/>
      <c r="R300" s="736" t="n"/>
      <c r="S300" s="736" t="n"/>
      <c r="T300" s="736" t="n"/>
      <c r="U300" s="736" t="n"/>
      <c r="V300" s="736" t="n"/>
      <c r="W300" s="736" t="n"/>
      <c r="X300" s="736" t="n"/>
      <c r="Y300" s="736" t="n"/>
    </row>
    <row r="301">
      <c r="A301" s="773" t="n"/>
      <c r="B301" s="738" t="n"/>
      <c r="C301" s="736" t="n"/>
      <c r="D301" s="736" t="n"/>
      <c r="E301" s="736" t="n"/>
      <c r="F301" s="736" t="n"/>
      <c r="G301" s="736" t="n"/>
      <c r="H301" s="736" t="n"/>
      <c r="I301" s="736" t="n"/>
      <c r="J301" s="736" t="n"/>
      <c r="K301" s="736" t="n"/>
      <c r="L301" s="736" t="n"/>
      <c r="M301" s="736" t="n"/>
      <c r="N301" s="736" t="n"/>
      <c r="O301" s="736" t="n"/>
      <c r="P301" s="736" t="n"/>
      <c r="Q301" s="736" t="n"/>
      <c r="R301" s="736" t="n"/>
      <c r="S301" s="736" t="n"/>
      <c r="T301" s="736" t="n"/>
      <c r="U301" s="736" t="n"/>
      <c r="V301" s="736" t="n"/>
      <c r="W301" s="736" t="n"/>
      <c r="X301" s="736" t="n"/>
      <c r="Y301" s="736" t="n"/>
    </row>
    <row r="302">
      <c r="A302" s="748" t="n"/>
      <c r="B302" s="748" t="n"/>
      <c r="C302" s="748" t="n"/>
      <c r="D302" s="748" t="n"/>
      <c r="E302" s="748" t="n"/>
      <c r="F302" s="748" t="n"/>
      <c r="G302" s="748" t="n"/>
      <c r="H302" s="748" t="n"/>
      <c r="I302" s="748" t="n"/>
      <c r="J302" s="748" t="n"/>
      <c r="K302" s="748" t="n"/>
      <c r="L302" s="748" t="n"/>
      <c r="M302" s="748" t="n"/>
      <c r="N302" s="748" t="n"/>
      <c r="O302" s="748" t="n"/>
      <c r="P302" s="748" t="n"/>
      <c r="Q302" s="748" t="n"/>
      <c r="R302" s="748" t="n"/>
      <c r="S302" s="748" t="n"/>
      <c r="T302" s="748" t="n"/>
      <c r="U302" s="748" t="n"/>
      <c r="V302" s="748" t="n"/>
      <c r="W302" s="748" t="n"/>
      <c r="X302" s="748" t="n"/>
      <c r="Y302" s="748" t="n"/>
    </row>
    <row r="303">
      <c r="A303" s="748" t="n"/>
      <c r="B303" s="748" t="n"/>
      <c r="C303" s="748" t="n"/>
      <c r="D303" s="748" t="n"/>
      <c r="E303" s="748" t="n"/>
      <c r="F303" s="748" t="n"/>
      <c r="G303" s="748" t="n"/>
      <c r="H303" s="748" t="n"/>
      <c r="I303" s="748" t="n"/>
      <c r="J303" s="748" t="n"/>
      <c r="K303" s="748" t="n"/>
      <c r="L303" s="748" t="n"/>
      <c r="M303" s="748" t="n"/>
      <c r="N303" s="748" t="n"/>
      <c r="O303" s="748" t="n"/>
      <c r="P303" s="748" t="n"/>
      <c r="Q303" s="748" t="n"/>
      <c r="R303" s="748" t="n"/>
      <c r="S303" s="748" t="n"/>
      <c r="T303" s="748" t="n"/>
      <c r="U303" s="748" t="n"/>
      <c r="V303" s="748" t="n"/>
      <c r="W303" s="748" t="n"/>
      <c r="X303" s="748" t="n"/>
      <c r="Y303" s="748" t="n"/>
    </row>
    <row r="304">
      <c r="A304" s="748" t="n"/>
      <c r="B304" s="748" t="n"/>
      <c r="C304" s="748" t="n"/>
      <c r="D304" s="748" t="n"/>
      <c r="E304" s="748" t="n"/>
      <c r="F304" s="748" t="n"/>
      <c r="G304" s="748" t="n"/>
      <c r="H304" s="748" t="n"/>
      <c r="I304" s="748" t="n"/>
      <c r="J304" s="748" t="n"/>
      <c r="K304" s="748" t="n"/>
      <c r="L304" s="748" t="n"/>
      <c r="M304" s="748" t="n"/>
      <c r="N304" s="748" t="n"/>
      <c r="O304" s="748" t="n"/>
      <c r="P304" s="748" t="n"/>
      <c r="Q304" s="748" t="n"/>
      <c r="R304" s="748" t="n"/>
      <c r="S304" s="748" t="n"/>
      <c r="T304" s="748" t="n"/>
      <c r="U304" s="748" t="n"/>
      <c r="V304" s="748" t="n"/>
      <c r="W304" s="748" t="n"/>
      <c r="X304" s="748" t="n"/>
      <c r="Y304" s="748" t="n"/>
    </row>
    <row r="305">
      <c r="A305" s="748" t="n"/>
      <c r="B305" s="748" t="n"/>
      <c r="C305" s="748" t="n"/>
      <c r="D305" s="748" t="n"/>
      <c r="E305" s="748" t="n"/>
      <c r="F305" s="748" t="n"/>
      <c r="G305" s="748" t="n"/>
      <c r="H305" s="748" t="n"/>
      <c r="I305" s="748" t="n"/>
      <c r="J305" s="748" t="n"/>
      <c r="K305" s="748" t="n"/>
      <c r="L305" s="748" t="n"/>
      <c r="M305" s="748" t="n"/>
      <c r="N305" s="748" t="n"/>
      <c r="O305" s="748" t="n"/>
      <c r="P305" s="748" t="n"/>
      <c r="Q305" s="748" t="n"/>
      <c r="R305" s="748" t="n"/>
      <c r="S305" s="748" t="n"/>
      <c r="T305" s="748" t="n"/>
      <c r="U305" s="748" t="n"/>
      <c r="V305" s="748" t="n"/>
      <c r="W305" s="748" t="n"/>
      <c r="X305" s="748" t="n"/>
      <c r="Y305" s="748" t="n"/>
    </row>
    <row r="306">
      <c r="A306" s="748" t="n"/>
      <c r="B306" s="748" t="n"/>
      <c r="C306" s="748" t="n"/>
      <c r="D306" s="748" t="n"/>
      <c r="E306" s="748" t="n"/>
      <c r="F306" s="748" t="n"/>
      <c r="G306" s="748" t="n"/>
      <c r="H306" s="748" t="n"/>
      <c r="I306" s="748" t="n"/>
      <c r="J306" s="748" t="n"/>
      <c r="K306" s="748" t="n"/>
      <c r="L306" s="748" t="n"/>
      <c r="M306" s="748" t="n"/>
      <c r="N306" s="748" t="n"/>
      <c r="O306" s="748" t="n"/>
      <c r="P306" s="748" t="n"/>
      <c r="Q306" s="748" t="n"/>
      <c r="R306" s="748" t="n"/>
      <c r="S306" s="748" t="n"/>
      <c r="T306" s="748" t="n"/>
      <c r="U306" s="748" t="n"/>
      <c r="V306" s="748" t="n"/>
      <c r="W306" s="748" t="n"/>
      <c r="X306" s="748" t="n"/>
      <c r="Y306" s="748" t="n"/>
    </row>
    <row r="307">
      <c r="A307" s="748" t="n"/>
      <c r="B307" s="748" t="n"/>
      <c r="C307" s="748" t="n"/>
      <c r="D307" s="748" t="n"/>
      <c r="E307" s="748" t="n"/>
      <c r="F307" s="748" t="n"/>
      <c r="G307" s="748" t="n"/>
      <c r="H307" s="748" t="n"/>
      <c r="I307" s="748" t="n"/>
      <c r="J307" s="748" t="n"/>
      <c r="K307" s="748" t="n"/>
      <c r="L307" s="748" t="n"/>
      <c r="M307" s="748" t="n"/>
      <c r="N307" s="748" t="n"/>
      <c r="O307" s="748" t="n"/>
      <c r="P307" s="748" t="n"/>
      <c r="Q307" s="748" t="n"/>
      <c r="R307" s="748" t="n"/>
      <c r="S307" s="748" t="n"/>
      <c r="T307" s="748" t="n"/>
      <c r="U307" s="748" t="n"/>
      <c r="V307" s="748" t="n"/>
      <c r="W307" s="748" t="n"/>
      <c r="X307" s="748" t="n"/>
      <c r="Y307" s="748" t="n"/>
    </row>
    <row r="308">
      <c r="A308" s="748" t="n"/>
      <c r="B308" s="748" t="n"/>
      <c r="C308" s="748" t="n"/>
      <c r="D308" s="748" t="n"/>
      <c r="E308" s="748" t="n"/>
      <c r="F308" s="748" t="n"/>
      <c r="G308" s="748" t="n"/>
      <c r="H308" s="748" t="n"/>
      <c r="I308" s="748" t="n"/>
      <c r="J308" s="748" t="n"/>
      <c r="K308" s="748" t="n"/>
      <c r="L308" s="748" t="n"/>
      <c r="M308" s="748" t="n"/>
      <c r="N308" s="748" t="n"/>
      <c r="O308" s="748" t="n"/>
      <c r="P308" s="748" t="n"/>
      <c r="Q308" s="748" t="n"/>
      <c r="R308" s="748" t="n"/>
      <c r="S308" s="748" t="n"/>
      <c r="T308" s="748" t="n"/>
      <c r="U308" s="748" t="n"/>
      <c r="V308" s="748" t="n"/>
      <c r="W308" s="748" t="n"/>
      <c r="X308" s="748" t="n"/>
      <c r="Y308" s="748" t="n"/>
    </row>
    <row r="309">
      <c r="A309" s="748" t="n"/>
      <c r="B309" s="748" t="n"/>
      <c r="C309" s="748" t="n"/>
      <c r="D309" s="748" t="n"/>
      <c r="E309" s="748" t="n"/>
      <c r="F309" s="748" t="n"/>
      <c r="G309" s="748" t="n"/>
      <c r="H309" s="748" t="n"/>
      <c r="I309" s="748" t="n"/>
      <c r="J309" s="748" t="n"/>
      <c r="K309" s="748" t="n"/>
      <c r="L309" s="748" t="n"/>
      <c r="M309" s="748" t="n"/>
      <c r="N309" s="748" t="n"/>
      <c r="O309" s="748" t="n"/>
      <c r="P309" s="748" t="n"/>
      <c r="Q309" s="748" t="n"/>
      <c r="R309" s="748" t="n"/>
      <c r="S309" s="748" t="n"/>
      <c r="T309" s="748" t="n"/>
      <c r="U309" s="748" t="n"/>
      <c r="V309" s="748" t="n"/>
      <c r="W309" s="748" t="n"/>
      <c r="X309" s="748" t="n"/>
      <c r="Y309" s="748" t="n"/>
    </row>
    <row r="310">
      <c r="A310" s="773" t="n"/>
      <c r="B310" s="738" t="n"/>
      <c r="C310" s="736" t="n"/>
      <c r="D310" s="736" t="n"/>
      <c r="E310" s="736" t="n"/>
      <c r="F310" s="736" t="n"/>
      <c r="G310" s="736" t="n"/>
      <c r="H310" s="736" t="n"/>
      <c r="I310" s="736" t="n"/>
      <c r="J310" s="736" t="n"/>
      <c r="K310" s="736" t="n"/>
      <c r="L310" s="736" t="n"/>
      <c r="M310" s="736" t="n"/>
      <c r="N310" s="736" t="n"/>
      <c r="O310" s="736" t="n"/>
      <c r="P310" s="736" t="n"/>
      <c r="Q310" s="736" t="n"/>
      <c r="R310" s="736" t="n"/>
      <c r="S310" s="736" t="n"/>
      <c r="T310" s="736" t="n"/>
      <c r="U310" s="736" t="n"/>
      <c r="V310" s="736" t="n"/>
      <c r="W310" s="736" t="n"/>
      <c r="X310" s="736" t="n"/>
      <c r="Y310" s="736" t="n"/>
    </row>
    <row r="311">
      <c r="A311" s="748" t="n"/>
      <c r="B311" s="748" t="n"/>
      <c r="C311" s="748" t="n"/>
      <c r="D311" s="748" t="n"/>
      <c r="E311" s="748" t="n"/>
      <c r="F311" s="748" t="n"/>
      <c r="G311" s="748" t="n"/>
      <c r="H311" s="748" t="n"/>
      <c r="I311" s="748" t="n"/>
      <c r="J311" s="748" t="n"/>
      <c r="K311" s="748" t="n"/>
      <c r="L311" s="748" t="n"/>
      <c r="M311" s="748" t="n"/>
      <c r="N311" s="748" t="n"/>
      <c r="O311" s="748" t="n"/>
      <c r="P311" s="748" t="n"/>
      <c r="Q311" s="748" t="n"/>
      <c r="R311" s="748" t="n"/>
      <c r="S311" s="748" t="n"/>
      <c r="T311" s="748" t="n"/>
      <c r="U311" s="748" t="n"/>
      <c r="V311" s="748" t="n"/>
      <c r="W311" s="748" t="n"/>
      <c r="X311" s="748" t="n"/>
      <c r="Y311" s="748" t="n"/>
    </row>
    <row r="312" ht="13" customHeight="1" s="828">
      <c r="A312" s="747" t="n"/>
      <c r="B312" s="745" t="n"/>
      <c r="C312" s="746" t="n"/>
      <c r="D312" s="746" t="n"/>
      <c r="E312" s="746" t="n"/>
      <c r="F312" s="746" t="n"/>
      <c r="G312" s="746" t="n"/>
      <c r="H312" s="746" t="n"/>
      <c r="I312" s="746" t="n"/>
      <c r="J312" s="746" t="n"/>
      <c r="K312" s="746" t="n"/>
      <c r="L312" s="746" t="n"/>
      <c r="M312" s="746" t="n"/>
      <c r="N312" s="746" t="n"/>
      <c r="O312" s="746" t="n"/>
      <c r="P312" s="746" t="n"/>
      <c r="Q312" s="746" t="n"/>
      <c r="R312" s="746" t="n"/>
      <c r="S312" s="746" t="n"/>
      <c r="T312" s="746" t="n"/>
      <c r="U312" s="746" t="n"/>
      <c r="V312" s="746" t="n"/>
      <c r="W312" s="746" t="n"/>
      <c r="X312" s="746" t="n"/>
      <c r="Y312" s="746" t="n"/>
    </row>
    <row r="313" ht="14.5" customHeight="1" s="828">
      <c r="A313" s="226" t="n"/>
      <c r="B313" s="226" t="n"/>
      <c r="C313" s="226" t="n"/>
      <c r="D313" s="226" t="n"/>
      <c r="E313" s="226" t="n"/>
      <c r="F313" s="354" t="n"/>
      <c r="G313" s="354" t="n"/>
      <c r="H313" s="354" t="n"/>
      <c r="I313" s="354" t="n"/>
      <c r="J313" s="354" t="n"/>
      <c r="K313" s="354" t="n"/>
      <c r="L313" s="354" t="n"/>
      <c r="M313" s="226" t="n"/>
      <c r="N313" s="226" t="n"/>
      <c r="O313" s="226" t="n"/>
      <c r="P313" s="226" t="n"/>
      <c r="Q313" s="226" t="n"/>
      <c r="R313" s="226" t="n"/>
      <c r="S313" s="226" t="n"/>
      <c r="T313" s="226" t="n"/>
      <c r="U313" s="226" t="n"/>
      <c r="V313" s="226" t="n"/>
      <c r="W313" s="226" t="n"/>
      <c r="X313" s="226" t="n"/>
      <c r="Y313" s="226" t="n"/>
    </row>
    <row r="314" ht="14.5" customHeight="1" s="828">
      <c r="A314" s="226" t="n"/>
      <c r="B314" s="226" t="n"/>
      <c r="C314" s="226" t="n"/>
      <c r="D314" s="226" t="n"/>
      <c r="E314" s="226" t="n"/>
      <c r="F314" s="226" t="n"/>
      <c r="G314" s="226" t="n"/>
      <c r="H314" s="226" t="n"/>
      <c r="I314" s="226" t="n"/>
      <c r="J314" s="226" t="n"/>
      <c r="K314" s="226" t="n"/>
      <c r="L314" s="226" t="n"/>
      <c r="M314" s="226" t="n"/>
      <c r="N314" s="226" t="n"/>
      <c r="O314" s="226" t="n"/>
      <c r="P314" s="226" t="n"/>
      <c r="Q314" s="226" t="n"/>
      <c r="R314" s="226" t="n"/>
      <c r="S314" s="226" t="n"/>
      <c r="T314" s="226" t="n"/>
      <c r="U314" s="226" t="n"/>
      <c r="V314" s="226" t="n"/>
      <c r="W314" s="226" t="n"/>
      <c r="X314" s="226" t="n"/>
      <c r="Y314" s="226" t="n"/>
    </row>
    <row r="315" ht="14.5" customHeight="1" s="828">
      <c r="A315" s="352" t="n"/>
      <c r="B315" s="226" t="n"/>
      <c r="C315" s="226" t="n"/>
      <c r="D315" s="226" t="n"/>
      <c r="E315" s="226" t="n"/>
      <c r="F315" s="226" t="n"/>
      <c r="G315" s="226" t="n"/>
      <c r="H315" s="226" t="n"/>
      <c r="I315" s="226" t="n"/>
      <c r="J315" s="226" t="n"/>
      <c r="K315" s="226" t="n"/>
      <c r="L315" s="226" t="n"/>
      <c r="M315" s="226" t="n"/>
      <c r="N315" s="226" t="n"/>
      <c r="O315" s="226" t="n"/>
      <c r="P315" s="226" t="n"/>
      <c r="Q315" s="226" t="n"/>
      <c r="R315" s="226" t="n"/>
      <c r="S315" s="226" t="n"/>
      <c r="T315" s="226" t="n"/>
      <c r="U315" s="226" t="n"/>
      <c r="V315" s="226" t="n"/>
      <c r="W315" s="226" t="n"/>
      <c r="X315" s="226" t="n"/>
      <c r="Y315" s="226" t="n"/>
    </row>
    <row r="316" ht="14.5" customHeight="1" s="828">
      <c r="A316" s="354" t="n"/>
      <c r="B316" s="354" t="n"/>
      <c r="C316" s="354" t="n"/>
      <c r="D316" s="221" t="n"/>
      <c r="E316" s="354" t="n"/>
      <c r="F316" s="226" t="n"/>
      <c r="G316" s="226" t="n"/>
      <c r="H316" s="226" t="n"/>
      <c r="I316" s="226" t="n"/>
      <c r="J316" s="226" t="n"/>
      <c r="K316" s="226" t="n"/>
      <c r="L316" s="226" t="n"/>
      <c r="M316" s="226" t="n"/>
      <c r="N316" s="226" t="n"/>
      <c r="O316" s="226" t="n"/>
      <c r="P316" s="226" t="n"/>
      <c r="Q316" s="226" t="n"/>
      <c r="R316" s="226" t="n"/>
      <c r="S316" s="226" t="n"/>
      <c r="T316" s="226" t="n"/>
      <c r="U316" s="226" t="n"/>
      <c r="V316" s="226" t="n"/>
      <c r="W316" s="226" t="n"/>
      <c r="X316" s="226" t="n"/>
      <c r="Y316" s="226" t="n"/>
    </row>
    <row r="317" ht="14.5" customHeight="1" s="828">
      <c r="A317" s="352" t="n"/>
      <c r="B317" s="354" t="n"/>
      <c r="C317" s="354" t="n"/>
      <c r="D317" s="226" t="n"/>
      <c r="E317" s="354" t="n"/>
      <c r="F317" s="226" t="n"/>
      <c r="G317" s="226" t="n"/>
      <c r="H317" s="226" t="n"/>
      <c r="I317" s="226" t="n"/>
      <c r="J317" s="226" t="n"/>
      <c r="K317" s="226" t="n"/>
      <c r="L317" s="226" t="n"/>
      <c r="M317" s="226" t="n"/>
      <c r="N317" s="226" t="n"/>
      <c r="O317" s="226" t="n"/>
      <c r="P317" s="226" t="n"/>
      <c r="Q317" s="226" t="n"/>
      <c r="R317" s="226" t="n"/>
      <c r="S317" s="226" t="n"/>
      <c r="T317" s="226" t="n"/>
      <c r="U317" s="226" t="n"/>
      <c r="V317" s="226" t="n"/>
      <c r="W317" s="226" t="n"/>
      <c r="X317" s="226" t="n"/>
      <c r="Y317" s="226" t="n"/>
    </row>
    <row r="318" ht="14.5" customHeight="1" s="828">
      <c r="A318" s="226" t="n"/>
      <c r="B318" s="226" t="n"/>
      <c r="C318" s="226" t="n"/>
      <c r="D318" s="226" t="n"/>
      <c r="E318" s="226" t="n"/>
      <c r="F318" s="226" t="n"/>
      <c r="G318" s="226" t="n"/>
      <c r="H318" s="226" t="n"/>
      <c r="I318" s="226" t="n"/>
      <c r="J318" s="226" t="n"/>
      <c r="K318" s="226" t="n"/>
      <c r="L318" s="226" t="n"/>
      <c r="M318" s="226" t="n"/>
      <c r="N318" s="226" t="n"/>
      <c r="O318" s="226" t="n"/>
      <c r="P318" s="226" t="n"/>
      <c r="Q318" s="226" t="n"/>
      <c r="R318" s="226" t="n"/>
      <c r="S318" s="226" t="n"/>
      <c r="T318" s="226" t="n"/>
      <c r="U318" s="226" t="n"/>
      <c r="V318" s="226" t="n"/>
      <c r="W318" s="226" t="n"/>
      <c r="X318" s="226" t="n"/>
      <c r="Y318" s="226" t="n"/>
    </row>
    <row r="319" ht="14.5" customHeight="1" s="828">
      <c r="A319" s="226" t="n"/>
      <c r="B319" s="226" t="n"/>
      <c r="C319" s="226" t="n"/>
      <c r="D319" s="226" t="n"/>
      <c r="E319" s="226" t="n"/>
      <c r="F319" s="226" t="n"/>
      <c r="G319" s="226" t="n"/>
      <c r="H319" s="226" t="n"/>
      <c r="I319" s="226" t="n"/>
      <c r="J319" s="226" t="n"/>
      <c r="K319" s="226" t="n"/>
      <c r="L319" s="226" t="n"/>
      <c r="M319" s="226" t="n"/>
      <c r="N319" s="226" t="n"/>
      <c r="O319" s="226" t="n"/>
      <c r="P319" s="226" t="n"/>
      <c r="Q319" s="226" t="n"/>
      <c r="R319" s="226" t="n"/>
      <c r="S319" s="226" t="n"/>
      <c r="T319" s="226" t="n"/>
      <c r="U319" s="226" t="n"/>
      <c r="V319" s="226" t="n"/>
      <c r="W319" s="226" t="n"/>
      <c r="X319" s="226" t="n"/>
      <c r="Y319" s="226" t="n"/>
    </row>
    <row r="320" ht="14.5" customHeight="1" s="828">
      <c r="A320" s="226" t="n"/>
      <c r="B320" s="226" t="n"/>
      <c r="C320" s="226" t="n"/>
      <c r="D320" s="226" t="n"/>
      <c r="E320" s="226" t="n"/>
      <c r="F320" s="226" t="n"/>
      <c r="G320" s="226" t="n"/>
      <c r="H320" s="226" t="n"/>
      <c r="I320" s="226" t="n"/>
      <c r="J320" s="226" t="n"/>
      <c r="K320" s="226" t="n"/>
      <c r="L320" s="226" t="n"/>
      <c r="M320" s="226" t="n"/>
      <c r="N320" s="226" t="n"/>
      <c r="O320" s="226" t="n"/>
      <c r="P320" s="226" t="n"/>
      <c r="Q320" s="226" t="n"/>
      <c r="R320" s="226" t="n"/>
      <c r="S320" s="226" t="n"/>
      <c r="T320" s="226" t="n"/>
      <c r="U320" s="226" t="n"/>
      <c r="V320" s="226" t="n"/>
      <c r="W320" s="226" t="n"/>
      <c r="X320" s="226" t="n"/>
      <c r="Y320" s="226" t="n"/>
    </row>
    <row r="321" ht="14.5" customHeight="1" s="828">
      <c r="A321" s="226" t="n"/>
      <c r="B321" s="226" t="n"/>
      <c r="C321" s="226" t="n"/>
      <c r="D321" s="226" t="n"/>
      <c r="E321" s="226" t="n"/>
      <c r="F321" s="226" t="n"/>
      <c r="G321" s="226" t="n"/>
      <c r="H321" s="226" t="n"/>
      <c r="I321" s="226" t="n"/>
      <c r="J321" s="226" t="n"/>
      <c r="K321" s="226" t="n"/>
      <c r="L321" s="226" t="n"/>
      <c r="M321" s="226" t="n"/>
      <c r="N321" s="226" t="n"/>
      <c r="O321" s="226" t="n"/>
      <c r="P321" s="226" t="n"/>
      <c r="Q321" s="226" t="n"/>
      <c r="R321" s="226" t="n"/>
      <c r="S321" s="226" t="n"/>
      <c r="T321" s="226" t="n"/>
      <c r="U321" s="226" t="n"/>
      <c r="V321" s="226" t="n"/>
      <c r="W321" s="226" t="n"/>
      <c r="X321" s="226" t="n"/>
      <c r="Y321" s="226" t="n"/>
    </row>
    <row r="322" ht="14.5" customHeight="1" s="828">
      <c r="A322" s="226" t="n"/>
      <c r="B322" s="226" t="n"/>
      <c r="C322" s="226" t="n"/>
      <c r="D322" s="226" t="n"/>
      <c r="E322" s="226" t="n"/>
      <c r="F322" s="226" t="n"/>
      <c r="G322" s="226" t="n"/>
      <c r="H322" s="226" t="n"/>
      <c r="I322" s="226" t="n"/>
      <c r="J322" s="226" t="n"/>
      <c r="K322" s="226" t="n"/>
      <c r="L322" s="226" t="n"/>
      <c r="M322" s="226" t="n"/>
      <c r="N322" s="226" t="n"/>
      <c r="O322" s="226" t="n"/>
      <c r="P322" s="226" t="n"/>
      <c r="Q322" s="226" t="n"/>
      <c r="R322" s="226" t="n"/>
      <c r="S322" s="226" t="n"/>
      <c r="T322" s="226" t="n"/>
      <c r="U322" s="226" t="n"/>
      <c r="V322" s="226" t="n"/>
      <c r="W322" s="226" t="n"/>
      <c r="X322" s="226" t="n"/>
      <c r="Y322" s="226" t="n"/>
    </row>
    <row r="323" ht="14.5" customHeight="1" s="828">
      <c r="A323" s="226" t="n"/>
      <c r="B323" s="226" t="n"/>
      <c r="C323" s="226" t="n"/>
      <c r="D323" s="226" t="n"/>
      <c r="E323" s="226" t="n"/>
      <c r="F323" s="226" t="n"/>
      <c r="G323" s="226" t="n"/>
      <c r="H323" s="226" t="n"/>
      <c r="I323" s="226" t="n"/>
      <c r="J323" s="226" t="n"/>
      <c r="K323" s="226" t="n"/>
      <c r="L323" s="226" t="n"/>
      <c r="M323" s="226" t="n"/>
      <c r="N323" s="226" t="n"/>
      <c r="O323" s="226" t="n"/>
      <c r="P323" s="226" t="n"/>
      <c r="Q323" s="226" t="n"/>
      <c r="R323" s="226" t="n"/>
      <c r="S323" s="226" t="n"/>
      <c r="T323" s="226" t="n"/>
      <c r="U323" s="226" t="n"/>
      <c r="V323" s="226" t="n"/>
      <c r="W323" s="226" t="n"/>
      <c r="X323" s="226" t="n"/>
      <c r="Y323" s="226" t="n"/>
    </row>
    <row r="324" ht="14.5" customHeight="1" s="828">
      <c r="A324" s="226" t="n"/>
      <c r="B324" s="226" t="n"/>
      <c r="C324" s="226" t="n"/>
      <c r="D324" s="226" t="n"/>
      <c r="E324" s="226" t="n"/>
      <c r="F324" s="226" t="n"/>
      <c r="G324" s="226" t="n"/>
      <c r="H324" s="226" t="n"/>
      <c r="I324" s="226" t="n"/>
      <c r="J324" s="226" t="n"/>
      <c r="K324" s="226" t="n"/>
      <c r="L324" s="226" t="n"/>
      <c r="M324" s="226" t="n"/>
      <c r="N324" s="226" t="n"/>
      <c r="O324" s="226" t="n"/>
      <c r="P324" s="226" t="n"/>
      <c r="Q324" s="226" t="n"/>
      <c r="R324" s="226" t="n"/>
      <c r="S324" s="226" t="n"/>
      <c r="T324" s="226" t="n"/>
      <c r="U324" s="226" t="n"/>
      <c r="V324" s="226" t="n"/>
      <c r="W324" s="226" t="n"/>
      <c r="X324" s="226" t="n"/>
      <c r="Y324" s="226" t="n"/>
    </row>
    <row r="325" ht="14.5" customHeight="1" s="828">
      <c r="A325" s="226" t="n"/>
      <c r="B325" s="226" t="n"/>
      <c r="C325" s="226" t="n"/>
      <c r="D325" s="226" t="n"/>
      <c r="E325" s="226" t="n"/>
      <c r="F325" s="226" t="n"/>
      <c r="G325" s="226" t="n"/>
      <c r="H325" s="226" t="n"/>
      <c r="I325" s="226" t="n"/>
      <c r="J325" s="226" t="n"/>
      <c r="K325" s="226" t="n"/>
      <c r="L325" s="226" t="n"/>
      <c r="M325" s="226" t="n"/>
      <c r="N325" s="226" t="n"/>
      <c r="O325" s="226" t="n"/>
      <c r="P325" s="226" t="n"/>
      <c r="Q325" s="226" t="n"/>
      <c r="R325" s="226" t="n"/>
      <c r="S325" s="226" t="n"/>
      <c r="T325" s="226" t="n"/>
      <c r="U325" s="226" t="n"/>
      <c r="V325" s="226" t="n"/>
      <c r="W325" s="226" t="n"/>
      <c r="X325" s="226" t="n"/>
      <c r="Y325" s="226" t="n"/>
    </row>
    <row r="326" ht="14.5" customHeight="1" s="828">
      <c r="A326" s="226" t="n"/>
      <c r="B326" s="226" t="n"/>
      <c r="C326" s="226" t="n"/>
      <c r="D326" s="226" t="n"/>
      <c r="E326" s="226" t="n"/>
      <c r="F326" s="226" t="n"/>
      <c r="G326" s="226" t="n"/>
      <c r="H326" s="226" t="n"/>
      <c r="I326" s="226" t="n"/>
      <c r="J326" s="226" t="n"/>
      <c r="K326" s="226" t="n"/>
      <c r="L326" s="226" t="n"/>
      <c r="M326" s="226" t="n"/>
      <c r="N326" s="226" t="n"/>
      <c r="O326" s="226" t="n"/>
      <c r="P326" s="226" t="n"/>
      <c r="Q326" s="226" t="n"/>
      <c r="R326" s="226" t="n"/>
      <c r="S326" s="226" t="n"/>
      <c r="T326" s="226" t="n"/>
      <c r="U326" s="226" t="n"/>
      <c r="V326" s="226" t="n"/>
      <c r="W326" s="226" t="n"/>
      <c r="X326" s="226" t="n"/>
      <c r="Y326" s="226" t="n"/>
    </row>
    <row r="327" ht="14.5" customHeight="1" s="828">
      <c r="A327" s="226" t="n"/>
      <c r="B327" s="226" t="n"/>
      <c r="C327" s="226" t="n"/>
      <c r="D327" s="226" t="n"/>
      <c r="E327" s="226" t="n"/>
      <c r="F327" s="226" t="n"/>
      <c r="G327" s="226" t="n"/>
      <c r="H327" s="226" t="n"/>
      <c r="I327" s="226" t="n"/>
      <c r="J327" s="226" t="n"/>
      <c r="K327" s="226" t="n"/>
      <c r="L327" s="226" t="n"/>
      <c r="M327" s="226" t="n"/>
      <c r="N327" s="226" t="n"/>
      <c r="O327" s="226" t="n"/>
      <c r="P327" s="226" t="n"/>
      <c r="Q327" s="226" t="n"/>
      <c r="R327" s="226" t="n"/>
      <c r="S327" s="226" t="n"/>
      <c r="T327" s="226" t="n"/>
      <c r="U327" s="226" t="n"/>
      <c r="V327" s="226" t="n"/>
      <c r="W327" s="226" t="n"/>
      <c r="X327" s="226" t="n"/>
      <c r="Y327" s="226" t="n"/>
    </row>
    <row r="328" ht="14.5" customHeight="1" s="828">
      <c r="A328" s="226" t="n"/>
      <c r="B328" s="226" t="n"/>
      <c r="C328" s="226" t="n"/>
      <c r="D328" s="226" t="n"/>
      <c r="E328" s="226" t="n"/>
      <c r="F328" s="226" t="n"/>
      <c r="G328" s="226" t="n"/>
      <c r="H328" s="226" t="n"/>
      <c r="I328" s="226" t="n"/>
      <c r="J328" s="226" t="n"/>
      <c r="K328" s="226" t="n"/>
      <c r="L328" s="226" t="n"/>
      <c r="M328" s="226" t="n"/>
      <c r="N328" s="226" t="n"/>
      <c r="O328" s="226" t="n"/>
      <c r="P328" s="226" t="n"/>
      <c r="Q328" s="226" t="n"/>
      <c r="R328" s="226" t="n"/>
      <c r="S328" s="226" t="n"/>
      <c r="T328" s="226" t="n"/>
      <c r="U328" s="226" t="n"/>
      <c r="V328" s="226" t="n"/>
      <c r="W328" s="226" t="n"/>
      <c r="X328" s="226" t="n"/>
      <c r="Y328" s="226" t="n"/>
    </row>
    <row r="329" ht="14.5" customHeight="1" s="828">
      <c r="A329" s="226" t="n"/>
      <c r="B329" s="226" t="n"/>
      <c r="C329" s="226" t="n"/>
      <c r="D329" s="226" t="n"/>
      <c r="E329" s="226" t="n"/>
      <c r="F329" s="226" t="n"/>
      <c r="G329" s="226" t="n"/>
      <c r="H329" s="226" t="n"/>
      <c r="I329" s="226" t="n"/>
      <c r="J329" s="226" t="n"/>
      <c r="K329" s="226" t="n"/>
      <c r="L329" s="226" t="n"/>
      <c r="M329" s="226" t="n"/>
      <c r="N329" s="226" t="n"/>
      <c r="O329" s="226" t="n"/>
      <c r="P329" s="226" t="n"/>
      <c r="Q329" s="226" t="n"/>
      <c r="R329" s="226" t="n"/>
      <c r="S329" s="226" t="n"/>
      <c r="T329" s="226" t="n"/>
      <c r="U329" s="226" t="n"/>
      <c r="V329" s="226" t="n"/>
      <c r="W329" s="226" t="n"/>
      <c r="X329" s="226" t="n"/>
      <c r="Y329" s="226" t="n"/>
    </row>
    <row r="330" ht="14.5" customHeight="1" s="828">
      <c r="A330" s="226" t="n"/>
      <c r="B330" s="226" t="n"/>
      <c r="C330" s="226" t="n"/>
      <c r="D330" s="226" t="n"/>
      <c r="E330" s="226" t="n"/>
      <c r="F330" s="226" t="n"/>
      <c r="G330" s="226" t="n"/>
      <c r="H330" s="226" t="n"/>
      <c r="I330" s="226" t="n"/>
      <c r="J330" s="226" t="n"/>
      <c r="K330" s="226" t="n"/>
      <c r="L330" s="226" t="n"/>
      <c r="M330" s="226" t="n"/>
      <c r="N330" s="226" t="n"/>
      <c r="O330" s="226" t="n"/>
      <c r="P330" s="226" t="n"/>
      <c r="Q330" s="226" t="n"/>
      <c r="R330" s="226" t="n"/>
      <c r="S330" s="226" t="n"/>
      <c r="T330" s="226" t="n"/>
      <c r="U330" s="226" t="n"/>
      <c r="V330" s="226" t="n"/>
      <c r="W330" s="226" t="n"/>
      <c r="X330" s="226" t="n"/>
      <c r="Y330" s="226" t="n"/>
    </row>
    <row r="331" ht="14.5" customHeight="1" s="828">
      <c r="A331" s="226" t="n"/>
      <c r="B331" s="226" t="n"/>
      <c r="C331" s="226" t="n"/>
      <c r="D331" s="226" t="n"/>
      <c r="E331" s="226" t="n"/>
      <c r="F331" s="226" t="n"/>
      <c r="G331" s="226" t="n"/>
      <c r="H331" s="226" t="n"/>
      <c r="I331" s="226" t="n"/>
      <c r="J331" s="226" t="n"/>
      <c r="K331" s="226" t="n"/>
      <c r="L331" s="226" t="n"/>
      <c r="M331" s="226" t="n"/>
      <c r="N331" s="226" t="n"/>
      <c r="O331" s="226" t="n"/>
      <c r="P331" s="226" t="n"/>
      <c r="Q331" s="226" t="n"/>
      <c r="R331" s="226" t="n"/>
      <c r="S331" s="226" t="n"/>
      <c r="T331" s="226" t="n"/>
      <c r="U331" s="226" t="n"/>
      <c r="V331" s="226" t="n"/>
      <c r="W331" s="226" t="n"/>
      <c r="X331" s="226" t="n"/>
      <c r="Y331" s="226" t="n"/>
    </row>
    <row r="332" ht="14.5" customHeight="1" s="828">
      <c r="A332" s="226" t="n"/>
      <c r="B332" s="226" t="n"/>
      <c r="C332" s="226" t="n"/>
      <c r="D332" s="226" t="n"/>
      <c r="E332" s="226" t="n"/>
      <c r="F332" s="226" t="n"/>
      <c r="G332" s="226" t="n"/>
      <c r="H332" s="226" t="n"/>
      <c r="I332" s="226" t="n"/>
      <c r="J332" s="226" t="n"/>
      <c r="K332" s="226" t="n"/>
      <c r="L332" s="226" t="n"/>
      <c r="M332" s="226" t="n"/>
      <c r="N332" s="226" t="n"/>
      <c r="O332" s="226" t="n"/>
      <c r="P332" s="226" t="n"/>
      <c r="Q332" s="226" t="n"/>
      <c r="R332" s="226" t="n"/>
      <c r="S332" s="226" t="n"/>
      <c r="T332" s="226" t="n"/>
      <c r="U332" s="226" t="n"/>
      <c r="V332" s="226" t="n"/>
      <c r="W332" s="226" t="n"/>
      <c r="X332" s="226" t="n"/>
      <c r="Y332" s="226" t="n"/>
    </row>
    <row r="333" ht="14.5" customHeight="1" s="828">
      <c r="A333" s="226" t="n"/>
      <c r="B333" s="226" t="n"/>
      <c r="C333" s="226" t="n"/>
      <c r="D333" s="226" t="n"/>
      <c r="E333" s="226" t="n"/>
      <c r="F333" s="226" t="n"/>
      <c r="G333" s="226" t="n"/>
      <c r="H333" s="226" t="n"/>
      <c r="I333" s="226" t="n"/>
      <c r="J333" s="226" t="n"/>
      <c r="K333" s="226" t="n"/>
      <c r="L333" s="226" t="n"/>
      <c r="M333" s="226" t="n"/>
      <c r="N333" s="226" t="n"/>
      <c r="O333" s="226" t="n"/>
      <c r="P333" s="226" t="n"/>
      <c r="Q333" s="226" t="n"/>
      <c r="R333" s="226" t="n"/>
      <c r="S333" s="226" t="n"/>
      <c r="T333" s="226" t="n"/>
      <c r="U333" s="226" t="n"/>
      <c r="V333" s="226" t="n"/>
      <c r="W333" s="226" t="n"/>
      <c r="X333" s="226" t="n"/>
      <c r="Y333" s="226" t="n"/>
    </row>
    <row r="334" ht="14.5" customHeight="1" s="828">
      <c r="A334" s="226" t="n"/>
      <c r="B334" s="226" t="n"/>
      <c r="C334" s="226" t="n"/>
      <c r="D334" s="226" t="n"/>
      <c r="E334" s="226" t="n"/>
      <c r="F334" s="226" t="n"/>
      <c r="G334" s="226" t="n"/>
      <c r="H334" s="226" t="n"/>
      <c r="I334" s="226" t="n"/>
      <c r="J334" s="226" t="n"/>
      <c r="K334" s="226" t="n"/>
      <c r="L334" s="226" t="n"/>
      <c r="M334" s="226" t="n"/>
      <c r="N334" s="226" t="n"/>
      <c r="O334" s="226" t="n"/>
      <c r="P334" s="226" t="n"/>
      <c r="Q334" s="226" t="n"/>
      <c r="R334" s="226" t="n"/>
      <c r="S334" s="226" t="n"/>
      <c r="T334" s="226" t="n"/>
      <c r="U334" s="226" t="n"/>
      <c r="V334" s="226" t="n"/>
      <c r="W334" s="226" t="n"/>
      <c r="X334" s="226" t="n"/>
      <c r="Y334" s="226" t="n"/>
    </row>
    <row r="335" ht="14.5" customHeight="1" s="828">
      <c r="A335" s="226" t="n"/>
      <c r="B335" s="226" t="n"/>
      <c r="C335" s="226" t="n"/>
      <c r="D335" s="226" t="n"/>
      <c r="E335" s="226" t="n"/>
      <c r="F335" s="226" t="n"/>
      <c r="G335" s="226" t="n"/>
      <c r="H335" s="226" t="n"/>
      <c r="I335" s="226" t="n"/>
      <c r="J335" s="226" t="n"/>
      <c r="K335" s="226" t="n"/>
      <c r="L335" s="226" t="n"/>
      <c r="M335" s="226" t="n"/>
      <c r="N335" s="226" t="n"/>
      <c r="O335" s="226" t="n"/>
      <c r="P335" s="226" t="n"/>
      <c r="Q335" s="226" t="n"/>
      <c r="R335" s="226" t="n"/>
      <c r="S335" s="226" t="n"/>
      <c r="T335" s="226" t="n"/>
      <c r="U335" s="226" t="n"/>
      <c r="V335" s="226" t="n"/>
      <c r="W335" s="226" t="n"/>
      <c r="X335" s="226" t="n"/>
      <c r="Y335" s="226" t="n"/>
    </row>
    <row r="336" ht="14.5" customHeight="1" s="828">
      <c r="A336" s="226" t="n"/>
      <c r="B336" s="226" t="n"/>
      <c r="C336" s="226" t="n"/>
      <c r="D336" s="226" t="n"/>
      <c r="E336" s="226" t="n"/>
      <c r="F336" s="226" t="n"/>
      <c r="G336" s="226" t="n"/>
      <c r="H336" s="226" t="n"/>
      <c r="I336" s="226" t="n"/>
      <c r="J336" s="226" t="n"/>
      <c r="K336" s="226" t="n"/>
      <c r="L336" s="226" t="n"/>
      <c r="M336" s="226" t="n"/>
      <c r="N336" s="226" t="n"/>
      <c r="O336" s="226" t="n"/>
      <c r="P336" s="226" t="n"/>
      <c r="Q336" s="226" t="n"/>
      <c r="R336" s="226" t="n"/>
      <c r="S336" s="226" t="n"/>
      <c r="T336" s="226" t="n"/>
      <c r="U336" s="226" t="n"/>
      <c r="V336" s="226" t="n"/>
      <c r="W336" s="226" t="n"/>
      <c r="X336" s="226" t="n"/>
      <c r="Y336" s="226" t="n"/>
    </row>
    <row r="337" ht="14.5" customHeight="1" s="828">
      <c r="A337" s="226" t="n"/>
      <c r="B337" s="226" t="n"/>
      <c r="C337" s="226" t="n"/>
      <c r="D337" s="226" t="n"/>
      <c r="E337" s="226" t="n"/>
      <c r="F337" s="226" t="n"/>
      <c r="G337" s="226" t="n"/>
      <c r="H337" s="226" t="n"/>
      <c r="I337" s="226" t="n"/>
      <c r="J337" s="226" t="n"/>
      <c r="K337" s="226" t="n"/>
      <c r="L337" s="226" t="n"/>
      <c r="M337" s="226" t="n"/>
      <c r="N337" s="226" t="n"/>
      <c r="O337" s="226" t="n"/>
      <c r="P337" s="226" t="n"/>
      <c r="Q337" s="226" t="n"/>
      <c r="R337" s="226" t="n"/>
      <c r="S337" s="226" t="n"/>
      <c r="T337" s="226" t="n"/>
      <c r="U337" s="226" t="n"/>
      <c r="V337" s="226" t="n"/>
      <c r="W337" s="226" t="n"/>
      <c r="X337" s="226" t="n"/>
      <c r="Y337" s="226" t="n"/>
    </row>
    <row r="338" ht="14.5" customHeight="1" s="828">
      <c r="A338" s="226" t="n"/>
      <c r="B338" s="226" t="n"/>
      <c r="C338" s="226" t="n"/>
      <c r="D338" s="226" t="n"/>
      <c r="E338" s="226" t="n"/>
      <c r="F338" s="226" t="n"/>
      <c r="G338" s="226" t="n"/>
      <c r="H338" s="226" t="n"/>
      <c r="I338" s="226" t="n"/>
      <c r="J338" s="226" t="n"/>
      <c r="K338" s="226" t="n"/>
      <c r="L338" s="226" t="n"/>
      <c r="M338" s="226" t="n"/>
      <c r="N338" s="226" t="n"/>
      <c r="O338" s="226" t="n"/>
      <c r="P338" s="226" t="n"/>
      <c r="Q338" s="226" t="n"/>
      <c r="R338" s="226" t="n"/>
      <c r="S338" s="226" t="n"/>
      <c r="T338" s="226" t="n"/>
      <c r="U338" s="226" t="n"/>
      <c r="V338" s="226" t="n"/>
      <c r="W338" s="226" t="n"/>
      <c r="X338" s="226" t="n"/>
      <c r="Y338" s="226" t="n"/>
    </row>
    <row r="339" ht="14.5" customHeight="1" s="828">
      <c r="A339" s="226" t="n"/>
      <c r="B339" s="226" t="n"/>
      <c r="C339" s="226" t="n"/>
      <c r="D339" s="226" t="n"/>
      <c r="E339" s="226" t="n"/>
      <c r="F339" s="226" t="n"/>
      <c r="G339" s="226" t="n"/>
      <c r="H339" s="226" t="n"/>
      <c r="I339" s="226" t="n"/>
      <c r="J339" s="226" t="n"/>
      <c r="K339" s="226" t="n"/>
      <c r="L339" s="226" t="n"/>
      <c r="M339" s="226" t="n"/>
      <c r="N339" s="226" t="n"/>
      <c r="O339" s="226" t="n"/>
      <c r="P339" s="226" t="n"/>
      <c r="Q339" s="226" t="n"/>
      <c r="R339" s="226" t="n"/>
      <c r="S339" s="226" t="n"/>
      <c r="T339" s="226" t="n"/>
      <c r="U339" s="226" t="n"/>
      <c r="V339" s="226" t="n"/>
      <c r="W339" s="226" t="n"/>
      <c r="X339" s="226" t="n"/>
      <c r="Y339" s="226" t="n"/>
    </row>
    <row r="340" ht="14.5" customHeight="1" s="828">
      <c r="A340" s="226" t="n"/>
      <c r="B340" s="226" t="n"/>
      <c r="C340" s="226" t="n"/>
      <c r="D340" s="226" t="n"/>
      <c r="E340" s="226" t="n"/>
      <c r="F340" s="226" t="n"/>
      <c r="G340" s="226" t="n"/>
      <c r="H340" s="226" t="n"/>
      <c r="I340" s="226" t="n"/>
      <c r="J340" s="226" t="n"/>
      <c r="K340" s="226" t="n"/>
      <c r="L340" s="226" t="n"/>
      <c r="M340" s="226" t="n"/>
      <c r="N340" s="226" t="n"/>
      <c r="O340" s="226" t="n"/>
      <c r="P340" s="226" t="n"/>
      <c r="Q340" s="226" t="n"/>
      <c r="R340" s="226" t="n"/>
      <c r="S340" s="226" t="n"/>
      <c r="T340" s="226" t="n"/>
      <c r="U340" s="226" t="n"/>
      <c r="V340" s="226" t="n"/>
      <c r="W340" s="226" t="n"/>
      <c r="X340" s="226" t="n"/>
      <c r="Y340" s="226" t="n"/>
    </row>
    <row r="341" ht="14.5" customHeight="1" s="828">
      <c r="A341" s="226" t="n"/>
      <c r="B341" s="226" t="n"/>
      <c r="C341" s="226" t="n"/>
      <c r="D341" s="226" t="n"/>
      <c r="E341" s="226" t="n"/>
      <c r="F341" s="226" t="n"/>
      <c r="G341" s="226" t="n"/>
      <c r="H341" s="226" t="n"/>
      <c r="I341" s="226" t="n"/>
      <c r="J341" s="226" t="n"/>
      <c r="K341" s="226" t="n"/>
      <c r="L341" s="226" t="n"/>
      <c r="M341" s="226" t="n"/>
      <c r="N341" s="226" t="n"/>
      <c r="O341" s="226" t="n"/>
      <c r="P341" s="226" t="n"/>
      <c r="Q341" s="226" t="n"/>
      <c r="R341" s="226" t="n"/>
      <c r="S341" s="226" t="n"/>
      <c r="T341" s="226" t="n"/>
      <c r="U341" s="226" t="n"/>
      <c r="V341" s="226" t="n"/>
      <c r="W341" s="226" t="n"/>
      <c r="X341" s="226" t="n"/>
      <c r="Y341" s="226" t="n"/>
    </row>
    <row r="342" ht="14.5" customHeight="1" s="828">
      <c r="A342" s="226" t="n"/>
      <c r="B342" s="226" t="n"/>
      <c r="C342" s="226" t="n"/>
      <c r="D342" s="226" t="n"/>
      <c r="E342" s="226" t="n"/>
      <c r="F342" s="226" t="n"/>
      <c r="G342" s="226" t="n"/>
      <c r="H342" s="226" t="n"/>
      <c r="I342" s="226" t="n"/>
      <c r="J342" s="226" t="n"/>
      <c r="K342" s="226" t="n"/>
      <c r="L342" s="226" t="n"/>
      <c r="M342" s="226" t="n"/>
      <c r="N342" s="226" t="n"/>
      <c r="O342" s="226" t="n"/>
      <c r="P342" s="226" t="n"/>
      <c r="Q342" s="226" t="n"/>
      <c r="R342" s="226" t="n"/>
      <c r="S342" s="226" t="n"/>
      <c r="T342" s="226" t="n"/>
      <c r="U342" s="226" t="n"/>
      <c r="V342" s="226" t="n"/>
      <c r="W342" s="226" t="n"/>
      <c r="X342" s="226" t="n"/>
      <c r="Y342" s="226" t="n"/>
    </row>
    <row r="343" ht="14.5" customHeight="1" s="828">
      <c r="A343" s="226" t="n"/>
      <c r="B343" s="226" t="n"/>
      <c r="C343" s="226" t="n"/>
      <c r="D343" s="226" t="n"/>
      <c r="E343" s="226" t="n"/>
      <c r="F343" s="226" t="n"/>
      <c r="G343" s="226" t="n"/>
      <c r="H343" s="226" t="n"/>
      <c r="I343" s="226" t="n"/>
      <c r="J343" s="226" t="n"/>
      <c r="K343" s="226" t="n"/>
      <c r="L343" s="226" t="n"/>
      <c r="M343" s="226" t="n"/>
      <c r="N343" s="226" t="n"/>
      <c r="O343" s="226" t="n"/>
      <c r="P343" s="226" t="n"/>
      <c r="Q343" s="226" t="n"/>
      <c r="R343" s="226" t="n"/>
      <c r="S343" s="226" t="n"/>
      <c r="T343" s="226" t="n"/>
      <c r="U343" s="226" t="n"/>
      <c r="V343" s="226" t="n"/>
      <c r="W343" s="226" t="n"/>
      <c r="X343" s="226" t="n"/>
      <c r="Y343" s="226" t="n"/>
    </row>
    <row r="344" ht="14.5" customHeight="1" s="828">
      <c r="A344" s="226" t="n"/>
      <c r="B344" s="226" t="n"/>
      <c r="C344" s="226" t="n"/>
      <c r="D344" s="226" t="n"/>
      <c r="E344" s="226" t="n"/>
      <c r="F344" s="226" t="n"/>
      <c r="G344" s="226" t="n"/>
      <c r="H344" s="226" t="n"/>
      <c r="I344" s="226" t="n"/>
      <c r="J344" s="226" t="n"/>
      <c r="K344" s="226" t="n"/>
      <c r="L344" s="226" t="n"/>
      <c r="M344" s="226" t="n"/>
      <c r="N344" s="226" t="n"/>
      <c r="O344" s="226" t="n"/>
      <c r="P344" s="226" t="n"/>
      <c r="Q344" s="226" t="n"/>
      <c r="R344" s="226" t="n"/>
      <c r="S344" s="226" t="n"/>
      <c r="T344" s="226" t="n"/>
      <c r="U344" s="226" t="n"/>
      <c r="V344" s="226" t="n"/>
      <c r="W344" s="226" t="n"/>
      <c r="X344" s="226" t="n"/>
      <c r="Y344" s="226" t="n"/>
    </row>
    <row r="345" ht="14.5" customHeight="1" s="828">
      <c r="A345" s="226" t="n"/>
      <c r="B345" s="226" t="n"/>
      <c r="C345" s="226" t="n"/>
      <c r="D345" s="226" t="n"/>
      <c r="E345" s="226" t="n"/>
      <c r="F345" s="226" t="n"/>
      <c r="G345" s="226" t="n"/>
      <c r="H345" s="226" t="n"/>
      <c r="I345" s="226" t="n"/>
      <c r="J345" s="226" t="n"/>
      <c r="K345" s="226" t="n"/>
      <c r="L345" s="226" t="n"/>
      <c r="M345" s="226" t="n"/>
      <c r="N345" s="226" t="n"/>
      <c r="O345" s="226" t="n"/>
      <c r="P345" s="226" t="n"/>
      <c r="Q345" s="226" t="n"/>
      <c r="R345" s="226" t="n"/>
      <c r="S345" s="226" t="n"/>
      <c r="T345" s="226" t="n"/>
      <c r="U345" s="226" t="n"/>
      <c r="V345" s="226" t="n"/>
      <c r="W345" s="226" t="n"/>
      <c r="X345" s="226" t="n"/>
      <c r="Y345" s="226" t="n"/>
    </row>
    <row r="346" ht="14.5" customHeight="1" s="828">
      <c r="A346" s="226" t="n"/>
      <c r="B346" s="226" t="n"/>
      <c r="C346" s="226" t="n"/>
      <c r="D346" s="226" t="n"/>
      <c r="E346" s="226" t="n"/>
      <c r="F346" s="226" t="n"/>
      <c r="G346" s="226" t="n"/>
      <c r="H346" s="226" t="n"/>
      <c r="I346" s="226" t="n"/>
      <c r="J346" s="226" t="n"/>
      <c r="K346" s="226" t="n"/>
      <c r="L346" s="226" t="n"/>
      <c r="M346" s="226" t="n"/>
      <c r="N346" s="226" t="n"/>
      <c r="O346" s="226" t="n"/>
      <c r="P346" s="226" t="n"/>
      <c r="Q346" s="226" t="n"/>
      <c r="R346" s="226" t="n"/>
      <c r="S346" s="226" t="n"/>
      <c r="T346" s="226" t="n"/>
      <c r="U346" s="226" t="n"/>
      <c r="V346" s="226" t="n"/>
      <c r="W346" s="226" t="n"/>
      <c r="X346" s="226" t="n"/>
      <c r="Y346" s="226" t="n"/>
    </row>
    <row r="347" ht="14.5" customHeight="1" s="828">
      <c r="A347" s="226" t="n"/>
      <c r="B347" s="226" t="n"/>
      <c r="C347" s="226" t="n"/>
      <c r="D347" s="226" t="n"/>
      <c r="E347" s="226" t="n"/>
      <c r="F347" s="226" t="n"/>
      <c r="G347" s="226" t="n"/>
      <c r="H347" s="226" t="n"/>
      <c r="I347" s="226" t="n"/>
      <c r="J347" s="226" t="n"/>
      <c r="K347" s="226" t="n"/>
      <c r="L347" s="226" t="n"/>
      <c r="M347" s="226" t="n"/>
      <c r="N347" s="226" t="n"/>
      <c r="O347" s="226" t="n"/>
      <c r="P347" s="226" t="n"/>
      <c r="Q347" s="226" t="n"/>
      <c r="R347" s="226" t="n"/>
      <c r="S347" s="226" t="n"/>
      <c r="T347" s="226" t="n"/>
      <c r="U347" s="226" t="n"/>
      <c r="V347" s="226" t="n"/>
      <c r="W347" s="226" t="n"/>
      <c r="X347" s="226" t="n"/>
      <c r="Y347" s="226" t="n"/>
    </row>
    <row r="348" ht="14.5" customHeight="1" s="828">
      <c r="A348" s="226" t="n"/>
      <c r="B348" s="226" t="n"/>
      <c r="C348" s="226" t="n"/>
      <c r="D348" s="226" t="n"/>
      <c r="E348" s="226" t="n"/>
      <c r="F348" s="226" t="n"/>
      <c r="G348" s="226" t="n"/>
      <c r="H348" s="226" t="n"/>
      <c r="I348" s="226" t="n"/>
      <c r="J348" s="226" t="n"/>
      <c r="K348" s="226" t="n"/>
      <c r="L348" s="226" t="n"/>
      <c r="M348" s="226" t="n"/>
      <c r="N348" s="226" t="n"/>
      <c r="O348" s="226" t="n"/>
      <c r="P348" s="226" t="n"/>
      <c r="Q348" s="226" t="n"/>
      <c r="R348" s="226" t="n"/>
      <c r="S348" s="226" t="n"/>
      <c r="T348" s="226" t="n"/>
      <c r="U348" s="226" t="n"/>
      <c r="V348" s="226" t="n"/>
      <c r="W348" s="226" t="n"/>
      <c r="X348" s="226" t="n"/>
      <c r="Y348" s="226" t="n"/>
    </row>
    <row r="349" ht="14.5" customHeight="1" s="828">
      <c r="A349" s="226" t="n"/>
      <c r="B349" s="226" t="n"/>
      <c r="C349" s="226" t="n"/>
      <c r="D349" s="226" t="n"/>
      <c r="E349" s="226" t="n"/>
      <c r="F349" s="226" t="n"/>
      <c r="G349" s="226" t="n"/>
      <c r="H349" s="226" t="n"/>
      <c r="I349" s="226" t="n"/>
      <c r="J349" s="226" t="n"/>
      <c r="K349" s="226" t="n"/>
      <c r="L349" s="226" t="n"/>
      <c r="M349" s="226" t="n"/>
      <c r="N349" s="226" t="n"/>
      <c r="O349" s="226" t="n"/>
      <c r="P349" s="226" t="n"/>
      <c r="Q349" s="226" t="n"/>
      <c r="R349" s="226" t="n"/>
      <c r="S349" s="226" t="n"/>
      <c r="T349" s="226" t="n"/>
      <c r="U349" s="226" t="n"/>
      <c r="V349" s="226" t="n"/>
      <c r="W349" s="226" t="n"/>
      <c r="X349" s="226" t="n"/>
      <c r="Y349" s="226" t="n"/>
    </row>
    <row r="350" ht="14.5" customHeight="1" s="828">
      <c r="A350" s="226" t="n"/>
      <c r="B350" s="226" t="n"/>
      <c r="C350" s="226" t="n"/>
      <c r="D350" s="226" t="n"/>
      <c r="E350" s="226" t="n"/>
      <c r="F350" s="226" t="n"/>
      <c r="G350" s="226" t="n"/>
      <c r="H350" s="226" t="n"/>
      <c r="I350" s="226" t="n"/>
      <c r="J350" s="226" t="n"/>
      <c r="K350" s="226" t="n"/>
      <c r="L350" s="226" t="n"/>
      <c r="M350" s="226" t="n"/>
      <c r="N350" s="226" t="n"/>
      <c r="O350" s="226" t="n"/>
      <c r="P350" s="226" t="n"/>
      <c r="Q350" s="226" t="n"/>
      <c r="R350" s="226" t="n"/>
      <c r="S350" s="226" t="n"/>
      <c r="T350" s="226" t="n"/>
      <c r="U350" s="226" t="n"/>
      <c r="V350" s="226" t="n"/>
      <c r="W350" s="226" t="n"/>
      <c r="X350" s="226" t="n"/>
      <c r="Y350" s="226" t="n"/>
    </row>
    <row r="351" ht="14.5" customHeight="1" s="828">
      <c r="A351" s="226" t="n"/>
      <c r="B351" s="226" t="n"/>
      <c r="C351" s="226" t="n"/>
      <c r="D351" s="226" t="n"/>
      <c r="E351" s="226" t="n"/>
      <c r="F351" s="226" t="n"/>
      <c r="G351" s="226" t="n"/>
      <c r="H351" s="226" t="n"/>
      <c r="I351" s="226" t="n"/>
      <c r="J351" s="226" t="n"/>
      <c r="K351" s="226" t="n"/>
      <c r="L351" s="226" t="n"/>
      <c r="M351" s="226" t="n"/>
      <c r="N351" s="226" t="n"/>
      <c r="O351" s="226" t="n"/>
      <c r="P351" s="226" t="n"/>
      <c r="Q351" s="226" t="n"/>
      <c r="R351" s="226" t="n"/>
      <c r="S351" s="226" t="n"/>
      <c r="T351" s="226" t="n"/>
      <c r="U351" s="226" t="n"/>
      <c r="V351" s="226" t="n"/>
      <c r="W351" s="226" t="n"/>
      <c r="X351" s="226" t="n"/>
      <c r="Y351" s="226" t="n"/>
    </row>
    <row r="352" ht="14.5" customHeight="1" s="828">
      <c r="A352" s="226" t="n"/>
      <c r="B352" s="226" t="n"/>
      <c r="C352" s="226" t="n"/>
      <c r="D352" s="226" t="n"/>
      <c r="E352" s="226" t="n"/>
      <c r="F352" s="226" t="n"/>
      <c r="G352" s="226" t="n"/>
      <c r="H352" s="226" t="n"/>
      <c r="I352" s="226" t="n"/>
      <c r="J352" s="226" t="n"/>
      <c r="K352" s="226" t="n"/>
      <c r="L352" s="226" t="n"/>
      <c r="M352" s="226" t="n"/>
      <c r="N352" s="226" t="n"/>
      <c r="O352" s="226" t="n"/>
      <c r="P352" s="226" t="n"/>
      <c r="Q352" s="226" t="n"/>
      <c r="R352" s="226" t="n"/>
      <c r="S352" s="226" t="n"/>
      <c r="T352" s="226" t="n"/>
      <c r="U352" s="226" t="n"/>
      <c r="V352" s="226" t="n"/>
      <c r="W352" s="226" t="n"/>
      <c r="X352" s="226" t="n"/>
      <c r="Y352" s="226" t="n"/>
    </row>
    <row r="353" ht="14.5" customHeight="1" s="828">
      <c r="A353" s="226" t="n"/>
      <c r="B353" s="226" t="n"/>
      <c r="C353" s="226" t="n"/>
      <c r="D353" s="226" t="n"/>
      <c r="E353" s="226" t="n"/>
      <c r="F353" s="226" t="n"/>
      <c r="G353" s="226" t="n"/>
      <c r="H353" s="226" t="n"/>
      <c r="I353" s="226" t="n"/>
      <c r="J353" s="226" t="n"/>
      <c r="K353" s="226" t="n"/>
      <c r="L353" s="226" t="n"/>
      <c r="M353" s="226" t="n"/>
      <c r="N353" s="226" t="n"/>
      <c r="O353" s="226" t="n"/>
      <c r="P353" s="226" t="n"/>
      <c r="Q353" s="226" t="n"/>
      <c r="R353" s="226" t="n"/>
      <c r="S353" s="226" t="n"/>
      <c r="T353" s="226" t="n"/>
      <c r="U353" s="226" t="n"/>
      <c r="V353" s="226" t="n"/>
      <c r="W353" s="226" t="n"/>
      <c r="X353" s="226" t="n"/>
      <c r="Y353" s="226" t="n"/>
    </row>
    <row r="354" ht="14.5" customHeight="1" s="828">
      <c r="A354" s="226" t="n"/>
      <c r="B354" s="226" t="n"/>
      <c r="C354" s="226" t="n"/>
      <c r="D354" s="226" t="n"/>
      <c r="E354" s="226" t="n"/>
      <c r="F354" s="226" t="n"/>
      <c r="G354" s="226" t="n"/>
      <c r="H354" s="226" t="n"/>
      <c r="I354" s="226" t="n"/>
      <c r="J354" s="226" t="n"/>
      <c r="K354" s="226" t="n"/>
      <c r="L354" s="226" t="n"/>
      <c r="M354" s="226" t="n"/>
      <c r="N354" s="226" t="n"/>
      <c r="O354" s="226" t="n"/>
      <c r="P354" s="226" t="n"/>
      <c r="Q354" s="226" t="n"/>
      <c r="R354" s="226" t="n"/>
      <c r="S354" s="226" t="n"/>
      <c r="T354" s="226" t="n"/>
      <c r="U354" s="226" t="n"/>
      <c r="V354" s="226" t="n"/>
      <c r="W354" s="226" t="n"/>
      <c r="X354" s="226" t="n"/>
      <c r="Y354" s="226" t="n"/>
    </row>
    <row r="355" ht="14.5" customHeight="1" s="828">
      <c r="A355" s="226" t="n"/>
      <c r="B355" s="226" t="n"/>
      <c r="C355" s="226" t="n"/>
      <c r="D355" s="226" t="n"/>
      <c r="E355" s="226" t="n"/>
      <c r="F355" s="226" t="n"/>
      <c r="G355" s="226" t="n"/>
      <c r="H355" s="226" t="n"/>
      <c r="I355" s="226" t="n"/>
      <c r="J355" s="226" t="n"/>
      <c r="K355" s="226" t="n"/>
      <c r="L355" s="226" t="n"/>
      <c r="M355" s="226" t="n"/>
      <c r="N355" s="226" t="n"/>
      <c r="O355" s="226" t="n"/>
      <c r="P355" s="226" t="n"/>
      <c r="Q355" s="226" t="n"/>
      <c r="R355" s="226" t="n"/>
      <c r="S355" s="226" t="n"/>
      <c r="T355" s="226" t="n"/>
      <c r="U355" s="226" t="n"/>
      <c r="V355" s="226" t="n"/>
      <c r="W355" s="226" t="n"/>
      <c r="X355" s="226" t="n"/>
      <c r="Y355" s="226" t="n"/>
    </row>
    <row r="356" ht="14.5" customHeight="1" s="828">
      <c r="A356" s="226" t="n"/>
      <c r="B356" s="226" t="n"/>
      <c r="C356" s="226" t="n"/>
      <c r="D356" s="226" t="n"/>
      <c r="E356" s="226" t="n"/>
      <c r="F356" s="226" t="n"/>
      <c r="G356" s="226" t="n"/>
      <c r="H356" s="226" t="n"/>
      <c r="I356" s="226" t="n"/>
      <c r="J356" s="226" t="n"/>
      <c r="K356" s="226" t="n"/>
      <c r="L356" s="226" t="n"/>
      <c r="M356" s="226" t="n"/>
      <c r="N356" s="226" t="n"/>
      <c r="O356" s="226" t="n"/>
      <c r="P356" s="226" t="n"/>
      <c r="Q356" s="226" t="n"/>
      <c r="R356" s="226" t="n"/>
      <c r="S356" s="226" t="n"/>
      <c r="T356" s="226" t="n"/>
      <c r="U356" s="226" t="n"/>
      <c r="V356" s="226" t="n"/>
      <c r="W356" s="226" t="n"/>
      <c r="X356" s="226" t="n"/>
      <c r="Y356" s="226" t="n"/>
    </row>
    <row r="357" ht="14.5" customHeight="1" s="828">
      <c r="A357" s="226" t="n"/>
      <c r="B357" s="226" t="n"/>
      <c r="C357" s="226" t="n"/>
      <c r="D357" s="226" t="n"/>
      <c r="E357" s="226" t="n"/>
      <c r="F357" s="226" t="n"/>
      <c r="G357" s="226" t="n"/>
      <c r="H357" s="226" t="n"/>
      <c r="I357" s="226" t="n"/>
      <c r="J357" s="226" t="n"/>
      <c r="K357" s="226" t="n"/>
      <c r="L357" s="226" t="n"/>
      <c r="M357" s="226" t="n"/>
      <c r="N357" s="226" t="n"/>
      <c r="O357" s="226" t="n"/>
      <c r="P357" s="226" t="n"/>
      <c r="Q357" s="226" t="n"/>
      <c r="R357" s="226" t="n"/>
      <c r="S357" s="226" t="n"/>
      <c r="T357" s="226" t="n"/>
      <c r="U357" s="226" t="n"/>
      <c r="V357" s="226" t="n"/>
      <c r="W357" s="226" t="n"/>
      <c r="X357" s="226" t="n"/>
      <c r="Y357" s="226" t="n"/>
    </row>
    <row r="358" ht="14.5" customHeight="1" s="828">
      <c r="A358" s="226" t="n"/>
      <c r="B358" s="226" t="n"/>
      <c r="C358" s="226" t="n"/>
      <c r="D358" s="226" t="n"/>
      <c r="E358" s="226" t="n"/>
      <c r="F358" s="226" t="n"/>
      <c r="G358" s="226" t="n"/>
      <c r="H358" s="226" t="n"/>
      <c r="I358" s="226" t="n"/>
      <c r="J358" s="226" t="n"/>
      <c r="K358" s="226" t="n"/>
      <c r="L358" s="226" t="n"/>
      <c r="M358" s="226" t="n"/>
      <c r="N358" s="226" t="n"/>
      <c r="O358" s="226" t="n"/>
      <c r="P358" s="226" t="n"/>
      <c r="Q358" s="226" t="n"/>
      <c r="R358" s="226" t="n"/>
      <c r="S358" s="226" t="n"/>
      <c r="T358" s="226" t="n"/>
      <c r="U358" s="226" t="n"/>
      <c r="V358" s="226" t="n"/>
      <c r="W358" s="226" t="n"/>
      <c r="X358" s="226" t="n"/>
      <c r="Y358" s="226" t="n"/>
    </row>
    <row r="359" ht="14.5" customHeight="1" s="828">
      <c r="A359" s="226" t="n"/>
      <c r="B359" s="226" t="n"/>
      <c r="C359" s="226" t="n"/>
      <c r="D359" s="226" t="n"/>
      <c r="E359" s="226" t="n"/>
      <c r="F359" s="226" t="n"/>
      <c r="G359" s="226" t="n"/>
      <c r="H359" s="226" t="n"/>
      <c r="I359" s="226" t="n"/>
      <c r="J359" s="226" t="n"/>
      <c r="K359" s="226" t="n"/>
      <c r="L359" s="226" t="n"/>
      <c r="M359" s="226" t="n"/>
      <c r="N359" s="226" t="n"/>
      <c r="O359" s="226" t="n"/>
      <c r="P359" s="226" t="n"/>
      <c r="Q359" s="226" t="n"/>
      <c r="R359" s="226" t="n"/>
      <c r="S359" s="226" t="n"/>
      <c r="T359" s="226" t="n"/>
      <c r="U359" s="226" t="n"/>
      <c r="V359" s="226" t="n"/>
      <c r="W359" s="226" t="n"/>
      <c r="X359" s="226" t="n"/>
      <c r="Y359" s="226" t="n"/>
    </row>
    <row r="360" ht="14.5" customHeight="1" s="828">
      <c r="A360" s="226" t="n"/>
      <c r="B360" s="226" t="n"/>
      <c r="C360" s="226" t="n"/>
      <c r="D360" s="226" t="n"/>
      <c r="E360" s="226" t="n"/>
      <c r="F360" s="226" t="n"/>
      <c r="G360" s="226" t="n"/>
      <c r="H360" s="226" t="n"/>
      <c r="I360" s="226" t="n"/>
      <c r="J360" s="226" t="n"/>
      <c r="K360" s="226" t="n"/>
      <c r="L360" s="226" t="n"/>
      <c r="M360" s="226" t="n"/>
      <c r="N360" s="226" t="n"/>
      <c r="O360" s="226" t="n"/>
      <c r="P360" s="226" t="n"/>
      <c r="Q360" s="226" t="n"/>
      <c r="R360" s="226" t="n"/>
      <c r="S360" s="226" t="n"/>
      <c r="T360" s="226" t="n"/>
      <c r="U360" s="226" t="n"/>
      <c r="V360" s="226" t="n"/>
      <c r="W360" s="226" t="n"/>
      <c r="X360" s="226" t="n"/>
      <c r="Y360" s="226" t="n"/>
    </row>
    <row r="361" ht="14.5" customHeight="1" s="828">
      <c r="A361" s="226" t="n"/>
      <c r="B361" s="226" t="n"/>
      <c r="C361" s="226" t="n"/>
      <c r="D361" s="226" t="n"/>
      <c r="E361" s="226" t="n"/>
      <c r="F361" s="226" t="n"/>
      <c r="G361" s="226" t="n"/>
      <c r="H361" s="226" t="n"/>
      <c r="I361" s="226" t="n"/>
      <c r="J361" s="226" t="n"/>
      <c r="K361" s="226" t="n"/>
      <c r="L361" s="226" t="n"/>
      <c r="M361" s="226" t="n"/>
      <c r="N361" s="226" t="n"/>
      <c r="O361" s="226" t="n"/>
      <c r="P361" s="226" t="n"/>
      <c r="Q361" s="226" t="n"/>
      <c r="R361" s="226" t="n"/>
      <c r="S361" s="226" t="n"/>
      <c r="T361" s="226" t="n"/>
      <c r="U361" s="226" t="n"/>
      <c r="V361" s="226" t="n"/>
      <c r="W361" s="226" t="n"/>
      <c r="X361" s="226" t="n"/>
      <c r="Y361" s="226" t="n"/>
    </row>
    <row r="362" ht="14.5" customHeight="1" s="828">
      <c r="A362" s="226" t="n"/>
      <c r="B362" s="226" t="n"/>
      <c r="C362" s="226" t="n"/>
      <c r="D362" s="226" t="n"/>
      <c r="E362" s="226" t="n"/>
      <c r="F362" s="226" t="n"/>
      <c r="G362" s="226" t="n"/>
      <c r="H362" s="226" t="n"/>
      <c r="I362" s="226" t="n"/>
      <c r="J362" s="226" t="n"/>
      <c r="K362" s="226" t="n"/>
      <c r="L362" s="226" t="n"/>
      <c r="M362" s="226" t="n"/>
      <c r="N362" s="226" t="n"/>
      <c r="O362" s="226" t="n"/>
      <c r="P362" s="226" t="n"/>
      <c r="Q362" s="226" t="n"/>
      <c r="R362" s="226" t="n"/>
      <c r="S362" s="226" t="n"/>
      <c r="T362" s="226" t="n"/>
      <c r="U362" s="226" t="n"/>
      <c r="V362" s="226" t="n"/>
      <c r="W362" s="226" t="n"/>
      <c r="X362" s="226" t="n"/>
      <c r="Y362" s="226" t="n"/>
    </row>
    <row r="363" ht="14.5" customHeight="1" s="828">
      <c r="A363" s="226" t="n"/>
      <c r="B363" s="226" t="n"/>
      <c r="C363" s="226" t="n"/>
      <c r="D363" s="226" t="n"/>
      <c r="E363" s="226" t="n"/>
      <c r="F363" s="226" t="n"/>
      <c r="G363" s="226" t="n"/>
      <c r="H363" s="226" t="n"/>
      <c r="I363" s="226" t="n"/>
      <c r="J363" s="226" t="n"/>
      <c r="K363" s="226" t="n"/>
      <c r="L363" s="226" t="n"/>
      <c r="M363" s="226" t="n"/>
      <c r="N363" s="226" t="n"/>
      <c r="O363" s="226" t="n"/>
      <c r="P363" s="226" t="n"/>
      <c r="Q363" s="226" t="n"/>
      <c r="R363" s="226" t="n"/>
      <c r="S363" s="226" t="n"/>
      <c r="T363" s="226" t="n"/>
      <c r="U363" s="226" t="n"/>
      <c r="V363" s="226" t="n"/>
      <c r="W363" s="226" t="n"/>
      <c r="X363" s="226" t="n"/>
      <c r="Y363" s="226" t="n"/>
    </row>
    <row r="364" ht="14.5" customHeight="1" s="828">
      <c r="A364" s="226" t="n"/>
      <c r="B364" s="226" t="n"/>
      <c r="C364" s="226" t="n"/>
      <c r="D364" s="226" t="n"/>
      <c r="E364" s="226" t="n"/>
      <c r="F364" s="226" t="n"/>
      <c r="G364" s="226" t="n"/>
      <c r="H364" s="226" t="n"/>
      <c r="I364" s="226" t="n"/>
      <c r="J364" s="226" t="n"/>
      <c r="K364" s="226" t="n"/>
      <c r="L364" s="226" t="n"/>
      <c r="M364" s="226" t="n"/>
      <c r="N364" s="226" t="n"/>
      <c r="O364" s="226" t="n"/>
      <c r="P364" s="226" t="n"/>
      <c r="Q364" s="226" t="n"/>
      <c r="R364" s="226" t="n"/>
      <c r="S364" s="226" t="n"/>
      <c r="T364" s="226" t="n"/>
      <c r="U364" s="226" t="n"/>
      <c r="V364" s="226" t="n"/>
      <c r="W364" s="226" t="n"/>
      <c r="X364" s="226" t="n"/>
      <c r="Y364" s="226" t="n"/>
    </row>
    <row r="365" ht="14.5" customHeight="1" s="828">
      <c r="A365" s="226" t="n"/>
      <c r="B365" s="226" t="n"/>
      <c r="C365" s="226" t="n"/>
      <c r="D365" s="226" t="n"/>
      <c r="E365" s="226" t="n"/>
      <c r="F365" s="226" t="n"/>
      <c r="G365" s="226" t="n"/>
      <c r="H365" s="226" t="n"/>
      <c r="I365" s="226" t="n"/>
      <c r="J365" s="226" t="n"/>
      <c r="K365" s="226" t="n"/>
      <c r="L365" s="226" t="n"/>
      <c r="M365" s="226" t="n"/>
      <c r="N365" s="226" t="n"/>
      <c r="O365" s="226" t="n"/>
      <c r="P365" s="226" t="n"/>
      <c r="Q365" s="226" t="n"/>
      <c r="R365" s="226" t="n"/>
      <c r="S365" s="226" t="n"/>
      <c r="T365" s="226" t="n"/>
      <c r="U365" s="226" t="n"/>
      <c r="V365" s="226" t="n"/>
      <c r="W365" s="226" t="n"/>
      <c r="X365" s="226" t="n"/>
      <c r="Y365" s="226" t="n"/>
    </row>
    <row r="366" ht="14.5" customHeight="1" s="828">
      <c r="A366" s="226" t="n"/>
      <c r="B366" s="226" t="n"/>
      <c r="C366" s="226" t="n"/>
      <c r="D366" s="226" t="n"/>
      <c r="E366" s="226" t="n"/>
      <c r="F366" s="226" t="n"/>
      <c r="G366" s="226" t="n"/>
      <c r="H366" s="226" t="n"/>
      <c r="I366" s="226" t="n"/>
      <c r="J366" s="226" t="n"/>
      <c r="K366" s="226" t="n"/>
      <c r="L366" s="226" t="n"/>
      <c r="M366" s="226" t="n"/>
      <c r="N366" s="226" t="n"/>
      <c r="O366" s="226" t="n"/>
      <c r="P366" s="226" t="n"/>
      <c r="Q366" s="226" t="n"/>
      <c r="R366" s="226" t="n"/>
      <c r="S366" s="226" t="n"/>
      <c r="T366" s="226" t="n"/>
      <c r="U366" s="226" t="n"/>
      <c r="V366" s="226" t="n"/>
      <c r="W366" s="226" t="n"/>
      <c r="X366" s="226" t="n"/>
      <c r="Y366" s="226" t="n"/>
    </row>
    <row r="367" ht="14.5" customHeight="1" s="828">
      <c r="A367" s="226" t="n"/>
      <c r="B367" s="226" t="n"/>
      <c r="C367" s="226" t="n"/>
      <c r="D367" s="226" t="n"/>
      <c r="E367" s="226" t="n"/>
      <c r="F367" s="226" t="n"/>
      <c r="G367" s="226" t="n"/>
      <c r="H367" s="226" t="n"/>
      <c r="I367" s="226" t="n"/>
      <c r="J367" s="226" t="n"/>
      <c r="K367" s="226" t="n"/>
      <c r="L367" s="226" t="n"/>
      <c r="M367" s="226" t="n"/>
      <c r="N367" s="226" t="n"/>
      <c r="O367" s="226" t="n"/>
      <c r="P367" s="226" t="n"/>
      <c r="Q367" s="226" t="n"/>
      <c r="R367" s="226" t="n"/>
      <c r="S367" s="226" t="n"/>
      <c r="T367" s="226" t="n"/>
      <c r="U367" s="226" t="n"/>
      <c r="V367" s="226" t="n"/>
      <c r="W367" s="226" t="n"/>
      <c r="X367" s="226" t="n"/>
      <c r="Y367" s="226" t="n"/>
    </row>
    <row r="368" ht="14.5" customHeight="1" s="828">
      <c r="A368" s="226" t="n"/>
      <c r="B368" s="226" t="n"/>
      <c r="C368" s="226" t="n"/>
      <c r="D368" s="226" t="n"/>
      <c r="E368" s="226" t="n"/>
      <c r="F368" s="226" t="n"/>
      <c r="G368" s="226" t="n"/>
      <c r="H368" s="226" t="n"/>
      <c r="I368" s="226" t="n"/>
      <c r="J368" s="226" t="n"/>
      <c r="K368" s="226" t="n"/>
      <c r="L368" s="226" t="n"/>
      <c r="M368" s="226" t="n"/>
      <c r="N368" s="226" t="n"/>
      <c r="O368" s="226" t="n"/>
      <c r="P368" s="226" t="n"/>
      <c r="Q368" s="226" t="n"/>
      <c r="R368" s="226" t="n"/>
      <c r="S368" s="226" t="n"/>
      <c r="T368" s="226" t="n"/>
      <c r="U368" s="226" t="n"/>
      <c r="V368" s="226" t="n"/>
      <c r="W368" s="226" t="n"/>
      <c r="X368" s="226" t="n"/>
      <c r="Y368" s="226" t="n"/>
    </row>
    <row r="369" ht="14.5" customHeight="1" s="828">
      <c r="A369" s="226" t="n"/>
      <c r="B369" s="226" t="n"/>
      <c r="C369" s="226" t="n"/>
      <c r="D369" s="226" t="n"/>
      <c r="E369" s="226" t="n"/>
      <c r="F369" s="226" t="n"/>
      <c r="G369" s="226" t="n"/>
      <c r="H369" s="226" t="n"/>
      <c r="I369" s="226" t="n"/>
      <c r="J369" s="226" t="n"/>
      <c r="K369" s="226" t="n"/>
      <c r="L369" s="226" t="n"/>
      <c r="M369" s="226" t="n"/>
      <c r="N369" s="226" t="n"/>
      <c r="O369" s="226" t="n"/>
      <c r="P369" s="226" t="n"/>
      <c r="Q369" s="226" t="n"/>
      <c r="R369" s="226" t="n"/>
      <c r="S369" s="226" t="n"/>
      <c r="T369" s="226" t="n"/>
      <c r="U369" s="226" t="n"/>
      <c r="V369" s="226" t="n"/>
      <c r="W369" s="226" t="n"/>
      <c r="X369" s="226" t="n"/>
      <c r="Y369" s="226" t="n"/>
    </row>
    <row r="370" ht="14.5" customHeight="1" s="828">
      <c r="A370" s="226" t="n"/>
      <c r="B370" s="226" t="n"/>
      <c r="C370" s="226" t="n"/>
      <c r="D370" s="226" t="n"/>
      <c r="E370" s="226" t="n"/>
      <c r="F370" s="226" t="n"/>
      <c r="G370" s="226" t="n"/>
      <c r="H370" s="226" t="n"/>
      <c r="I370" s="226" t="n"/>
      <c r="J370" s="226" t="n"/>
      <c r="K370" s="226" t="n"/>
      <c r="L370" s="226" t="n"/>
      <c r="M370" s="226" t="n"/>
      <c r="N370" s="226" t="n"/>
      <c r="O370" s="226" t="n"/>
      <c r="P370" s="226" t="n"/>
      <c r="Q370" s="226" t="n"/>
      <c r="R370" s="226" t="n"/>
      <c r="S370" s="226" t="n"/>
      <c r="T370" s="226" t="n"/>
      <c r="U370" s="226" t="n"/>
      <c r="V370" s="226" t="n"/>
      <c r="W370" s="226" t="n"/>
      <c r="X370" s="226" t="n"/>
      <c r="Y370" s="226" t="n"/>
    </row>
    <row r="371" ht="14.5" customHeight="1" s="828">
      <c r="A371" s="226" t="n"/>
      <c r="B371" s="226" t="n"/>
      <c r="C371" s="226" t="n"/>
      <c r="D371" s="226" t="n"/>
      <c r="E371" s="226" t="n"/>
      <c r="F371" s="226" t="n"/>
      <c r="G371" s="226" t="n"/>
      <c r="H371" s="226" t="n"/>
      <c r="I371" s="226" t="n"/>
      <c r="J371" s="226" t="n"/>
      <c r="K371" s="226" t="n"/>
      <c r="L371" s="226" t="n"/>
      <c r="M371" s="226" t="n"/>
      <c r="N371" s="226" t="n"/>
      <c r="O371" s="226" t="n"/>
      <c r="P371" s="226" t="n"/>
      <c r="Q371" s="226" t="n"/>
      <c r="R371" s="226" t="n"/>
      <c r="S371" s="226" t="n"/>
      <c r="T371" s="226" t="n"/>
      <c r="U371" s="226" t="n"/>
      <c r="V371" s="226" t="n"/>
      <c r="W371" s="226" t="n"/>
      <c r="X371" s="226" t="n"/>
      <c r="Y371" s="226" t="n"/>
    </row>
    <row r="372" ht="14.5" customHeight="1" s="828">
      <c r="A372" s="226" t="n"/>
      <c r="B372" s="226" t="n"/>
      <c r="C372" s="226" t="n"/>
      <c r="D372" s="226" t="n"/>
      <c r="E372" s="226" t="n"/>
      <c r="F372" s="226" t="n"/>
      <c r="G372" s="226" t="n"/>
      <c r="H372" s="226" t="n"/>
      <c r="I372" s="226" t="n"/>
      <c r="J372" s="226" t="n"/>
      <c r="K372" s="226" t="n"/>
      <c r="L372" s="226" t="n"/>
      <c r="M372" s="226" t="n"/>
      <c r="N372" s="226" t="n"/>
      <c r="O372" s="226" t="n"/>
      <c r="P372" s="226" t="n"/>
      <c r="Q372" s="226" t="n"/>
      <c r="R372" s="226" t="n"/>
      <c r="S372" s="226" t="n"/>
      <c r="T372" s="226" t="n"/>
      <c r="U372" s="226" t="n"/>
      <c r="V372" s="226" t="n"/>
      <c r="W372" s="226" t="n"/>
      <c r="X372" s="226" t="n"/>
      <c r="Y372" s="226" t="n"/>
    </row>
    <row r="373" ht="14.5" customHeight="1" s="828">
      <c r="A373" s="226" t="n"/>
      <c r="B373" s="226" t="n"/>
      <c r="C373" s="226" t="n"/>
      <c r="D373" s="226" t="n"/>
      <c r="E373" s="226" t="n"/>
      <c r="F373" s="226" t="n"/>
      <c r="G373" s="226" t="n"/>
      <c r="H373" s="226" t="n"/>
      <c r="I373" s="226" t="n"/>
      <c r="J373" s="226" t="n"/>
      <c r="K373" s="226" t="n"/>
      <c r="L373" s="226" t="n"/>
      <c r="M373" s="226" t="n"/>
      <c r="N373" s="226" t="n"/>
      <c r="O373" s="226" t="n"/>
      <c r="P373" s="226" t="n"/>
      <c r="Q373" s="226" t="n"/>
      <c r="R373" s="226" t="n"/>
      <c r="S373" s="226" t="n"/>
      <c r="T373" s="226" t="n"/>
      <c r="U373" s="226" t="n"/>
      <c r="V373" s="226" t="n"/>
      <c r="W373" s="226" t="n"/>
      <c r="X373" s="226" t="n"/>
      <c r="Y373" s="226" t="n"/>
    </row>
    <row r="374" ht="14.5" customHeight="1" s="828">
      <c r="A374" s="226" t="n"/>
      <c r="B374" s="226" t="n"/>
      <c r="C374" s="226" t="n"/>
      <c r="D374" s="226" t="n"/>
      <c r="E374" s="226" t="n"/>
      <c r="F374" s="226" t="n"/>
      <c r="G374" s="226" t="n"/>
      <c r="H374" s="226" t="n"/>
      <c r="I374" s="226" t="n"/>
      <c r="J374" s="226" t="n"/>
      <c r="K374" s="226" t="n"/>
      <c r="L374" s="226" t="n"/>
      <c r="M374" s="226" t="n"/>
      <c r="N374" s="226" t="n"/>
      <c r="O374" s="226" t="n"/>
      <c r="P374" s="226" t="n"/>
      <c r="Q374" s="226" t="n"/>
      <c r="R374" s="226" t="n"/>
      <c r="S374" s="226" t="n"/>
      <c r="T374" s="226" t="n"/>
      <c r="U374" s="226" t="n"/>
      <c r="V374" s="226" t="n"/>
      <c r="W374" s="226" t="n"/>
      <c r="X374" s="226" t="n"/>
      <c r="Y374" s="226" t="n"/>
    </row>
    <row r="375" ht="14.5" customHeight="1" s="828">
      <c r="A375" s="226" t="n"/>
      <c r="B375" s="226" t="n"/>
      <c r="C375" s="226" t="n"/>
      <c r="D375" s="226" t="n"/>
      <c r="E375" s="226" t="n"/>
      <c r="F375" s="226" t="n"/>
      <c r="G375" s="226" t="n"/>
      <c r="H375" s="226" t="n"/>
      <c r="I375" s="226" t="n"/>
      <c r="J375" s="226" t="n"/>
      <c r="K375" s="226" t="n"/>
      <c r="L375" s="226" t="n"/>
      <c r="M375" s="226" t="n"/>
      <c r="N375" s="226" t="n"/>
      <c r="O375" s="226" t="n"/>
      <c r="P375" s="226" t="n"/>
      <c r="Q375" s="226" t="n"/>
      <c r="R375" s="226" t="n"/>
      <c r="S375" s="226" t="n"/>
      <c r="T375" s="226" t="n"/>
      <c r="U375" s="226" t="n"/>
      <c r="V375" s="226" t="n"/>
      <c r="W375" s="226" t="n"/>
      <c r="X375" s="226" t="n"/>
      <c r="Y375" s="226" t="n"/>
    </row>
    <row r="376" ht="14.5" customHeight="1" s="828">
      <c r="A376" s="226" t="n"/>
      <c r="B376" s="226" t="n"/>
      <c r="C376" s="226" t="n"/>
      <c r="D376" s="226" t="n"/>
      <c r="E376" s="226" t="n"/>
      <c r="F376" s="226" t="n"/>
      <c r="G376" s="226" t="n"/>
      <c r="H376" s="226" t="n"/>
      <c r="I376" s="226" t="n"/>
      <c r="J376" s="226" t="n"/>
      <c r="K376" s="226" t="n"/>
      <c r="L376" s="226" t="n"/>
      <c r="M376" s="226" t="n"/>
      <c r="N376" s="226" t="n"/>
      <c r="O376" s="226" t="n"/>
      <c r="P376" s="226" t="n"/>
      <c r="Q376" s="226" t="n"/>
      <c r="R376" s="226" t="n"/>
      <c r="S376" s="226" t="n"/>
      <c r="T376" s="226" t="n"/>
      <c r="U376" s="226" t="n"/>
      <c r="V376" s="226" t="n"/>
      <c r="W376" s="226" t="n"/>
      <c r="X376" s="226" t="n"/>
      <c r="Y376" s="226" t="n"/>
    </row>
    <row r="377" ht="14.5" customHeight="1" s="828">
      <c r="A377" s="226" t="n"/>
      <c r="B377" s="226" t="n"/>
      <c r="C377" s="226" t="n"/>
      <c r="D377" s="226" t="n"/>
      <c r="E377" s="226" t="n"/>
      <c r="F377" s="226" t="n"/>
      <c r="G377" s="226" t="n"/>
      <c r="H377" s="226" t="n"/>
      <c r="I377" s="226" t="n"/>
      <c r="J377" s="226" t="n"/>
      <c r="K377" s="226" t="n"/>
      <c r="L377" s="226" t="n"/>
      <c r="M377" s="226" t="n"/>
      <c r="N377" s="226" t="n"/>
      <c r="O377" s="226" t="n"/>
      <c r="P377" s="226" t="n"/>
      <c r="Q377" s="226" t="n"/>
      <c r="R377" s="226" t="n"/>
      <c r="S377" s="226" t="n"/>
      <c r="T377" s="226" t="n"/>
      <c r="U377" s="226" t="n"/>
      <c r="V377" s="226" t="n"/>
      <c r="W377" s="226" t="n"/>
      <c r="X377" s="226" t="n"/>
      <c r="Y377" s="226" t="n"/>
    </row>
    <row r="378" ht="14.5" customHeight="1" s="828">
      <c r="A378" s="226" t="n"/>
      <c r="B378" s="226" t="n"/>
      <c r="C378" s="226" t="n"/>
      <c r="D378" s="226" t="n"/>
      <c r="E378" s="226" t="n"/>
      <c r="F378" s="226" t="n"/>
      <c r="G378" s="226" t="n"/>
      <c r="H378" s="226" t="n"/>
      <c r="I378" s="226" t="n"/>
      <c r="J378" s="226" t="n"/>
      <c r="K378" s="226" t="n"/>
      <c r="L378" s="226" t="n"/>
      <c r="M378" s="226" t="n"/>
      <c r="N378" s="226" t="n"/>
      <c r="O378" s="226" t="n"/>
      <c r="P378" s="226" t="n"/>
      <c r="Q378" s="226" t="n"/>
      <c r="R378" s="226" t="n"/>
      <c r="S378" s="226" t="n"/>
      <c r="T378" s="226" t="n"/>
      <c r="U378" s="226" t="n"/>
      <c r="V378" s="226" t="n"/>
      <c r="W378" s="226" t="n"/>
      <c r="X378" s="226" t="n"/>
      <c r="Y378" s="226" t="n"/>
    </row>
    <row r="379" ht="14.5" customHeight="1" s="828">
      <c r="A379" s="226" t="n"/>
      <c r="B379" s="226" t="n"/>
      <c r="C379" s="226" t="n"/>
      <c r="D379" s="226" t="n"/>
      <c r="E379" s="226" t="n"/>
      <c r="F379" s="226" t="n"/>
      <c r="G379" s="226" t="n"/>
      <c r="H379" s="226" t="n"/>
      <c r="I379" s="226" t="n"/>
      <c r="J379" s="226" t="n"/>
      <c r="K379" s="226" t="n"/>
      <c r="L379" s="226" t="n"/>
      <c r="M379" s="226" t="n"/>
      <c r="N379" s="226" t="n"/>
      <c r="O379" s="226" t="n"/>
      <c r="P379" s="226" t="n"/>
      <c r="Q379" s="226" t="n"/>
      <c r="R379" s="226" t="n"/>
      <c r="S379" s="226" t="n"/>
      <c r="T379" s="226" t="n"/>
      <c r="U379" s="226" t="n"/>
      <c r="V379" s="226" t="n"/>
      <c r="W379" s="226" t="n"/>
      <c r="X379" s="226" t="n"/>
      <c r="Y379" s="226" t="n"/>
    </row>
    <row r="380" ht="14.5" customHeight="1" s="828">
      <c r="A380" s="226" t="n"/>
      <c r="B380" s="226" t="n"/>
      <c r="C380" s="226" t="n"/>
      <c r="D380" s="226" t="n"/>
      <c r="E380" s="226" t="n"/>
      <c r="F380" s="226" t="n"/>
      <c r="G380" s="226" t="n"/>
      <c r="H380" s="226" t="n"/>
      <c r="I380" s="226" t="n"/>
      <c r="J380" s="226" t="n"/>
      <c r="K380" s="226" t="n"/>
      <c r="L380" s="226" t="n"/>
      <c r="M380" s="226" t="n"/>
      <c r="N380" s="226" t="n"/>
      <c r="O380" s="226" t="n"/>
      <c r="P380" s="226" t="n"/>
      <c r="Q380" s="226" t="n"/>
      <c r="R380" s="226" t="n"/>
      <c r="S380" s="226" t="n"/>
      <c r="T380" s="226" t="n"/>
      <c r="U380" s="226" t="n"/>
      <c r="V380" s="226" t="n"/>
      <c r="W380" s="226" t="n"/>
      <c r="X380" s="226" t="n"/>
      <c r="Y380" s="226" t="n"/>
    </row>
    <row r="381" ht="14.5" customHeight="1" s="828">
      <c r="A381" s="226" t="n"/>
      <c r="B381" s="226" t="n"/>
      <c r="C381" s="226" t="n"/>
      <c r="D381" s="226" t="n"/>
      <c r="E381" s="226" t="n"/>
      <c r="F381" s="226" t="n"/>
      <c r="G381" s="226" t="n"/>
      <c r="H381" s="226" t="n"/>
      <c r="I381" s="226" t="n"/>
      <c r="J381" s="226" t="n"/>
      <c r="K381" s="226" t="n"/>
      <c r="L381" s="226" t="n"/>
      <c r="M381" s="226" t="n"/>
      <c r="N381" s="226" t="n"/>
      <c r="O381" s="226" t="n"/>
      <c r="P381" s="226" t="n"/>
      <c r="Q381" s="226" t="n"/>
      <c r="R381" s="226" t="n"/>
      <c r="S381" s="226" t="n"/>
      <c r="T381" s="226" t="n"/>
      <c r="U381" s="226" t="n"/>
      <c r="V381" s="226" t="n"/>
      <c r="W381" s="226" t="n"/>
      <c r="X381" s="226" t="n"/>
      <c r="Y381" s="226" t="n"/>
    </row>
    <row r="382" ht="14.5" customHeight="1" s="828">
      <c r="A382" s="226" t="n"/>
      <c r="B382" s="226" t="n"/>
      <c r="C382" s="226" t="n"/>
      <c r="D382" s="226" t="n"/>
      <c r="E382" s="226" t="n"/>
    </row>
    <row r="383" ht="14.5" customHeight="1" s="828">
      <c r="A383" s="226" t="n"/>
      <c r="B383" s="226" t="n"/>
      <c r="C383" s="226" t="n"/>
      <c r="D383" s="226" t="n"/>
      <c r="E383" s="226" t="n"/>
    </row>
    <row r="384" ht="14.5" customHeight="1" s="828">
      <c r="A384" s="226" t="n"/>
      <c r="B384" s="226" t="n"/>
      <c r="C384" s="226" t="n"/>
      <c r="D384" s="226" t="n"/>
      <c r="E384" s="226" t="n"/>
    </row>
    <row r="385" ht="14.5" customHeight="1" s="828">
      <c r="A385" s="226" t="n"/>
      <c r="B385" s="226" t="n"/>
      <c r="C385" s="226" t="n"/>
      <c r="D385" s="226" t="n"/>
      <c r="E385" s="226" t="n"/>
    </row>
  </sheetData>
  <mergeCells count="6">
    <mergeCell ref="A13:Y13"/>
    <mergeCell ref="J10:K10"/>
    <mergeCell ref="A7:N7"/>
    <mergeCell ref="C9:D9"/>
    <mergeCell ref="T7:Y7"/>
    <mergeCell ref="J9:K9"/>
  </mergeCells>
  <conditionalFormatting sqref="D3:Y3">
    <cfRule type="colorScale" priority="4">
      <colorScale>
        <cfvo type="min"/>
        <cfvo type="percentile" val="50"/>
        <cfvo type="max"/>
        <color rgb="FFF8696B"/>
        <color rgb="FFFFEB84"/>
        <color rgb="FF63BE7B"/>
      </colorScale>
    </cfRule>
  </conditionalFormatting>
  <conditionalFormatting sqref="D4:Y4">
    <cfRule type="colorScale" priority="3">
      <colorScale>
        <cfvo type="min"/>
        <cfvo type="percentile" val="50"/>
        <cfvo type="max"/>
        <color rgb="FFF8696B"/>
        <color rgb="FFFFEB84"/>
        <color rgb="FF63BE7B"/>
      </colorScale>
    </cfRule>
  </conditionalFormatting>
  <conditionalFormatting sqref="D5:Y5">
    <cfRule type="colorScale" priority="2">
      <colorScale>
        <cfvo type="min"/>
        <cfvo type="percentile" val="50"/>
        <cfvo type="max"/>
        <color rgb="FFF8696B"/>
        <color rgb="FFFFEB84"/>
        <color rgb="FF63BE7B"/>
      </colorScale>
    </cfRule>
  </conditionalFormatting>
  <conditionalFormatting sqref="D6:Y6">
    <cfRule type="colorScale" priority="1">
      <colorScale>
        <cfvo type="min"/>
        <cfvo type="percentile" val="50"/>
        <cfvo type="max"/>
        <color rgb="FFF8696B"/>
        <color rgb="FFFFEB84"/>
        <color rgb="FF63BE7B"/>
      </colorScale>
    </cfRule>
  </conditionalFormatting>
  <pageMargins left="0.3937007874015748" right="0.3937007874015748" top="0.5905511811023623" bottom="0.5905511811023623" header="0.5118110236220472" footer="0.5118110236220472"/>
  <pageSetup orientation="portrait" paperSize="9" scale="28"/>
</worksheet>
</file>

<file path=xl/worksheets/sheet15.xml><?xml version="1.0" encoding="utf-8"?>
<worksheet xmlns="http://schemas.openxmlformats.org/spreadsheetml/2006/main">
  <sheetPr>
    <tabColor rgb="FF00B0F0"/>
    <outlinePr summaryBelow="1" summaryRight="1"/>
    <pageSetUpPr fitToPage="1"/>
  </sheetPr>
  <dimension ref="A1:O1528"/>
  <sheetViews>
    <sheetView workbookViewId="0">
      <selection activeCell="A1" sqref="A1"/>
    </sheetView>
  </sheetViews>
  <sheetFormatPr baseColWidth="8" defaultColWidth="9.1796875" defaultRowHeight="15.5"/>
  <cols>
    <col width="40" customWidth="1" style="145" min="1" max="1"/>
    <col width="15.453125" customWidth="1" style="145" min="2" max="13"/>
    <col width="19.1796875" customWidth="1" style="145" min="14" max="14"/>
    <col width="9.1796875" customWidth="1" style="145" min="15" max="16384"/>
  </cols>
  <sheetData>
    <row r="1" ht="18" customHeight="1" s="828">
      <c r="A1" s="292" t="inlineStr">
        <is>
          <t>Worksheet 1: CLA01: Claimant Count, United Kingdom (not designated as an Accredited Official Statistic) [note 1, 2, 5]</t>
        </is>
      </c>
      <c r="B1" s="294" t="n"/>
      <c r="C1" s="294" t="n"/>
      <c r="D1" s="294" t="n"/>
      <c r="E1" s="294" t="n"/>
      <c r="F1" s="294" t="n"/>
      <c r="G1" s="294" t="n"/>
      <c r="H1" s="294" t="n"/>
      <c r="I1" s="294" t="n"/>
      <c r="J1" s="294" t="n"/>
      <c r="K1" s="294" t="n"/>
      <c r="L1" s="294" t="n"/>
      <c r="M1" s="294" t="n"/>
      <c r="N1" s="275" t="n"/>
    </row>
    <row r="2">
      <c r="A2" s="291" t="inlineStr">
        <is>
          <t>This worksheet contains one table. Some cells may refer to notes which can be found on the notes worksheet tab.</t>
        </is>
      </c>
      <c r="B2" s="275" t="n"/>
      <c r="C2" s="275" t="n"/>
      <c r="D2" s="275" t="n"/>
      <c r="E2" s="275" t="n"/>
      <c r="F2" s="275" t="n"/>
      <c r="G2" s="275" t="n"/>
      <c r="H2" s="275" t="n"/>
      <c r="I2" s="275" t="n"/>
      <c r="J2" s="275" t="n"/>
      <c r="K2" s="275" t="n"/>
      <c r="L2" s="275" t="n"/>
      <c r="M2" s="293" t="n"/>
      <c r="N2" s="275" t="n"/>
    </row>
    <row r="3">
      <c r="A3" s="291" t="inlineStr">
        <is>
          <t>Some shorthand may have been used in the spreadsheet, [w] - none recorded in survey, [c] - confidential, [z] - not applicable, [p] - provisional, [r] - revised</t>
        </is>
      </c>
      <c r="B3" s="1096" t="n"/>
      <c r="C3" s="1096" t="n"/>
      <c r="D3" s="1096" t="n"/>
      <c r="E3" s="1096" t="n"/>
      <c r="F3" s="1096" t="n"/>
      <c r="G3" s="1096" t="n"/>
      <c r="H3" s="1096" t="n"/>
      <c r="I3" s="1096" t="n"/>
      <c r="J3" s="1096" t="n"/>
      <c r="K3" s="1096" t="n"/>
      <c r="L3" s="1096" t="n"/>
      <c r="M3" s="1096" t="n"/>
      <c r="N3" s="275" t="n"/>
    </row>
    <row r="4">
      <c r="A4" s="291" t="inlineStr">
        <is>
          <t>Source: Claimant Count, Office for National Statistics</t>
        </is>
      </c>
      <c r="B4" s="1096" t="n"/>
      <c r="C4" s="1096" t="n"/>
      <c r="D4" s="1096" t="n"/>
      <c r="E4" s="1096" t="n"/>
      <c r="F4" s="1096" t="n"/>
      <c r="G4" s="1096" t="n"/>
      <c r="H4" s="1096" t="n"/>
      <c r="I4" s="1096" t="n"/>
      <c r="J4" s="1096" t="n"/>
      <c r="K4" s="1096" t="n"/>
      <c r="L4" s="1096" t="n"/>
      <c r="M4" s="1096" t="n"/>
      <c r="N4" s="275" t="n"/>
    </row>
    <row r="5" ht="93" customHeight="1" s="828">
      <c r="A5" s="296" t="inlineStr">
        <is>
          <t>Time period and dataset code row</t>
        </is>
      </c>
      <c r="B5" s="1097" t="inlineStr">
        <is>
          <t>People: level
seasonally adjusted
(thousands)</t>
        </is>
      </c>
      <c r="C5" s="1097" t="inlineStr">
        <is>
          <t>People: rate
seasonally adjusted
(%)
[note 2]</t>
        </is>
      </c>
      <c r="D5" s="1097" t="inlineStr">
        <is>
          <t>People: level
not seasonally adjusted
(thousands)</t>
        </is>
      </c>
      <c r="E5" s="1097" t="inlineStr">
        <is>
          <t>People: rate
not seasonally adjusted
(%)
[note 2]</t>
        </is>
      </c>
      <c r="F5" s="1097" t="inlineStr">
        <is>
          <t>Men: level
seasonally adjusted
(thousands)</t>
        </is>
      </c>
      <c r="G5" s="1097" t="inlineStr">
        <is>
          <t>Men: rate
seasonally adjusted
(%)
[note 2]</t>
        </is>
      </c>
      <c r="H5" s="1097" t="inlineStr">
        <is>
          <t>Men: level
not seasonally adjusted
(thousands)</t>
        </is>
      </c>
      <c r="I5" s="1097" t="inlineStr">
        <is>
          <t>Men: rate
not seasonally adjusted
(%)
[note 2]</t>
        </is>
      </c>
      <c r="J5" s="1097" t="inlineStr">
        <is>
          <t>Women: level
seasonally adjusted
(thousands)</t>
        </is>
      </c>
      <c r="K5" s="1097" t="inlineStr">
        <is>
          <t>Women: rate
seasonally adjusted
(%)
[note 2]</t>
        </is>
      </c>
      <c r="L5" s="1097" t="inlineStr">
        <is>
          <t>Women: level
not seasonally adjusted
(thousands)</t>
        </is>
      </c>
      <c r="M5" s="1097" t="inlineStr">
        <is>
          <t>Women: rate
not seasonally adjusted
(%)
[note 2]</t>
        </is>
      </c>
      <c r="N5" s="1097" t="inlineStr">
        <is>
          <t>Notes</t>
        </is>
      </c>
    </row>
    <row r="6">
      <c r="A6" s="1098" t="inlineStr">
        <is>
          <t>Dataset identifier code</t>
        </is>
      </c>
      <c r="B6" s="1099" t="inlineStr">
        <is>
          <t>BCJD</t>
        </is>
      </c>
      <c r="C6" s="1099" t="inlineStr">
        <is>
          <t>BCJE</t>
        </is>
      </c>
      <c r="D6" s="1099" t="inlineStr">
        <is>
          <t>BCJA</t>
        </is>
      </c>
      <c r="E6" s="1099" t="inlineStr">
        <is>
          <t>BCJB</t>
        </is>
      </c>
      <c r="F6" s="1099" t="inlineStr">
        <is>
          <t>DPAE</t>
        </is>
      </c>
      <c r="G6" s="1099" t="inlineStr">
        <is>
          <t>DPAH</t>
        </is>
      </c>
      <c r="H6" s="1099" t="inlineStr">
        <is>
          <t>DPAA</t>
        </is>
      </c>
      <c r="I6" s="1099" t="inlineStr">
        <is>
          <t>DPAC</t>
        </is>
      </c>
      <c r="J6" s="1099" t="inlineStr">
        <is>
          <t>DPAF</t>
        </is>
      </c>
      <c r="K6" s="1099" t="inlineStr">
        <is>
          <t>DPAI</t>
        </is>
      </c>
      <c r="L6" s="1099" t="inlineStr">
        <is>
          <t>DPAB</t>
        </is>
      </c>
      <c r="M6" s="1099" t="inlineStr">
        <is>
          <t>DPAD</t>
        </is>
      </c>
      <c r="N6" s="293" t="n"/>
    </row>
    <row r="7">
      <c r="A7" s="776" t="inlineStr">
        <is>
          <t>January 1971</t>
        </is>
      </c>
      <c r="B7" s="1100" t="n">
        <v>533.6</v>
      </c>
      <c r="C7" s="1101" t="n">
        <v>2</v>
      </c>
      <c r="D7" s="1100" t="n">
        <v>682.8</v>
      </c>
      <c r="E7" s="1101" t="n">
        <v>2.6</v>
      </c>
      <c r="F7" s="1100" t="n">
        <v>462.2</v>
      </c>
      <c r="G7" s="1101" t="n">
        <v>2.7</v>
      </c>
      <c r="H7" s="1100" t="n">
        <v>591.5</v>
      </c>
      <c r="I7" s="1101" t="n">
        <v>3.4</v>
      </c>
      <c r="J7" s="1100" t="n">
        <v>71.40000000000001</v>
      </c>
      <c r="K7" s="1101" t="n">
        <v>0.8</v>
      </c>
      <c r="L7" s="1100" t="n">
        <v>91.3</v>
      </c>
      <c r="M7" s="1101" t="n">
        <v>1</v>
      </c>
      <c r="N7" s="761" t="inlineStr">
        <is>
          <t>5 week month</t>
        </is>
      </c>
    </row>
    <row r="8">
      <c r="A8" s="776" t="inlineStr">
        <is>
          <t>February 1971</t>
        </is>
      </c>
      <c r="B8" s="1100" t="n">
        <v>552.3</v>
      </c>
      <c r="C8" s="1101" t="n">
        <v>2.1</v>
      </c>
      <c r="D8" s="1100" t="n">
        <v>690.9</v>
      </c>
      <c r="E8" s="1101" t="n">
        <v>2.6</v>
      </c>
      <c r="F8" s="1100" t="n">
        <v>477.1</v>
      </c>
      <c r="G8" s="1101" t="n">
        <v>2.8</v>
      </c>
      <c r="H8" s="1100" t="n">
        <v>596.5</v>
      </c>
      <c r="I8" s="1101" t="n">
        <v>3.5</v>
      </c>
      <c r="J8" s="1100" t="n">
        <v>75.2</v>
      </c>
      <c r="K8" s="1101" t="n">
        <v>0.8</v>
      </c>
      <c r="L8" s="1100" t="n">
        <v>94.40000000000001</v>
      </c>
      <c r="M8" s="1101" t="n">
        <v>1</v>
      </c>
      <c r="N8" s="761" t="inlineStr"/>
    </row>
    <row r="9">
      <c r="A9" s="776" t="inlineStr">
        <is>
          <t>March 1971</t>
        </is>
      </c>
      <c r="B9" s="1100" t="n">
        <v>573.5</v>
      </c>
      <c r="C9" s="1101" t="n">
        <v>2.2</v>
      </c>
      <c r="D9" s="1100" t="n">
        <v>705.3</v>
      </c>
      <c r="E9" s="1101" t="n">
        <v>2.6</v>
      </c>
      <c r="F9" s="1100" t="n">
        <v>494.2</v>
      </c>
      <c r="G9" s="1101" t="n">
        <v>2.9</v>
      </c>
      <c r="H9" s="1100" t="n">
        <v>607.4</v>
      </c>
      <c r="I9" s="1101" t="n">
        <v>3.5</v>
      </c>
      <c r="J9" s="1100" t="n">
        <v>79.3</v>
      </c>
      <c r="K9" s="1101" t="n">
        <v>0.8</v>
      </c>
      <c r="L9" s="1100" t="n">
        <v>97.90000000000001</v>
      </c>
      <c r="M9" s="1101" t="n">
        <v>1</v>
      </c>
      <c r="N9" s="761" t="inlineStr"/>
    </row>
    <row r="10">
      <c r="A10" s="776" t="inlineStr">
        <is>
          <t>April 1971</t>
        </is>
      </c>
      <c r="B10" s="1100" t="n">
        <v>599.1</v>
      </c>
      <c r="C10" s="1101" t="n">
        <v>2.2</v>
      </c>
      <c r="D10" s="1100" t="n">
        <v>714.7</v>
      </c>
      <c r="E10" s="1101" t="n">
        <v>2.7</v>
      </c>
      <c r="F10" s="1100" t="n">
        <v>519.3</v>
      </c>
      <c r="G10" s="1101" t="n">
        <v>3</v>
      </c>
      <c r="H10" s="1100" t="n">
        <v>618.9</v>
      </c>
      <c r="I10" s="1101" t="n">
        <v>3.6</v>
      </c>
      <c r="J10" s="1100" t="n">
        <v>79.8</v>
      </c>
      <c r="K10" s="1101" t="n">
        <v>0.8</v>
      </c>
      <c r="L10" s="1100" t="n">
        <v>95.8</v>
      </c>
      <c r="M10" s="1101" t="n">
        <v>1</v>
      </c>
      <c r="N10" s="761" t="inlineStr"/>
    </row>
    <row r="11">
      <c r="A11" s="776" t="inlineStr">
        <is>
          <t>May 1971</t>
        </is>
      </c>
      <c r="B11" s="1100" t="n">
        <v>641.7</v>
      </c>
      <c r="C11" s="1101" t="n">
        <v>2.4</v>
      </c>
      <c r="D11" s="1100" t="n">
        <v>720</v>
      </c>
      <c r="E11" s="1101" t="n">
        <v>2.7</v>
      </c>
      <c r="F11" s="1100" t="n">
        <v>554.9</v>
      </c>
      <c r="G11" s="1101" t="n">
        <v>3.2</v>
      </c>
      <c r="H11" s="1100" t="n">
        <v>623.8</v>
      </c>
      <c r="I11" s="1101" t="n">
        <v>3.6</v>
      </c>
      <c r="J11" s="1100" t="n">
        <v>86.8</v>
      </c>
      <c r="K11" s="1101" t="n">
        <v>0.9</v>
      </c>
      <c r="L11" s="1100" t="n">
        <v>96.2</v>
      </c>
      <c r="M11" s="1101" t="n">
        <v>1</v>
      </c>
      <c r="N11" s="761" t="inlineStr">
        <is>
          <t>5 week month</t>
        </is>
      </c>
    </row>
    <row r="12">
      <c r="A12" s="776" t="inlineStr">
        <is>
          <t>June 1971</t>
        </is>
      </c>
      <c r="B12" s="1100" t="n">
        <v>655.2</v>
      </c>
      <c r="C12" s="1101" t="n">
        <v>2.5</v>
      </c>
      <c r="D12" s="1100" t="n">
        <v>696</v>
      </c>
      <c r="E12" s="1101" t="n">
        <v>2.6</v>
      </c>
      <c r="F12" s="1100" t="n">
        <v>567.1</v>
      </c>
      <c r="G12" s="1101" t="n">
        <v>3.3</v>
      </c>
      <c r="H12" s="1100" t="n">
        <v>606.4</v>
      </c>
      <c r="I12" s="1101" t="n">
        <v>3.5</v>
      </c>
      <c r="J12" s="1100" t="n">
        <v>88.09999999999999</v>
      </c>
      <c r="K12" s="1101" t="n">
        <v>0.9</v>
      </c>
      <c r="L12" s="1100" t="n">
        <v>89.59999999999999</v>
      </c>
      <c r="M12" s="1101" t="n">
        <v>0.9</v>
      </c>
      <c r="N12" s="761" t="inlineStr"/>
    </row>
    <row r="13">
      <c r="A13" s="776" t="inlineStr">
        <is>
          <t>July 1971</t>
        </is>
      </c>
      <c r="B13" s="1100" t="n">
        <v>662.9</v>
      </c>
      <c r="C13" s="1101" t="n">
        <v>2.5</v>
      </c>
      <c r="D13" s="1100" t="n">
        <v>711.7</v>
      </c>
      <c r="E13" s="1101" t="n">
        <v>2.7</v>
      </c>
      <c r="F13" s="1100" t="n">
        <v>574.8</v>
      </c>
      <c r="G13" s="1101" t="n">
        <v>3.3</v>
      </c>
      <c r="H13" s="1100" t="n">
        <v>618.9</v>
      </c>
      <c r="I13" s="1101" t="n">
        <v>3.6</v>
      </c>
      <c r="J13" s="1100" t="n">
        <v>88.09999999999999</v>
      </c>
      <c r="K13" s="1101" t="n">
        <v>0.9</v>
      </c>
      <c r="L13" s="1100" t="n">
        <v>92.7</v>
      </c>
      <c r="M13" s="1101" t="n">
        <v>1</v>
      </c>
      <c r="N13" s="761" t="inlineStr"/>
    </row>
    <row r="14">
      <c r="A14" s="776" t="inlineStr">
        <is>
          <t>August 1971</t>
        </is>
      </c>
      <c r="B14" s="1100" t="n">
        <v>664.1</v>
      </c>
      <c r="C14" s="1101" t="n">
        <v>2.5</v>
      </c>
      <c r="D14" s="1100" t="n">
        <v>759</v>
      </c>
      <c r="E14" s="1101" t="n">
        <v>2.8</v>
      </c>
      <c r="F14" s="1100" t="n">
        <v>578.3</v>
      </c>
      <c r="G14" s="1101" t="n">
        <v>3.4</v>
      </c>
      <c r="H14" s="1100" t="n">
        <v>653.8</v>
      </c>
      <c r="I14" s="1101" t="n">
        <v>3.8</v>
      </c>
      <c r="J14" s="1100" t="n">
        <v>85.8</v>
      </c>
      <c r="K14" s="1101" t="n">
        <v>0.9</v>
      </c>
      <c r="L14" s="1100" t="n">
        <v>105.2</v>
      </c>
      <c r="M14" s="1101" t="n">
        <v>1.1</v>
      </c>
      <c r="N14" s="761" t="inlineStr">
        <is>
          <t>5 week month</t>
        </is>
      </c>
    </row>
    <row r="15">
      <c r="A15" s="776" t="inlineStr">
        <is>
          <t>September 1971</t>
        </is>
      </c>
      <c r="B15" s="1100" t="n">
        <v>684</v>
      </c>
      <c r="C15" s="1101" t="n">
        <v>2.6</v>
      </c>
      <c r="D15" s="1100" t="n">
        <v>783.6</v>
      </c>
      <c r="E15" s="1101" t="n">
        <v>2.9</v>
      </c>
      <c r="F15" s="1100" t="n">
        <v>591.6</v>
      </c>
      <c r="G15" s="1101" t="n">
        <v>3.4</v>
      </c>
      <c r="H15" s="1100" t="n">
        <v>670.7</v>
      </c>
      <c r="I15" s="1101" t="n">
        <v>3.9</v>
      </c>
      <c r="J15" s="1100" t="n">
        <v>92.40000000000001</v>
      </c>
      <c r="K15" s="1101" t="n">
        <v>1</v>
      </c>
      <c r="L15" s="1100" t="n">
        <v>112.9</v>
      </c>
      <c r="M15" s="1101" t="n">
        <v>1.2</v>
      </c>
      <c r="N15" s="761" t="inlineStr"/>
    </row>
    <row r="16">
      <c r="A16" s="776" t="inlineStr">
        <is>
          <t>October 1971</t>
        </is>
      </c>
      <c r="B16" s="1100" t="n">
        <v>715.8</v>
      </c>
      <c r="C16" s="1101" t="n">
        <v>2.7</v>
      </c>
      <c r="D16" s="1100" t="n">
        <v>815.6</v>
      </c>
      <c r="E16" s="1101" t="n">
        <v>3.1</v>
      </c>
      <c r="F16" s="1100" t="n">
        <v>616.9</v>
      </c>
      <c r="G16" s="1101" t="n">
        <v>3.6</v>
      </c>
      <c r="H16" s="1100" t="n">
        <v>694.9</v>
      </c>
      <c r="I16" s="1101" t="n">
        <v>4</v>
      </c>
      <c r="J16" s="1100" t="n">
        <v>98.90000000000001</v>
      </c>
      <c r="K16" s="1101" t="n">
        <v>1</v>
      </c>
      <c r="L16" s="1100" t="n">
        <v>120.7</v>
      </c>
      <c r="M16" s="1101" t="n">
        <v>1.3</v>
      </c>
      <c r="N16" s="761" t="inlineStr">
        <is>
          <t>5 week month</t>
        </is>
      </c>
    </row>
    <row r="17">
      <c r="A17" s="776" t="inlineStr">
        <is>
          <t>November 1971</t>
        </is>
      </c>
      <c r="B17" s="1100" t="n">
        <v>747.6</v>
      </c>
      <c r="C17" s="1101" t="n">
        <v>2.8</v>
      </c>
      <c r="D17" s="1100" t="n">
        <v>857.4</v>
      </c>
      <c r="E17" s="1101" t="n">
        <v>3.2</v>
      </c>
      <c r="F17" s="1100" t="n">
        <v>644.3</v>
      </c>
      <c r="G17" s="1101" t="n">
        <v>3.7</v>
      </c>
      <c r="H17" s="1100" t="n">
        <v>730.7</v>
      </c>
      <c r="I17" s="1101" t="n">
        <v>4.2</v>
      </c>
      <c r="J17" s="1100" t="n">
        <v>103.3</v>
      </c>
      <c r="K17" s="1101" t="n">
        <v>1.1</v>
      </c>
      <c r="L17" s="1100" t="n">
        <v>126.7</v>
      </c>
      <c r="M17" s="1101" t="n">
        <v>1.3</v>
      </c>
      <c r="N17" s="761" t="inlineStr"/>
    </row>
    <row r="18">
      <c r="A18" s="776" t="inlineStr">
        <is>
          <t>December 1971</t>
        </is>
      </c>
      <c r="B18" s="1100" t="n">
        <v>757.7</v>
      </c>
      <c r="C18" s="1101" t="n">
        <v>2.8</v>
      </c>
      <c r="D18" s="1100" t="n">
        <v>878.5</v>
      </c>
      <c r="E18" s="1101" t="n">
        <v>3.3</v>
      </c>
      <c r="F18" s="1100" t="n">
        <v>652.2</v>
      </c>
      <c r="G18" s="1101" t="n">
        <v>3.8</v>
      </c>
      <c r="H18" s="1100" t="n">
        <v>752.8</v>
      </c>
      <c r="I18" s="1101" t="n">
        <v>4.4</v>
      </c>
      <c r="J18" s="1100" t="n">
        <v>105.5</v>
      </c>
      <c r="K18" s="1101" t="n">
        <v>1.1</v>
      </c>
      <c r="L18" s="1100" t="n">
        <v>125.8</v>
      </c>
      <c r="M18" s="1101" t="n">
        <v>1.3</v>
      </c>
      <c r="N18" s="761" t="inlineStr"/>
    </row>
    <row r="19">
      <c r="A19" s="776" t="inlineStr">
        <is>
          <t>January 1972</t>
        </is>
      </c>
      <c r="B19" s="1100" t="n">
        <v>754.1</v>
      </c>
      <c r="C19" s="1101" t="n">
        <v>2.8</v>
      </c>
      <c r="D19" s="1100" t="n">
        <v>936.1</v>
      </c>
      <c r="E19" s="1101" t="n">
        <v>3.5</v>
      </c>
      <c r="F19" s="1100" t="n">
        <v>651</v>
      </c>
      <c r="G19" s="1101" t="n">
        <v>3.8</v>
      </c>
      <c r="H19" s="1100" t="n">
        <v>802.5</v>
      </c>
      <c r="I19" s="1101" t="n">
        <v>4.7</v>
      </c>
      <c r="J19" s="1100" t="n">
        <v>103.1</v>
      </c>
      <c r="K19" s="1101" t="n">
        <v>1.1</v>
      </c>
      <c r="L19" s="1100" t="n">
        <v>133.6</v>
      </c>
      <c r="M19" s="1101" t="n">
        <v>1.4</v>
      </c>
      <c r="N19" s="761" t="inlineStr">
        <is>
          <t>5 week month</t>
        </is>
      </c>
    </row>
    <row r="20">
      <c r="A20" s="776" t="inlineStr">
        <is>
          <t>February 1972</t>
        </is>
      </c>
      <c r="B20" s="1100" t="n">
        <v>768.5</v>
      </c>
      <c r="C20" s="1101" t="n">
        <v>2.9</v>
      </c>
      <c r="D20" s="1100" t="n">
        <v>936.6</v>
      </c>
      <c r="E20" s="1101" t="n">
        <v>3.5</v>
      </c>
      <c r="F20" s="1100" t="n">
        <v>663.3</v>
      </c>
      <c r="G20" s="1101" t="n">
        <v>3.9</v>
      </c>
      <c r="H20" s="1100" t="n">
        <v>802.8</v>
      </c>
      <c r="I20" s="1101" t="n">
        <v>4.7</v>
      </c>
      <c r="J20" s="1100" t="n">
        <v>105.2</v>
      </c>
      <c r="K20" s="1101" t="n">
        <v>1.1</v>
      </c>
      <c r="L20" s="1100" t="n">
        <v>133.8</v>
      </c>
      <c r="M20" s="1101" t="n">
        <v>1.4</v>
      </c>
      <c r="N20" s="761" t="inlineStr"/>
    </row>
    <row r="21">
      <c r="A21" s="776" t="inlineStr">
        <is>
          <t>March 1972</t>
        </is>
      </c>
      <c r="B21" s="1100" t="n">
        <v>779.6</v>
      </c>
      <c r="C21" s="1101" t="n">
        <v>2.9</v>
      </c>
      <c r="D21" s="1100" t="n">
        <v>938</v>
      </c>
      <c r="E21" s="1101" t="n">
        <v>3.5</v>
      </c>
      <c r="F21" s="1100" t="n">
        <v>671.3</v>
      </c>
      <c r="G21" s="1101" t="n">
        <v>3.9</v>
      </c>
      <c r="H21" s="1100" t="n">
        <v>802.5</v>
      </c>
      <c r="I21" s="1101" t="n">
        <v>4.7</v>
      </c>
      <c r="J21" s="1100" t="n">
        <v>108.3</v>
      </c>
      <c r="K21" s="1101" t="n">
        <v>1.1</v>
      </c>
      <c r="L21" s="1100" t="n">
        <v>135.5</v>
      </c>
      <c r="M21" s="1101" t="n">
        <v>1.4</v>
      </c>
      <c r="N21" s="761" t="inlineStr"/>
    </row>
    <row r="22">
      <c r="A22" s="776" t="inlineStr">
        <is>
          <t>April 1972</t>
        </is>
      </c>
      <c r="B22" s="1100" t="n">
        <v>775.9</v>
      </c>
      <c r="C22" s="1101" t="n">
        <v>2.9</v>
      </c>
      <c r="D22" s="1100" t="n">
        <v>918.4</v>
      </c>
      <c r="E22" s="1101" t="n">
        <v>3.4</v>
      </c>
      <c r="F22" s="1100" t="n">
        <v>666.2</v>
      </c>
      <c r="G22" s="1101" t="n">
        <v>3.9</v>
      </c>
      <c r="H22" s="1100" t="n">
        <v>784.1</v>
      </c>
      <c r="I22" s="1101" t="n">
        <v>4.6</v>
      </c>
      <c r="J22" s="1100" t="n">
        <v>109.7</v>
      </c>
      <c r="K22" s="1101" t="n">
        <v>1.1</v>
      </c>
      <c r="L22" s="1100" t="n">
        <v>134.3</v>
      </c>
      <c r="M22" s="1101" t="n">
        <v>1.4</v>
      </c>
      <c r="N22" s="761" t="inlineStr">
        <is>
          <t>5 week month</t>
        </is>
      </c>
    </row>
    <row r="23">
      <c r="A23" s="776" t="inlineStr">
        <is>
          <t>May 1972</t>
        </is>
      </c>
      <c r="B23" s="1100" t="n">
        <v>745.8</v>
      </c>
      <c r="C23" s="1101" t="n">
        <v>2.8</v>
      </c>
      <c r="D23" s="1100" t="n">
        <v>840.9</v>
      </c>
      <c r="E23" s="1101" t="n">
        <v>3.1</v>
      </c>
      <c r="F23" s="1100" t="n">
        <v>637.8</v>
      </c>
      <c r="G23" s="1101" t="n">
        <v>3.7</v>
      </c>
      <c r="H23" s="1100" t="n">
        <v>718.3</v>
      </c>
      <c r="I23" s="1101" t="n">
        <v>4.2</v>
      </c>
      <c r="J23" s="1100" t="n">
        <v>108</v>
      </c>
      <c r="K23" s="1101" t="n">
        <v>1.1</v>
      </c>
      <c r="L23" s="1100" t="n">
        <v>122.6</v>
      </c>
      <c r="M23" s="1101" t="n">
        <v>1.3</v>
      </c>
      <c r="N23" s="761" t="inlineStr"/>
    </row>
    <row r="24">
      <c r="A24" s="776" t="inlineStr">
        <is>
          <t>June 1972</t>
        </is>
      </c>
      <c r="B24" s="1100" t="n">
        <v>722.4</v>
      </c>
      <c r="C24" s="1101" t="n">
        <v>2.7</v>
      </c>
      <c r="D24" s="1100" t="n">
        <v>777.6</v>
      </c>
      <c r="E24" s="1101" t="n">
        <v>2.9</v>
      </c>
      <c r="F24" s="1100" t="n">
        <v>617</v>
      </c>
      <c r="G24" s="1101" t="n">
        <v>3.6</v>
      </c>
      <c r="H24" s="1100" t="n">
        <v>666.3</v>
      </c>
      <c r="I24" s="1101" t="n">
        <v>3.9</v>
      </c>
      <c r="J24" s="1100" t="n">
        <v>105.4</v>
      </c>
      <c r="K24" s="1101" t="n">
        <v>1.1</v>
      </c>
      <c r="L24" s="1100" t="n">
        <v>111.4</v>
      </c>
      <c r="M24" s="1101" t="n">
        <v>1.2</v>
      </c>
      <c r="N24" s="761" t="inlineStr"/>
    </row>
    <row r="25">
      <c r="A25" s="776" t="inlineStr">
        <is>
          <t>July 1972</t>
        </is>
      </c>
      <c r="B25" s="1100" t="n">
        <v>709.8</v>
      </c>
      <c r="C25" s="1101" t="n">
        <v>2.7</v>
      </c>
      <c r="D25" s="1100" t="n">
        <v>776.2</v>
      </c>
      <c r="E25" s="1101" t="n">
        <v>2.9</v>
      </c>
      <c r="F25" s="1100" t="n">
        <v>607</v>
      </c>
      <c r="G25" s="1101" t="n">
        <v>3.5</v>
      </c>
      <c r="H25" s="1100" t="n">
        <v>662.3</v>
      </c>
      <c r="I25" s="1101" t="n">
        <v>3.9</v>
      </c>
      <c r="J25" s="1100" t="n">
        <v>102.8</v>
      </c>
      <c r="K25" s="1101" t="n">
        <v>1.1</v>
      </c>
      <c r="L25" s="1100" t="n">
        <v>113.9</v>
      </c>
      <c r="M25" s="1101" t="n">
        <v>1.2</v>
      </c>
      <c r="N25" s="761" t="inlineStr">
        <is>
          <t>5 week month</t>
        </is>
      </c>
    </row>
    <row r="26">
      <c r="A26" s="776" t="inlineStr">
        <is>
          <t>August 1972</t>
        </is>
      </c>
      <c r="B26" s="1100" t="n">
        <v>692.7</v>
      </c>
      <c r="C26" s="1101" t="n">
        <v>2.6</v>
      </c>
      <c r="D26" s="1100" t="n">
        <v>808.5</v>
      </c>
      <c r="E26" s="1101" t="n">
        <v>3</v>
      </c>
      <c r="F26" s="1100" t="n">
        <v>593.6</v>
      </c>
      <c r="G26" s="1101" t="n">
        <v>3.5</v>
      </c>
      <c r="H26" s="1100" t="n">
        <v>681.8</v>
      </c>
      <c r="I26" s="1101" t="n">
        <v>4</v>
      </c>
      <c r="J26" s="1100" t="n">
        <v>99.09999999999999</v>
      </c>
      <c r="K26" s="1101" t="n">
        <v>1</v>
      </c>
      <c r="L26" s="1100" t="n">
        <v>126.7</v>
      </c>
      <c r="M26" s="1101" t="n">
        <v>1.3</v>
      </c>
      <c r="N26" s="761" t="inlineStr"/>
    </row>
    <row r="27">
      <c r="A27" s="776" t="inlineStr">
        <is>
          <t>September 1972</t>
        </is>
      </c>
      <c r="B27" s="1100" t="n">
        <v>696.7</v>
      </c>
      <c r="C27" s="1101" t="n">
        <v>2.6</v>
      </c>
      <c r="D27" s="1100" t="n">
        <v>809.5</v>
      </c>
      <c r="E27" s="1101" t="n">
        <v>3</v>
      </c>
      <c r="F27" s="1100" t="n">
        <v>596.8</v>
      </c>
      <c r="G27" s="1101" t="n">
        <v>3.5</v>
      </c>
      <c r="H27" s="1100" t="n">
        <v>683.9</v>
      </c>
      <c r="I27" s="1101" t="n">
        <v>4</v>
      </c>
      <c r="J27" s="1100" t="n">
        <v>99.90000000000001</v>
      </c>
      <c r="K27" s="1101" t="n">
        <v>1</v>
      </c>
      <c r="L27" s="1100" t="n">
        <v>125.6</v>
      </c>
      <c r="M27" s="1101" t="n">
        <v>1.3</v>
      </c>
      <c r="N27" s="761" t="inlineStr">
        <is>
          <t>5 week month</t>
        </is>
      </c>
    </row>
    <row r="28">
      <c r="A28" s="776" t="inlineStr">
        <is>
          <t>October 1972</t>
        </is>
      </c>
      <c r="B28" s="1100" t="n">
        <v>680.7</v>
      </c>
      <c r="C28" s="1101" t="n">
        <v>2.5</v>
      </c>
      <c r="D28" s="1100" t="n">
        <v>783.5</v>
      </c>
      <c r="E28" s="1101" t="n">
        <v>2.9</v>
      </c>
      <c r="F28" s="1100" t="n">
        <v>580.2</v>
      </c>
      <c r="G28" s="1101" t="n">
        <v>3.4</v>
      </c>
      <c r="H28" s="1100" t="n">
        <v>659.7</v>
      </c>
      <c r="I28" s="1101" t="n">
        <v>3.9</v>
      </c>
      <c r="J28" s="1100" t="n">
        <v>100.5</v>
      </c>
      <c r="K28" s="1101" t="n">
        <v>1</v>
      </c>
      <c r="L28" s="1100" t="n">
        <v>123.7</v>
      </c>
      <c r="M28" s="1101" t="n">
        <v>1.3</v>
      </c>
      <c r="N28" s="761" t="inlineStr"/>
    </row>
    <row r="29">
      <c r="A29" s="776" t="inlineStr">
        <is>
          <t>November 1972</t>
        </is>
      </c>
      <c r="B29" s="1100" t="n">
        <v>666.2</v>
      </c>
      <c r="C29" s="1101" t="n">
        <v>2.5</v>
      </c>
      <c r="D29" s="1100" t="n">
        <v>771.4</v>
      </c>
      <c r="E29" s="1101" t="n">
        <v>2.9</v>
      </c>
      <c r="F29" s="1100" t="n">
        <v>565.6</v>
      </c>
      <c r="G29" s="1101" t="n">
        <v>3.3</v>
      </c>
      <c r="H29" s="1100" t="n">
        <v>648.1</v>
      </c>
      <c r="I29" s="1101" t="n">
        <v>3.8</v>
      </c>
      <c r="J29" s="1100" t="n">
        <v>100.6</v>
      </c>
      <c r="K29" s="1101" t="n">
        <v>1</v>
      </c>
      <c r="L29" s="1100" t="n">
        <v>123.3</v>
      </c>
      <c r="M29" s="1101" t="n">
        <v>1.3</v>
      </c>
      <c r="N29" s="761" t="inlineStr"/>
    </row>
    <row r="30">
      <c r="A30" s="776" t="inlineStr">
        <is>
          <t>December 1972</t>
        </is>
      </c>
      <c r="B30" s="1100" t="n">
        <v>639.4</v>
      </c>
      <c r="C30" s="1101" t="n">
        <v>2.4</v>
      </c>
      <c r="D30" s="1100" t="n">
        <v>751.6</v>
      </c>
      <c r="E30" s="1101" t="n">
        <v>2.8</v>
      </c>
      <c r="F30" s="1100" t="n">
        <v>540.6</v>
      </c>
      <c r="G30" s="1101" t="n">
        <v>3.2</v>
      </c>
      <c r="H30" s="1100" t="n">
        <v>634.4</v>
      </c>
      <c r="I30" s="1101" t="n">
        <v>3.7</v>
      </c>
      <c r="J30" s="1100" t="n">
        <v>98.8</v>
      </c>
      <c r="K30" s="1101" t="n">
        <v>1</v>
      </c>
      <c r="L30" s="1100" t="n">
        <v>117.2</v>
      </c>
      <c r="M30" s="1101" t="n">
        <v>1.2</v>
      </c>
      <c r="N30" s="761" t="inlineStr">
        <is>
          <t>5 week month</t>
        </is>
      </c>
    </row>
    <row r="31">
      <c r="A31" s="776" t="inlineStr">
        <is>
          <t>January 1973</t>
        </is>
      </c>
      <c r="B31" s="1100" t="n">
        <v>603.7</v>
      </c>
      <c r="C31" s="1101" t="n">
        <v>2.2</v>
      </c>
      <c r="D31" s="1100" t="n">
        <v>776.6</v>
      </c>
      <c r="E31" s="1101" t="n">
        <v>2.9</v>
      </c>
      <c r="F31" s="1100" t="n">
        <v>510.7</v>
      </c>
      <c r="G31" s="1101" t="n">
        <v>3</v>
      </c>
      <c r="H31" s="1100" t="n">
        <v>654.9</v>
      </c>
      <c r="I31" s="1101" t="n">
        <v>3.8</v>
      </c>
      <c r="J31" s="1100" t="n">
        <v>93</v>
      </c>
      <c r="K31" s="1101" t="n">
        <v>0.9</v>
      </c>
      <c r="L31" s="1100" t="n">
        <v>121.7</v>
      </c>
      <c r="M31" s="1101" t="n">
        <v>1.2</v>
      </c>
      <c r="N31" s="761" t="inlineStr"/>
    </row>
    <row r="32">
      <c r="A32" s="776" t="inlineStr">
        <is>
          <t>February 1973</t>
        </is>
      </c>
      <c r="B32" s="1100" t="n">
        <v>574.3</v>
      </c>
      <c r="C32" s="1101" t="n">
        <v>2.1</v>
      </c>
      <c r="D32" s="1100" t="n">
        <v>725.4</v>
      </c>
      <c r="E32" s="1101" t="n">
        <v>2.7</v>
      </c>
      <c r="F32" s="1100" t="n">
        <v>484.7</v>
      </c>
      <c r="G32" s="1101" t="n">
        <v>2.8</v>
      </c>
      <c r="H32" s="1100" t="n">
        <v>611.9</v>
      </c>
      <c r="I32" s="1101" t="n">
        <v>3.6</v>
      </c>
      <c r="J32" s="1100" t="n">
        <v>89.59999999999999</v>
      </c>
      <c r="K32" s="1101" t="n">
        <v>0.9</v>
      </c>
      <c r="L32" s="1100" t="n">
        <v>113.5</v>
      </c>
      <c r="M32" s="1101" t="n">
        <v>1.1</v>
      </c>
      <c r="N32" s="761" t="inlineStr"/>
    </row>
    <row r="33">
      <c r="A33" s="776" t="inlineStr">
        <is>
          <t>March 1973</t>
        </is>
      </c>
      <c r="B33" s="1100" t="n">
        <v>560.3</v>
      </c>
      <c r="C33" s="1101" t="n">
        <v>2.1</v>
      </c>
      <c r="D33" s="1100" t="n">
        <v>693</v>
      </c>
      <c r="E33" s="1101" t="n">
        <v>2.6</v>
      </c>
      <c r="F33" s="1100" t="n">
        <v>471.7</v>
      </c>
      <c r="G33" s="1101" t="n">
        <v>2.8</v>
      </c>
      <c r="H33" s="1100" t="n">
        <v>585.2</v>
      </c>
      <c r="I33" s="1101" t="n">
        <v>3.4</v>
      </c>
      <c r="J33" s="1100" t="n">
        <v>88.59999999999999</v>
      </c>
      <c r="K33" s="1101" t="n">
        <v>0.9</v>
      </c>
      <c r="L33" s="1100" t="n">
        <v>107.8</v>
      </c>
      <c r="M33" s="1101" t="n">
        <v>1.1</v>
      </c>
      <c r="N33" s="761" t="inlineStr"/>
    </row>
    <row r="34">
      <c r="A34" s="776" t="inlineStr">
        <is>
          <t>April 1973</t>
        </is>
      </c>
      <c r="B34" s="1100" t="n">
        <v>547.2</v>
      </c>
      <c r="C34" s="1101" t="n">
        <v>2</v>
      </c>
      <c r="D34" s="1100" t="n">
        <v>656.8</v>
      </c>
      <c r="E34" s="1101" t="n">
        <v>2.4</v>
      </c>
      <c r="F34" s="1100" t="n">
        <v>459.1</v>
      </c>
      <c r="G34" s="1101" t="n">
        <v>2.7</v>
      </c>
      <c r="H34" s="1100" t="n">
        <v>554.5</v>
      </c>
      <c r="I34" s="1101" t="n">
        <v>3.2</v>
      </c>
      <c r="J34" s="1100" t="n">
        <v>88.09999999999999</v>
      </c>
      <c r="K34" s="1101" t="n">
        <v>0.9</v>
      </c>
      <c r="L34" s="1100" t="n">
        <v>102.3</v>
      </c>
      <c r="M34" s="1101" t="n">
        <v>1</v>
      </c>
      <c r="N34" s="761" t="inlineStr">
        <is>
          <t>5 week month</t>
        </is>
      </c>
    </row>
    <row r="35">
      <c r="A35" s="776" t="inlineStr">
        <is>
          <t>May 1973</t>
        </is>
      </c>
      <c r="B35" s="1100" t="n">
        <v>537.6</v>
      </c>
      <c r="C35" s="1101" t="n">
        <v>2</v>
      </c>
      <c r="D35" s="1100" t="n">
        <v>601.8</v>
      </c>
      <c r="E35" s="1101" t="n">
        <v>2.2</v>
      </c>
      <c r="F35" s="1100" t="n">
        <v>452.3</v>
      </c>
      <c r="G35" s="1101" t="n">
        <v>2.6</v>
      </c>
      <c r="H35" s="1100" t="n">
        <v>512.2</v>
      </c>
      <c r="I35" s="1101" t="n">
        <v>3</v>
      </c>
      <c r="J35" s="1100" t="n">
        <v>85.3</v>
      </c>
      <c r="K35" s="1101" t="n">
        <v>0.9</v>
      </c>
      <c r="L35" s="1100" t="n">
        <v>89.7</v>
      </c>
      <c r="M35" s="1101" t="n">
        <v>0.9</v>
      </c>
      <c r="N35" s="761" t="inlineStr"/>
    </row>
    <row r="36">
      <c r="A36" s="776" t="inlineStr">
        <is>
          <t>June 1973</t>
        </is>
      </c>
      <c r="B36" s="1100" t="n">
        <v>530.2</v>
      </c>
      <c r="C36" s="1101" t="n">
        <v>2</v>
      </c>
      <c r="D36" s="1100" t="n">
        <v>556.8</v>
      </c>
      <c r="E36" s="1101" t="n">
        <v>2.1</v>
      </c>
      <c r="F36" s="1100" t="n">
        <v>445.5</v>
      </c>
      <c r="G36" s="1101" t="n">
        <v>2.6</v>
      </c>
      <c r="H36" s="1100" t="n">
        <v>476.1</v>
      </c>
      <c r="I36" s="1101" t="n">
        <v>2.8</v>
      </c>
      <c r="J36" s="1100" t="n">
        <v>84.7</v>
      </c>
      <c r="K36" s="1101" t="n">
        <v>0.9</v>
      </c>
      <c r="L36" s="1100" t="n">
        <v>80.7</v>
      </c>
      <c r="M36" s="1101" t="n">
        <v>0.8</v>
      </c>
      <c r="N36" s="761" t="inlineStr">
        <is>
          <t>5 week month</t>
        </is>
      </c>
    </row>
    <row r="37">
      <c r="A37" s="776" t="inlineStr">
        <is>
          <t>July 1973</t>
        </is>
      </c>
      <c r="B37" s="1100" t="n">
        <v>506.3</v>
      </c>
      <c r="C37" s="1101" t="n">
        <v>1.9</v>
      </c>
      <c r="D37" s="1100" t="n">
        <v>541.5</v>
      </c>
      <c r="E37" s="1101" t="n">
        <v>2</v>
      </c>
      <c r="F37" s="1100" t="n">
        <v>426.5</v>
      </c>
      <c r="G37" s="1101" t="n">
        <v>2.5</v>
      </c>
      <c r="H37" s="1100" t="n">
        <v>461.1</v>
      </c>
      <c r="I37" s="1101" t="n">
        <v>2.7</v>
      </c>
      <c r="J37" s="1100" t="n">
        <v>79.8</v>
      </c>
      <c r="K37" s="1101" t="n">
        <v>0.8</v>
      </c>
      <c r="L37" s="1100" t="n">
        <v>80.5</v>
      </c>
      <c r="M37" s="1101" t="n">
        <v>0.8</v>
      </c>
      <c r="N37" s="761" t="inlineStr"/>
    </row>
    <row r="38">
      <c r="A38" s="776" t="inlineStr">
        <is>
          <t>August 1973</t>
        </is>
      </c>
      <c r="B38" s="1100" t="n">
        <v>486.8</v>
      </c>
      <c r="C38" s="1101" t="n">
        <v>1.8</v>
      </c>
      <c r="D38" s="1100" t="n">
        <v>552.9</v>
      </c>
      <c r="E38" s="1101" t="n">
        <v>2</v>
      </c>
      <c r="F38" s="1100" t="n">
        <v>412</v>
      </c>
      <c r="G38" s="1101" t="n">
        <v>2.4</v>
      </c>
      <c r="H38" s="1100" t="n">
        <v>467.5</v>
      </c>
      <c r="I38" s="1101" t="n">
        <v>2.7</v>
      </c>
      <c r="J38" s="1100" t="n">
        <v>74.8</v>
      </c>
      <c r="K38" s="1101" t="n">
        <v>0.8</v>
      </c>
      <c r="L38" s="1100" t="n">
        <v>85.40000000000001</v>
      </c>
      <c r="M38" s="1101" t="n">
        <v>0.9</v>
      </c>
      <c r="N38" s="761" t="inlineStr"/>
    </row>
    <row r="39">
      <c r="A39" s="776" t="inlineStr">
        <is>
          <t>September 1973</t>
        </is>
      </c>
      <c r="B39" s="1100" t="n">
        <v>469.4</v>
      </c>
      <c r="C39" s="1101" t="n">
        <v>1.7</v>
      </c>
      <c r="D39" s="1100" t="n">
        <v>530.9</v>
      </c>
      <c r="E39" s="1101" t="n">
        <v>2</v>
      </c>
      <c r="F39" s="1100" t="n">
        <v>397.4</v>
      </c>
      <c r="G39" s="1101" t="n">
        <v>2.3</v>
      </c>
      <c r="H39" s="1100" t="n">
        <v>449.7</v>
      </c>
      <c r="I39" s="1101" t="n">
        <v>2.6</v>
      </c>
      <c r="J39" s="1100" t="n">
        <v>72</v>
      </c>
      <c r="K39" s="1101" t="n">
        <v>0.7</v>
      </c>
      <c r="L39" s="1100" t="n">
        <v>81.2</v>
      </c>
      <c r="M39" s="1101" t="n">
        <v>0.8</v>
      </c>
      <c r="N39" s="761" t="inlineStr">
        <is>
          <t>5 week month</t>
        </is>
      </c>
    </row>
    <row r="40">
      <c r="A40" s="776" t="inlineStr">
        <is>
          <t>October 1973</t>
        </is>
      </c>
      <c r="B40" s="1100" t="n">
        <v>456.5</v>
      </c>
      <c r="C40" s="1101" t="n">
        <v>1.7</v>
      </c>
      <c r="D40" s="1100" t="n">
        <v>513.1</v>
      </c>
      <c r="E40" s="1101" t="n">
        <v>1.9</v>
      </c>
      <c r="F40" s="1100" t="n">
        <v>387.2</v>
      </c>
      <c r="G40" s="1101" t="n">
        <v>2.3</v>
      </c>
      <c r="H40" s="1100" t="n">
        <v>435.6</v>
      </c>
      <c r="I40" s="1101" t="n">
        <v>2.5</v>
      </c>
      <c r="J40" s="1100" t="n">
        <v>69.3</v>
      </c>
      <c r="K40" s="1101" t="n">
        <v>0.7</v>
      </c>
      <c r="L40" s="1100" t="n">
        <v>77.5</v>
      </c>
      <c r="M40" s="1101" t="n">
        <v>0.8</v>
      </c>
      <c r="N40" s="761" t="inlineStr"/>
    </row>
    <row r="41">
      <c r="A41" s="776" t="inlineStr">
        <is>
          <t>November 1973</t>
        </is>
      </c>
      <c r="B41" s="1100" t="n">
        <v>441.2</v>
      </c>
      <c r="C41" s="1101" t="n">
        <v>1.6</v>
      </c>
      <c r="D41" s="1100" t="n">
        <v>503</v>
      </c>
      <c r="E41" s="1101" t="n">
        <v>1.9</v>
      </c>
      <c r="F41" s="1100" t="n">
        <v>375.3</v>
      </c>
      <c r="G41" s="1101" t="n">
        <v>2.2</v>
      </c>
      <c r="H41" s="1100" t="n">
        <v>428.4</v>
      </c>
      <c r="I41" s="1101" t="n">
        <v>2.5</v>
      </c>
      <c r="J41" s="1100" t="n">
        <v>65.90000000000001</v>
      </c>
      <c r="K41" s="1101" t="n">
        <v>0.7</v>
      </c>
      <c r="L41" s="1100" t="n">
        <v>74.59999999999999</v>
      </c>
      <c r="M41" s="1101" t="n">
        <v>0.7</v>
      </c>
      <c r="N41" s="761" t="inlineStr"/>
    </row>
    <row r="42">
      <c r="A42" s="776" t="inlineStr">
        <is>
          <t>December 1973</t>
        </is>
      </c>
      <c r="B42" s="1100" t="n">
        <v>422.6</v>
      </c>
      <c r="C42" s="1101" t="n">
        <v>1.6</v>
      </c>
      <c r="D42" s="1100" t="n">
        <v>495.5</v>
      </c>
      <c r="E42" s="1101" t="n">
        <v>1.8</v>
      </c>
      <c r="F42" s="1100" t="n">
        <v>358.4</v>
      </c>
      <c r="G42" s="1101" t="n">
        <v>2.1</v>
      </c>
      <c r="H42" s="1100" t="n">
        <v>425</v>
      </c>
      <c r="I42" s="1101" t="n">
        <v>2.5</v>
      </c>
      <c r="J42" s="1100" t="n">
        <v>64.2</v>
      </c>
      <c r="K42" s="1101" t="n">
        <v>0.6</v>
      </c>
      <c r="L42" s="1100" t="n">
        <v>70.5</v>
      </c>
      <c r="M42" s="1101" t="n">
        <v>0.7</v>
      </c>
      <c r="N42" s="761" t="inlineStr">
        <is>
          <t>5 week month</t>
        </is>
      </c>
    </row>
    <row r="43">
      <c r="A43" s="776" t="inlineStr">
        <is>
          <t>January 1974</t>
        </is>
      </c>
      <c r="B43" s="1100" t="n">
        <v>468.7</v>
      </c>
      <c r="C43" s="1101" t="n">
        <v>1.7</v>
      </c>
      <c r="D43" s="1100" t="n">
        <v>611.5</v>
      </c>
      <c r="E43" s="1101" t="n">
        <v>2.3</v>
      </c>
      <c r="F43" s="1100" t="n">
        <v>399</v>
      </c>
      <c r="G43" s="1101" t="n">
        <v>2.4</v>
      </c>
      <c r="H43" s="1100" t="n">
        <v>521.7</v>
      </c>
      <c r="I43" s="1101" t="n">
        <v>3.1</v>
      </c>
      <c r="J43" s="1100" t="n">
        <v>69.7</v>
      </c>
      <c r="K43" s="1101" t="n">
        <v>0.7</v>
      </c>
      <c r="L43" s="1100" t="n">
        <v>89.90000000000001</v>
      </c>
      <c r="M43" s="1101" t="n">
        <v>0.9</v>
      </c>
      <c r="N43" s="761" t="inlineStr"/>
    </row>
    <row r="44">
      <c r="A44" s="776" t="inlineStr">
        <is>
          <t>February 1974</t>
        </is>
      </c>
      <c r="B44" s="1100" t="n">
        <v>486.6</v>
      </c>
      <c r="C44" s="1101" t="n">
        <v>1.8</v>
      </c>
      <c r="D44" s="1100" t="n">
        <v>612.5</v>
      </c>
      <c r="E44" s="1101" t="n">
        <v>2.3</v>
      </c>
      <c r="F44" s="1100" t="n">
        <v>414.6</v>
      </c>
      <c r="G44" s="1101" t="n">
        <v>2.4</v>
      </c>
      <c r="H44" s="1100" t="n">
        <v>523.6</v>
      </c>
      <c r="I44" s="1101" t="n">
        <v>3.1</v>
      </c>
      <c r="J44" s="1100" t="n">
        <v>72</v>
      </c>
      <c r="K44" s="1101" t="n">
        <v>0.7</v>
      </c>
      <c r="L44" s="1100" t="n">
        <v>88.90000000000001</v>
      </c>
      <c r="M44" s="1101" t="n">
        <v>0.9</v>
      </c>
      <c r="N44" s="761" t="inlineStr">
        <is>
          <t>5 week month</t>
        </is>
      </c>
    </row>
    <row r="45">
      <c r="A45" s="776" t="inlineStr">
        <is>
          <t>March 1974</t>
        </is>
      </c>
      <c r="B45" s="1100" t="n">
        <v>494.8</v>
      </c>
      <c r="C45" s="1101" t="n">
        <v>1.8</v>
      </c>
      <c r="D45" s="1100" t="n">
        <v>601.5</v>
      </c>
      <c r="E45" s="1101" t="n">
        <v>2.2</v>
      </c>
      <c r="F45" s="1100" t="n">
        <v>422.1</v>
      </c>
      <c r="G45" s="1101" t="n">
        <v>2.5</v>
      </c>
      <c r="H45" s="1100" t="n">
        <v>517.1</v>
      </c>
      <c r="I45" s="1101" t="n">
        <v>3</v>
      </c>
      <c r="J45" s="1100" t="n">
        <v>72.7</v>
      </c>
      <c r="K45" s="1101" t="n">
        <v>0.7</v>
      </c>
      <c r="L45" s="1100" t="n">
        <v>84.40000000000001</v>
      </c>
      <c r="M45" s="1101" t="n">
        <v>0.8</v>
      </c>
      <c r="N45" s="761" t="inlineStr"/>
    </row>
    <row r="46">
      <c r="A46" s="776" t="inlineStr">
        <is>
          <t>April 1974</t>
        </is>
      </c>
      <c r="B46" s="1100" t="n">
        <v>497.4</v>
      </c>
      <c r="C46" s="1101" t="n">
        <v>1.8</v>
      </c>
      <c r="D46" s="1100" t="n">
        <v>588</v>
      </c>
      <c r="E46" s="1101" t="n">
        <v>2.2</v>
      </c>
      <c r="F46" s="1100" t="n">
        <v>420.8</v>
      </c>
      <c r="G46" s="1101" t="n">
        <v>2.5</v>
      </c>
      <c r="H46" s="1100" t="n">
        <v>502.6</v>
      </c>
      <c r="I46" s="1101" t="n">
        <v>3</v>
      </c>
      <c r="J46" s="1100" t="n">
        <v>76.59999999999999</v>
      </c>
      <c r="K46" s="1101" t="n">
        <v>0.8</v>
      </c>
      <c r="L46" s="1100" t="n">
        <v>85.40000000000001</v>
      </c>
      <c r="M46" s="1101" t="n">
        <v>0.8</v>
      </c>
      <c r="N46" s="761" t="inlineStr"/>
    </row>
    <row r="47">
      <c r="A47" s="776" t="inlineStr">
        <is>
          <t>May 1974</t>
        </is>
      </c>
      <c r="B47" s="1100" t="n">
        <v>494.3</v>
      </c>
      <c r="C47" s="1101" t="n">
        <v>1.8</v>
      </c>
      <c r="D47" s="1100" t="n">
        <v>545.8</v>
      </c>
      <c r="E47" s="1101" t="n">
        <v>2</v>
      </c>
      <c r="F47" s="1100" t="n">
        <v>418.7</v>
      </c>
      <c r="G47" s="1101" t="n">
        <v>2.5</v>
      </c>
      <c r="H47" s="1100" t="n">
        <v>469.9</v>
      </c>
      <c r="I47" s="1101" t="n">
        <v>2.8</v>
      </c>
      <c r="J47" s="1100" t="n">
        <v>75.59999999999999</v>
      </c>
      <c r="K47" s="1101" t="n">
        <v>0.7</v>
      </c>
      <c r="L47" s="1100" t="n">
        <v>75.90000000000001</v>
      </c>
      <c r="M47" s="1101" t="n">
        <v>0.7</v>
      </c>
      <c r="N47" s="761" t="inlineStr"/>
    </row>
    <row r="48">
      <c r="A48" s="776" t="inlineStr">
        <is>
          <t>June 1974</t>
        </is>
      </c>
      <c r="B48" s="1100" t="n">
        <v>508.9</v>
      </c>
      <c r="C48" s="1101" t="n">
        <v>1.9</v>
      </c>
      <c r="D48" s="1100" t="n">
        <v>527.5</v>
      </c>
      <c r="E48" s="1101" t="n">
        <v>1.9</v>
      </c>
      <c r="F48" s="1100" t="n">
        <v>429.5</v>
      </c>
      <c r="G48" s="1101" t="n">
        <v>2.5</v>
      </c>
      <c r="H48" s="1100" t="n">
        <v>455.6</v>
      </c>
      <c r="I48" s="1101" t="n">
        <v>2.7</v>
      </c>
      <c r="J48" s="1100" t="n">
        <v>79.40000000000001</v>
      </c>
      <c r="K48" s="1101" t="n">
        <v>0.8</v>
      </c>
      <c r="L48" s="1100" t="n">
        <v>71.90000000000001</v>
      </c>
      <c r="M48" s="1101" t="n">
        <v>0.7</v>
      </c>
      <c r="N48" s="761" t="inlineStr">
        <is>
          <t>5 week month</t>
        </is>
      </c>
    </row>
    <row r="49">
      <c r="A49" s="776" t="inlineStr">
        <is>
          <t>July 1974</t>
        </is>
      </c>
      <c r="B49" s="1100" t="n">
        <v>510.8</v>
      </c>
      <c r="C49" s="1101" t="n">
        <v>1.9</v>
      </c>
      <c r="D49" s="1100" t="n">
        <v>552.1</v>
      </c>
      <c r="E49" s="1101" t="n">
        <v>2</v>
      </c>
      <c r="F49" s="1100" t="n">
        <v>434.5</v>
      </c>
      <c r="G49" s="1101" t="n">
        <v>2.6</v>
      </c>
      <c r="H49" s="1100" t="n">
        <v>472.3</v>
      </c>
      <c r="I49" s="1101" t="n">
        <v>2.8</v>
      </c>
      <c r="J49" s="1100" t="n">
        <v>76.3</v>
      </c>
      <c r="K49" s="1101" t="n">
        <v>0.7</v>
      </c>
      <c r="L49" s="1100" t="n">
        <v>79.8</v>
      </c>
      <c r="M49" s="1101" t="n">
        <v>0.8</v>
      </c>
      <c r="N49" s="761" t="inlineStr"/>
    </row>
    <row r="50">
      <c r="A50" s="776" t="inlineStr">
        <is>
          <t>August 1974</t>
        </is>
      </c>
      <c r="B50" s="1100" t="n">
        <v>530.2</v>
      </c>
      <c r="C50" s="1101" t="n">
        <v>2</v>
      </c>
      <c r="D50" s="1100" t="n">
        <v>626.8</v>
      </c>
      <c r="E50" s="1101" t="n">
        <v>2.3</v>
      </c>
      <c r="F50" s="1100" t="n">
        <v>451.1</v>
      </c>
      <c r="G50" s="1101" t="n">
        <v>2.7</v>
      </c>
      <c r="H50" s="1100" t="n">
        <v>524.7</v>
      </c>
      <c r="I50" s="1101" t="n">
        <v>3.1</v>
      </c>
      <c r="J50" s="1100" t="n">
        <v>79.09999999999999</v>
      </c>
      <c r="K50" s="1101" t="n">
        <v>0.8</v>
      </c>
      <c r="L50" s="1100" t="n">
        <v>102.1</v>
      </c>
      <c r="M50" s="1101" t="n">
        <v>1</v>
      </c>
      <c r="N50" s="761" t="inlineStr"/>
    </row>
    <row r="51">
      <c r="A51" s="776" t="inlineStr">
        <is>
          <t>September 1974</t>
        </is>
      </c>
      <c r="B51" s="1100" t="n">
        <v>534.3</v>
      </c>
      <c r="C51" s="1101" t="n">
        <v>2</v>
      </c>
      <c r="D51" s="1100" t="n">
        <v>621.7</v>
      </c>
      <c r="E51" s="1101" t="n">
        <v>2.3</v>
      </c>
      <c r="F51" s="1100" t="n">
        <v>453.9</v>
      </c>
      <c r="G51" s="1101" t="n">
        <v>2.7</v>
      </c>
      <c r="H51" s="1100" t="n">
        <v>520</v>
      </c>
      <c r="I51" s="1101" t="n">
        <v>3.1</v>
      </c>
      <c r="J51" s="1100" t="n">
        <v>80.40000000000001</v>
      </c>
      <c r="K51" s="1101" t="n">
        <v>0.8</v>
      </c>
      <c r="L51" s="1100" t="n">
        <v>101.6</v>
      </c>
      <c r="M51" s="1101" t="n">
        <v>1</v>
      </c>
      <c r="N51" s="761" t="inlineStr">
        <is>
          <t>5 week month</t>
        </is>
      </c>
    </row>
    <row r="52">
      <c r="A52" s="776" t="inlineStr">
        <is>
          <t>October 1974</t>
        </is>
      </c>
      <c r="B52" s="1100" t="n">
        <v>539.7</v>
      </c>
      <c r="C52" s="1101" t="n">
        <v>2</v>
      </c>
      <c r="D52" s="1100" t="n">
        <v>615.4</v>
      </c>
      <c r="E52" s="1101" t="n">
        <v>2.3</v>
      </c>
      <c r="F52" s="1100" t="n">
        <v>461.7</v>
      </c>
      <c r="G52" s="1101" t="n">
        <v>2.7</v>
      </c>
      <c r="H52" s="1100" t="n">
        <v>520.2</v>
      </c>
      <c r="I52" s="1101" t="n">
        <v>3.1</v>
      </c>
      <c r="J52" s="1100" t="n">
        <v>78</v>
      </c>
      <c r="K52" s="1101" t="n">
        <v>0.8</v>
      </c>
      <c r="L52" s="1100" t="n">
        <v>95.3</v>
      </c>
      <c r="M52" s="1101" t="n">
        <v>0.9</v>
      </c>
      <c r="N52" s="761" t="inlineStr"/>
    </row>
    <row r="53">
      <c r="A53" s="776" t="inlineStr">
        <is>
          <t>November 1974</t>
        </is>
      </c>
      <c r="B53" s="1100" t="n">
        <v>544.9</v>
      </c>
      <c r="C53" s="1101" t="n">
        <v>2</v>
      </c>
      <c r="D53" s="1100" t="n">
        <v>629.8</v>
      </c>
      <c r="E53" s="1101" t="n">
        <v>2.3</v>
      </c>
      <c r="F53" s="1100" t="n">
        <v>465.7</v>
      </c>
      <c r="G53" s="1101" t="n">
        <v>2.7</v>
      </c>
      <c r="H53" s="1100" t="n">
        <v>531.3</v>
      </c>
      <c r="I53" s="1101" t="n">
        <v>3.1</v>
      </c>
      <c r="J53" s="1100" t="n">
        <v>79.2</v>
      </c>
      <c r="K53" s="1101" t="n">
        <v>0.8</v>
      </c>
      <c r="L53" s="1100" t="n">
        <v>98.40000000000001</v>
      </c>
      <c r="M53" s="1101" t="n">
        <v>1</v>
      </c>
      <c r="N53" s="761" t="inlineStr">
        <is>
          <t>5 week month</t>
        </is>
      </c>
    </row>
    <row r="54">
      <c r="A54" s="776" t="inlineStr">
        <is>
          <t>December 1974</t>
        </is>
      </c>
      <c r="B54" s="1100" t="n">
        <v>558.5</v>
      </c>
      <c r="C54" s="1101" t="n">
        <v>2.1</v>
      </c>
      <c r="D54" s="1100" t="n">
        <v>661.1</v>
      </c>
      <c r="E54" s="1101" t="n">
        <v>2.4</v>
      </c>
      <c r="F54" s="1100" t="n">
        <v>476.3</v>
      </c>
      <c r="G54" s="1101" t="n">
        <v>2.8</v>
      </c>
      <c r="H54" s="1100" t="n">
        <v>559.1</v>
      </c>
      <c r="I54" s="1101" t="n">
        <v>3.3</v>
      </c>
      <c r="J54" s="1100" t="n">
        <v>82.2</v>
      </c>
      <c r="K54" s="1101" t="n">
        <v>0.8</v>
      </c>
      <c r="L54" s="1100" t="n">
        <v>101.9</v>
      </c>
      <c r="M54" s="1101" t="n">
        <v>1</v>
      </c>
      <c r="N54" s="761" t="inlineStr"/>
    </row>
    <row r="55">
      <c r="A55" s="776" t="inlineStr">
        <is>
          <t>January 1975</t>
        </is>
      </c>
      <c r="B55" s="1100" t="n">
        <v>587.8</v>
      </c>
      <c r="C55" s="1101" t="n">
        <v>2.1</v>
      </c>
      <c r="D55" s="1100" t="n">
        <v>771.8</v>
      </c>
      <c r="E55" s="1101" t="n">
        <v>2.8</v>
      </c>
      <c r="F55" s="1100" t="n">
        <v>499.8</v>
      </c>
      <c r="G55" s="1101" t="n">
        <v>2.9</v>
      </c>
      <c r="H55" s="1100" t="n">
        <v>635.1</v>
      </c>
      <c r="I55" s="1101" t="n">
        <v>3.7</v>
      </c>
      <c r="J55" s="1100" t="n">
        <v>88</v>
      </c>
      <c r="K55" s="1101" t="n">
        <v>0.9</v>
      </c>
      <c r="L55" s="1100" t="n">
        <v>136.7</v>
      </c>
      <c r="M55" s="1101" t="n">
        <v>1.3</v>
      </c>
      <c r="N55" s="761" t="inlineStr"/>
    </row>
    <row r="56">
      <c r="A56" s="776" t="inlineStr">
        <is>
          <t>February 1975</t>
        </is>
      </c>
      <c r="B56" s="1100" t="n">
        <v>609.1</v>
      </c>
      <c r="C56" s="1101" t="n">
        <v>2.2</v>
      </c>
      <c r="D56" s="1100" t="n">
        <v>791.8</v>
      </c>
      <c r="E56" s="1101" t="n">
        <v>2.9</v>
      </c>
      <c r="F56" s="1100" t="n">
        <v>515.1</v>
      </c>
      <c r="G56" s="1101" t="n">
        <v>3</v>
      </c>
      <c r="H56" s="1100" t="n">
        <v>650.2</v>
      </c>
      <c r="I56" s="1101" t="n">
        <v>3.8</v>
      </c>
      <c r="J56" s="1100" t="n">
        <v>94</v>
      </c>
      <c r="K56" s="1101" t="n">
        <v>0.9</v>
      </c>
      <c r="L56" s="1100" t="n">
        <v>141.6</v>
      </c>
      <c r="M56" s="1101" t="n">
        <v>1.4</v>
      </c>
      <c r="N56" s="761" t="inlineStr">
        <is>
          <t>5 week month</t>
        </is>
      </c>
    </row>
    <row r="57">
      <c r="A57" s="776" t="inlineStr">
        <is>
          <t>March 1975</t>
        </is>
      </c>
      <c r="B57" s="1100" t="n">
        <v>641.7</v>
      </c>
      <c r="C57" s="1101" t="n">
        <v>2.3</v>
      </c>
      <c r="D57" s="1100" t="n">
        <v>802.6</v>
      </c>
      <c r="E57" s="1101" t="n">
        <v>2.9</v>
      </c>
      <c r="F57" s="1100" t="n">
        <v>539</v>
      </c>
      <c r="G57" s="1101" t="n">
        <v>3.2</v>
      </c>
      <c r="H57" s="1100" t="n">
        <v>657.7</v>
      </c>
      <c r="I57" s="1101" t="n">
        <v>3.9</v>
      </c>
      <c r="J57" s="1100" t="n">
        <v>102.7</v>
      </c>
      <c r="K57" s="1101" t="n">
        <v>1</v>
      </c>
      <c r="L57" s="1100" t="n">
        <v>144.9</v>
      </c>
      <c r="M57" s="1101" t="n">
        <v>1.4</v>
      </c>
      <c r="N57" s="761" t="inlineStr"/>
    </row>
    <row r="58">
      <c r="A58" s="776" t="inlineStr">
        <is>
          <t>April 1975</t>
        </is>
      </c>
      <c r="B58" s="1100" t="n">
        <v>683.4</v>
      </c>
      <c r="C58" s="1101" t="n">
        <v>2.5</v>
      </c>
      <c r="D58" s="1100" t="n">
        <v>845</v>
      </c>
      <c r="E58" s="1101" t="n">
        <v>3.1</v>
      </c>
      <c r="F58" s="1100" t="n">
        <v>573.5</v>
      </c>
      <c r="G58" s="1101" t="n">
        <v>3.4</v>
      </c>
      <c r="H58" s="1100" t="n">
        <v>690.2</v>
      </c>
      <c r="I58" s="1101" t="n">
        <v>4</v>
      </c>
      <c r="J58" s="1100" t="n">
        <v>109.9</v>
      </c>
      <c r="K58" s="1101" t="n">
        <v>1.1</v>
      </c>
      <c r="L58" s="1100" t="n">
        <v>154.9</v>
      </c>
      <c r="M58" s="1101" t="n">
        <v>1.5</v>
      </c>
      <c r="N58" s="761" t="inlineStr"/>
    </row>
    <row r="59">
      <c r="A59" s="776" t="inlineStr">
        <is>
          <t>May 1975</t>
        </is>
      </c>
      <c r="B59" s="1100" t="n">
        <v>734.4</v>
      </c>
      <c r="C59" s="1101" t="n">
        <v>2.7</v>
      </c>
      <c r="D59" s="1100" t="n">
        <v>850.3</v>
      </c>
      <c r="E59" s="1101" t="n">
        <v>3.1</v>
      </c>
      <c r="F59" s="1100" t="n">
        <v>612.2</v>
      </c>
      <c r="G59" s="1101" t="n">
        <v>3.6</v>
      </c>
      <c r="H59" s="1100" t="n">
        <v>693.9</v>
      </c>
      <c r="I59" s="1101" t="n">
        <v>4.1</v>
      </c>
      <c r="J59" s="1100" t="n">
        <v>122.2</v>
      </c>
      <c r="K59" s="1101" t="n">
        <v>1.2</v>
      </c>
      <c r="L59" s="1100" t="n">
        <v>156.4</v>
      </c>
      <c r="M59" s="1101" t="n">
        <v>1.5</v>
      </c>
      <c r="N59" s="761" t="inlineStr"/>
    </row>
    <row r="60">
      <c r="A60" s="776" t="inlineStr">
        <is>
          <t>June 1975</t>
        </is>
      </c>
      <c r="B60" s="1100" t="n">
        <v>774.2</v>
      </c>
      <c r="C60" s="1101" t="n">
        <v>2.8</v>
      </c>
      <c r="D60" s="1100" t="n">
        <v>866.1</v>
      </c>
      <c r="E60" s="1101" t="n">
        <v>3.2</v>
      </c>
      <c r="F60" s="1100" t="n">
        <v>644.5</v>
      </c>
      <c r="G60" s="1101" t="n">
        <v>3.8</v>
      </c>
      <c r="H60" s="1100" t="n">
        <v>706.6</v>
      </c>
      <c r="I60" s="1101" t="n">
        <v>4.1</v>
      </c>
      <c r="J60" s="1100" t="n">
        <v>129.7</v>
      </c>
      <c r="K60" s="1101" t="n">
        <v>1.3</v>
      </c>
      <c r="L60" s="1100" t="n">
        <v>159.4</v>
      </c>
      <c r="M60" s="1101" t="n">
        <v>1.5</v>
      </c>
      <c r="N60" s="761" t="inlineStr">
        <is>
          <t>5 week month</t>
        </is>
      </c>
    </row>
    <row r="61">
      <c r="A61" s="776" t="inlineStr">
        <is>
          <t>July 1975</t>
        </is>
      </c>
      <c r="B61" s="1100" t="n">
        <v>818.7</v>
      </c>
      <c r="C61" s="1101" t="n">
        <v>3</v>
      </c>
      <c r="D61" s="1100" t="n">
        <v>990.1</v>
      </c>
      <c r="E61" s="1101" t="n">
        <v>3.6</v>
      </c>
      <c r="F61" s="1100" t="n">
        <v>681.3</v>
      </c>
      <c r="G61" s="1101" t="n">
        <v>4</v>
      </c>
      <c r="H61" s="1100" t="n">
        <v>784.5</v>
      </c>
      <c r="I61" s="1101" t="n">
        <v>4.6</v>
      </c>
      <c r="J61" s="1100" t="n">
        <v>137.4</v>
      </c>
      <c r="K61" s="1101" t="n">
        <v>1.3</v>
      </c>
      <c r="L61" s="1100" t="n">
        <v>205.6</v>
      </c>
      <c r="M61" s="1101" t="n">
        <v>2</v>
      </c>
      <c r="N61" s="761" t="inlineStr"/>
    </row>
    <row r="62">
      <c r="A62" s="776" t="inlineStr">
        <is>
          <t>August 1975</t>
        </is>
      </c>
      <c r="B62" s="1100" t="n">
        <v>845.8</v>
      </c>
      <c r="C62" s="1101" t="n">
        <v>3.1</v>
      </c>
      <c r="D62" s="1100" t="n">
        <v>1151</v>
      </c>
      <c r="E62" s="1101" t="n">
        <v>4.2</v>
      </c>
      <c r="F62" s="1100" t="n">
        <v>703.6</v>
      </c>
      <c r="G62" s="1101" t="n">
        <v>4.1</v>
      </c>
      <c r="H62" s="1100" t="n">
        <v>885.2</v>
      </c>
      <c r="I62" s="1101" t="n">
        <v>5.2</v>
      </c>
      <c r="J62" s="1100" t="n">
        <v>142.2</v>
      </c>
      <c r="K62" s="1101" t="n">
        <v>1.4</v>
      </c>
      <c r="L62" s="1100" t="n">
        <v>265.8</v>
      </c>
      <c r="M62" s="1101" t="n">
        <v>2.6</v>
      </c>
      <c r="N62" s="761" t="inlineStr">
        <is>
          <t>5 week month</t>
        </is>
      </c>
    </row>
    <row r="63">
      <c r="A63" s="776" t="inlineStr">
        <is>
          <t>September 1975</t>
        </is>
      </c>
      <c r="B63" s="1100" t="n">
        <v>877</v>
      </c>
      <c r="C63" s="1101" t="n">
        <v>3.2</v>
      </c>
      <c r="D63" s="1100" t="n">
        <v>1145.5</v>
      </c>
      <c r="E63" s="1101" t="n">
        <v>4.2</v>
      </c>
      <c r="F63" s="1100" t="n">
        <v>727.2</v>
      </c>
      <c r="G63" s="1101" t="n">
        <v>4.3</v>
      </c>
      <c r="H63" s="1100" t="n">
        <v>883.3</v>
      </c>
      <c r="I63" s="1101" t="n">
        <v>5.2</v>
      </c>
      <c r="J63" s="1100" t="n">
        <v>149.8</v>
      </c>
      <c r="K63" s="1101" t="n">
        <v>1.5</v>
      </c>
      <c r="L63" s="1100" t="n">
        <v>262.2</v>
      </c>
      <c r="M63" s="1101" t="n">
        <v>2.5</v>
      </c>
      <c r="N63" s="761" t="inlineStr"/>
    </row>
    <row r="64">
      <c r="A64" s="776" t="inlineStr">
        <is>
          <t>October 1975</t>
        </is>
      </c>
      <c r="B64" s="1100" t="n">
        <v>934.4</v>
      </c>
      <c r="C64" s="1101" t="n">
        <v>3.4</v>
      </c>
      <c r="D64" s="1100" t="n">
        <v>1147.3</v>
      </c>
      <c r="E64" s="1101" t="n">
        <v>4.2</v>
      </c>
      <c r="F64" s="1100" t="n">
        <v>767.3</v>
      </c>
      <c r="G64" s="1101" t="n">
        <v>4.5</v>
      </c>
      <c r="H64" s="1100" t="n">
        <v>888.8</v>
      </c>
      <c r="I64" s="1101" t="n">
        <v>5.2</v>
      </c>
      <c r="J64" s="1100" t="n">
        <v>167.1</v>
      </c>
      <c r="K64" s="1101" t="n">
        <v>1.6</v>
      </c>
      <c r="L64" s="1100" t="n">
        <v>258.5</v>
      </c>
      <c r="M64" s="1101" t="n">
        <v>2.5</v>
      </c>
      <c r="N64" s="761" t="inlineStr"/>
    </row>
    <row r="65">
      <c r="A65" s="776" t="inlineStr">
        <is>
          <t>November 1975</t>
        </is>
      </c>
      <c r="B65" s="1100" t="n">
        <v>970.1</v>
      </c>
      <c r="C65" s="1101" t="n">
        <v>3.5</v>
      </c>
      <c r="D65" s="1100" t="n">
        <v>1168.9</v>
      </c>
      <c r="E65" s="1101" t="n">
        <v>4.3</v>
      </c>
      <c r="F65" s="1100" t="n">
        <v>794.7</v>
      </c>
      <c r="G65" s="1101" t="n">
        <v>4.7</v>
      </c>
      <c r="H65" s="1100" t="n">
        <v>909</v>
      </c>
      <c r="I65" s="1101" t="n">
        <v>5.3</v>
      </c>
      <c r="J65" s="1100" t="n">
        <v>175.4</v>
      </c>
      <c r="K65" s="1101" t="n">
        <v>1.7</v>
      </c>
      <c r="L65" s="1100" t="n">
        <v>259.9</v>
      </c>
      <c r="M65" s="1101" t="n">
        <v>2.5</v>
      </c>
      <c r="N65" s="761" t="inlineStr">
        <is>
          <t>5 week month</t>
        </is>
      </c>
    </row>
    <row r="66">
      <c r="A66" s="776" t="inlineStr">
        <is>
          <t>December 1975</t>
        </is>
      </c>
      <c r="B66" s="1100" t="n">
        <v>997.1</v>
      </c>
      <c r="C66" s="1101" t="n">
        <v>3.6</v>
      </c>
      <c r="D66" s="1100" t="n">
        <v>1200.8</v>
      </c>
      <c r="E66" s="1101" t="n">
        <v>4.4</v>
      </c>
      <c r="F66" s="1100" t="n">
        <v>814.4</v>
      </c>
      <c r="G66" s="1101" t="n">
        <v>4.8</v>
      </c>
      <c r="H66" s="1100" t="n">
        <v>940.5</v>
      </c>
      <c r="I66" s="1101" t="n">
        <v>5.5</v>
      </c>
      <c r="J66" s="1100" t="n">
        <v>182.7</v>
      </c>
      <c r="K66" s="1101" t="n">
        <v>1.8</v>
      </c>
      <c r="L66" s="1100" t="n">
        <v>260.3</v>
      </c>
      <c r="M66" s="1101" t="n">
        <v>2.5</v>
      </c>
      <c r="N66" s="761" t="inlineStr"/>
    </row>
    <row r="67">
      <c r="A67" s="776" t="inlineStr">
        <is>
          <t>January 1976</t>
        </is>
      </c>
      <c r="B67" s="1100" t="n">
        <v>1022</v>
      </c>
      <c r="C67" s="1101" t="n">
        <v>3.7</v>
      </c>
      <c r="D67" s="1100" t="n">
        <v>1303.2</v>
      </c>
      <c r="E67" s="1101" t="n">
        <v>4.7</v>
      </c>
      <c r="F67" s="1100" t="n">
        <v>831.4</v>
      </c>
      <c r="G67" s="1101" t="n">
        <v>4.9</v>
      </c>
      <c r="H67" s="1100" t="n">
        <v>1017.4</v>
      </c>
      <c r="I67" s="1101" t="n">
        <v>5.9</v>
      </c>
      <c r="J67" s="1100" t="n">
        <v>190.6</v>
      </c>
      <c r="K67" s="1101" t="n">
        <v>1.8</v>
      </c>
      <c r="L67" s="1100" t="n">
        <v>285.8</v>
      </c>
      <c r="M67" s="1101" t="n">
        <v>2.7</v>
      </c>
      <c r="N67" s="761" t="inlineStr"/>
    </row>
    <row r="68">
      <c r="A68" s="776" t="inlineStr">
        <is>
          <t>February 1976</t>
        </is>
      </c>
      <c r="B68" s="1100" t="n">
        <v>1042.3</v>
      </c>
      <c r="C68" s="1101" t="n">
        <v>3.8</v>
      </c>
      <c r="D68" s="1100" t="n">
        <v>1304.4</v>
      </c>
      <c r="E68" s="1101" t="n">
        <v>4.7</v>
      </c>
      <c r="F68" s="1100" t="n">
        <v>843.3</v>
      </c>
      <c r="G68" s="1101" t="n">
        <v>4.9</v>
      </c>
      <c r="H68" s="1100" t="n">
        <v>1014.6</v>
      </c>
      <c r="I68" s="1101" t="n">
        <v>5.9</v>
      </c>
      <c r="J68" s="1100" t="n">
        <v>199</v>
      </c>
      <c r="K68" s="1101" t="n">
        <v>1.9</v>
      </c>
      <c r="L68" s="1100" t="n">
        <v>289.8</v>
      </c>
      <c r="M68" s="1101" t="n">
        <v>2.8</v>
      </c>
      <c r="N68" s="761" t="inlineStr">
        <is>
          <t>5 week month</t>
        </is>
      </c>
    </row>
    <row r="69">
      <c r="A69" s="776" t="inlineStr">
        <is>
          <t>March 1976</t>
        </is>
      </c>
      <c r="B69" s="1100" t="n">
        <v>1055.6</v>
      </c>
      <c r="C69" s="1101" t="n">
        <v>3.8</v>
      </c>
      <c r="D69" s="1100" t="n">
        <v>1284.9</v>
      </c>
      <c r="E69" s="1101" t="n">
        <v>4.7</v>
      </c>
      <c r="F69" s="1100" t="n">
        <v>849.9</v>
      </c>
      <c r="G69" s="1101" t="n">
        <v>5</v>
      </c>
      <c r="H69" s="1100" t="n">
        <v>997.7</v>
      </c>
      <c r="I69" s="1101" t="n">
        <v>5.8</v>
      </c>
      <c r="J69" s="1100" t="n">
        <v>205.7</v>
      </c>
      <c r="K69" s="1101" t="n">
        <v>2</v>
      </c>
      <c r="L69" s="1100" t="n">
        <v>287.2</v>
      </c>
      <c r="M69" s="1101" t="n">
        <v>2.8</v>
      </c>
      <c r="N69" s="761" t="inlineStr"/>
    </row>
    <row r="70">
      <c r="A70" s="776" t="inlineStr">
        <is>
          <t>April 1976</t>
        </is>
      </c>
      <c r="B70" s="1100" t="n">
        <v>1070.1</v>
      </c>
      <c r="C70" s="1101" t="n">
        <v>3.9</v>
      </c>
      <c r="D70" s="1100" t="n">
        <v>1281.1</v>
      </c>
      <c r="E70" s="1101" t="n">
        <v>4.6</v>
      </c>
      <c r="F70" s="1100" t="n">
        <v>860.3</v>
      </c>
      <c r="G70" s="1101" t="n">
        <v>5</v>
      </c>
      <c r="H70" s="1100" t="n">
        <v>994.2</v>
      </c>
      <c r="I70" s="1101" t="n">
        <v>5.8</v>
      </c>
      <c r="J70" s="1100" t="n">
        <v>209.8</v>
      </c>
      <c r="K70" s="1101" t="n">
        <v>2</v>
      </c>
      <c r="L70" s="1100" t="n">
        <v>287</v>
      </c>
      <c r="M70" s="1101" t="n">
        <v>2.8</v>
      </c>
      <c r="N70" s="761" t="inlineStr"/>
    </row>
    <row r="71">
      <c r="A71" s="776" t="inlineStr">
        <is>
          <t>May 1976</t>
        </is>
      </c>
      <c r="B71" s="1100" t="n">
        <v>1088.2</v>
      </c>
      <c r="C71" s="1101" t="n">
        <v>3.9</v>
      </c>
      <c r="D71" s="1100" t="n">
        <v>1271.8</v>
      </c>
      <c r="E71" s="1101" t="n">
        <v>4.6</v>
      </c>
      <c r="F71" s="1100" t="n">
        <v>872.4</v>
      </c>
      <c r="G71" s="1101" t="n">
        <v>5.1</v>
      </c>
      <c r="H71" s="1100" t="n">
        <v>982.9</v>
      </c>
      <c r="I71" s="1101" t="n">
        <v>5.7</v>
      </c>
      <c r="J71" s="1100" t="n">
        <v>215.8</v>
      </c>
      <c r="K71" s="1101" t="n">
        <v>2.1</v>
      </c>
      <c r="L71" s="1100" t="n">
        <v>288.9</v>
      </c>
      <c r="M71" s="1101" t="n">
        <v>2.8</v>
      </c>
      <c r="N71" s="761" t="inlineStr">
        <is>
          <t>5 week month</t>
        </is>
      </c>
    </row>
    <row r="72">
      <c r="A72" s="776" t="inlineStr">
        <is>
          <t>June 1976</t>
        </is>
      </c>
      <c r="B72" s="1100" t="n">
        <v>1085.5</v>
      </c>
      <c r="C72" s="1101" t="n">
        <v>3.9</v>
      </c>
      <c r="D72" s="1100" t="n">
        <v>1331.8</v>
      </c>
      <c r="E72" s="1101" t="n">
        <v>4.8</v>
      </c>
      <c r="F72" s="1100" t="n">
        <v>868.1</v>
      </c>
      <c r="G72" s="1101" t="n">
        <v>5.1</v>
      </c>
      <c r="H72" s="1100" t="n">
        <v>1009.4</v>
      </c>
      <c r="I72" s="1101" t="n">
        <v>5.9</v>
      </c>
      <c r="J72" s="1100" t="n">
        <v>217.4</v>
      </c>
      <c r="K72" s="1101" t="n">
        <v>2.1</v>
      </c>
      <c r="L72" s="1100" t="n">
        <v>322.4</v>
      </c>
      <c r="M72" s="1101" t="n">
        <v>3.1</v>
      </c>
      <c r="N72" s="761" t="inlineStr"/>
    </row>
    <row r="73">
      <c r="A73" s="776" t="inlineStr">
        <is>
          <t>July 1976</t>
        </is>
      </c>
      <c r="B73" s="1100" t="n">
        <v>1093</v>
      </c>
      <c r="C73" s="1101" t="n">
        <v>4</v>
      </c>
      <c r="D73" s="1100" t="n">
        <v>1463.5</v>
      </c>
      <c r="E73" s="1101" t="n">
        <v>5.3</v>
      </c>
      <c r="F73" s="1100" t="n">
        <v>869.6</v>
      </c>
      <c r="G73" s="1101" t="n">
        <v>5.1</v>
      </c>
      <c r="H73" s="1100" t="n">
        <v>1071.2</v>
      </c>
      <c r="I73" s="1101" t="n">
        <v>6.3</v>
      </c>
      <c r="J73" s="1100" t="n">
        <v>223.4</v>
      </c>
      <c r="K73" s="1101" t="n">
        <v>2.1</v>
      </c>
      <c r="L73" s="1100" t="n">
        <v>392.2</v>
      </c>
      <c r="M73" s="1101" t="n">
        <v>3.8</v>
      </c>
      <c r="N73" s="761" t="inlineStr"/>
    </row>
    <row r="74">
      <c r="A74" s="776" t="inlineStr">
        <is>
          <t>August 1976</t>
        </is>
      </c>
      <c r="B74" s="1100" t="n">
        <v>1107.6</v>
      </c>
      <c r="C74" s="1101" t="n">
        <v>4</v>
      </c>
      <c r="D74" s="1100" t="n">
        <v>1502</v>
      </c>
      <c r="E74" s="1101" t="n">
        <v>5.5</v>
      </c>
      <c r="F74" s="1100" t="n">
        <v>874.2</v>
      </c>
      <c r="G74" s="1101" t="n">
        <v>5.1</v>
      </c>
      <c r="H74" s="1100" t="n">
        <v>1092.2</v>
      </c>
      <c r="I74" s="1101" t="n">
        <v>6.4</v>
      </c>
      <c r="J74" s="1100" t="n">
        <v>233.4</v>
      </c>
      <c r="K74" s="1101" t="n">
        <v>2.2</v>
      </c>
      <c r="L74" s="1100" t="n">
        <v>408.8</v>
      </c>
      <c r="M74" s="1101" t="n">
        <v>3.9</v>
      </c>
      <c r="N74" s="761" t="inlineStr">
        <is>
          <t>5 week month</t>
        </is>
      </c>
    </row>
    <row r="75">
      <c r="A75" s="776" t="inlineStr">
        <is>
          <t>September 1976</t>
        </is>
      </c>
      <c r="B75" s="1100" t="n">
        <v>1107</v>
      </c>
      <c r="C75" s="1101" t="n">
        <v>4</v>
      </c>
      <c r="D75" s="1100" t="n">
        <v>1455.7</v>
      </c>
      <c r="E75" s="1101" t="n">
        <v>5.3</v>
      </c>
      <c r="F75" s="1100" t="n">
        <v>871.5</v>
      </c>
      <c r="G75" s="1101" t="n">
        <v>5.1</v>
      </c>
      <c r="H75" s="1100" t="n">
        <v>1059.8</v>
      </c>
      <c r="I75" s="1101" t="n">
        <v>6.2</v>
      </c>
      <c r="J75" s="1100" t="n">
        <v>235.5</v>
      </c>
      <c r="K75" s="1101" t="n">
        <v>2.3</v>
      </c>
      <c r="L75" s="1100" t="n">
        <v>395.9</v>
      </c>
      <c r="M75" s="1101" t="n">
        <v>3.8</v>
      </c>
      <c r="N75" s="761" t="inlineStr"/>
    </row>
    <row r="76">
      <c r="A76" s="776" t="inlineStr">
        <is>
          <t>October 1976</t>
        </is>
      </c>
      <c r="B76" s="1100" t="n">
        <v>1097.8</v>
      </c>
      <c r="C76" s="1101" t="n">
        <v>4</v>
      </c>
      <c r="D76" s="1100" t="n">
        <v>1377.1</v>
      </c>
      <c r="E76" s="1101" t="n">
        <v>5</v>
      </c>
      <c r="F76" s="1100" t="n">
        <v>862.2</v>
      </c>
      <c r="G76" s="1101" t="n">
        <v>5</v>
      </c>
      <c r="H76" s="1100" t="n">
        <v>1010</v>
      </c>
      <c r="I76" s="1101" t="n">
        <v>5.9</v>
      </c>
      <c r="J76" s="1100" t="n">
        <v>235.6</v>
      </c>
      <c r="K76" s="1101" t="n">
        <v>2.3</v>
      </c>
      <c r="L76" s="1100" t="n">
        <v>367.1</v>
      </c>
      <c r="M76" s="1101" t="n">
        <v>3.5</v>
      </c>
      <c r="N76" s="761" t="inlineStr">
        <is>
          <t>5 week month</t>
        </is>
      </c>
    </row>
    <row r="77">
      <c r="A77" s="776" t="inlineStr">
        <is>
          <t>November 1976</t>
        </is>
      </c>
      <c r="B77" s="1100" t="n">
        <v>1105.1</v>
      </c>
      <c r="C77" s="1101" t="n">
        <v>4</v>
      </c>
      <c r="D77" s="1100" t="n">
        <v>1366.5</v>
      </c>
      <c r="E77" s="1101" t="n">
        <v>5</v>
      </c>
      <c r="F77" s="1100" t="n">
        <v>864.7</v>
      </c>
      <c r="G77" s="1101" t="n">
        <v>5</v>
      </c>
      <c r="H77" s="1100" t="n">
        <v>1011.6</v>
      </c>
      <c r="I77" s="1101" t="n">
        <v>5.9</v>
      </c>
      <c r="J77" s="1100" t="n">
        <v>240.4</v>
      </c>
      <c r="K77" s="1101" t="n">
        <v>2.3</v>
      </c>
      <c r="L77" s="1100" t="n">
        <v>354.9</v>
      </c>
      <c r="M77" s="1101" t="n">
        <v>3.4</v>
      </c>
      <c r="N77" s="761" t="inlineStr"/>
    </row>
    <row r="78">
      <c r="A78" s="776" t="inlineStr">
        <is>
          <t>December 1976</t>
        </is>
      </c>
      <c r="B78" s="1100" t="n">
        <v>1108.8</v>
      </c>
      <c r="C78" s="1101" t="n">
        <v>4</v>
      </c>
      <c r="D78" s="1100" t="n">
        <v>1371</v>
      </c>
      <c r="E78" s="1101" t="n">
        <v>5</v>
      </c>
      <c r="F78" s="1100" t="n">
        <v>865.4</v>
      </c>
      <c r="G78" s="1101" t="n">
        <v>5.1</v>
      </c>
      <c r="H78" s="1100" t="n">
        <v>1019.5</v>
      </c>
      <c r="I78" s="1101" t="n">
        <v>5.9</v>
      </c>
      <c r="J78" s="1100" t="n">
        <v>243.4</v>
      </c>
      <c r="K78" s="1101" t="n">
        <v>2.3</v>
      </c>
      <c r="L78" s="1100" t="n">
        <v>351.5</v>
      </c>
      <c r="M78" s="1101" t="n">
        <v>3.4</v>
      </c>
      <c r="N78" s="761" t="inlineStr"/>
    </row>
    <row r="79">
      <c r="A79" s="776" t="inlineStr">
        <is>
          <t>January 1977</t>
        </is>
      </c>
      <c r="B79" s="1100" t="n">
        <v>1111.1</v>
      </c>
      <c r="C79" s="1101" t="n">
        <v>4</v>
      </c>
      <c r="D79" s="1100" t="n">
        <v>1448.2</v>
      </c>
      <c r="E79" s="1101" t="n">
        <v>5.2</v>
      </c>
      <c r="F79" s="1100" t="n">
        <v>863.6</v>
      </c>
      <c r="G79" s="1101" t="n">
        <v>5.1</v>
      </c>
      <c r="H79" s="1100" t="n">
        <v>1074.1</v>
      </c>
      <c r="I79" s="1101" t="n">
        <v>6.3</v>
      </c>
      <c r="J79" s="1100" t="n">
        <v>247.5</v>
      </c>
      <c r="K79" s="1101" t="n">
        <v>2.3</v>
      </c>
      <c r="L79" s="1100" t="n">
        <v>374.1</v>
      </c>
      <c r="M79" s="1101" t="n">
        <v>3.5</v>
      </c>
      <c r="N79" s="761" t="inlineStr">
        <is>
          <t>5 week month</t>
        </is>
      </c>
    </row>
    <row r="80">
      <c r="A80" s="776" t="inlineStr">
        <is>
          <t>February 1977</t>
        </is>
      </c>
      <c r="B80" s="1100" t="n">
        <v>1107.4</v>
      </c>
      <c r="C80" s="1101" t="n">
        <v>4</v>
      </c>
      <c r="D80" s="1100" t="n">
        <v>1421.8</v>
      </c>
      <c r="E80" s="1101" t="n">
        <v>5.1</v>
      </c>
      <c r="F80" s="1100" t="n">
        <v>859.7</v>
      </c>
      <c r="G80" s="1101" t="n">
        <v>5</v>
      </c>
      <c r="H80" s="1100" t="n">
        <v>1055.5</v>
      </c>
      <c r="I80" s="1101" t="n">
        <v>6.2</v>
      </c>
      <c r="J80" s="1100" t="n">
        <v>247.7</v>
      </c>
      <c r="K80" s="1101" t="n">
        <v>2.3</v>
      </c>
      <c r="L80" s="1100" t="n">
        <v>366.3</v>
      </c>
      <c r="M80" s="1101" t="n">
        <v>3.5</v>
      </c>
      <c r="N80" s="761" t="inlineStr"/>
    </row>
    <row r="81">
      <c r="A81" s="776" t="inlineStr">
        <is>
          <t>March 1977</t>
        </is>
      </c>
      <c r="B81" s="1100" t="n">
        <v>1107.9</v>
      </c>
      <c r="C81" s="1101" t="n">
        <v>4</v>
      </c>
      <c r="D81" s="1100" t="n">
        <v>1383.5</v>
      </c>
      <c r="E81" s="1101" t="n">
        <v>5</v>
      </c>
      <c r="F81" s="1100" t="n">
        <v>858.9</v>
      </c>
      <c r="G81" s="1101" t="n">
        <v>5</v>
      </c>
      <c r="H81" s="1100" t="n">
        <v>1028.5</v>
      </c>
      <c r="I81" s="1101" t="n">
        <v>6</v>
      </c>
      <c r="J81" s="1100" t="n">
        <v>249</v>
      </c>
      <c r="K81" s="1101" t="n">
        <v>2.4</v>
      </c>
      <c r="L81" s="1100" t="n">
        <v>355</v>
      </c>
      <c r="M81" s="1101" t="n">
        <v>3.4</v>
      </c>
      <c r="N81" s="761" t="inlineStr"/>
    </row>
    <row r="82">
      <c r="A82" s="776" t="inlineStr">
        <is>
          <t>April 1977</t>
        </is>
      </c>
      <c r="B82" s="1100" t="n">
        <v>1117.6</v>
      </c>
      <c r="C82" s="1101" t="n">
        <v>4</v>
      </c>
      <c r="D82" s="1100" t="n">
        <v>1392.3</v>
      </c>
      <c r="E82" s="1101" t="n">
        <v>5</v>
      </c>
      <c r="F82" s="1100" t="n">
        <v>865.7</v>
      </c>
      <c r="G82" s="1101" t="n">
        <v>5.1</v>
      </c>
      <c r="H82" s="1100" t="n">
        <v>1032.4</v>
      </c>
      <c r="I82" s="1101" t="n">
        <v>6</v>
      </c>
      <c r="J82" s="1100" t="n">
        <v>251.9</v>
      </c>
      <c r="K82" s="1101" t="n">
        <v>2.4</v>
      </c>
      <c r="L82" s="1100" t="n">
        <v>359.9</v>
      </c>
      <c r="M82" s="1101" t="n">
        <v>3.4</v>
      </c>
      <c r="N82" s="761" t="inlineStr">
        <is>
          <t>5 week month</t>
        </is>
      </c>
    </row>
    <row r="83">
      <c r="A83" s="776" t="inlineStr">
        <is>
          <t>May 1977</t>
        </is>
      </c>
      <c r="B83" s="1100" t="n">
        <v>1119.7</v>
      </c>
      <c r="C83" s="1101" t="n">
        <v>4</v>
      </c>
      <c r="D83" s="1100" t="n">
        <v>1341.7</v>
      </c>
      <c r="E83" s="1101" t="n">
        <v>4.8</v>
      </c>
      <c r="F83" s="1100" t="n">
        <v>866</v>
      </c>
      <c r="G83" s="1101" t="n">
        <v>5.1</v>
      </c>
      <c r="H83" s="1100" t="n">
        <v>994.3</v>
      </c>
      <c r="I83" s="1101" t="n">
        <v>5.8</v>
      </c>
      <c r="J83" s="1100" t="n">
        <v>253.7</v>
      </c>
      <c r="K83" s="1101" t="n">
        <v>2.4</v>
      </c>
      <c r="L83" s="1100" t="n">
        <v>347.4</v>
      </c>
      <c r="M83" s="1101" t="n">
        <v>3.3</v>
      </c>
      <c r="N83" s="761" t="inlineStr"/>
    </row>
    <row r="84">
      <c r="A84" s="776" t="inlineStr">
        <is>
          <t>June 1977</t>
        </is>
      </c>
      <c r="B84" s="1100" t="n">
        <v>1149.3</v>
      </c>
      <c r="C84" s="1101" t="n">
        <v>4.2</v>
      </c>
      <c r="D84" s="1100" t="n">
        <v>1450.1</v>
      </c>
      <c r="E84" s="1101" t="n">
        <v>5.2</v>
      </c>
      <c r="F84" s="1100" t="n">
        <v>886.7</v>
      </c>
      <c r="G84" s="1101" t="n">
        <v>5.2</v>
      </c>
      <c r="H84" s="1100" t="n">
        <v>1050.8</v>
      </c>
      <c r="I84" s="1101" t="n">
        <v>6.2</v>
      </c>
      <c r="J84" s="1100" t="n">
        <v>262.6</v>
      </c>
      <c r="K84" s="1101" t="n">
        <v>2.5</v>
      </c>
      <c r="L84" s="1100" t="n">
        <v>399.3</v>
      </c>
      <c r="M84" s="1101" t="n">
        <v>3.8</v>
      </c>
      <c r="N84" s="761" t="inlineStr"/>
    </row>
    <row r="85">
      <c r="A85" s="776" t="inlineStr">
        <is>
          <t>July 1977</t>
        </is>
      </c>
      <c r="B85" s="1100" t="n">
        <v>1169.8</v>
      </c>
      <c r="C85" s="1101" t="n">
        <v>4.2</v>
      </c>
      <c r="D85" s="1100" t="n">
        <v>1622.4</v>
      </c>
      <c r="E85" s="1101" t="n">
        <v>5.9</v>
      </c>
      <c r="F85" s="1100" t="n">
        <v>896</v>
      </c>
      <c r="G85" s="1101" t="n">
        <v>5.2</v>
      </c>
      <c r="H85" s="1100" t="n">
        <v>1132.7</v>
      </c>
      <c r="I85" s="1101" t="n">
        <v>6.6</v>
      </c>
      <c r="J85" s="1100" t="n">
        <v>273.8</v>
      </c>
      <c r="K85" s="1101" t="n">
        <v>2.6</v>
      </c>
      <c r="L85" s="1100" t="n">
        <v>489.6</v>
      </c>
      <c r="M85" s="1101" t="n">
        <v>4.6</v>
      </c>
      <c r="N85" s="761" t="inlineStr">
        <is>
          <t>5 week month</t>
        </is>
      </c>
    </row>
    <row r="86">
      <c r="A86" s="776" t="inlineStr">
        <is>
          <t>August 1977</t>
        </is>
      </c>
      <c r="B86" s="1100" t="n">
        <v>1172.7</v>
      </c>
      <c r="C86" s="1101" t="n">
        <v>4.2</v>
      </c>
      <c r="D86" s="1100" t="n">
        <v>1635.8</v>
      </c>
      <c r="E86" s="1101" t="n">
        <v>5.9</v>
      </c>
      <c r="F86" s="1100" t="n">
        <v>898.3</v>
      </c>
      <c r="G86" s="1101" t="n">
        <v>5.3</v>
      </c>
      <c r="H86" s="1100" t="n">
        <v>1143.5</v>
      </c>
      <c r="I86" s="1101" t="n">
        <v>6.7</v>
      </c>
      <c r="J86" s="1100" t="n">
        <v>274.4</v>
      </c>
      <c r="K86" s="1101" t="n">
        <v>2.6</v>
      </c>
      <c r="L86" s="1100" t="n">
        <v>492.3</v>
      </c>
      <c r="M86" s="1101" t="n">
        <v>4.7</v>
      </c>
      <c r="N86" s="761" t="inlineStr"/>
    </row>
    <row r="87">
      <c r="A87" s="776" t="inlineStr">
        <is>
          <t>September 1977</t>
        </is>
      </c>
      <c r="B87" s="1100" t="n">
        <v>1193.6</v>
      </c>
      <c r="C87" s="1101" t="n">
        <v>4.3</v>
      </c>
      <c r="D87" s="1100" t="n">
        <v>1609.1</v>
      </c>
      <c r="E87" s="1101" t="n">
        <v>5.8</v>
      </c>
      <c r="F87" s="1100" t="n">
        <v>910.3</v>
      </c>
      <c r="G87" s="1101" t="n">
        <v>5.3</v>
      </c>
      <c r="H87" s="1100" t="n">
        <v>1124.3</v>
      </c>
      <c r="I87" s="1101" t="n">
        <v>6.6</v>
      </c>
      <c r="J87" s="1100" t="n">
        <v>283.3</v>
      </c>
      <c r="K87" s="1101" t="n">
        <v>2.7</v>
      </c>
      <c r="L87" s="1100" t="n">
        <v>484.8</v>
      </c>
      <c r="M87" s="1101" t="n">
        <v>4.6</v>
      </c>
      <c r="N87" s="761" t="inlineStr"/>
    </row>
    <row r="88">
      <c r="A88" s="776" t="inlineStr">
        <is>
          <t>October 1977</t>
        </is>
      </c>
      <c r="B88" s="1100" t="n">
        <v>1188.1</v>
      </c>
      <c r="C88" s="1101" t="n">
        <v>4.3</v>
      </c>
      <c r="D88" s="1100" t="n">
        <v>1518.3</v>
      </c>
      <c r="E88" s="1101" t="n">
        <v>5.5</v>
      </c>
      <c r="F88" s="1100" t="n">
        <v>905.1</v>
      </c>
      <c r="G88" s="1101" t="n">
        <v>5.3</v>
      </c>
      <c r="H88" s="1100" t="n">
        <v>1070.8</v>
      </c>
      <c r="I88" s="1101" t="n">
        <v>6.3</v>
      </c>
      <c r="J88" s="1100" t="n">
        <v>283</v>
      </c>
      <c r="K88" s="1101" t="n">
        <v>2.7</v>
      </c>
      <c r="L88" s="1100" t="n">
        <v>447.6</v>
      </c>
      <c r="M88" s="1101" t="n">
        <v>4.2</v>
      </c>
      <c r="N88" s="761" t="inlineStr">
        <is>
          <t>5 week month</t>
        </is>
      </c>
    </row>
    <row r="89">
      <c r="A89" s="776" t="inlineStr">
        <is>
          <t>November 1977</t>
        </is>
      </c>
      <c r="B89" s="1100" t="n">
        <v>1186.1</v>
      </c>
      <c r="C89" s="1101" t="n">
        <v>4.3</v>
      </c>
      <c r="D89" s="1100" t="n">
        <v>1499.1</v>
      </c>
      <c r="E89" s="1101" t="n">
        <v>5.4</v>
      </c>
      <c r="F89" s="1100" t="n">
        <v>900.4</v>
      </c>
      <c r="G89" s="1101" t="n">
        <v>5.3</v>
      </c>
      <c r="H89" s="1100" t="n">
        <v>1063.2</v>
      </c>
      <c r="I89" s="1101" t="n">
        <v>6.2</v>
      </c>
      <c r="J89" s="1100" t="n">
        <v>285.7</v>
      </c>
      <c r="K89" s="1101" t="n">
        <v>2.7</v>
      </c>
      <c r="L89" s="1100" t="n">
        <v>435.9</v>
      </c>
      <c r="M89" s="1101" t="n">
        <v>4.1</v>
      </c>
      <c r="N89" s="761" t="inlineStr"/>
    </row>
    <row r="90">
      <c r="A90" s="776" t="inlineStr">
        <is>
          <t>December 1977</t>
        </is>
      </c>
      <c r="B90" s="1100" t="n">
        <v>1181.5</v>
      </c>
      <c r="C90" s="1101" t="n">
        <v>4.3</v>
      </c>
      <c r="D90" s="1100" t="n">
        <v>1480.8</v>
      </c>
      <c r="E90" s="1101" t="n">
        <v>5.4</v>
      </c>
      <c r="F90" s="1100" t="n">
        <v>894.9</v>
      </c>
      <c r="G90" s="1101" t="n">
        <v>5.2</v>
      </c>
      <c r="H90" s="1100" t="n">
        <v>1060.7</v>
      </c>
      <c r="I90" s="1101" t="n">
        <v>6.2</v>
      </c>
      <c r="J90" s="1100" t="n">
        <v>286.6</v>
      </c>
      <c r="K90" s="1101" t="n">
        <v>2.7</v>
      </c>
      <c r="L90" s="1100" t="n">
        <v>420.1</v>
      </c>
      <c r="M90" s="1101" t="n">
        <v>4</v>
      </c>
      <c r="N90" s="761" t="inlineStr"/>
    </row>
    <row r="91">
      <c r="A91" s="776" t="inlineStr">
        <is>
          <t>January 1978</t>
        </is>
      </c>
      <c r="B91" s="1100" t="n">
        <v>1167.5</v>
      </c>
      <c r="C91" s="1101" t="n">
        <v>4.2</v>
      </c>
      <c r="D91" s="1100" t="n">
        <v>1548.5</v>
      </c>
      <c r="E91" s="1101" t="n">
        <v>5.6</v>
      </c>
      <c r="F91" s="1100" t="n">
        <v>885.3</v>
      </c>
      <c r="G91" s="1101" t="n">
        <v>5.2</v>
      </c>
      <c r="H91" s="1100" t="n">
        <v>1114.8</v>
      </c>
      <c r="I91" s="1101" t="n">
        <v>6.6</v>
      </c>
      <c r="J91" s="1100" t="n">
        <v>282.2</v>
      </c>
      <c r="K91" s="1101" t="n">
        <v>2.6</v>
      </c>
      <c r="L91" s="1100" t="n">
        <v>433.7</v>
      </c>
      <c r="M91" s="1101" t="n">
        <v>4</v>
      </c>
      <c r="N91" s="761" t="inlineStr">
        <is>
          <t>5 week month</t>
        </is>
      </c>
    </row>
    <row r="92">
      <c r="A92" s="776" t="inlineStr">
        <is>
          <t>February 1978</t>
        </is>
      </c>
      <c r="B92" s="1100" t="n">
        <v>1150.9</v>
      </c>
      <c r="C92" s="1101" t="n">
        <v>4.1</v>
      </c>
      <c r="D92" s="1100" t="n">
        <v>1508.7</v>
      </c>
      <c r="E92" s="1101" t="n">
        <v>5.4</v>
      </c>
      <c r="F92" s="1100" t="n">
        <v>871.1</v>
      </c>
      <c r="G92" s="1101" t="n">
        <v>5.1</v>
      </c>
      <c r="H92" s="1100" t="n">
        <v>1089.6</v>
      </c>
      <c r="I92" s="1101" t="n">
        <v>6.4</v>
      </c>
      <c r="J92" s="1100" t="n">
        <v>279.8</v>
      </c>
      <c r="K92" s="1101" t="n">
        <v>2.6</v>
      </c>
      <c r="L92" s="1100" t="n">
        <v>419.1</v>
      </c>
      <c r="M92" s="1101" t="n">
        <v>3.9</v>
      </c>
      <c r="N92" s="761" t="inlineStr"/>
    </row>
    <row r="93">
      <c r="A93" s="776" t="inlineStr">
        <is>
          <t>March 1978</t>
        </is>
      </c>
      <c r="B93" s="1100" t="n">
        <v>1148.1</v>
      </c>
      <c r="C93" s="1101" t="n">
        <v>4.1</v>
      </c>
      <c r="D93" s="1100" t="n">
        <v>1461</v>
      </c>
      <c r="E93" s="1101" t="n">
        <v>5.3</v>
      </c>
      <c r="F93" s="1100" t="n">
        <v>868</v>
      </c>
      <c r="G93" s="1101" t="n">
        <v>5.1</v>
      </c>
      <c r="H93" s="1100" t="n">
        <v>1058.4</v>
      </c>
      <c r="I93" s="1101" t="n">
        <v>6.2</v>
      </c>
      <c r="J93" s="1100" t="n">
        <v>280.1</v>
      </c>
      <c r="K93" s="1101" t="n">
        <v>2.6</v>
      </c>
      <c r="L93" s="1100" t="n">
        <v>402.6</v>
      </c>
      <c r="M93" s="1101" t="n">
        <v>3.7</v>
      </c>
      <c r="N93" s="761" t="inlineStr"/>
    </row>
    <row r="94">
      <c r="A94" s="776" t="inlineStr">
        <is>
          <t>April 1978</t>
        </is>
      </c>
      <c r="B94" s="1100" t="n">
        <v>1147.3</v>
      </c>
      <c r="C94" s="1101" t="n">
        <v>4.1</v>
      </c>
      <c r="D94" s="1100" t="n">
        <v>1451.8</v>
      </c>
      <c r="E94" s="1101" t="n">
        <v>5.2</v>
      </c>
      <c r="F94" s="1100" t="n">
        <v>862.3</v>
      </c>
      <c r="G94" s="1101" t="n">
        <v>5.1</v>
      </c>
      <c r="H94" s="1100" t="n">
        <v>1045.4</v>
      </c>
      <c r="I94" s="1101" t="n">
        <v>6.2</v>
      </c>
      <c r="J94" s="1100" t="n">
        <v>285</v>
      </c>
      <c r="K94" s="1101" t="n">
        <v>2.6</v>
      </c>
      <c r="L94" s="1100" t="n">
        <v>406.4</v>
      </c>
      <c r="M94" s="1101" t="n">
        <v>3.8</v>
      </c>
      <c r="N94" s="761" t="inlineStr">
        <is>
          <t>5 week month</t>
        </is>
      </c>
    </row>
    <row r="95">
      <c r="A95" s="776" t="inlineStr">
        <is>
          <t>May 1978</t>
        </is>
      </c>
      <c r="B95" s="1100" t="n">
        <v>1140.6</v>
      </c>
      <c r="C95" s="1101" t="n">
        <v>4.1</v>
      </c>
      <c r="D95" s="1100" t="n">
        <v>1386.8</v>
      </c>
      <c r="E95" s="1101" t="n">
        <v>5</v>
      </c>
      <c r="F95" s="1100" t="n">
        <v>856.5</v>
      </c>
      <c r="G95" s="1101" t="n">
        <v>5</v>
      </c>
      <c r="H95" s="1100" t="n">
        <v>1001.1</v>
      </c>
      <c r="I95" s="1101" t="n">
        <v>5.9</v>
      </c>
      <c r="J95" s="1100" t="n">
        <v>284.1</v>
      </c>
      <c r="K95" s="1101" t="n">
        <v>2.6</v>
      </c>
      <c r="L95" s="1100" t="n">
        <v>385.7</v>
      </c>
      <c r="M95" s="1101" t="n">
        <v>3.6</v>
      </c>
      <c r="N95" s="761" t="inlineStr"/>
    </row>
    <row r="96">
      <c r="A96" s="776" t="inlineStr">
        <is>
          <t>June 1978</t>
        </is>
      </c>
      <c r="B96" s="1100" t="n">
        <v>1140.3</v>
      </c>
      <c r="C96" s="1101" t="n">
        <v>4.1</v>
      </c>
      <c r="D96" s="1100" t="n">
        <v>1446.1</v>
      </c>
      <c r="E96" s="1101" t="n">
        <v>5.2</v>
      </c>
      <c r="F96" s="1100" t="n">
        <v>852.5</v>
      </c>
      <c r="G96" s="1101" t="n">
        <v>5</v>
      </c>
      <c r="H96" s="1100" t="n">
        <v>1022.9</v>
      </c>
      <c r="I96" s="1101" t="n">
        <v>6</v>
      </c>
      <c r="J96" s="1100" t="n">
        <v>287.8</v>
      </c>
      <c r="K96" s="1101" t="n">
        <v>2.7</v>
      </c>
      <c r="L96" s="1100" t="n">
        <v>423.1</v>
      </c>
      <c r="M96" s="1101" t="n">
        <v>3.9</v>
      </c>
      <c r="N96" s="761" t="inlineStr"/>
    </row>
    <row r="97">
      <c r="A97" s="776" t="inlineStr">
        <is>
          <t>July 1978</t>
        </is>
      </c>
      <c r="B97" s="1100" t="n">
        <v>1134.6</v>
      </c>
      <c r="C97" s="1101" t="n">
        <v>4.1</v>
      </c>
      <c r="D97" s="1100" t="n">
        <v>1585.8</v>
      </c>
      <c r="E97" s="1101" t="n">
        <v>5.7</v>
      </c>
      <c r="F97" s="1100" t="n">
        <v>846.6</v>
      </c>
      <c r="G97" s="1101" t="n">
        <v>5</v>
      </c>
      <c r="H97" s="1100" t="n">
        <v>1087.3</v>
      </c>
      <c r="I97" s="1101" t="n">
        <v>6.4</v>
      </c>
      <c r="J97" s="1100" t="n">
        <v>288</v>
      </c>
      <c r="K97" s="1101" t="n">
        <v>2.7</v>
      </c>
      <c r="L97" s="1100" t="n">
        <v>498.5</v>
      </c>
      <c r="M97" s="1101" t="n">
        <v>4.6</v>
      </c>
      <c r="N97" s="761" t="inlineStr">
        <is>
          <t>5 week month</t>
        </is>
      </c>
    </row>
    <row r="98">
      <c r="A98" s="776" t="inlineStr">
        <is>
          <t>August 1978</t>
        </is>
      </c>
      <c r="B98" s="1100" t="n">
        <v>1144.6</v>
      </c>
      <c r="C98" s="1101" t="n">
        <v>4.1</v>
      </c>
      <c r="D98" s="1100" t="n">
        <v>1499.6</v>
      </c>
      <c r="E98" s="1101" t="n">
        <v>5.4</v>
      </c>
      <c r="F98" s="1100" t="n">
        <v>849.2</v>
      </c>
      <c r="G98" s="1101" t="n">
        <v>5</v>
      </c>
      <c r="H98" s="1100" t="n">
        <v>1059.6</v>
      </c>
      <c r="I98" s="1101" t="n">
        <v>6.2</v>
      </c>
      <c r="J98" s="1100" t="n">
        <v>295.4</v>
      </c>
      <c r="K98" s="1101" t="n">
        <v>2.7</v>
      </c>
      <c r="L98" s="1100" t="n">
        <v>440</v>
      </c>
      <c r="M98" s="1101" t="n">
        <v>4.1</v>
      </c>
      <c r="N98" s="761" t="inlineStr"/>
    </row>
    <row r="99">
      <c r="A99" s="776" t="inlineStr">
        <is>
          <t>September 1978</t>
        </is>
      </c>
      <c r="B99" s="1100" t="n">
        <v>1130.2</v>
      </c>
      <c r="C99" s="1101" t="n">
        <v>4.1</v>
      </c>
      <c r="D99" s="1100" t="n">
        <v>1418.4</v>
      </c>
      <c r="E99" s="1101" t="n">
        <v>5.1</v>
      </c>
      <c r="F99" s="1100" t="n">
        <v>838.7</v>
      </c>
      <c r="G99" s="1101" t="n">
        <v>4.9</v>
      </c>
      <c r="H99" s="1100" t="n">
        <v>1007.2</v>
      </c>
      <c r="I99" s="1101" t="n">
        <v>5.9</v>
      </c>
      <c r="J99" s="1100" t="n">
        <v>291.5</v>
      </c>
      <c r="K99" s="1101" t="n">
        <v>2.7</v>
      </c>
      <c r="L99" s="1100" t="n">
        <v>411.2</v>
      </c>
      <c r="M99" s="1101" t="n">
        <v>3.8</v>
      </c>
      <c r="N99" s="761" t="inlineStr">
        <is>
          <t>5 week month</t>
        </is>
      </c>
    </row>
    <row r="100">
      <c r="A100" s="776" t="inlineStr">
        <is>
          <t>October 1978</t>
        </is>
      </c>
      <c r="B100" s="1100" t="n">
        <v>1115.4</v>
      </c>
      <c r="C100" s="1101" t="n">
        <v>4</v>
      </c>
      <c r="D100" s="1100" t="n">
        <v>1335.8</v>
      </c>
      <c r="E100" s="1101" t="n">
        <v>4.8</v>
      </c>
      <c r="F100" s="1100" t="n">
        <v>825.6</v>
      </c>
      <c r="G100" s="1101" t="n">
        <v>4.9</v>
      </c>
      <c r="H100" s="1100" t="n">
        <v>958.7</v>
      </c>
      <c r="I100" s="1101" t="n">
        <v>5.6</v>
      </c>
      <c r="J100" s="1100" t="n">
        <v>289.8</v>
      </c>
      <c r="K100" s="1101" t="n">
        <v>2.7</v>
      </c>
      <c r="L100" s="1100" t="n">
        <v>377.1</v>
      </c>
      <c r="M100" s="1101" t="n">
        <v>3.5</v>
      </c>
      <c r="N100" s="761" t="inlineStr"/>
    </row>
    <row r="101">
      <c r="A101" s="776" t="inlineStr">
        <is>
          <t>November 1978</t>
        </is>
      </c>
      <c r="B101" s="1100" t="n">
        <v>1094.7</v>
      </c>
      <c r="C101" s="1101" t="n">
        <v>3.9</v>
      </c>
      <c r="D101" s="1100" t="n">
        <v>1303</v>
      </c>
      <c r="E101" s="1101" t="n">
        <v>4.7</v>
      </c>
      <c r="F101" s="1100" t="n">
        <v>808.8</v>
      </c>
      <c r="G101" s="1101" t="n">
        <v>4.8</v>
      </c>
      <c r="H101" s="1100" t="n">
        <v>941.9</v>
      </c>
      <c r="I101" s="1101" t="n">
        <v>5.5</v>
      </c>
      <c r="J101" s="1100" t="n">
        <v>285.9</v>
      </c>
      <c r="K101" s="1101" t="n">
        <v>2.6</v>
      </c>
      <c r="L101" s="1100" t="n">
        <v>361.1</v>
      </c>
      <c r="M101" s="1101" t="n">
        <v>3.3</v>
      </c>
      <c r="N101" s="761" t="inlineStr"/>
    </row>
    <row r="102">
      <c r="A102" s="776" t="inlineStr">
        <is>
          <t>December 1978</t>
        </is>
      </c>
      <c r="B102" s="1100" t="n">
        <v>1083.8</v>
      </c>
      <c r="C102" s="1101" t="n">
        <v>3.9</v>
      </c>
      <c r="D102" s="1100" t="n">
        <v>1280.2</v>
      </c>
      <c r="E102" s="1101" t="n">
        <v>4.6</v>
      </c>
      <c r="F102" s="1100" t="n">
        <v>799.9</v>
      </c>
      <c r="G102" s="1101" t="n">
        <v>4.7</v>
      </c>
      <c r="H102" s="1100" t="n">
        <v>935.2</v>
      </c>
      <c r="I102" s="1101" t="n">
        <v>5.5</v>
      </c>
      <c r="J102" s="1100" t="n">
        <v>283.9</v>
      </c>
      <c r="K102" s="1101" t="n">
        <v>2.6</v>
      </c>
      <c r="L102" s="1100" t="n">
        <v>345</v>
      </c>
      <c r="M102" s="1101" t="n">
        <v>3.2</v>
      </c>
      <c r="N102" s="761" t="inlineStr">
        <is>
          <t>5 week month</t>
        </is>
      </c>
    </row>
    <row r="103">
      <c r="A103" s="776" t="inlineStr">
        <is>
          <t>January 1979</t>
        </is>
      </c>
      <c r="B103" s="1100" t="n">
        <v>1089.1</v>
      </c>
      <c r="C103" s="1101" t="n">
        <v>3.9</v>
      </c>
      <c r="D103" s="1100" t="n">
        <v>1372.8</v>
      </c>
      <c r="E103" s="1101" t="n">
        <v>4.9</v>
      </c>
      <c r="F103" s="1100" t="n">
        <v>804.2</v>
      </c>
      <c r="G103" s="1101" t="n">
        <v>4.7</v>
      </c>
      <c r="H103" s="1100" t="n">
        <v>1006.8</v>
      </c>
      <c r="I103" s="1101" t="n">
        <v>5.9</v>
      </c>
      <c r="J103" s="1100" t="n">
        <v>284.9</v>
      </c>
      <c r="K103" s="1101" t="n">
        <v>2.6</v>
      </c>
      <c r="L103" s="1100" t="n">
        <v>366</v>
      </c>
      <c r="M103" s="1101" t="n">
        <v>3.3</v>
      </c>
      <c r="N103" s="761" t="inlineStr"/>
    </row>
    <row r="104">
      <c r="A104" s="776" t="inlineStr">
        <is>
          <t>February 1979</t>
        </is>
      </c>
      <c r="B104" s="1100" t="n">
        <v>1109.4</v>
      </c>
      <c r="C104" s="1101" t="n">
        <v>3.9</v>
      </c>
      <c r="D104" s="1100" t="n">
        <v>1369.2</v>
      </c>
      <c r="E104" s="1101" t="n">
        <v>4.9</v>
      </c>
      <c r="F104" s="1100" t="n">
        <v>820.3</v>
      </c>
      <c r="G104" s="1101" t="n">
        <v>4.8</v>
      </c>
      <c r="H104" s="1100" t="n">
        <v>1011.4</v>
      </c>
      <c r="I104" s="1101" t="n">
        <v>6</v>
      </c>
      <c r="J104" s="1100" t="n">
        <v>289.1</v>
      </c>
      <c r="K104" s="1101" t="n">
        <v>2.6</v>
      </c>
      <c r="L104" s="1100" t="n">
        <v>357.7</v>
      </c>
      <c r="M104" s="1101" t="n">
        <v>3.2</v>
      </c>
      <c r="N104" s="761" t="inlineStr"/>
    </row>
    <row r="105">
      <c r="A105" s="776" t="inlineStr">
        <is>
          <t>March 1979</t>
        </is>
      </c>
      <c r="B105" s="1100" t="n">
        <v>1106.7</v>
      </c>
      <c r="C105" s="1101" t="n">
        <v>3.9</v>
      </c>
      <c r="D105" s="1100" t="n">
        <v>1320.3</v>
      </c>
      <c r="E105" s="1101" t="n">
        <v>4.7</v>
      </c>
      <c r="F105" s="1100" t="n">
        <v>816.7</v>
      </c>
      <c r="G105" s="1101" t="n">
        <v>4.8</v>
      </c>
      <c r="H105" s="1100" t="n">
        <v>978</v>
      </c>
      <c r="I105" s="1101" t="n">
        <v>5.8</v>
      </c>
      <c r="J105" s="1100" t="n">
        <v>290</v>
      </c>
      <c r="K105" s="1101" t="n">
        <v>2.6</v>
      </c>
      <c r="L105" s="1100" t="n">
        <v>342.3</v>
      </c>
      <c r="M105" s="1101" t="n">
        <v>3.1</v>
      </c>
      <c r="N105" s="761" t="inlineStr"/>
    </row>
    <row r="106">
      <c r="A106" s="776" t="inlineStr">
        <is>
          <t>April 1979</t>
        </is>
      </c>
      <c r="B106" s="1100" t="n">
        <v>1076.6</v>
      </c>
      <c r="C106" s="1101" t="n">
        <v>3.8</v>
      </c>
      <c r="D106" s="1100" t="n">
        <v>1260.9</v>
      </c>
      <c r="E106" s="1101" t="n">
        <v>4.5</v>
      </c>
      <c r="F106" s="1100" t="n">
        <v>791.4</v>
      </c>
      <c r="G106" s="1101" t="n">
        <v>4.7</v>
      </c>
      <c r="H106" s="1100" t="n">
        <v>932.8</v>
      </c>
      <c r="I106" s="1101" t="n">
        <v>5.5</v>
      </c>
      <c r="J106" s="1100" t="n">
        <v>285.2</v>
      </c>
      <c r="K106" s="1101" t="n">
        <v>2.6</v>
      </c>
      <c r="L106" s="1100" t="n">
        <v>328.1</v>
      </c>
      <c r="M106" s="1101" t="n">
        <v>3</v>
      </c>
      <c r="N106" s="761" t="inlineStr">
        <is>
          <t>5 week month</t>
        </is>
      </c>
    </row>
    <row r="107">
      <c r="A107" s="776" t="inlineStr">
        <is>
          <t>May 1979</t>
        </is>
      </c>
      <c r="B107" s="1100" t="n">
        <v>1076.6</v>
      </c>
      <c r="C107" s="1101" t="n">
        <v>3.8</v>
      </c>
      <c r="D107" s="1100" t="n">
        <v>1218.9</v>
      </c>
      <c r="E107" s="1101" t="n">
        <v>4.3</v>
      </c>
      <c r="F107" s="1100" t="n">
        <v>785.3</v>
      </c>
      <c r="G107" s="1101" t="n">
        <v>4.6</v>
      </c>
      <c r="H107" s="1100" t="n">
        <v>895.1</v>
      </c>
      <c r="I107" s="1101" t="n">
        <v>5.3</v>
      </c>
      <c r="J107" s="1100" t="n">
        <v>291.3</v>
      </c>
      <c r="K107" s="1101" t="n">
        <v>2.6</v>
      </c>
      <c r="L107" s="1100" t="n">
        <v>323.8</v>
      </c>
      <c r="M107" s="1101" t="n">
        <v>2.9</v>
      </c>
      <c r="N107" s="761" t="inlineStr"/>
    </row>
    <row r="108">
      <c r="A108" s="776" t="inlineStr">
        <is>
          <t>June 1979</t>
        </is>
      </c>
      <c r="B108" s="1100" t="n">
        <v>1057.8</v>
      </c>
      <c r="C108" s="1101" t="n">
        <v>3.8</v>
      </c>
      <c r="D108" s="1100" t="n">
        <v>1234.5</v>
      </c>
      <c r="E108" s="1101" t="n">
        <v>4.4</v>
      </c>
      <c r="F108" s="1100" t="n">
        <v>767</v>
      </c>
      <c r="G108" s="1101" t="n">
        <v>4.5</v>
      </c>
      <c r="H108" s="1100" t="n">
        <v>883.3</v>
      </c>
      <c r="I108" s="1101" t="n">
        <v>5.2</v>
      </c>
      <c r="J108" s="1100" t="n">
        <v>290.8</v>
      </c>
      <c r="K108" s="1101" t="n">
        <v>2.6</v>
      </c>
      <c r="L108" s="1100" t="n">
        <v>351.2</v>
      </c>
      <c r="M108" s="1101" t="n">
        <v>3.2</v>
      </c>
      <c r="N108" s="761" t="inlineStr">
        <is>
          <t>5 week month</t>
        </is>
      </c>
    </row>
    <row r="109">
      <c r="A109" s="776" t="inlineStr">
        <is>
          <t>July 1979</t>
        </is>
      </c>
      <c r="B109" s="1100" t="n">
        <v>1053.6</v>
      </c>
      <c r="C109" s="1101" t="n">
        <v>3.7</v>
      </c>
      <c r="D109" s="1100" t="n">
        <v>1347.3</v>
      </c>
      <c r="E109" s="1101" t="n">
        <v>4.8</v>
      </c>
      <c r="F109" s="1100" t="n">
        <v>759.4</v>
      </c>
      <c r="G109" s="1101" t="n">
        <v>4.5</v>
      </c>
      <c r="H109" s="1100" t="n">
        <v>935.8</v>
      </c>
      <c r="I109" s="1101" t="n">
        <v>5.5</v>
      </c>
      <c r="J109" s="1100" t="n">
        <v>294.2</v>
      </c>
      <c r="K109" s="1101" t="n">
        <v>2.6</v>
      </c>
      <c r="L109" s="1100" t="n">
        <v>411.5</v>
      </c>
      <c r="M109" s="1101" t="n">
        <v>3.7</v>
      </c>
      <c r="N109" s="761" t="inlineStr"/>
    </row>
    <row r="110">
      <c r="A110" s="776" t="inlineStr">
        <is>
          <t>August 1979</t>
        </is>
      </c>
      <c r="B110" s="1100" t="n">
        <v>1040.9</v>
      </c>
      <c r="C110" s="1101" t="n">
        <v>3.7</v>
      </c>
      <c r="D110" s="1100" t="n">
        <v>1344.9</v>
      </c>
      <c r="E110" s="1101" t="n">
        <v>4.8</v>
      </c>
      <c r="F110" s="1100" t="n">
        <v>750.3</v>
      </c>
      <c r="G110" s="1101" t="n">
        <v>4.4</v>
      </c>
      <c r="H110" s="1100" t="n">
        <v>933.1</v>
      </c>
      <c r="I110" s="1101" t="n">
        <v>5.5</v>
      </c>
      <c r="J110" s="1100" t="n">
        <v>290.6</v>
      </c>
      <c r="K110" s="1101" t="n">
        <v>2.6</v>
      </c>
      <c r="L110" s="1100" t="n">
        <v>411.8</v>
      </c>
      <c r="M110" s="1101" t="n">
        <v>3.7</v>
      </c>
      <c r="N110" s="761" t="inlineStr"/>
    </row>
    <row r="111">
      <c r="A111" s="776" t="inlineStr">
        <is>
          <t>September 1979</t>
        </is>
      </c>
      <c r="B111" s="1100" t="n">
        <v>1033.5</v>
      </c>
      <c r="C111" s="1101" t="n">
        <v>3.7</v>
      </c>
      <c r="D111" s="1100" t="n">
        <v>1292.3</v>
      </c>
      <c r="E111" s="1101" t="n">
        <v>4.6</v>
      </c>
      <c r="F111" s="1100" t="n">
        <v>745.3</v>
      </c>
      <c r="G111" s="1101" t="n">
        <v>4.4</v>
      </c>
      <c r="H111" s="1100" t="n">
        <v>899</v>
      </c>
      <c r="I111" s="1101" t="n">
        <v>5.3</v>
      </c>
      <c r="J111" s="1100" t="n">
        <v>288.2</v>
      </c>
      <c r="K111" s="1101" t="n">
        <v>2.6</v>
      </c>
      <c r="L111" s="1100" t="n">
        <v>393.3</v>
      </c>
      <c r="M111" s="1101" t="n">
        <v>3.5</v>
      </c>
      <c r="N111" s="761" t="inlineStr">
        <is>
          <t>5 week month</t>
        </is>
      </c>
    </row>
    <row r="112">
      <c r="A112" s="776" t="inlineStr">
        <is>
          <t>October 1979</t>
        </is>
      </c>
      <c r="B112" s="1100" t="n">
        <v>1042.5</v>
      </c>
      <c r="C112" s="1101" t="n">
        <v>3.7</v>
      </c>
      <c r="D112" s="1100" t="n">
        <v>1267.5</v>
      </c>
      <c r="E112" s="1101" t="n">
        <v>4.5</v>
      </c>
      <c r="F112" s="1100" t="n">
        <v>751.1</v>
      </c>
      <c r="G112" s="1101" t="n">
        <v>4.4</v>
      </c>
      <c r="H112" s="1100" t="n">
        <v>890.2</v>
      </c>
      <c r="I112" s="1101" t="n">
        <v>5.2</v>
      </c>
      <c r="J112" s="1100" t="n">
        <v>291.4</v>
      </c>
      <c r="K112" s="1101" t="n">
        <v>2.6</v>
      </c>
      <c r="L112" s="1100" t="n">
        <v>377.3</v>
      </c>
      <c r="M112" s="1101" t="n">
        <v>3.4</v>
      </c>
      <c r="N112" s="761" t="inlineStr"/>
    </row>
    <row r="113">
      <c r="A113" s="776" t="inlineStr">
        <is>
          <t>November 1979</t>
        </is>
      </c>
      <c r="B113" s="1100" t="n">
        <v>1033</v>
      </c>
      <c r="C113" s="1101" t="n">
        <v>3.7</v>
      </c>
      <c r="D113" s="1100" t="n">
        <v>1258.7</v>
      </c>
      <c r="E113" s="1101" t="n">
        <v>4.5</v>
      </c>
      <c r="F113" s="1100" t="n">
        <v>742.9</v>
      </c>
      <c r="G113" s="1101" t="n">
        <v>4.4</v>
      </c>
      <c r="H113" s="1100" t="n">
        <v>890.5</v>
      </c>
      <c r="I113" s="1101" t="n">
        <v>5.2</v>
      </c>
      <c r="J113" s="1100" t="n">
        <v>290.1</v>
      </c>
      <c r="K113" s="1101" t="n">
        <v>2.6</v>
      </c>
      <c r="L113" s="1100" t="n">
        <v>368.2</v>
      </c>
      <c r="M113" s="1101" t="n">
        <v>3.3</v>
      </c>
      <c r="N113" s="761" t="inlineStr"/>
    </row>
    <row r="114">
      <c r="A114" s="776" t="inlineStr">
        <is>
          <t>December 1979</t>
        </is>
      </c>
      <c r="B114" s="1100" t="n">
        <v>1044.1</v>
      </c>
      <c r="C114" s="1101" t="n">
        <v>3.7</v>
      </c>
      <c r="D114" s="1100" t="n">
        <v>1260.9</v>
      </c>
      <c r="E114" s="1101" t="n">
        <v>4.5</v>
      </c>
      <c r="F114" s="1100" t="n">
        <v>748.7</v>
      </c>
      <c r="G114" s="1101" t="n">
        <v>4.4</v>
      </c>
      <c r="H114" s="1100" t="n">
        <v>900.6</v>
      </c>
      <c r="I114" s="1101" t="n">
        <v>5.3</v>
      </c>
      <c r="J114" s="1100" t="n">
        <v>295.4</v>
      </c>
      <c r="K114" s="1101" t="n">
        <v>2.7</v>
      </c>
      <c r="L114" s="1100" t="n">
        <v>360.4</v>
      </c>
      <c r="M114" s="1101" t="n">
        <v>3.2</v>
      </c>
      <c r="N114" s="761" t="inlineStr">
        <is>
          <t>5 week month</t>
        </is>
      </c>
    </row>
    <row r="115">
      <c r="A115" s="776" t="inlineStr">
        <is>
          <t>January 1980</t>
        </is>
      </c>
      <c r="B115" s="1100" t="n">
        <v>1060.8</v>
      </c>
      <c r="C115" s="1101" t="n">
        <v>3.7</v>
      </c>
      <c r="D115" s="1100" t="n">
        <v>1373.7</v>
      </c>
      <c r="E115" s="1101" t="n">
        <v>4.9</v>
      </c>
      <c r="F115" s="1100" t="n">
        <v>757.9</v>
      </c>
      <c r="G115" s="1101" t="n">
        <v>4.4</v>
      </c>
      <c r="H115" s="1100" t="n">
        <v>980.1</v>
      </c>
      <c r="I115" s="1101" t="n">
        <v>5.7</v>
      </c>
      <c r="J115" s="1100" t="n">
        <v>302.9</v>
      </c>
      <c r="K115" s="1101" t="n">
        <v>2.7</v>
      </c>
      <c r="L115" s="1100" t="n">
        <v>393.7</v>
      </c>
      <c r="M115" s="1101" t="n">
        <v>3.5</v>
      </c>
      <c r="N115" s="761" t="inlineStr"/>
    </row>
    <row r="116">
      <c r="A116" s="776" t="inlineStr">
        <is>
          <t>February 1980</t>
        </is>
      </c>
      <c r="B116" s="1100" t="n">
        <v>1096</v>
      </c>
      <c r="C116" s="1101" t="n">
        <v>3.9</v>
      </c>
      <c r="D116" s="1100" t="n">
        <v>1388.6</v>
      </c>
      <c r="E116" s="1101" t="n">
        <v>4.9</v>
      </c>
      <c r="F116" s="1100" t="n">
        <v>782.7</v>
      </c>
      <c r="G116" s="1101" t="n">
        <v>4.6</v>
      </c>
      <c r="H116" s="1100" t="n">
        <v>994.6</v>
      </c>
      <c r="I116" s="1101" t="n">
        <v>5.8</v>
      </c>
      <c r="J116" s="1100" t="n">
        <v>313.3</v>
      </c>
      <c r="K116" s="1101" t="n">
        <v>2.8</v>
      </c>
      <c r="L116" s="1100" t="n">
        <v>394</v>
      </c>
      <c r="M116" s="1101" t="n">
        <v>3.5</v>
      </c>
      <c r="N116" s="761" t="inlineStr">
        <is>
          <t>5 week month</t>
        </is>
      </c>
    </row>
    <row r="117">
      <c r="A117" s="776" t="inlineStr">
        <is>
          <t>March 1980</t>
        </is>
      </c>
      <c r="B117" s="1100" t="n">
        <v>1125.1</v>
      </c>
      <c r="C117" s="1101" t="n">
        <v>4</v>
      </c>
      <c r="D117" s="1100" t="n">
        <v>1375.6</v>
      </c>
      <c r="E117" s="1101" t="n">
        <v>4.9</v>
      </c>
      <c r="F117" s="1100" t="n">
        <v>802.5</v>
      </c>
      <c r="G117" s="1101" t="n">
        <v>4.7</v>
      </c>
      <c r="H117" s="1100" t="n">
        <v>986.5</v>
      </c>
      <c r="I117" s="1101" t="n">
        <v>5.8</v>
      </c>
      <c r="J117" s="1100" t="n">
        <v>322.6</v>
      </c>
      <c r="K117" s="1101" t="n">
        <v>2.9</v>
      </c>
      <c r="L117" s="1100" t="n">
        <v>389.2</v>
      </c>
      <c r="M117" s="1101" t="n">
        <v>3.5</v>
      </c>
      <c r="N117" s="761" t="inlineStr"/>
    </row>
    <row r="118">
      <c r="A118" s="776" t="inlineStr">
        <is>
          <t>April 1980</t>
        </is>
      </c>
      <c r="B118" s="1100" t="n">
        <v>1172.3</v>
      </c>
      <c r="C118" s="1101" t="n">
        <v>4.1</v>
      </c>
      <c r="D118" s="1100" t="n">
        <v>1418.1</v>
      </c>
      <c r="E118" s="1101" t="n">
        <v>5</v>
      </c>
      <c r="F118" s="1100" t="n">
        <v>839</v>
      </c>
      <c r="G118" s="1101" t="n">
        <v>4.9</v>
      </c>
      <c r="H118" s="1100" t="n">
        <v>1017</v>
      </c>
      <c r="I118" s="1101" t="n">
        <v>6</v>
      </c>
      <c r="J118" s="1100" t="n">
        <v>333.3</v>
      </c>
      <c r="K118" s="1101" t="n">
        <v>3</v>
      </c>
      <c r="L118" s="1100" t="n">
        <v>401.1</v>
      </c>
      <c r="M118" s="1101" t="n">
        <v>3.6</v>
      </c>
      <c r="N118" s="761" t="inlineStr"/>
    </row>
    <row r="119">
      <c r="A119" s="776" t="inlineStr">
        <is>
          <t>May 1980</t>
        </is>
      </c>
      <c r="B119" s="1100" t="n">
        <v>1211.1</v>
      </c>
      <c r="C119" s="1101" t="n">
        <v>4.3</v>
      </c>
      <c r="D119" s="1100" t="n">
        <v>1404.4</v>
      </c>
      <c r="E119" s="1101" t="n">
        <v>5</v>
      </c>
      <c r="F119" s="1100" t="n">
        <v>866.7</v>
      </c>
      <c r="G119" s="1101" t="n">
        <v>5.1</v>
      </c>
      <c r="H119" s="1100" t="n">
        <v>1008</v>
      </c>
      <c r="I119" s="1101" t="n">
        <v>5.9</v>
      </c>
      <c r="J119" s="1100" t="n">
        <v>344.4</v>
      </c>
      <c r="K119" s="1101" t="n">
        <v>3.1</v>
      </c>
      <c r="L119" s="1100" t="n">
        <v>396.4</v>
      </c>
      <c r="M119" s="1101" t="n">
        <v>3.5</v>
      </c>
      <c r="N119" s="761" t="inlineStr"/>
    </row>
    <row r="120">
      <c r="A120" s="776" t="inlineStr">
        <is>
          <t>June 1980</t>
        </is>
      </c>
      <c r="B120" s="1100" t="n">
        <v>1261.9</v>
      </c>
      <c r="C120" s="1101" t="n">
        <v>4.5</v>
      </c>
      <c r="D120" s="1100" t="n">
        <v>1513</v>
      </c>
      <c r="E120" s="1101" t="n">
        <v>5.3</v>
      </c>
      <c r="F120" s="1100" t="n">
        <v>906.7</v>
      </c>
      <c r="G120" s="1101" t="n">
        <v>5.3</v>
      </c>
      <c r="H120" s="1100" t="n">
        <v>1071.5</v>
      </c>
      <c r="I120" s="1101" t="n">
        <v>6.3</v>
      </c>
      <c r="J120" s="1100" t="n">
        <v>355.2</v>
      </c>
      <c r="K120" s="1101" t="n">
        <v>3.2</v>
      </c>
      <c r="L120" s="1100" t="n">
        <v>441.4</v>
      </c>
      <c r="M120" s="1101" t="n">
        <v>3.9</v>
      </c>
      <c r="N120" s="761" t="inlineStr">
        <is>
          <t>5 week month</t>
        </is>
      </c>
    </row>
    <row r="121">
      <c r="A121" s="776" t="inlineStr">
        <is>
          <t>July 1980</t>
        </is>
      </c>
      <c r="B121" s="1100" t="n">
        <v>1324.8</v>
      </c>
      <c r="C121" s="1101" t="n">
        <v>4.7</v>
      </c>
      <c r="D121" s="1100" t="n">
        <v>1736.5</v>
      </c>
      <c r="E121" s="1101" t="n">
        <v>6.1</v>
      </c>
      <c r="F121" s="1100" t="n">
        <v>954.9</v>
      </c>
      <c r="G121" s="1101" t="n">
        <v>5.6</v>
      </c>
      <c r="H121" s="1100" t="n">
        <v>1197.9</v>
      </c>
      <c r="I121" s="1101" t="n">
        <v>7</v>
      </c>
      <c r="J121" s="1100" t="n">
        <v>369.9</v>
      </c>
      <c r="K121" s="1101" t="n">
        <v>3.3</v>
      </c>
      <c r="L121" s="1100" t="n">
        <v>538.6</v>
      </c>
      <c r="M121" s="1101" t="n">
        <v>4.8</v>
      </c>
      <c r="N121" s="761" t="inlineStr"/>
    </row>
    <row r="122">
      <c r="A122" s="776" t="inlineStr">
        <is>
          <t>August 1980</t>
        </is>
      </c>
      <c r="B122" s="1100" t="n">
        <v>1421.5</v>
      </c>
      <c r="C122" s="1101" t="n">
        <v>5</v>
      </c>
      <c r="D122" s="1100" t="n">
        <v>1846.1</v>
      </c>
      <c r="E122" s="1101" t="n">
        <v>6.5</v>
      </c>
      <c r="F122" s="1100" t="n">
        <v>1026.1</v>
      </c>
      <c r="G122" s="1101" t="n">
        <v>6</v>
      </c>
      <c r="H122" s="1100" t="n">
        <v>1277.2</v>
      </c>
      <c r="I122" s="1101" t="n">
        <v>7.5</v>
      </c>
      <c r="J122" s="1100" t="n">
        <v>395.4</v>
      </c>
      <c r="K122" s="1101" t="n">
        <v>3.5</v>
      </c>
      <c r="L122" s="1100" t="n">
        <v>568.9</v>
      </c>
      <c r="M122" s="1101" t="n">
        <v>5.1</v>
      </c>
      <c r="N122" s="761" t="inlineStr">
        <is>
          <t>5 week month</t>
        </is>
      </c>
    </row>
    <row r="123">
      <c r="A123" s="776" t="inlineStr">
        <is>
          <t>September 1980</t>
        </is>
      </c>
      <c r="B123" s="1100" t="n">
        <v>1491.6</v>
      </c>
      <c r="C123" s="1101" t="n">
        <v>5.3</v>
      </c>
      <c r="D123" s="1100" t="n">
        <v>1890.6</v>
      </c>
      <c r="E123" s="1101" t="n">
        <v>6.7</v>
      </c>
      <c r="F123" s="1100" t="n">
        <v>1084</v>
      </c>
      <c r="G123" s="1101" t="n">
        <v>6.3</v>
      </c>
      <c r="H123" s="1100" t="n">
        <v>1317.1</v>
      </c>
      <c r="I123" s="1101" t="n">
        <v>7.7</v>
      </c>
      <c r="J123" s="1100" t="n">
        <v>407.6</v>
      </c>
      <c r="K123" s="1101" t="n">
        <v>3.6</v>
      </c>
      <c r="L123" s="1100" t="n">
        <v>573.5</v>
      </c>
      <c r="M123" s="1101" t="n">
        <v>5.1</v>
      </c>
      <c r="N123" s="761" t="inlineStr"/>
    </row>
    <row r="124">
      <c r="A124" s="776" t="inlineStr">
        <is>
          <t>October 1980</t>
        </is>
      </c>
      <c r="B124" s="1100" t="n">
        <v>1579.6</v>
      </c>
      <c r="C124" s="1101" t="n">
        <v>5.6</v>
      </c>
      <c r="D124" s="1100" t="n">
        <v>1916.4</v>
      </c>
      <c r="E124" s="1101" t="n">
        <v>6.8</v>
      </c>
      <c r="F124" s="1100" t="n">
        <v>1150.5</v>
      </c>
      <c r="G124" s="1101" t="n">
        <v>6.7</v>
      </c>
      <c r="H124" s="1100" t="n">
        <v>1352.7</v>
      </c>
      <c r="I124" s="1101" t="n">
        <v>7.9</v>
      </c>
      <c r="J124" s="1100" t="n">
        <v>429.1</v>
      </c>
      <c r="K124" s="1101" t="n">
        <v>3.8</v>
      </c>
      <c r="L124" s="1100" t="n">
        <v>563.7</v>
      </c>
      <c r="M124" s="1101" t="n">
        <v>5</v>
      </c>
      <c r="N124" s="761" t="inlineStr"/>
    </row>
    <row r="125">
      <c r="A125" s="776" t="inlineStr">
        <is>
          <t>November 1980</t>
        </is>
      </c>
      <c r="B125" s="1100" t="n">
        <v>1689.8</v>
      </c>
      <c r="C125" s="1101" t="n">
        <v>6</v>
      </c>
      <c r="D125" s="1100" t="n">
        <v>2016</v>
      </c>
      <c r="E125" s="1101" t="n">
        <v>7.1</v>
      </c>
      <c r="F125" s="1100" t="n">
        <v>1237</v>
      </c>
      <c r="G125" s="1101" t="n">
        <v>7.2</v>
      </c>
      <c r="H125" s="1100" t="n">
        <v>1443</v>
      </c>
      <c r="I125" s="1101" t="n">
        <v>8.5</v>
      </c>
      <c r="J125" s="1100" t="n">
        <v>452.8</v>
      </c>
      <c r="K125" s="1101" t="n">
        <v>4</v>
      </c>
      <c r="L125" s="1100" t="n">
        <v>573</v>
      </c>
      <c r="M125" s="1101" t="n">
        <v>5.1</v>
      </c>
      <c r="N125" s="761" t="inlineStr">
        <is>
          <t>5 week month</t>
        </is>
      </c>
    </row>
    <row r="126">
      <c r="A126" s="776" t="inlineStr">
        <is>
          <t>December 1980</t>
        </is>
      </c>
      <c r="B126" s="1100" t="n">
        <v>1777.4</v>
      </c>
      <c r="C126" s="1101" t="n">
        <v>6.3</v>
      </c>
      <c r="D126" s="1100" t="n">
        <v>2099.9</v>
      </c>
      <c r="E126" s="1101" t="n">
        <v>7.4</v>
      </c>
      <c r="F126" s="1100" t="n">
        <v>1302.9</v>
      </c>
      <c r="G126" s="1101" t="n">
        <v>7.6</v>
      </c>
      <c r="H126" s="1100" t="n">
        <v>1522</v>
      </c>
      <c r="I126" s="1101" t="n">
        <v>8.9</v>
      </c>
      <c r="J126" s="1100" t="n">
        <v>474.5</v>
      </c>
      <c r="K126" s="1101" t="n">
        <v>4.2</v>
      </c>
      <c r="L126" s="1100" t="n">
        <v>577.8</v>
      </c>
      <c r="M126" s="1101" t="n">
        <v>5.1</v>
      </c>
      <c r="N126" s="761" t="inlineStr"/>
    </row>
    <row r="127">
      <c r="A127" s="776" t="inlineStr">
        <is>
          <t>January 1981</t>
        </is>
      </c>
      <c r="B127" s="1100" t="n">
        <v>1842.3</v>
      </c>
      <c r="C127" s="1101" t="n">
        <v>6.5</v>
      </c>
      <c r="D127" s="1100" t="n">
        <v>2271.1</v>
      </c>
      <c r="E127" s="1101" t="n">
        <v>8.1</v>
      </c>
      <c r="F127" s="1100" t="n">
        <v>1352.6</v>
      </c>
      <c r="G127" s="1101" t="n">
        <v>7.9</v>
      </c>
      <c r="H127" s="1100" t="n">
        <v>1649.7</v>
      </c>
      <c r="I127" s="1101" t="n">
        <v>9.699999999999999</v>
      </c>
      <c r="J127" s="1100" t="n">
        <v>489.7</v>
      </c>
      <c r="K127" s="1101" t="n">
        <v>4.4</v>
      </c>
      <c r="L127" s="1100" t="n">
        <v>621.3</v>
      </c>
      <c r="M127" s="1101" t="n">
        <v>5.6</v>
      </c>
      <c r="N127" s="761" t="inlineStr"/>
    </row>
    <row r="128">
      <c r="A128" s="776" t="inlineStr">
        <is>
          <t>February 1981</t>
        </is>
      </c>
      <c r="B128" s="1100" t="n">
        <v>1911.2</v>
      </c>
      <c r="C128" s="1101" t="n">
        <v>6.8</v>
      </c>
      <c r="D128" s="1100" t="n">
        <v>2312.4</v>
      </c>
      <c r="E128" s="1101" t="n">
        <v>8.199999999999999</v>
      </c>
      <c r="F128" s="1100" t="n">
        <v>1405.4</v>
      </c>
      <c r="G128" s="1101" t="n">
        <v>8.199999999999999</v>
      </c>
      <c r="H128" s="1100" t="n">
        <v>1689</v>
      </c>
      <c r="I128" s="1101" t="n">
        <v>9.9</v>
      </c>
      <c r="J128" s="1100" t="n">
        <v>505.8</v>
      </c>
      <c r="K128" s="1101" t="n">
        <v>4.6</v>
      </c>
      <c r="L128" s="1100" t="n">
        <v>623.4</v>
      </c>
      <c r="M128" s="1101" t="n">
        <v>5.6</v>
      </c>
      <c r="N128" s="761" t="inlineStr">
        <is>
          <t>5 week month</t>
        </is>
      </c>
    </row>
    <row r="129">
      <c r="A129" s="776" t="inlineStr">
        <is>
          <t>March 1981</t>
        </is>
      </c>
      <c r="B129" s="1100" t="n">
        <v>1984.3</v>
      </c>
      <c r="C129" s="1101" t="n">
        <v>7</v>
      </c>
      <c r="D129" s="1100" t="n">
        <v>2333.5</v>
      </c>
      <c r="E129" s="1101" t="n">
        <v>8.300000000000001</v>
      </c>
      <c r="F129" s="1100" t="n">
        <v>1462.7</v>
      </c>
      <c r="G129" s="1101" t="n">
        <v>8.6</v>
      </c>
      <c r="H129" s="1100" t="n">
        <v>1714.4</v>
      </c>
      <c r="I129" s="1101" t="n">
        <v>10</v>
      </c>
      <c r="J129" s="1100" t="n">
        <v>521.6</v>
      </c>
      <c r="K129" s="1101" t="n">
        <v>4.7</v>
      </c>
      <c r="L129" s="1100" t="n">
        <v>619.1</v>
      </c>
      <c r="M129" s="1101" t="n">
        <v>5.6</v>
      </c>
      <c r="N129" s="761" t="inlineStr"/>
    </row>
    <row r="130">
      <c r="A130" s="776" t="inlineStr">
        <is>
          <t>April 1981</t>
        </is>
      </c>
      <c r="B130" s="1100" t="n">
        <v>2048.1</v>
      </c>
      <c r="C130" s="1101" t="n">
        <v>7.3</v>
      </c>
      <c r="D130" s="1100" t="n">
        <v>2372.7</v>
      </c>
      <c r="E130" s="1101" t="n">
        <v>8.4</v>
      </c>
      <c r="F130" s="1100" t="n">
        <v>1511.6</v>
      </c>
      <c r="G130" s="1101" t="n">
        <v>8.9</v>
      </c>
      <c r="H130" s="1100" t="n">
        <v>1749</v>
      </c>
      <c r="I130" s="1101" t="n">
        <v>10.2</v>
      </c>
      <c r="J130" s="1100" t="n">
        <v>536.5</v>
      </c>
      <c r="K130" s="1101" t="n">
        <v>4.8</v>
      </c>
      <c r="L130" s="1100" t="n">
        <v>623.7</v>
      </c>
      <c r="M130" s="1101" t="n">
        <v>5.6</v>
      </c>
      <c r="N130" s="761" t="inlineStr"/>
    </row>
    <row r="131">
      <c r="A131" s="776" t="inlineStr">
        <is>
          <t>May 1981</t>
        </is>
      </c>
      <c r="B131" s="1100" t="n">
        <v>2110.7</v>
      </c>
      <c r="C131" s="1101" t="n">
        <v>7.5</v>
      </c>
      <c r="D131" s="1100" t="n">
        <v>2407.4</v>
      </c>
      <c r="E131" s="1101" t="n">
        <v>8.5</v>
      </c>
      <c r="F131" s="1100" t="n">
        <v>1562.9</v>
      </c>
      <c r="G131" s="1101" t="n">
        <v>9.199999999999999</v>
      </c>
      <c r="H131" s="1100" t="n">
        <v>1779.3</v>
      </c>
      <c r="I131" s="1101" t="n">
        <v>10.4</v>
      </c>
      <c r="J131" s="1100" t="n">
        <v>547.8</v>
      </c>
      <c r="K131" s="1101" t="n">
        <v>4.9</v>
      </c>
      <c r="L131" s="1100" t="n">
        <v>628.1</v>
      </c>
      <c r="M131" s="1101" t="n">
        <v>5.7</v>
      </c>
      <c r="N131" s="761" t="inlineStr">
        <is>
          <t>5 week month</t>
        </is>
      </c>
    </row>
    <row r="132">
      <c r="A132" s="776" t="inlineStr">
        <is>
          <t>June 1981</t>
        </is>
      </c>
      <c r="B132" s="1100" t="n">
        <v>2157.1</v>
      </c>
      <c r="C132" s="1101" t="n">
        <v>7.7</v>
      </c>
      <c r="D132" s="1100" t="n">
        <v>2395.2</v>
      </c>
      <c r="E132" s="1101" t="n">
        <v>8.5</v>
      </c>
      <c r="F132" s="1100" t="n">
        <v>1598.2</v>
      </c>
      <c r="G132" s="1101" t="n">
        <v>9.4</v>
      </c>
      <c r="H132" s="1100" t="n">
        <v>1775.2</v>
      </c>
      <c r="I132" s="1101" t="n">
        <v>10.4</v>
      </c>
      <c r="J132" s="1100" t="n">
        <v>558.9</v>
      </c>
      <c r="K132" s="1101" t="n">
        <v>5</v>
      </c>
      <c r="L132" s="1100" t="n">
        <v>620</v>
      </c>
      <c r="M132" s="1101" t="n">
        <v>5.6</v>
      </c>
      <c r="N132" s="761" t="inlineStr"/>
    </row>
    <row r="133">
      <c r="A133" s="776" t="inlineStr">
        <is>
          <t>July 1981</t>
        </is>
      </c>
      <c r="B133" s="1100" t="n">
        <v>2203.6</v>
      </c>
      <c r="C133" s="1101" t="n">
        <v>7.8</v>
      </c>
      <c r="D133" s="1100" t="n">
        <v>2511.8</v>
      </c>
      <c r="E133" s="1101" t="n">
        <v>8.9</v>
      </c>
      <c r="F133" s="1100" t="n">
        <v>1633</v>
      </c>
      <c r="G133" s="1101" t="n">
        <v>9.6</v>
      </c>
      <c r="H133" s="1100" t="n">
        <v>1845.1</v>
      </c>
      <c r="I133" s="1101" t="n">
        <v>10.8</v>
      </c>
      <c r="J133" s="1100" t="n">
        <v>570.6</v>
      </c>
      <c r="K133" s="1101" t="n">
        <v>5.1</v>
      </c>
      <c r="L133" s="1100" t="n">
        <v>666.7</v>
      </c>
      <c r="M133" s="1101" t="n">
        <v>6</v>
      </c>
      <c r="N133" s="761" t="inlineStr"/>
    </row>
    <row r="134">
      <c r="A134" s="776" t="inlineStr">
        <is>
          <t>August 1981</t>
        </is>
      </c>
      <c r="B134" s="1100" t="n">
        <v>2241.5</v>
      </c>
      <c r="C134" s="1101" t="n">
        <v>8</v>
      </c>
      <c r="D134" s="1100" t="n">
        <v>2586.3</v>
      </c>
      <c r="E134" s="1101" t="n">
        <v>9.199999999999999</v>
      </c>
      <c r="F134" s="1100" t="n">
        <v>1660.2</v>
      </c>
      <c r="G134" s="1101" t="n">
        <v>9.699999999999999</v>
      </c>
      <c r="H134" s="1100" t="n">
        <v>1890.2</v>
      </c>
      <c r="I134" s="1101" t="n">
        <v>11.1</v>
      </c>
      <c r="J134" s="1100" t="n">
        <v>581.3</v>
      </c>
      <c r="K134" s="1101" t="n">
        <v>5.2</v>
      </c>
      <c r="L134" s="1100" t="n">
        <v>696.1</v>
      </c>
      <c r="M134" s="1101" t="n">
        <v>6.3</v>
      </c>
      <c r="N134" s="761" t="inlineStr">
        <is>
          <t>5 week month</t>
        </is>
      </c>
    </row>
    <row r="135">
      <c r="A135" s="776" t="inlineStr">
        <is>
          <t>September 1981</t>
        </is>
      </c>
      <c r="B135" s="1100" t="n">
        <v>2282.6</v>
      </c>
      <c r="C135" s="1101" t="n">
        <v>8.1</v>
      </c>
      <c r="D135" s="1100" t="n">
        <v>2748.6</v>
      </c>
      <c r="E135" s="1101" t="n">
        <v>9.800000000000001</v>
      </c>
      <c r="F135" s="1100" t="n">
        <v>1686.3</v>
      </c>
      <c r="G135" s="1101" t="n">
        <v>9.9</v>
      </c>
      <c r="H135" s="1100" t="n">
        <v>1983.4</v>
      </c>
      <c r="I135" s="1101" t="n">
        <v>11.6</v>
      </c>
      <c r="J135" s="1100" t="n">
        <v>596.3</v>
      </c>
      <c r="K135" s="1101" t="n">
        <v>5.4</v>
      </c>
      <c r="L135" s="1100" t="n">
        <v>765.2</v>
      </c>
      <c r="M135" s="1101" t="n">
        <v>6.9</v>
      </c>
      <c r="N135" s="761" t="inlineStr"/>
    </row>
    <row r="136">
      <c r="A136" s="776" t="inlineStr">
        <is>
          <t>October 1981</t>
        </is>
      </c>
      <c r="B136" s="1100" t="n">
        <v>2320</v>
      </c>
      <c r="C136" s="1101" t="n">
        <v>8.199999999999999</v>
      </c>
      <c r="D136" s="1100" t="n">
        <v>2771.6</v>
      </c>
      <c r="E136" s="1101" t="n">
        <v>9.800000000000001</v>
      </c>
      <c r="F136" s="1100" t="n">
        <v>1713</v>
      </c>
      <c r="G136" s="1101" t="n">
        <v>10</v>
      </c>
      <c r="H136" s="1100" t="n">
        <v>2005.4</v>
      </c>
      <c r="I136" s="1101" t="n">
        <v>11.7</v>
      </c>
      <c r="J136" s="1100" t="n">
        <v>607</v>
      </c>
      <c r="K136" s="1101" t="n">
        <v>5.5</v>
      </c>
      <c r="L136" s="1100" t="n">
        <v>766.1</v>
      </c>
      <c r="M136" s="1101" t="n">
        <v>6.9</v>
      </c>
      <c r="N136" s="761" t="inlineStr"/>
    </row>
    <row r="137">
      <c r="A137" s="776" t="inlineStr">
        <is>
          <t>November 1981</t>
        </is>
      </c>
      <c r="B137" s="1100" t="n">
        <v>2354.6</v>
      </c>
      <c r="C137" s="1101" t="n">
        <v>8.4</v>
      </c>
      <c r="D137" s="1100" t="n">
        <v>2769.5</v>
      </c>
      <c r="E137" s="1101" t="n">
        <v>9.800000000000001</v>
      </c>
      <c r="F137" s="1100" t="n">
        <v>1736.6</v>
      </c>
      <c r="G137" s="1101" t="n">
        <v>10.2</v>
      </c>
      <c r="H137" s="1100" t="n">
        <v>2014.2</v>
      </c>
      <c r="I137" s="1101" t="n">
        <v>11.8</v>
      </c>
      <c r="J137" s="1100" t="n">
        <v>618</v>
      </c>
      <c r="K137" s="1101" t="n">
        <v>5.6</v>
      </c>
      <c r="L137" s="1100" t="n">
        <v>755.4</v>
      </c>
      <c r="M137" s="1101" t="n">
        <v>6.8</v>
      </c>
      <c r="N137" s="761" t="inlineStr">
        <is>
          <t>5 week month</t>
        </is>
      </c>
    </row>
    <row r="138">
      <c r="A138" s="776" t="inlineStr">
        <is>
          <t>December 1981</t>
        </is>
      </c>
      <c r="B138" s="1100" t="n">
        <v>2373.3</v>
      </c>
      <c r="C138" s="1101" t="n">
        <v>8.4</v>
      </c>
      <c r="D138" s="1100" t="n">
        <v>2764.1</v>
      </c>
      <c r="E138" s="1101" t="n">
        <v>9.800000000000001</v>
      </c>
      <c r="F138" s="1100" t="n">
        <v>1751.1</v>
      </c>
      <c r="G138" s="1101" t="n">
        <v>10.3</v>
      </c>
      <c r="H138" s="1100" t="n">
        <v>2025.3</v>
      </c>
      <c r="I138" s="1101" t="n">
        <v>11.9</v>
      </c>
      <c r="J138" s="1100" t="n">
        <v>622.2</v>
      </c>
      <c r="K138" s="1101" t="n">
        <v>5.6</v>
      </c>
      <c r="L138" s="1100" t="n">
        <v>738.9</v>
      </c>
      <c r="M138" s="1101" t="n">
        <v>6.7</v>
      </c>
      <c r="N138" s="761" t="inlineStr"/>
    </row>
    <row r="139">
      <c r="A139" s="776" t="inlineStr">
        <is>
          <t>January 1982</t>
        </is>
      </c>
      <c r="B139" s="1100" t="n">
        <v>2402.8</v>
      </c>
      <c r="C139" s="1101" t="n">
        <v>8.6</v>
      </c>
      <c r="D139" s="1100" t="n">
        <v>2896.3</v>
      </c>
      <c r="E139" s="1101" t="n">
        <v>10.3</v>
      </c>
      <c r="F139" s="1100" t="n">
        <v>1775.9</v>
      </c>
      <c r="G139" s="1101" t="n">
        <v>10.5</v>
      </c>
      <c r="H139" s="1100" t="n">
        <v>2122.8</v>
      </c>
      <c r="I139" s="1101" t="n">
        <v>12.5</v>
      </c>
      <c r="J139" s="1100" t="n">
        <v>626.9</v>
      </c>
      <c r="K139" s="1101" t="n">
        <v>5.6</v>
      </c>
      <c r="L139" s="1100" t="n">
        <v>773.5</v>
      </c>
      <c r="M139" s="1101" t="n">
        <v>7</v>
      </c>
      <c r="N139" s="761" t="inlineStr">
        <is>
          <t>5 week month</t>
        </is>
      </c>
    </row>
    <row r="140">
      <c r="A140" s="776" t="inlineStr">
        <is>
          <t>February 1982</t>
        </is>
      </c>
      <c r="B140" s="1100" t="n">
        <v>2415.5</v>
      </c>
      <c r="C140" s="1101" t="n">
        <v>8.6</v>
      </c>
      <c r="D140" s="1100" t="n">
        <v>2870.2</v>
      </c>
      <c r="E140" s="1101" t="n">
        <v>10.2</v>
      </c>
      <c r="F140" s="1100" t="n">
        <v>1782.1</v>
      </c>
      <c r="G140" s="1101" t="n">
        <v>10.5</v>
      </c>
      <c r="H140" s="1100" t="n">
        <v>2106.5</v>
      </c>
      <c r="I140" s="1101" t="n">
        <v>12.4</v>
      </c>
      <c r="J140" s="1100" t="n">
        <v>633.4</v>
      </c>
      <c r="K140" s="1101" t="n">
        <v>5.7</v>
      </c>
      <c r="L140" s="1100" t="n">
        <v>763.7</v>
      </c>
      <c r="M140" s="1101" t="n">
        <v>6.6</v>
      </c>
      <c r="N140" s="761" t="inlineStr"/>
    </row>
    <row r="141">
      <c r="A141" s="776" t="inlineStr">
        <is>
          <t>March 1982</t>
        </is>
      </c>
      <c r="B141" s="1100" t="n">
        <v>2425.5</v>
      </c>
      <c r="C141" s="1101" t="n">
        <v>8.6</v>
      </c>
      <c r="D141" s="1100" t="n">
        <v>2820.8</v>
      </c>
      <c r="E141" s="1101" t="n">
        <v>10</v>
      </c>
      <c r="F141" s="1100" t="n">
        <v>1787.2</v>
      </c>
      <c r="G141" s="1101" t="n">
        <v>10.5</v>
      </c>
      <c r="H141" s="1100" t="n">
        <v>2073.5</v>
      </c>
      <c r="I141" s="1101" t="n">
        <v>12.2</v>
      </c>
      <c r="J141" s="1100" t="n">
        <v>638.3</v>
      </c>
      <c r="K141" s="1101" t="n">
        <v>5.7</v>
      </c>
      <c r="L141" s="1100" t="n">
        <v>747.3</v>
      </c>
      <c r="M141" s="1101" t="n">
        <v>6.7</v>
      </c>
      <c r="N141" s="761" t="inlineStr"/>
    </row>
    <row r="142">
      <c r="A142" s="776" t="inlineStr">
        <is>
          <t>April 1982</t>
        </is>
      </c>
      <c r="B142" s="1100" t="n">
        <v>2454</v>
      </c>
      <c r="C142" s="1101" t="n">
        <v>8.699999999999999</v>
      </c>
      <c r="D142" s="1100" t="n">
        <v>2818.5</v>
      </c>
      <c r="E142" s="1101" t="n">
        <v>10</v>
      </c>
      <c r="F142" s="1100" t="n">
        <v>1806.7</v>
      </c>
      <c r="G142" s="1101" t="n">
        <v>10.7</v>
      </c>
      <c r="H142" s="1100" t="n">
        <v>2075</v>
      </c>
      <c r="I142" s="1101" t="n">
        <v>12.2</v>
      </c>
      <c r="J142" s="1100" t="n">
        <v>647.3</v>
      </c>
      <c r="K142" s="1101" t="n">
        <v>5.8</v>
      </c>
      <c r="L142" s="1100" t="n">
        <v>743.5</v>
      </c>
      <c r="M142" s="1101" t="n">
        <v>6.7</v>
      </c>
      <c r="N142" s="761" t="inlineStr"/>
    </row>
    <row r="143">
      <c r="A143" s="776" t="inlineStr">
        <is>
          <t>May 1982</t>
        </is>
      </c>
      <c r="B143" s="1100" t="n">
        <v>2468.4</v>
      </c>
      <c r="C143" s="1101" t="n">
        <v>8.800000000000001</v>
      </c>
      <c r="D143" s="1100" t="n">
        <v>2800.5</v>
      </c>
      <c r="E143" s="1101" t="n">
        <v>10</v>
      </c>
      <c r="F143" s="1100" t="n">
        <v>1817.9</v>
      </c>
      <c r="G143" s="1101" t="n">
        <v>10.7</v>
      </c>
      <c r="H143" s="1100" t="n">
        <v>2063.4</v>
      </c>
      <c r="I143" s="1101" t="n">
        <v>12.2</v>
      </c>
      <c r="J143" s="1100" t="n">
        <v>650.5</v>
      </c>
      <c r="K143" s="1101" t="n">
        <v>5.9</v>
      </c>
      <c r="L143" s="1100" t="n">
        <v>737</v>
      </c>
      <c r="M143" s="1101" t="n">
        <v>6.6</v>
      </c>
      <c r="N143" s="761" t="inlineStr">
        <is>
          <t>5 week month</t>
        </is>
      </c>
    </row>
    <row r="144">
      <c r="A144" s="776" t="inlineStr">
        <is>
          <t>June 1982</t>
        </is>
      </c>
      <c r="B144" s="1100" t="n">
        <v>2498.9</v>
      </c>
      <c r="C144" s="1101" t="n">
        <v>8.9</v>
      </c>
      <c r="D144" s="1100" t="n">
        <v>2769.6</v>
      </c>
      <c r="E144" s="1101" t="n">
        <v>9.9</v>
      </c>
      <c r="F144" s="1100" t="n">
        <v>1840.1</v>
      </c>
      <c r="G144" s="1101" t="n">
        <v>10.9</v>
      </c>
      <c r="H144" s="1100" t="n">
        <v>2042.9</v>
      </c>
      <c r="I144" s="1101" t="n">
        <v>12</v>
      </c>
      <c r="J144" s="1100" t="n">
        <v>658.8</v>
      </c>
      <c r="K144" s="1101" t="n">
        <v>5.9</v>
      </c>
      <c r="L144" s="1100" t="n">
        <v>726.7</v>
      </c>
      <c r="M144" s="1101" t="n">
        <v>6.5</v>
      </c>
      <c r="N144" s="761" t="inlineStr"/>
    </row>
    <row r="145">
      <c r="A145" s="776" t="inlineStr">
        <is>
          <t>July 1982</t>
        </is>
      </c>
      <c r="B145" s="1100" t="n">
        <v>2528.1</v>
      </c>
      <c r="C145" s="1101" t="n">
        <v>9</v>
      </c>
      <c r="D145" s="1100" t="n">
        <v>2852.5</v>
      </c>
      <c r="E145" s="1101" t="n">
        <v>10.2</v>
      </c>
      <c r="F145" s="1100" t="n">
        <v>1863.1</v>
      </c>
      <c r="G145" s="1101" t="n">
        <v>11</v>
      </c>
      <c r="H145" s="1100" t="n">
        <v>2088.3</v>
      </c>
      <c r="I145" s="1101" t="n">
        <v>12.3</v>
      </c>
      <c r="J145" s="1100" t="n">
        <v>665</v>
      </c>
      <c r="K145" s="1101" t="n">
        <v>6</v>
      </c>
      <c r="L145" s="1100" t="n">
        <v>764.2</v>
      </c>
      <c r="M145" s="1101" t="n">
        <v>6.9</v>
      </c>
      <c r="N145" s="761" t="inlineStr"/>
    </row>
    <row r="146">
      <c r="A146" s="776" t="inlineStr">
        <is>
          <t>August 1982</t>
        </is>
      </c>
      <c r="B146" s="1100" t="n">
        <v>2554.4</v>
      </c>
      <c r="C146" s="1101" t="n">
        <v>9.1</v>
      </c>
      <c r="D146" s="1100" t="n">
        <v>2898.8</v>
      </c>
      <c r="E146" s="1101" t="n">
        <v>10.3</v>
      </c>
      <c r="F146" s="1100" t="n">
        <v>1882</v>
      </c>
      <c r="G146" s="1101" t="n">
        <v>11.1</v>
      </c>
      <c r="H146" s="1100" t="n">
        <v>2113.8</v>
      </c>
      <c r="I146" s="1101" t="n">
        <v>12.5</v>
      </c>
      <c r="J146" s="1100" t="n">
        <v>672.4</v>
      </c>
      <c r="K146" s="1101" t="n">
        <v>6</v>
      </c>
      <c r="L146" s="1100" t="n">
        <v>785</v>
      </c>
      <c r="M146" s="1101" t="n">
        <v>7.1</v>
      </c>
      <c r="N146" s="761" t="inlineStr">
        <is>
          <t>5 week month</t>
        </is>
      </c>
    </row>
    <row r="147">
      <c r="A147" s="776" t="inlineStr">
        <is>
          <t>September 1982</t>
        </is>
      </c>
      <c r="B147" s="1100" t="n">
        <v>2582.7</v>
      </c>
      <c r="C147" s="1101" t="n">
        <v>9.199999999999999</v>
      </c>
      <c r="D147" s="1100" t="n">
        <v>3066.2</v>
      </c>
      <c r="E147" s="1101" t="n">
        <v>10.9</v>
      </c>
      <c r="F147" s="1100" t="n">
        <v>1898.8</v>
      </c>
      <c r="G147" s="1101" t="n">
        <v>11.2</v>
      </c>
      <c r="H147" s="1100" t="n">
        <v>2208.6</v>
      </c>
      <c r="I147" s="1101" t="n">
        <v>13</v>
      </c>
      <c r="J147" s="1100" t="n">
        <v>683.9</v>
      </c>
      <c r="K147" s="1101" t="n">
        <v>6.2</v>
      </c>
      <c r="L147" s="1100" t="n">
        <v>857.6</v>
      </c>
      <c r="M147" s="1101" t="n">
        <v>7.7</v>
      </c>
      <c r="N147" s="761" t="inlineStr"/>
    </row>
    <row r="148">
      <c r="A148" s="776" t="inlineStr">
        <is>
          <t>October 1982</t>
        </is>
      </c>
      <c r="B148" s="1100" t="n">
        <v>2616</v>
      </c>
      <c r="C148" s="1101" t="n">
        <v>9.300000000000001</v>
      </c>
      <c r="D148" s="1100" t="n">
        <v>3049</v>
      </c>
      <c r="E148" s="1101" t="n">
        <v>10.9</v>
      </c>
      <c r="F148" s="1100" t="n">
        <v>1921.5</v>
      </c>
      <c r="G148" s="1101" t="n">
        <v>11.3</v>
      </c>
      <c r="H148" s="1100" t="n">
        <v>2207.4</v>
      </c>
      <c r="I148" s="1101" t="n">
        <v>13</v>
      </c>
      <c r="J148" s="1100" t="n">
        <v>694.5</v>
      </c>
      <c r="K148" s="1101" t="n">
        <v>6.2</v>
      </c>
      <c r="L148" s="1100" t="n">
        <v>841.6</v>
      </c>
      <c r="M148" s="1101" t="n">
        <v>7.6</v>
      </c>
      <c r="N148" s="761" t="inlineStr">
        <is>
          <t>5 week month</t>
        </is>
      </c>
    </row>
    <row r="149">
      <c r="A149" s="776" t="inlineStr">
        <is>
          <t>November 1982</t>
        </is>
      </c>
      <c r="B149" s="1100" t="n">
        <v>2642.6</v>
      </c>
      <c r="C149" s="1101" t="n">
        <v>9.4</v>
      </c>
      <c r="D149" s="1100" t="n">
        <v>3063</v>
      </c>
      <c r="E149" s="1101" t="n">
        <v>10.9</v>
      </c>
      <c r="F149" s="1100" t="n">
        <v>1939.8</v>
      </c>
      <c r="G149" s="1101" t="n">
        <v>11.4</v>
      </c>
      <c r="H149" s="1100" t="n">
        <v>2228.4</v>
      </c>
      <c r="I149" s="1101" t="n">
        <v>13.1</v>
      </c>
      <c r="J149" s="1100" t="n">
        <v>702.8</v>
      </c>
      <c r="K149" s="1101" t="n">
        <v>6.3</v>
      </c>
      <c r="L149" s="1100" t="n">
        <v>834.6</v>
      </c>
      <c r="M149" s="1101" t="n">
        <v>7.5</v>
      </c>
      <c r="N149" s="761" t="inlineStr"/>
    </row>
    <row r="150">
      <c r="A150" s="776" t="inlineStr">
        <is>
          <t>December 1982</t>
        </is>
      </c>
      <c r="B150" s="1100" t="n">
        <v>2673.7</v>
      </c>
      <c r="C150" s="1101" t="n">
        <v>9.5</v>
      </c>
      <c r="D150" s="1100" t="n">
        <v>3097</v>
      </c>
      <c r="E150" s="1101" t="n">
        <v>11</v>
      </c>
      <c r="F150" s="1100" t="n">
        <v>1962.3</v>
      </c>
      <c r="G150" s="1101" t="n">
        <v>11.6</v>
      </c>
      <c r="H150" s="1100" t="n">
        <v>2268</v>
      </c>
      <c r="I150" s="1101" t="n">
        <v>13.4</v>
      </c>
      <c r="J150" s="1100" t="n">
        <v>711.4</v>
      </c>
      <c r="K150" s="1101" t="n">
        <v>6.4</v>
      </c>
      <c r="L150" s="1100" t="n">
        <v>829</v>
      </c>
      <c r="M150" s="1101" t="n">
        <v>7.5</v>
      </c>
      <c r="N150" s="761" t="inlineStr"/>
    </row>
    <row r="151">
      <c r="A151" s="776" t="inlineStr">
        <is>
          <t>January 1983</t>
        </is>
      </c>
      <c r="B151" s="1100" t="n">
        <v>2691</v>
      </c>
      <c r="C151" s="1101" t="n">
        <v>9.6</v>
      </c>
      <c r="D151" s="1100" t="n">
        <v>3225.2</v>
      </c>
      <c r="E151" s="1101" t="n">
        <v>11.5</v>
      </c>
      <c r="F151" s="1100" t="n">
        <v>1970.3</v>
      </c>
      <c r="G151" s="1101" t="n">
        <v>11.7</v>
      </c>
      <c r="H151" s="1100" t="n">
        <v>2354.9</v>
      </c>
      <c r="I151" s="1101" t="n">
        <v>14</v>
      </c>
      <c r="J151" s="1100" t="n">
        <v>720.7</v>
      </c>
      <c r="K151" s="1101" t="n">
        <v>6.4</v>
      </c>
      <c r="L151" s="1100" t="n">
        <v>870.4</v>
      </c>
      <c r="M151" s="1101" t="n">
        <v>7.8</v>
      </c>
      <c r="N151" s="761" t="inlineStr">
        <is>
          <t>5 week month</t>
        </is>
      </c>
    </row>
    <row r="152">
      <c r="A152" s="776" t="inlineStr">
        <is>
          <t>February 1983</t>
        </is>
      </c>
      <c r="B152" s="1100" t="n">
        <v>2699.8</v>
      </c>
      <c r="C152" s="1101" t="n">
        <v>9.6</v>
      </c>
      <c r="D152" s="1100" t="n">
        <v>3199.4</v>
      </c>
      <c r="E152" s="1101" t="n">
        <v>11.4</v>
      </c>
      <c r="F152" s="1100" t="n">
        <v>1970.9</v>
      </c>
      <c r="G152" s="1101" t="n">
        <v>11.7</v>
      </c>
      <c r="H152" s="1100" t="n">
        <v>2336.6</v>
      </c>
      <c r="I152" s="1101" t="n">
        <v>13.9</v>
      </c>
      <c r="J152" s="1100" t="n">
        <v>728.9</v>
      </c>
      <c r="K152" s="1101" t="n">
        <v>6.5</v>
      </c>
      <c r="L152" s="1100" t="n">
        <v>862.8</v>
      </c>
      <c r="M152" s="1101" t="n">
        <v>7.7</v>
      </c>
      <c r="N152" s="761" t="inlineStr"/>
    </row>
    <row r="153">
      <c r="A153" s="776" t="inlineStr">
        <is>
          <t>March 1983</t>
        </is>
      </c>
      <c r="B153" s="1100" t="n">
        <v>2723.4</v>
      </c>
      <c r="C153" s="1101" t="n">
        <v>9.699999999999999</v>
      </c>
      <c r="D153" s="1100" t="n">
        <v>3172.4</v>
      </c>
      <c r="E153" s="1101" t="n">
        <v>11.3</v>
      </c>
      <c r="F153" s="1100" t="n">
        <v>1985.2</v>
      </c>
      <c r="G153" s="1101" t="n">
        <v>11.8</v>
      </c>
      <c r="H153" s="1100" t="n">
        <v>2319.5</v>
      </c>
      <c r="I153" s="1101" t="n">
        <v>13.8</v>
      </c>
      <c r="J153" s="1100" t="n">
        <v>738.2</v>
      </c>
      <c r="K153" s="1101" t="n">
        <v>6.6</v>
      </c>
      <c r="L153" s="1100" t="n">
        <v>852.9</v>
      </c>
      <c r="M153" s="1101" t="n">
        <v>7.6</v>
      </c>
      <c r="N153" s="761" t="inlineStr"/>
    </row>
    <row r="154">
      <c r="A154" s="776" t="inlineStr">
        <is>
          <t>April 1983</t>
        </is>
      </c>
      <c r="B154" s="1100" t="n">
        <v>2739.6</v>
      </c>
      <c r="C154" s="1101" t="n">
        <v>9.800000000000001</v>
      </c>
      <c r="D154" s="1100" t="n">
        <v>3169.9</v>
      </c>
      <c r="E154" s="1101" t="n">
        <v>11.3</v>
      </c>
      <c r="F154" s="1100" t="n">
        <v>1993.8</v>
      </c>
      <c r="G154" s="1101" t="n">
        <v>11.9</v>
      </c>
      <c r="H154" s="1100" t="n">
        <v>2306.4</v>
      </c>
      <c r="I154" s="1101" t="n">
        <v>13.7</v>
      </c>
      <c r="J154" s="1100" t="n">
        <v>745.8</v>
      </c>
      <c r="K154" s="1101" t="n">
        <v>6.7</v>
      </c>
      <c r="L154" s="1100" t="n">
        <v>863.5</v>
      </c>
      <c r="M154" s="1101" t="n">
        <v>7.7</v>
      </c>
      <c r="N154" s="761" t="inlineStr">
        <is>
          <t>5 week month</t>
        </is>
      </c>
    </row>
    <row r="155">
      <c r="A155" s="776" t="inlineStr">
        <is>
          <t>May 1983</t>
        </is>
      </c>
      <c r="B155" s="1100" t="n">
        <v>2756.5</v>
      </c>
      <c r="C155" s="1101" t="n">
        <v>9.800000000000001</v>
      </c>
      <c r="D155" s="1100" t="n">
        <v>3049.4</v>
      </c>
      <c r="E155" s="1101" t="n">
        <v>10.9</v>
      </c>
      <c r="F155" s="1100" t="n">
        <v>2002.7</v>
      </c>
      <c r="G155" s="1101" t="n">
        <v>11.9</v>
      </c>
      <c r="H155" s="1100" t="n">
        <v>2199.4</v>
      </c>
      <c r="I155" s="1101" t="n">
        <v>13.1</v>
      </c>
      <c r="J155" s="1100" t="n">
        <v>753.8</v>
      </c>
      <c r="K155" s="1101" t="n">
        <v>6.7</v>
      </c>
      <c r="L155" s="1100" t="n">
        <v>849.9</v>
      </c>
      <c r="M155" s="1101" t="n">
        <v>7.6</v>
      </c>
      <c r="N155" s="761" t="inlineStr"/>
    </row>
    <row r="156">
      <c r="A156" s="776" t="inlineStr">
        <is>
          <t>June 1983</t>
        </is>
      </c>
      <c r="B156" s="1100" t="n">
        <v>2779.9</v>
      </c>
      <c r="C156" s="1101" t="n">
        <v>9.9</v>
      </c>
      <c r="D156" s="1100" t="n">
        <v>2983.9</v>
      </c>
      <c r="E156" s="1101" t="n">
        <v>10.7</v>
      </c>
      <c r="F156" s="1100" t="n">
        <v>2018.3</v>
      </c>
      <c r="G156" s="1101" t="n">
        <v>12</v>
      </c>
      <c r="H156" s="1100" t="n">
        <v>2144.7</v>
      </c>
      <c r="I156" s="1101" t="n">
        <v>12.8</v>
      </c>
      <c r="J156" s="1100" t="n">
        <v>761.6</v>
      </c>
      <c r="K156" s="1101" t="n">
        <v>6.8</v>
      </c>
      <c r="L156" s="1100" t="n">
        <v>839.2</v>
      </c>
      <c r="M156" s="1101" t="n">
        <v>7.5</v>
      </c>
      <c r="N156" s="761" t="inlineStr"/>
    </row>
    <row r="157">
      <c r="A157" s="776" t="inlineStr">
        <is>
          <t>July 1983</t>
        </is>
      </c>
      <c r="B157" s="1100" t="n">
        <v>2782.6</v>
      </c>
      <c r="C157" s="1101" t="n">
        <v>9.9</v>
      </c>
      <c r="D157" s="1100" t="n">
        <v>3020.6</v>
      </c>
      <c r="E157" s="1101" t="n">
        <v>10.8</v>
      </c>
      <c r="F157" s="1100" t="n">
        <v>2016</v>
      </c>
      <c r="G157" s="1101" t="n">
        <v>12</v>
      </c>
      <c r="H157" s="1100" t="n">
        <v>2144</v>
      </c>
      <c r="I157" s="1101" t="n">
        <v>12.8</v>
      </c>
      <c r="J157" s="1100" t="n">
        <v>766.6</v>
      </c>
      <c r="K157" s="1101" t="n">
        <v>6.8</v>
      </c>
      <c r="L157" s="1100" t="n">
        <v>876.6</v>
      </c>
      <c r="M157" s="1101" t="n">
        <v>7.8</v>
      </c>
      <c r="N157" s="761" t="inlineStr">
        <is>
          <t>5 week month</t>
        </is>
      </c>
    </row>
    <row r="158">
      <c r="A158" s="776" t="inlineStr">
        <is>
          <t>August 1983</t>
        </is>
      </c>
      <c r="B158" s="1100" t="n">
        <v>2774</v>
      </c>
      <c r="C158" s="1101" t="n">
        <v>9.9</v>
      </c>
      <c r="D158" s="1100" t="n">
        <v>3009.9</v>
      </c>
      <c r="E158" s="1101" t="n">
        <v>10.8</v>
      </c>
      <c r="F158" s="1100" t="n">
        <v>2008.9</v>
      </c>
      <c r="G158" s="1101" t="n">
        <v>12</v>
      </c>
      <c r="H158" s="1100" t="n">
        <v>2125</v>
      </c>
      <c r="I158" s="1101" t="n">
        <v>12.6</v>
      </c>
      <c r="J158" s="1100" t="n">
        <v>765.1</v>
      </c>
      <c r="K158" s="1101" t="n">
        <v>6.8</v>
      </c>
      <c r="L158" s="1100" t="n">
        <v>884.9</v>
      </c>
      <c r="M158" s="1101" t="n">
        <v>7.9</v>
      </c>
      <c r="N158" s="761" t="inlineStr"/>
    </row>
    <row r="159">
      <c r="A159" s="776" t="inlineStr">
        <is>
          <t>September 1983</t>
        </is>
      </c>
      <c r="B159" s="1100" t="n">
        <v>2787.8</v>
      </c>
      <c r="C159" s="1101" t="n">
        <v>10</v>
      </c>
      <c r="D159" s="1100" t="n">
        <v>3167.4</v>
      </c>
      <c r="E159" s="1101" t="n">
        <v>11.3</v>
      </c>
      <c r="F159" s="1100" t="n">
        <v>2010.6</v>
      </c>
      <c r="G159" s="1101" t="n">
        <v>12</v>
      </c>
      <c r="H159" s="1100" t="n">
        <v>2204.6</v>
      </c>
      <c r="I159" s="1101" t="n">
        <v>13.1</v>
      </c>
      <c r="J159" s="1100" t="n">
        <v>777.2</v>
      </c>
      <c r="K159" s="1101" t="n">
        <v>6.9</v>
      </c>
      <c r="L159" s="1100" t="n">
        <v>962.8</v>
      </c>
      <c r="M159" s="1101" t="n">
        <v>8.6</v>
      </c>
      <c r="N159" s="761" t="inlineStr"/>
    </row>
    <row r="160">
      <c r="A160" s="776" t="inlineStr">
        <is>
          <t>October 1983</t>
        </is>
      </c>
      <c r="B160" s="1100" t="n">
        <v>2792.5</v>
      </c>
      <c r="C160" s="1101" t="n">
        <v>10</v>
      </c>
      <c r="D160" s="1100" t="n">
        <v>3094</v>
      </c>
      <c r="E160" s="1101" t="n">
        <v>11.1</v>
      </c>
      <c r="F160" s="1100" t="n">
        <v>2008.4</v>
      </c>
      <c r="G160" s="1101" t="n">
        <v>12</v>
      </c>
      <c r="H160" s="1100" t="n">
        <v>2162.4</v>
      </c>
      <c r="I160" s="1101" t="n">
        <v>12.9</v>
      </c>
      <c r="J160" s="1100" t="n">
        <v>784.1</v>
      </c>
      <c r="K160" s="1101" t="n">
        <v>7</v>
      </c>
      <c r="L160" s="1100" t="n">
        <v>931.6</v>
      </c>
      <c r="M160" s="1101" t="n">
        <v>8.300000000000001</v>
      </c>
      <c r="N160" s="761" t="inlineStr">
        <is>
          <t>5 week month</t>
        </is>
      </c>
    </row>
    <row r="161">
      <c r="A161" s="776" t="inlineStr">
        <is>
          <t>November 1983</t>
        </is>
      </c>
      <c r="B161" s="1100" t="n">
        <v>2801.5</v>
      </c>
      <c r="C161" s="1101" t="n">
        <v>10</v>
      </c>
      <c r="D161" s="1100" t="n">
        <v>3084.4</v>
      </c>
      <c r="E161" s="1101" t="n">
        <v>11</v>
      </c>
      <c r="F161" s="1100" t="n">
        <v>2007.9</v>
      </c>
      <c r="G161" s="1101" t="n">
        <v>12</v>
      </c>
      <c r="H161" s="1100" t="n">
        <v>2159</v>
      </c>
      <c r="I161" s="1101" t="n">
        <v>12.9</v>
      </c>
      <c r="J161" s="1100" t="n">
        <v>793.6</v>
      </c>
      <c r="K161" s="1101" t="n">
        <v>7.1</v>
      </c>
      <c r="L161" s="1100" t="n">
        <v>925.4</v>
      </c>
      <c r="M161" s="1101" t="n">
        <v>8.300000000000001</v>
      </c>
      <c r="N161" s="761" t="inlineStr"/>
    </row>
    <row r="162">
      <c r="A162" s="776" t="inlineStr">
        <is>
          <t>December 1983</t>
        </is>
      </c>
      <c r="B162" s="1100" t="n">
        <v>2813.7</v>
      </c>
      <c r="C162" s="1101" t="n">
        <v>10.1</v>
      </c>
      <c r="D162" s="1100" t="n">
        <v>3079.4</v>
      </c>
      <c r="E162" s="1101" t="n">
        <v>11</v>
      </c>
      <c r="F162" s="1100" t="n">
        <v>2012.8</v>
      </c>
      <c r="G162" s="1101" t="n">
        <v>12</v>
      </c>
      <c r="H162" s="1100" t="n">
        <v>2166.9</v>
      </c>
      <c r="I162" s="1101" t="n">
        <v>12.9</v>
      </c>
      <c r="J162" s="1100" t="n">
        <v>800.9</v>
      </c>
      <c r="K162" s="1101" t="n">
        <v>7.2</v>
      </c>
      <c r="L162" s="1100" t="n">
        <v>912.4</v>
      </c>
      <c r="M162" s="1101" t="n">
        <v>8.1</v>
      </c>
      <c r="N162" s="761" t="inlineStr"/>
    </row>
    <row r="163">
      <c r="A163" s="776" t="inlineStr">
        <is>
          <t>January 1984</t>
        </is>
      </c>
      <c r="B163" s="1100" t="n">
        <v>2823.7</v>
      </c>
      <c r="C163" s="1101" t="n">
        <v>9.800000000000001</v>
      </c>
      <c r="D163" s="1100" t="n">
        <v>3199.7</v>
      </c>
      <c r="E163" s="1101" t="n">
        <v>11.1</v>
      </c>
      <c r="F163" s="1100" t="n">
        <v>2014.3</v>
      </c>
      <c r="G163" s="1101" t="n">
        <v>11.8</v>
      </c>
      <c r="H163" s="1100" t="n">
        <v>2245.4</v>
      </c>
      <c r="I163" s="1101" t="n">
        <v>13.2</v>
      </c>
      <c r="J163" s="1100" t="n">
        <v>809.4</v>
      </c>
      <c r="K163" s="1101" t="n">
        <v>6.9</v>
      </c>
      <c r="L163" s="1100" t="n">
        <v>954.3</v>
      </c>
      <c r="M163" s="1101" t="n">
        <v>8.199999999999999</v>
      </c>
      <c r="N163" s="761" t="inlineStr">
        <is>
          <t>5 week month</t>
        </is>
      </c>
    </row>
    <row r="164">
      <c r="A164" s="776" t="inlineStr">
        <is>
          <t>February 1984</t>
        </is>
      </c>
      <c r="B164" s="1100" t="n">
        <v>2846.7</v>
      </c>
      <c r="C164" s="1101" t="n">
        <v>9.9</v>
      </c>
      <c r="D164" s="1100" t="n">
        <v>3186.4</v>
      </c>
      <c r="E164" s="1101" t="n">
        <v>11.1</v>
      </c>
      <c r="F164" s="1100" t="n">
        <v>2027.2</v>
      </c>
      <c r="G164" s="1101" t="n">
        <v>11.9</v>
      </c>
      <c r="H164" s="1100" t="n">
        <v>2236.9</v>
      </c>
      <c r="I164" s="1101" t="n">
        <v>13.1</v>
      </c>
      <c r="J164" s="1100" t="n">
        <v>819.5</v>
      </c>
      <c r="K164" s="1101" t="n">
        <v>7</v>
      </c>
      <c r="L164" s="1100" t="n">
        <v>949.5</v>
      </c>
      <c r="M164" s="1101" t="n">
        <v>8.1</v>
      </c>
      <c r="N164" s="761" t="inlineStr"/>
    </row>
    <row r="165">
      <c r="A165" s="776" t="inlineStr">
        <is>
          <t>March 1984</t>
        </is>
      </c>
      <c r="B165" s="1100" t="n">
        <v>2857.7</v>
      </c>
      <c r="C165" s="1101" t="n">
        <v>10</v>
      </c>
      <c r="D165" s="1100" t="n">
        <v>3142.8</v>
      </c>
      <c r="E165" s="1101" t="n">
        <v>10.9</v>
      </c>
      <c r="F165" s="1100" t="n">
        <v>2031.5</v>
      </c>
      <c r="G165" s="1101" t="n">
        <v>11.9</v>
      </c>
      <c r="H165" s="1100" t="n">
        <v>2205.1</v>
      </c>
      <c r="I165" s="1101" t="n">
        <v>12.9</v>
      </c>
      <c r="J165" s="1100" t="n">
        <v>826.2</v>
      </c>
      <c r="K165" s="1101" t="n">
        <v>7.1</v>
      </c>
      <c r="L165" s="1100" t="n">
        <v>937.7</v>
      </c>
      <c r="M165" s="1101" t="n">
        <v>8</v>
      </c>
      <c r="N165" s="761" t="inlineStr"/>
    </row>
    <row r="166">
      <c r="A166" s="776" t="inlineStr">
        <is>
          <t>April 1984</t>
        </is>
      </c>
      <c r="B166" s="1100" t="n">
        <v>2847.5</v>
      </c>
      <c r="C166" s="1101" t="n">
        <v>9.9</v>
      </c>
      <c r="D166" s="1100" t="n">
        <v>3107.7</v>
      </c>
      <c r="E166" s="1101" t="n">
        <v>10.8</v>
      </c>
      <c r="F166" s="1100" t="n">
        <v>2022.1</v>
      </c>
      <c r="G166" s="1101" t="n">
        <v>11.9</v>
      </c>
      <c r="H166" s="1100" t="n">
        <v>2180.1</v>
      </c>
      <c r="I166" s="1101" t="n">
        <v>12.8</v>
      </c>
      <c r="J166" s="1100" t="n">
        <v>825.4</v>
      </c>
      <c r="K166" s="1101" t="n">
        <v>7.1</v>
      </c>
      <c r="L166" s="1100" t="n">
        <v>927.6</v>
      </c>
      <c r="M166" s="1101" t="n">
        <v>8</v>
      </c>
      <c r="N166" s="761" t="inlineStr">
        <is>
          <t>5 week month</t>
        </is>
      </c>
    </row>
    <row r="167">
      <c r="A167" s="776" t="inlineStr">
        <is>
          <t>May 1984</t>
        </is>
      </c>
      <c r="B167" s="1100" t="n">
        <v>2863.9</v>
      </c>
      <c r="C167" s="1101" t="n">
        <v>10</v>
      </c>
      <c r="D167" s="1100" t="n">
        <v>3084.4</v>
      </c>
      <c r="E167" s="1101" t="n">
        <v>10.7</v>
      </c>
      <c r="F167" s="1100" t="n">
        <v>2031.1</v>
      </c>
      <c r="G167" s="1101" t="n">
        <v>11.9</v>
      </c>
      <c r="H167" s="1100" t="n">
        <v>2161.1</v>
      </c>
      <c r="I167" s="1101" t="n">
        <v>12.7</v>
      </c>
      <c r="J167" s="1100" t="n">
        <v>832.8</v>
      </c>
      <c r="K167" s="1101" t="n">
        <v>7.1</v>
      </c>
      <c r="L167" s="1100" t="n">
        <v>923.3</v>
      </c>
      <c r="M167" s="1101" t="n">
        <v>7.9</v>
      </c>
      <c r="N167" s="761" t="inlineStr"/>
    </row>
    <row r="168">
      <c r="A168" s="776" t="inlineStr">
        <is>
          <t>June 1984</t>
        </is>
      </c>
      <c r="B168" s="1100" t="n">
        <v>2868.5</v>
      </c>
      <c r="C168" s="1101" t="n">
        <v>10</v>
      </c>
      <c r="D168" s="1100" t="n">
        <v>3029.7</v>
      </c>
      <c r="E168" s="1101" t="n">
        <v>10.6</v>
      </c>
      <c r="F168" s="1100" t="n">
        <v>2030.4</v>
      </c>
      <c r="G168" s="1101" t="n">
        <v>11.9</v>
      </c>
      <c r="H168" s="1100" t="n">
        <v>2119.6</v>
      </c>
      <c r="I168" s="1101" t="n">
        <v>12.4</v>
      </c>
      <c r="J168" s="1100" t="n">
        <v>838.1</v>
      </c>
      <c r="K168" s="1101" t="n">
        <v>7.2</v>
      </c>
      <c r="L168" s="1100" t="n">
        <v>910.1</v>
      </c>
      <c r="M168" s="1101" t="n">
        <v>7.8</v>
      </c>
      <c r="N168" s="761" t="inlineStr">
        <is>
          <t>5 week month</t>
        </is>
      </c>
    </row>
    <row r="169">
      <c r="A169" s="776" t="inlineStr">
        <is>
          <t>July 1984</t>
        </is>
      </c>
      <c r="B169" s="1100" t="n">
        <v>2884.9</v>
      </c>
      <c r="C169" s="1101" t="n">
        <v>10.1</v>
      </c>
      <c r="D169" s="1100" t="n">
        <v>3100.5</v>
      </c>
      <c r="E169" s="1101" t="n">
        <v>10.8</v>
      </c>
      <c r="F169" s="1100" t="n">
        <v>2040</v>
      </c>
      <c r="G169" s="1101" t="n">
        <v>12</v>
      </c>
      <c r="H169" s="1100" t="n">
        <v>2150.1</v>
      </c>
      <c r="I169" s="1101" t="n">
        <v>12.6</v>
      </c>
      <c r="J169" s="1100" t="n">
        <v>844.9</v>
      </c>
      <c r="K169" s="1101" t="n">
        <v>7.2</v>
      </c>
      <c r="L169" s="1100" t="n">
        <v>950.4</v>
      </c>
      <c r="M169" s="1101" t="n">
        <v>8.1</v>
      </c>
      <c r="N169" s="761" t="inlineStr"/>
    </row>
    <row r="170">
      <c r="A170" s="776" t="inlineStr">
        <is>
          <t>August 1984</t>
        </is>
      </c>
      <c r="B170" s="1100" t="n">
        <v>2893.7</v>
      </c>
      <c r="C170" s="1101" t="n">
        <v>10.1</v>
      </c>
      <c r="D170" s="1100" t="n">
        <v>3115.9</v>
      </c>
      <c r="E170" s="1101" t="n">
        <v>10.9</v>
      </c>
      <c r="F170" s="1100" t="n">
        <v>2045.5</v>
      </c>
      <c r="G170" s="1101" t="n">
        <v>12</v>
      </c>
      <c r="H170" s="1100" t="n">
        <v>2151.1</v>
      </c>
      <c r="I170" s="1101" t="n">
        <v>12.6</v>
      </c>
      <c r="J170" s="1100" t="n">
        <v>848.2</v>
      </c>
      <c r="K170" s="1101" t="n">
        <v>7.3</v>
      </c>
      <c r="L170" s="1100" t="n">
        <v>964.8</v>
      </c>
      <c r="M170" s="1101" t="n">
        <v>8.300000000000001</v>
      </c>
      <c r="N170" s="761" t="inlineStr"/>
    </row>
    <row r="171">
      <c r="A171" s="776" t="inlineStr">
        <is>
          <t>September 1984</t>
        </is>
      </c>
      <c r="B171" s="1100" t="n">
        <v>2925</v>
      </c>
      <c r="C171" s="1101" t="n">
        <v>10.2</v>
      </c>
      <c r="D171" s="1100" t="n">
        <v>3283.6</v>
      </c>
      <c r="E171" s="1101" t="n">
        <v>11.4</v>
      </c>
      <c r="F171" s="1100" t="n">
        <v>2063.6</v>
      </c>
      <c r="G171" s="1101" t="n">
        <v>12.1</v>
      </c>
      <c r="H171" s="1100" t="n">
        <v>2245.6</v>
      </c>
      <c r="I171" s="1101" t="n">
        <v>13.2</v>
      </c>
      <c r="J171" s="1100" t="n">
        <v>861.4</v>
      </c>
      <c r="K171" s="1101" t="n">
        <v>7.4</v>
      </c>
      <c r="L171" s="1100" t="n">
        <v>1038</v>
      </c>
      <c r="M171" s="1101" t="n">
        <v>8.9</v>
      </c>
      <c r="N171" s="761" t="inlineStr">
        <is>
          <t>5 week month</t>
        </is>
      </c>
    </row>
    <row r="172">
      <c r="A172" s="776" t="inlineStr">
        <is>
          <t>October 1984</t>
        </is>
      </c>
      <c r="B172" s="1100" t="n">
        <v>2936.6</v>
      </c>
      <c r="C172" s="1101" t="n">
        <v>10.2</v>
      </c>
      <c r="D172" s="1100" t="n">
        <v>3225.1</v>
      </c>
      <c r="E172" s="1101" t="n">
        <v>11.2</v>
      </c>
      <c r="F172" s="1100" t="n">
        <v>2070.8</v>
      </c>
      <c r="G172" s="1101" t="n">
        <v>12.2</v>
      </c>
      <c r="H172" s="1100" t="n">
        <v>2218</v>
      </c>
      <c r="I172" s="1101" t="n">
        <v>13</v>
      </c>
      <c r="J172" s="1100" t="n">
        <v>865.8</v>
      </c>
      <c r="K172" s="1101" t="n">
        <v>7.4</v>
      </c>
      <c r="L172" s="1100" t="n">
        <v>1007.1</v>
      </c>
      <c r="M172" s="1101" t="n">
        <v>8.6</v>
      </c>
      <c r="N172" s="761" t="inlineStr"/>
    </row>
    <row r="173">
      <c r="A173" s="776" t="inlineStr">
        <is>
          <t>November 1984</t>
        </is>
      </c>
      <c r="B173" s="1100" t="n">
        <v>2949.1</v>
      </c>
      <c r="C173" s="1101" t="n">
        <v>10.3</v>
      </c>
      <c r="D173" s="1100" t="n">
        <v>3222.6</v>
      </c>
      <c r="E173" s="1101" t="n">
        <v>11.2</v>
      </c>
      <c r="F173" s="1100" t="n">
        <v>2077.1</v>
      </c>
      <c r="G173" s="1101" t="n">
        <v>12.2</v>
      </c>
      <c r="H173" s="1100" t="n">
        <v>2222.7</v>
      </c>
      <c r="I173" s="1101" t="n">
        <v>13</v>
      </c>
      <c r="J173" s="1100" t="n">
        <v>872</v>
      </c>
      <c r="K173" s="1101" t="n">
        <v>7.5</v>
      </c>
      <c r="L173" s="1100" t="n">
        <v>999.9</v>
      </c>
      <c r="M173" s="1101" t="n">
        <v>8.6</v>
      </c>
      <c r="N173" s="761" t="inlineStr"/>
    </row>
    <row r="174">
      <c r="A174" s="776" t="inlineStr">
        <is>
          <t>December 1984</t>
        </is>
      </c>
      <c r="B174" s="1100" t="n">
        <v>2955.7</v>
      </c>
      <c r="C174" s="1101" t="n">
        <v>10.3</v>
      </c>
      <c r="D174" s="1100" t="n">
        <v>3219.4</v>
      </c>
      <c r="E174" s="1101" t="n">
        <v>11.2</v>
      </c>
      <c r="F174" s="1100" t="n">
        <v>2078.3</v>
      </c>
      <c r="G174" s="1101" t="n">
        <v>12.2</v>
      </c>
      <c r="H174" s="1100" t="n">
        <v>2232.5</v>
      </c>
      <c r="I174" s="1101" t="n">
        <v>13.1</v>
      </c>
      <c r="J174" s="1100" t="n">
        <v>877.4</v>
      </c>
      <c r="K174" s="1101" t="n">
        <v>7.5</v>
      </c>
      <c r="L174" s="1100" t="n">
        <v>986.9</v>
      </c>
      <c r="M174" s="1101" t="n">
        <v>8.5</v>
      </c>
      <c r="N174" s="761" t="inlineStr">
        <is>
          <t>5 week month</t>
        </is>
      </c>
    </row>
    <row r="175">
      <c r="A175" s="776" t="inlineStr">
        <is>
          <t>January 1985</t>
        </is>
      </c>
      <c r="B175" s="1100" t="n">
        <v>2964.9</v>
      </c>
      <c r="C175" s="1101" t="n">
        <v>10.2</v>
      </c>
      <c r="D175" s="1100" t="n">
        <v>3341</v>
      </c>
      <c r="E175" s="1101" t="n">
        <v>11.5</v>
      </c>
      <c r="F175" s="1100" t="n">
        <v>2084.3</v>
      </c>
      <c r="G175" s="1101" t="n">
        <v>12.1</v>
      </c>
      <c r="H175" s="1100" t="n">
        <v>2316</v>
      </c>
      <c r="I175" s="1101" t="n">
        <v>13.5</v>
      </c>
      <c r="J175" s="1100" t="n">
        <v>880.6</v>
      </c>
      <c r="K175" s="1101" t="n">
        <v>7.4</v>
      </c>
      <c r="L175" s="1100" t="n">
        <v>1024.9</v>
      </c>
      <c r="M175" s="1101" t="n">
        <v>8.6</v>
      </c>
      <c r="N175" s="761" t="inlineStr"/>
    </row>
    <row r="176">
      <c r="A176" s="776" t="inlineStr">
        <is>
          <t>February 1985</t>
        </is>
      </c>
      <c r="B176" s="1100" t="n">
        <v>2982.8</v>
      </c>
      <c r="C176" s="1101" t="n">
        <v>10.2</v>
      </c>
      <c r="D176" s="1100" t="n">
        <v>3323.7</v>
      </c>
      <c r="E176" s="1101" t="n">
        <v>11.4</v>
      </c>
      <c r="F176" s="1100" t="n">
        <v>2097.6</v>
      </c>
      <c r="G176" s="1101" t="n">
        <v>12.2</v>
      </c>
      <c r="H176" s="1100" t="n">
        <v>2309.9</v>
      </c>
      <c r="I176" s="1101" t="n">
        <v>13.4</v>
      </c>
      <c r="J176" s="1100" t="n">
        <v>885.2</v>
      </c>
      <c r="K176" s="1101" t="n">
        <v>7.4</v>
      </c>
      <c r="L176" s="1100" t="n">
        <v>1013.8</v>
      </c>
      <c r="M176" s="1101" t="n">
        <v>8.5</v>
      </c>
      <c r="N176" s="761" t="inlineStr">
        <is>
          <t>5 week month</t>
        </is>
      </c>
    </row>
    <row r="177">
      <c r="A177" s="776" t="inlineStr">
        <is>
          <t>March 1985</t>
        </is>
      </c>
      <c r="B177" s="1100" t="n">
        <v>2977.1</v>
      </c>
      <c r="C177" s="1101" t="n">
        <v>10.2</v>
      </c>
      <c r="D177" s="1100" t="n">
        <v>3267.6</v>
      </c>
      <c r="E177" s="1101" t="n">
        <v>11.2</v>
      </c>
      <c r="F177" s="1100" t="n">
        <v>2090.8</v>
      </c>
      <c r="G177" s="1101" t="n">
        <v>12.2</v>
      </c>
      <c r="H177" s="1100" t="n">
        <v>2269.3</v>
      </c>
      <c r="I177" s="1101" t="n">
        <v>13.2</v>
      </c>
      <c r="J177" s="1100" t="n">
        <v>886.3</v>
      </c>
      <c r="K177" s="1101" t="n">
        <v>7.4</v>
      </c>
      <c r="L177" s="1100" t="n">
        <v>998.3</v>
      </c>
      <c r="M177" s="1101" t="n">
        <v>8.300000000000001</v>
      </c>
      <c r="N177" s="761" t="inlineStr"/>
    </row>
    <row r="178">
      <c r="A178" s="776" t="inlineStr">
        <is>
          <t>April 1985</t>
        </is>
      </c>
      <c r="B178" s="1100" t="n">
        <v>2998.3</v>
      </c>
      <c r="C178" s="1101" t="n">
        <v>10.3</v>
      </c>
      <c r="D178" s="1100" t="n">
        <v>3272.6</v>
      </c>
      <c r="E178" s="1101" t="n">
        <v>11.2</v>
      </c>
      <c r="F178" s="1100" t="n">
        <v>2102</v>
      </c>
      <c r="G178" s="1101" t="n">
        <v>12.2</v>
      </c>
      <c r="H178" s="1100" t="n">
        <v>2270.7</v>
      </c>
      <c r="I178" s="1101" t="n">
        <v>13.2</v>
      </c>
      <c r="J178" s="1100" t="n">
        <v>896.3</v>
      </c>
      <c r="K178" s="1101" t="n">
        <v>7.5</v>
      </c>
      <c r="L178" s="1100" t="n">
        <v>1001.8</v>
      </c>
      <c r="M178" s="1101" t="n">
        <v>8.4</v>
      </c>
      <c r="N178" s="761" t="inlineStr"/>
    </row>
    <row r="179">
      <c r="A179" s="776" t="inlineStr">
        <is>
          <t>May 1985</t>
        </is>
      </c>
      <c r="B179" s="1100" t="n">
        <v>3000.7</v>
      </c>
      <c r="C179" s="1101" t="n">
        <v>10.3</v>
      </c>
      <c r="D179" s="1100" t="n">
        <v>3240.9</v>
      </c>
      <c r="E179" s="1101" t="n">
        <v>11.1</v>
      </c>
      <c r="F179" s="1100" t="n">
        <v>2101.2</v>
      </c>
      <c r="G179" s="1101" t="n">
        <v>12.2</v>
      </c>
      <c r="H179" s="1100" t="n">
        <v>2243.8</v>
      </c>
      <c r="I179" s="1101" t="n">
        <v>13.1</v>
      </c>
      <c r="J179" s="1100" t="n">
        <v>899.5</v>
      </c>
      <c r="K179" s="1101" t="n">
        <v>7.5</v>
      </c>
      <c r="L179" s="1100" t="n">
        <v>997.2</v>
      </c>
      <c r="M179" s="1101" t="n">
        <v>8.300000000000001</v>
      </c>
      <c r="N179" s="761" t="inlineStr"/>
    </row>
    <row r="180">
      <c r="A180" s="776" t="inlineStr">
        <is>
          <t>June 1985</t>
        </is>
      </c>
      <c r="B180" s="1100" t="n">
        <v>2988.5</v>
      </c>
      <c r="C180" s="1101" t="n">
        <v>10.3</v>
      </c>
      <c r="D180" s="1100" t="n">
        <v>3178.6</v>
      </c>
      <c r="E180" s="1101" t="n">
        <v>10.9</v>
      </c>
      <c r="F180" s="1100" t="n">
        <v>2089.9</v>
      </c>
      <c r="G180" s="1101" t="n">
        <v>12.2</v>
      </c>
      <c r="H180" s="1100" t="n">
        <v>2196.8</v>
      </c>
      <c r="I180" s="1101" t="n">
        <v>12.8</v>
      </c>
      <c r="J180" s="1100" t="n">
        <v>898.6</v>
      </c>
      <c r="K180" s="1101" t="n">
        <v>7.5</v>
      </c>
      <c r="L180" s="1100" t="n">
        <v>981.7</v>
      </c>
      <c r="M180" s="1101" t="n">
        <v>8.199999999999999</v>
      </c>
      <c r="N180" s="761" t="inlineStr">
        <is>
          <t>5 week month</t>
        </is>
      </c>
    </row>
    <row r="181">
      <c r="A181" s="776" t="inlineStr">
        <is>
          <t>July 1985</t>
        </is>
      </c>
      <c r="B181" s="1100" t="n">
        <v>2995.1</v>
      </c>
      <c r="C181" s="1101" t="n">
        <v>10.3</v>
      </c>
      <c r="D181" s="1100" t="n">
        <v>3235</v>
      </c>
      <c r="E181" s="1101" t="n">
        <v>11.1</v>
      </c>
      <c r="F181" s="1100" t="n">
        <v>2092.6</v>
      </c>
      <c r="G181" s="1101" t="n">
        <v>12.2</v>
      </c>
      <c r="H181" s="1100" t="n">
        <v>2216.2</v>
      </c>
      <c r="I181" s="1101" t="n">
        <v>12.9</v>
      </c>
      <c r="J181" s="1100" t="n">
        <v>902.5</v>
      </c>
      <c r="K181" s="1101" t="n">
        <v>7.5</v>
      </c>
      <c r="L181" s="1100" t="n">
        <v>1018.8</v>
      </c>
      <c r="M181" s="1101" t="n">
        <v>8.5</v>
      </c>
      <c r="N181" s="761" t="inlineStr"/>
    </row>
    <row r="182">
      <c r="A182" s="776" t="inlineStr">
        <is>
          <t>August 1985</t>
        </is>
      </c>
      <c r="B182" s="1100" t="n">
        <v>2997.5</v>
      </c>
      <c r="C182" s="1101" t="n">
        <v>10.3</v>
      </c>
      <c r="D182" s="1100" t="n">
        <v>3240.4</v>
      </c>
      <c r="E182" s="1101" t="n">
        <v>11.1</v>
      </c>
      <c r="F182" s="1100" t="n">
        <v>2094</v>
      </c>
      <c r="G182" s="1101" t="n">
        <v>12.2</v>
      </c>
      <c r="H182" s="1100" t="n">
        <v>2210.6</v>
      </c>
      <c r="I182" s="1101" t="n">
        <v>12.9</v>
      </c>
      <c r="J182" s="1100" t="n">
        <v>903.5</v>
      </c>
      <c r="K182" s="1101" t="n">
        <v>7.6</v>
      </c>
      <c r="L182" s="1100" t="n">
        <v>1029.8</v>
      </c>
      <c r="M182" s="1101" t="n">
        <v>8.6</v>
      </c>
      <c r="N182" s="761" t="inlineStr"/>
    </row>
    <row r="183">
      <c r="A183" s="776" t="inlineStr">
        <is>
          <t>September 1985</t>
        </is>
      </c>
      <c r="B183" s="1100" t="n">
        <v>3004.8</v>
      </c>
      <c r="C183" s="1101" t="n">
        <v>10.3</v>
      </c>
      <c r="D183" s="1100" t="n">
        <v>3346.2</v>
      </c>
      <c r="E183" s="1101" t="n">
        <v>11.5</v>
      </c>
      <c r="F183" s="1100" t="n">
        <v>2095</v>
      </c>
      <c r="G183" s="1101" t="n">
        <v>12.2</v>
      </c>
      <c r="H183" s="1100" t="n">
        <v>2268.5</v>
      </c>
      <c r="I183" s="1101" t="n">
        <v>13.2</v>
      </c>
      <c r="J183" s="1100" t="n">
        <v>909.8</v>
      </c>
      <c r="K183" s="1101" t="n">
        <v>7.6</v>
      </c>
      <c r="L183" s="1100" t="n">
        <v>1077.7</v>
      </c>
      <c r="M183" s="1101" t="n">
        <v>9</v>
      </c>
      <c r="N183" s="761" t="inlineStr">
        <is>
          <t>5 week month</t>
        </is>
      </c>
    </row>
    <row r="184">
      <c r="A184" s="776" t="inlineStr">
        <is>
          <t>October 1985</t>
        </is>
      </c>
      <c r="B184" s="1100" t="n">
        <v>3011.3</v>
      </c>
      <c r="C184" s="1101" t="n">
        <v>10.3</v>
      </c>
      <c r="D184" s="1100" t="n">
        <v>3276.9</v>
      </c>
      <c r="E184" s="1101" t="n">
        <v>11.2</v>
      </c>
      <c r="F184" s="1100" t="n">
        <v>2099.3</v>
      </c>
      <c r="G184" s="1101" t="n">
        <v>12.2</v>
      </c>
      <c r="H184" s="1100" t="n">
        <v>2234</v>
      </c>
      <c r="I184" s="1101" t="n">
        <v>13</v>
      </c>
      <c r="J184" s="1100" t="n">
        <v>912</v>
      </c>
      <c r="K184" s="1101" t="n">
        <v>7.6</v>
      </c>
      <c r="L184" s="1100" t="n">
        <v>1042.9</v>
      </c>
      <c r="M184" s="1101" t="n">
        <v>8.699999999999999</v>
      </c>
      <c r="N184" s="761" t="inlineStr"/>
    </row>
    <row r="185">
      <c r="A185" s="776" t="inlineStr">
        <is>
          <t>November 1985</t>
        </is>
      </c>
      <c r="B185" s="1100" t="n">
        <v>3012.6</v>
      </c>
      <c r="C185" s="1101" t="n">
        <v>10.3</v>
      </c>
      <c r="D185" s="1100" t="n">
        <v>3258.9</v>
      </c>
      <c r="E185" s="1101" t="n">
        <v>11.2</v>
      </c>
      <c r="F185" s="1100" t="n">
        <v>2100.3</v>
      </c>
      <c r="G185" s="1101" t="n">
        <v>12.2</v>
      </c>
      <c r="H185" s="1100" t="n">
        <v>2230.8</v>
      </c>
      <c r="I185" s="1101" t="n">
        <v>13</v>
      </c>
      <c r="J185" s="1100" t="n">
        <v>912.3</v>
      </c>
      <c r="K185" s="1101" t="n">
        <v>7.6</v>
      </c>
      <c r="L185" s="1100" t="n">
        <v>1028.1</v>
      </c>
      <c r="M185" s="1101" t="n">
        <v>8.6</v>
      </c>
      <c r="N185" s="761" t="inlineStr">
        <is>
          <t>5 week month</t>
        </is>
      </c>
    </row>
    <row r="186">
      <c r="A186" s="776" t="inlineStr">
        <is>
          <t>December 1985</t>
        </is>
      </c>
      <c r="B186" s="1100" t="n">
        <v>3033.4</v>
      </c>
      <c r="C186" s="1101" t="n">
        <v>10.4</v>
      </c>
      <c r="D186" s="1100" t="n">
        <v>3273.1</v>
      </c>
      <c r="E186" s="1101" t="n">
        <v>11.2</v>
      </c>
      <c r="F186" s="1100" t="n">
        <v>2113.6</v>
      </c>
      <c r="G186" s="1101" t="n">
        <v>12.3</v>
      </c>
      <c r="H186" s="1100" t="n">
        <v>2253.9</v>
      </c>
      <c r="I186" s="1101" t="n">
        <v>13.1</v>
      </c>
      <c r="J186" s="1100" t="n">
        <v>919.8</v>
      </c>
      <c r="K186" s="1101" t="n">
        <v>7.7</v>
      </c>
      <c r="L186" s="1100" t="n">
        <v>1019.1</v>
      </c>
      <c r="M186" s="1101" t="n">
        <v>8.5</v>
      </c>
      <c r="N186" s="761" t="inlineStr"/>
    </row>
    <row r="187">
      <c r="A187" s="776" t="inlineStr">
        <is>
          <t>January 1986</t>
        </is>
      </c>
      <c r="B187" s="1100" t="n">
        <v>3044.5</v>
      </c>
      <c r="C187" s="1101" t="n">
        <v>10.4</v>
      </c>
      <c r="D187" s="1100" t="n">
        <v>3407.7</v>
      </c>
      <c r="E187" s="1101" t="n">
        <v>11.7</v>
      </c>
      <c r="F187" s="1100" t="n">
        <v>2122.1</v>
      </c>
      <c r="G187" s="1101" t="n">
        <v>12.4</v>
      </c>
      <c r="H187" s="1100" t="n">
        <v>2345.6</v>
      </c>
      <c r="I187" s="1101" t="n">
        <v>13.7</v>
      </c>
      <c r="J187" s="1100" t="n">
        <v>922.4</v>
      </c>
      <c r="K187" s="1101" t="n">
        <v>7.6</v>
      </c>
      <c r="L187" s="1100" t="n">
        <v>1062.1</v>
      </c>
      <c r="M187" s="1101" t="n">
        <v>8.800000000000001</v>
      </c>
      <c r="N187" s="761" t="inlineStr"/>
    </row>
    <row r="188">
      <c r="A188" s="776" t="inlineStr">
        <is>
          <t>February 1986</t>
        </is>
      </c>
      <c r="B188" s="1100" t="n">
        <v>3053.2</v>
      </c>
      <c r="C188" s="1101" t="n">
        <v>10.4</v>
      </c>
      <c r="D188" s="1100" t="n">
        <v>3381.9</v>
      </c>
      <c r="E188" s="1101" t="n">
        <v>11.6</v>
      </c>
      <c r="F188" s="1100" t="n">
        <v>2123.9</v>
      </c>
      <c r="G188" s="1101" t="n">
        <v>12.4</v>
      </c>
      <c r="H188" s="1100" t="n">
        <v>2327.2</v>
      </c>
      <c r="I188" s="1101" t="n">
        <v>13.6</v>
      </c>
      <c r="J188" s="1100" t="n">
        <v>929.3</v>
      </c>
      <c r="K188" s="1101" t="n">
        <v>7.7</v>
      </c>
      <c r="L188" s="1100" t="n">
        <v>1054.7</v>
      </c>
      <c r="M188" s="1101" t="n">
        <v>8.699999999999999</v>
      </c>
      <c r="N188" s="761" t="inlineStr">
        <is>
          <t>5 week month</t>
        </is>
      </c>
    </row>
    <row r="189">
      <c r="A189" s="776" t="inlineStr">
        <is>
          <t>March 1986</t>
        </is>
      </c>
      <c r="B189" s="1100" t="n">
        <v>3086.1</v>
      </c>
      <c r="C189" s="1101" t="n">
        <v>10.6</v>
      </c>
      <c r="D189" s="1100" t="n">
        <v>3323.8</v>
      </c>
      <c r="E189" s="1101" t="n">
        <v>11.4</v>
      </c>
      <c r="F189" s="1100" t="n">
        <v>2153.7</v>
      </c>
      <c r="G189" s="1101" t="n">
        <v>12.6</v>
      </c>
      <c r="H189" s="1100" t="n">
        <v>2298.9</v>
      </c>
      <c r="I189" s="1101" t="n">
        <v>13.5</v>
      </c>
      <c r="J189" s="1100" t="n">
        <v>932.4</v>
      </c>
      <c r="K189" s="1101" t="n">
        <v>7.7</v>
      </c>
      <c r="L189" s="1100" t="n">
        <v>1024.9</v>
      </c>
      <c r="M189" s="1101" t="n">
        <v>8.4</v>
      </c>
      <c r="N189" s="761" t="inlineStr"/>
    </row>
    <row r="190">
      <c r="A190" s="776" t="inlineStr">
        <is>
          <t>April 1986</t>
        </is>
      </c>
      <c r="B190" s="1100" t="n">
        <v>3076.3</v>
      </c>
      <c r="C190" s="1101" t="n">
        <v>10.5</v>
      </c>
      <c r="D190" s="1100" t="n">
        <v>3325.1</v>
      </c>
      <c r="E190" s="1101" t="n">
        <v>11.4</v>
      </c>
      <c r="F190" s="1100" t="n">
        <v>2140.6</v>
      </c>
      <c r="G190" s="1101" t="n">
        <v>12.5</v>
      </c>
      <c r="H190" s="1100" t="n">
        <v>2290</v>
      </c>
      <c r="I190" s="1101" t="n">
        <v>13.4</v>
      </c>
      <c r="J190" s="1100" t="n">
        <v>935.7</v>
      </c>
      <c r="K190" s="1101" t="n">
        <v>7.7</v>
      </c>
      <c r="L190" s="1100" t="n">
        <v>1035</v>
      </c>
      <c r="M190" s="1101" t="n">
        <v>8.5</v>
      </c>
      <c r="N190" s="761" t="inlineStr"/>
    </row>
    <row r="191">
      <c r="A191" s="776" t="inlineStr">
        <is>
          <t>May 1986</t>
        </is>
      </c>
      <c r="B191" s="1100" t="n">
        <v>3084.4</v>
      </c>
      <c r="C191" s="1101" t="n">
        <v>10.6</v>
      </c>
      <c r="D191" s="1100" t="n">
        <v>3270.9</v>
      </c>
      <c r="E191" s="1101" t="n">
        <v>11.2</v>
      </c>
      <c r="F191" s="1100" t="n">
        <v>2144.3</v>
      </c>
      <c r="G191" s="1101" t="n">
        <v>12.5</v>
      </c>
      <c r="H191" s="1100" t="n">
        <v>2251.4</v>
      </c>
      <c r="I191" s="1101" t="n">
        <v>13.2</v>
      </c>
      <c r="J191" s="1100" t="n">
        <v>940.1</v>
      </c>
      <c r="K191" s="1101" t="n">
        <v>7.7</v>
      </c>
      <c r="L191" s="1100" t="n">
        <v>1019.4</v>
      </c>
      <c r="M191" s="1101" t="n">
        <v>8.4</v>
      </c>
      <c r="N191" s="761" t="inlineStr"/>
    </row>
    <row r="192">
      <c r="A192" s="776" t="inlineStr">
        <is>
          <t>June 1986</t>
        </is>
      </c>
      <c r="B192" s="1100" t="n">
        <v>3085.8</v>
      </c>
      <c r="C192" s="1101" t="n">
        <v>10.6</v>
      </c>
      <c r="D192" s="1100" t="n">
        <v>3229.4</v>
      </c>
      <c r="E192" s="1101" t="n">
        <v>11.1</v>
      </c>
      <c r="F192" s="1100" t="n">
        <v>2141.1</v>
      </c>
      <c r="G192" s="1101" t="n">
        <v>12.5</v>
      </c>
      <c r="H192" s="1100" t="n">
        <v>2217.5</v>
      </c>
      <c r="I192" s="1101" t="n">
        <v>13</v>
      </c>
      <c r="J192" s="1100" t="n">
        <v>944.7</v>
      </c>
      <c r="K192" s="1101" t="n">
        <v>7.8</v>
      </c>
      <c r="L192" s="1100" t="n">
        <v>1011.9</v>
      </c>
      <c r="M192" s="1101" t="n">
        <v>8.300000000000001</v>
      </c>
      <c r="N192" s="761" t="inlineStr">
        <is>
          <t>5 week month</t>
        </is>
      </c>
    </row>
    <row r="193">
      <c r="A193" s="776" t="inlineStr">
        <is>
          <t>July 1986</t>
        </is>
      </c>
      <c r="B193" s="1100" t="n">
        <v>3090</v>
      </c>
      <c r="C193" s="1101" t="n">
        <v>10.6</v>
      </c>
      <c r="D193" s="1100" t="n">
        <v>3279.6</v>
      </c>
      <c r="E193" s="1101" t="n">
        <v>11.2</v>
      </c>
      <c r="F193" s="1100" t="n">
        <v>2140.2</v>
      </c>
      <c r="G193" s="1101" t="n">
        <v>12.5</v>
      </c>
      <c r="H193" s="1100" t="n">
        <v>2231.5</v>
      </c>
      <c r="I193" s="1101" t="n">
        <v>13.1</v>
      </c>
      <c r="J193" s="1100" t="n">
        <v>949.8</v>
      </c>
      <c r="K193" s="1101" t="n">
        <v>7.8</v>
      </c>
      <c r="L193" s="1100" t="n">
        <v>1048.1</v>
      </c>
      <c r="M193" s="1101" t="n">
        <v>8.6</v>
      </c>
      <c r="N193" s="761" t="inlineStr"/>
    </row>
    <row r="194">
      <c r="A194" s="776" t="inlineStr">
        <is>
          <t>August 1986</t>
        </is>
      </c>
      <c r="B194" s="1100" t="n">
        <v>3087.6</v>
      </c>
      <c r="C194" s="1101" t="n">
        <v>10.6</v>
      </c>
      <c r="D194" s="1100" t="n">
        <v>3280.1</v>
      </c>
      <c r="E194" s="1101" t="n">
        <v>11.2</v>
      </c>
      <c r="F194" s="1100" t="n">
        <v>2136.7</v>
      </c>
      <c r="G194" s="1101" t="n">
        <v>12.5</v>
      </c>
      <c r="H194" s="1100" t="n">
        <v>2222</v>
      </c>
      <c r="I194" s="1101" t="n">
        <v>13</v>
      </c>
      <c r="J194" s="1100" t="n">
        <v>950.9</v>
      </c>
      <c r="K194" s="1101" t="n">
        <v>7.8</v>
      </c>
      <c r="L194" s="1100" t="n">
        <v>1058.1</v>
      </c>
      <c r="M194" s="1101" t="n">
        <v>8.699999999999999</v>
      </c>
      <c r="N194" s="761" t="inlineStr">
        <is>
          <t>5 week month</t>
        </is>
      </c>
    </row>
    <row r="195">
      <c r="A195" s="776" t="inlineStr">
        <is>
          <t>September 1986</t>
        </is>
      </c>
      <c r="B195" s="1100" t="n">
        <v>3072</v>
      </c>
      <c r="C195" s="1101" t="n">
        <v>10.5</v>
      </c>
      <c r="D195" s="1100" t="n">
        <v>3332.9</v>
      </c>
      <c r="E195" s="1101" t="n">
        <v>11.4</v>
      </c>
      <c r="F195" s="1100" t="n">
        <v>2124.5</v>
      </c>
      <c r="G195" s="1101" t="n">
        <v>12.4</v>
      </c>
      <c r="H195" s="1100" t="n">
        <v>2251.3</v>
      </c>
      <c r="I195" s="1101" t="n">
        <v>13.2</v>
      </c>
      <c r="J195" s="1100" t="n">
        <v>947.5</v>
      </c>
      <c r="K195" s="1101" t="n">
        <v>7.8</v>
      </c>
      <c r="L195" s="1100" t="n">
        <v>1081.6</v>
      </c>
      <c r="M195" s="1101" t="n">
        <v>8.9</v>
      </c>
      <c r="N195" s="761" t="inlineStr"/>
    </row>
    <row r="196">
      <c r="A196" s="776" t="inlineStr">
        <is>
          <t>October 1986</t>
        </is>
      </c>
      <c r="B196" s="1100" t="n">
        <v>3052.7</v>
      </c>
      <c r="C196" s="1101" t="n">
        <v>10.4</v>
      </c>
      <c r="D196" s="1100" t="n">
        <v>3237.2</v>
      </c>
      <c r="E196" s="1101" t="n">
        <v>11.1</v>
      </c>
      <c r="F196" s="1100" t="n">
        <v>2112.4</v>
      </c>
      <c r="G196" s="1101" t="n">
        <v>12.4</v>
      </c>
      <c r="H196" s="1100" t="n">
        <v>2199.8</v>
      </c>
      <c r="I196" s="1101" t="n">
        <v>12.9</v>
      </c>
      <c r="J196" s="1100" t="n">
        <v>940.3</v>
      </c>
      <c r="K196" s="1101" t="n">
        <v>7.7</v>
      </c>
      <c r="L196" s="1100" t="n">
        <v>1037.4</v>
      </c>
      <c r="M196" s="1101" t="n">
        <v>8.5</v>
      </c>
      <c r="N196" s="761" t="inlineStr"/>
    </row>
    <row r="197">
      <c r="A197" s="776" t="inlineStr">
        <is>
          <t>November 1986</t>
        </is>
      </c>
      <c r="B197" s="1100" t="n">
        <v>3045.6</v>
      </c>
      <c r="C197" s="1101" t="n">
        <v>10.4</v>
      </c>
      <c r="D197" s="1100" t="n">
        <v>3216.8</v>
      </c>
      <c r="E197" s="1101" t="n">
        <v>11</v>
      </c>
      <c r="F197" s="1100" t="n">
        <v>2111.7</v>
      </c>
      <c r="G197" s="1101" t="n">
        <v>12.4</v>
      </c>
      <c r="H197" s="1100" t="n">
        <v>2200.2</v>
      </c>
      <c r="I197" s="1101" t="n">
        <v>12.9</v>
      </c>
      <c r="J197" s="1100" t="n">
        <v>933.9</v>
      </c>
      <c r="K197" s="1101" t="n">
        <v>7.7</v>
      </c>
      <c r="L197" s="1100" t="n">
        <v>1016.6</v>
      </c>
      <c r="M197" s="1101" t="n">
        <v>8.4</v>
      </c>
      <c r="N197" s="761" t="inlineStr">
        <is>
          <t>5 week month</t>
        </is>
      </c>
    </row>
    <row r="198">
      <c r="A198" s="776" t="inlineStr">
        <is>
          <t>December 1986</t>
        </is>
      </c>
      <c r="B198" s="1100" t="n">
        <v>3021.4</v>
      </c>
      <c r="C198" s="1101" t="n">
        <v>10.3</v>
      </c>
      <c r="D198" s="1100" t="n">
        <v>3229.2</v>
      </c>
      <c r="E198" s="1101" t="n">
        <v>11</v>
      </c>
      <c r="F198" s="1100" t="n">
        <v>2098.5</v>
      </c>
      <c r="G198" s="1101" t="n">
        <v>12.3</v>
      </c>
      <c r="H198" s="1100" t="n">
        <v>2221.5</v>
      </c>
      <c r="I198" s="1101" t="n">
        <v>13</v>
      </c>
      <c r="J198" s="1100" t="n">
        <v>922.9</v>
      </c>
      <c r="K198" s="1101" t="n">
        <v>7.6</v>
      </c>
      <c r="L198" s="1100" t="n">
        <v>1007.6</v>
      </c>
      <c r="M198" s="1101" t="n">
        <v>8.300000000000001</v>
      </c>
      <c r="N198" s="761" t="inlineStr"/>
    </row>
    <row r="199">
      <c r="A199" s="776" t="inlineStr">
        <is>
          <t>January 1987</t>
        </is>
      </c>
      <c r="B199" s="1100" t="n">
        <v>3014.9</v>
      </c>
      <c r="C199" s="1101" t="n">
        <v>10.2</v>
      </c>
      <c r="D199" s="1100" t="n">
        <v>3297.2</v>
      </c>
      <c r="E199" s="1101" t="n">
        <v>11.2</v>
      </c>
      <c r="F199" s="1100" t="n">
        <v>2095.9</v>
      </c>
      <c r="G199" s="1101" t="n">
        <v>12.3</v>
      </c>
      <c r="H199" s="1100" t="n">
        <v>2272.4</v>
      </c>
      <c r="I199" s="1101" t="n">
        <v>13.3</v>
      </c>
      <c r="J199" s="1100" t="n">
        <v>919</v>
      </c>
      <c r="K199" s="1101" t="n">
        <v>7.4</v>
      </c>
      <c r="L199" s="1100" t="n">
        <v>1024.8</v>
      </c>
      <c r="M199" s="1101" t="n">
        <v>8.300000000000001</v>
      </c>
      <c r="N199" s="761" t="inlineStr"/>
    </row>
    <row r="200">
      <c r="A200" s="776" t="inlineStr">
        <is>
          <t>February 1987</t>
        </is>
      </c>
      <c r="B200" s="1100" t="n">
        <v>2966.4</v>
      </c>
      <c r="C200" s="1101" t="n">
        <v>10.1</v>
      </c>
      <c r="D200" s="1100" t="n">
        <v>3225.8</v>
      </c>
      <c r="E200" s="1101" t="n">
        <v>10.9</v>
      </c>
      <c r="F200" s="1100" t="n">
        <v>2071.6</v>
      </c>
      <c r="G200" s="1101" t="n">
        <v>12.1</v>
      </c>
      <c r="H200" s="1100" t="n">
        <v>2233.9</v>
      </c>
      <c r="I200" s="1101" t="n">
        <v>13.1</v>
      </c>
      <c r="J200" s="1100" t="n">
        <v>894.8</v>
      </c>
      <c r="K200" s="1101" t="n">
        <v>7.2</v>
      </c>
      <c r="L200" s="1100" t="n">
        <v>991.9</v>
      </c>
      <c r="M200" s="1101" t="n">
        <v>8</v>
      </c>
      <c r="N200" s="761" t="inlineStr">
        <is>
          <t>5 week month</t>
        </is>
      </c>
    </row>
    <row r="201">
      <c r="A201" s="776" t="inlineStr">
        <is>
          <t>March 1987</t>
        </is>
      </c>
      <c r="B201" s="1100" t="n">
        <v>2924.6</v>
      </c>
      <c r="C201" s="1101" t="n">
        <v>9.9</v>
      </c>
      <c r="D201" s="1100" t="n">
        <v>3143.4</v>
      </c>
      <c r="E201" s="1101" t="n">
        <v>10.7</v>
      </c>
      <c r="F201" s="1100" t="n">
        <v>2044.3</v>
      </c>
      <c r="G201" s="1101" t="n">
        <v>12</v>
      </c>
      <c r="H201" s="1100" t="n">
        <v>2181</v>
      </c>
      <c r="I201" s="1101" t="n">
        <v>12.8</v>
      </c>
      <c r="J201" s="1100" t="n">
        <v>880.3</v>
      </c>
      <c r="K201" s="1101" t="n">
        <v>7.1</v>
      </c>
      <c r="L201" s="1100" t="n">
        <v>962.3</v>
      </c>
      <c r="M201" s="1101" t="n">
        <v>7.8</v>
      </c>
      <c r="N201" s="761" t="inlineStr"/>
    </row>
    <row r="202">
      <c r="A202" s="776" t="inlineStr">
        <is>
          <t>April 1987</t>
        </is>
      </c>
      <c r="B202" s="1100" t="n">
        <v>2911.1</v>
      </c>
      <c r="C202" s="1101" t="n">
        <v>9.9</v>
      </c>
      <c r="D202" s="1100" t="n">
        <v>3107.1</v>
      </c>
      <c r="E202" s="1101" t="n">
        <v>10.5</v>
      </c>
      <c r="F202" s="1100" t="n">
        <v>2036.9</v>
      </c>
      <c r="G202" s="1101" t="n">
        <v>11.9</v>
      </c>
      <c r="H202" s="1100" t="n">
        <v>2158.2</v>
      </c>
      <c r="I202" s="1101" t="n">
        <v>12.6</v>
      </c>
      <c r="J202" s="1100" t="n">
        <v>874.2</v>
      </c>
      <c r="K202" s="1101" t="n">
        <v>7.1</v>
      </c>
      <c r="L202" s="1100" t="n">
        <v>948.9</v>
      </c>
      <c r="M202" s="1101" t="n">
        <v>7.7</v>
      </c>
      <c r="N202" s="761" t="inlineStr"/>
    </row>
    <row r="203">
      <c r="A203" s="776" t="inlineStr">
        <is>
          <t>May 1987</t>
        </is>
      </c>
      <c r="B203" s="1100" t="n">
        <v>2845.7</v>
      </c>
      <c r="C203" s="1101" t="n">
        <v>9.699999999999999</v>
      </c>
      <c r="D203" s="1100" t="n">
        <v>2986.5</v>
      </c>
      <c r="E203" s="1101" t="n">
        <v>10.1</v>
      </c>
      <c r="F203" s="1100" t="n">
        <v>1995.8</v>
      </c>
      <c r="G203" s="1101" t="n">
        <v>11.7</v>
      </c>
      <c r="H203" s="1100" t="n">
        <v>2080.4</v>
      </c>
      <c r="I203" s="1101" t="n">
        <v>12.2</v>
      </c>
      <c r="J203" s="1100" t="n">
        <v>849.9</v>
      </c>
      <c r="K203" s="1101" t="n">
        <v>6.9</v>
      </c>
      <c r="L203" s="1100" t="n">
        <v>906.1</v>
      </c>
      <c r="M203" s="1101" t="n">
        <v>7.3</v>
      </c>
      <c r="N203" s="761" t="inlineStr">
        <is>
          <t>5 week month</t>
        </is>
      </c>
    </row>
    <row r="204">
      <c r="A204" s="776" t="inlineStr">
        <is>
          <t>June 1987</t>
        </is>
      </c>
      <c r="B204" s="1100" t="n">
        <v>2807.7</v>
      </c>
      <c r="C204" s="1101" t="n">
        <v>9.5</v>
      </c>
      <c r="D204" s="1100" t="n">
        <v>2905.3</v>
      </c>
      <c r="E204" s="1101" t="n">
        <v>9.9</v>
      </c>
      <c r="F204" s="1100" t="n">
        <v>1969.4</v>
      </c>
      <c r="G204" s="1101" t="n">
        <v>11.5</v>
      </c>
      <c r="H204" s="1100" t="n">
        <v>2023</v>
      </c>
      <c r="I204" s="1101" t="n">
        <v>11.8</v>
      </c>
      <c r="J204" s="1100" t="n">
        <v>838.3</v>
      </c>
      <c r="K204" s="1101" t="n">
        <v>6.8</v>
      </c>
      <c r="L204" s="1100" t="n">
        <v>882.4</v>
      </c>
      <c r="M204" s="1101" t="n">
        <v>7.1</v>
      </c>
      <c r="N204" s="761" t="inlineStr"/>
    </row>
    <row r="205">
      <c r="A205" s="776" t="inlineStr">
        <is>
          <t>July 1987</t>
        </is>
      </c>
      <c r="B205" s="1100" t="n">
        <v>2764</v>
      </c>
      <c r="C205" s="1101" t="n">
        <v>9.4</v>
      </c>
      <c r="D205" s="1100" t="n">
        <v>2906.5</v>
      </c>
      <c r="E205" s="1101" t="n">
        <v>9.9</v>
      </c>
      <c r="F205" s="1100" t="n">
        <v>1940.6</v>
      </c>
      <c r="G205" s="1101" t="n">
        <v>11.4</v>
      </c>
      <c r="H205" s="1100" t="n">
        <v>2008.5</v>
      </c>
      <c r="I205" s="1101" t="n">
        <v>11.8</v>
      </c>
      <c r="J205" s="1100" t="n">
        <v>823.4</v>
      </c>
      <c r="K205" s="1101" t="n">
        <v>6.7</v>
      </c>
      <c r="L205" s="1100" t="n">
        <v>898</v>
      </c>
      <c r="M205" s="1101" t="n">
        <v>7.3</v>
      </c>
      <c r="N205" s="761" t="inlineStr"/>
    </row>
    <row r="206">
      <c r="A206" s="776" t="inlineStr">
        <is>
          <t>August 1987</t>
        </is>
      </c>
      <c r="B206" s="1100" t="n">
        <v>2721</v>
      </c>
      <c r="C206" s="1101" t="n">
        <v>9.199999999999999</v>
      </c>
      <c r="D206" s="1100" t="n">
        <v>2865.8</v>
      </c>
      <c r="E206" s="1101" t="n">
        <v>9.699999999999999</v>
      </c>
      <c r="F206" s="1100" t="n">
        <v>1908.7</v>
      </c>
      <c r="G206" s="1101" t="n">
        <v>11.2</v>
      </c>
      <c r="H206" s="1100" t="n">
        <v>1970.3</v>
      </c>
      <c r="I206" s="1101" t="n">
        <v>11.5</v>
      </c>
      <c r="J206" s="1100" t="n">
        <v>812.3</v>
      </c>
      <c r="K206" s="1101" t="n">
        <v>6.6</v>
      </c>
      <c r="L206" s="1100" t="n">
        <v>895.5</v>
      </c>
      <c r="M206" s="1101" t="n">
        <v>7.2</v>
      </c>
      <c r="N206" s="761" t="inlineStr">
        <is>
          <t>5 week month</t>
        </is>
      </c>
    </row>
    <row r="207">
      <c r="A207" s="776" t="inlineStr">
        <is>
          <t>September 1987</t>
        </is>
      </c>
      <c r="B207" s="1100" t="n">
        <v>2677.6</v>
      </c>
      <c r="C207" s="1101" t="n">
        <v>9.1</v>
      </c>
      <c r="D207" s="1100" t="n">
        <v>2870.2</v>
      </c>
      <c r="E207" s="1101" t="n">
        <v>9.699999999999999</v>
      </c>
      <c r="F207" s="1100" t="n">
        <v>1881</v>
      </c>
      <c r="G207" s="1101" t="n">
        <v>11</v>
      </c>
      <c r="H207" s="1100" t="n">
        <v>1973.8</v>
      </c>
      <c r="I207" s="1101" t="n">
        <v>11.5</v>
      </c>
      <c r="J207" s="1100" t="n">
        <v>796.6</v>
      </c>
      <c r="K207" s="1101" t="n">
        <v>6.4</v>
      </c>
      <c r="L207" s="1100" t="n">
        <v>896.4</v>
      </c>
      <c r="M207" s="1101" t="n">
        <v>7.2</v>
      </c>
      <c r="N207" s="761" t="inlineStr"/>
    </row>
    <row r="208">
      <c r="A208" s="776" t="inlineStr">
        <is>
          <t>October 1987</t>
        </is>
      </c>
      <c r="B208" s="1100" t="n">
        <v>2621</v>
      </c>
      <c r="C208" s="1101" t="n">
        <v>8.9</v>
      </c>
      <c r="D208" s="1100" t="n">
        <v>2751.4</v>
      </c>
      <c r="E208" s="1101" t="n">
        <v>9.300000000000001</v>
      </c>
      <c r="F208" s="1100" t="n">
        <v>1842.5</v>
      </c>
      <c r="G208" s="1101" t="n">
        <v>10.8</v>
      </c>
      <c r="H208" s="1100" t="n">
        <v>1903.6</v>
      </c>
      <c r="I208" s="1101" t="n">
        <v>11.1</v>
      </c>
      <c r="J208" s="1100" t="n">
        <v>778.5</v>
      </c>
      <c r="K208" s="1101" t="n">
        <v>6.3</v>
      </c>
      <c r="L208" s="1100" t="n">
        <v>847.8</v>
      </c>
      <c r="M208" s="1101" t="n">
        <v>6.8</v>
      </c>
      <c r="N208" s="761" t="inlineStr"/>
    </row>
    <row r="209">
      <c r="A209" s="776" t="inlineStr">
        <is>
          <t>November 1987</t>
        </is>
      </c>
      <c r="B209" s="1100" t="n">
        <v>2565.6</v>
      </c>
      <c r="C209" s="1101" t="n">
        <v>8.699999999999999</v>
      </c>
      <c r="D209" s="1100" t="n">
        <v>2685.6</v>
      </c>
      <c r="E209" s="1101" t="n">
        <v>9.1</v>
      </c>
      <c r="F209" s="1100" t="n">
        <v>1803.7</v>
      </c>
      <c r="G209" s="1101" t="n">
        <v>10.6</v>
      </c>
      <c r="H209" s="1100" t="n">
        <v>1865.8</v>
      </c>
      <c r="I209" s="1101" t="n">
        <v>10.9</v>
      </c>
      <c r="J209" s="1100" t="n">
        <v>761.9</v>
      </c>
      <c r="K209" s="1101" t="n">
        <v>6.2</v>
      </c>
      <c r="L209" s="1100" t="n">
        <v>819.7</v>
      </c>
      <c r="M209" s="1101" t="n">
        <v>6.6</v>
      </c>
      <c r="N209" s="761" t="inlineStr">
        <is>
          <t>5 week month</t>
        </is>
      </c>
    </row>
    <row r="210">
      <c r="A210" s="776" t="inlineStr">
        <is>
          <t>December 1987</t>
        </is>
      </c>
      <c r="B210" s="1100" t="n">
        <v>2535.8</v>
      </c>
      <c r="C210" s="1101" t="n">
        <v>8.6</v>
      </c>
      <c r="D210" s="1100" t="n">
        <v>2695.8</v>
      </c>
      <c r="E210" s="1101" t="n">
        <v>9.1</v>
      </c>
      <c r="F210" s="1100" t="n">
        <v>1779.5</v>
      </c>
      <c r="G210" s="1101" t="n">
        <v>10.4</v>
      </c>
      <c r="H210" s="1100" t="n">
        <v>1878.7</v>
      </c>
      <c r="I210" s="1101" t="n">
        <v>11</v>
      </c>
      <c r="J210" s="1100" t="n">
        <v>756.3</v>
      </c>
      <c r="K210" s="1101" t="n">
        <v>6.1</v>
      </c>
      <c r="L210" s="1100" t="n">
        <v>817.1</v>
      </c>
      <c r="M210" s="1101" t="n">
        <v>6.6</v>
      </c>
      <c r="N210" s="761" t="inlineStr"/>
    </row>
    <row r="211">
      <c r="A211" s="776" t="inlineStr">
        <is>
          <t>January 1988</t>
        </is>
      </c>
      <c r="B211" s="1100" t="n">
        <v>2488.6</v>
      </c>
      <c r="C211" s="1101" t="n">
        <v>8.4</v>
      </c>
      <c r="D211" s="1100" t="n">
        <v>2722.2</v>
      </c>
      <c r="E211" s="1101" t="n">
        <v>9.1</v>
      </c>
      <c r="F211" s="1100" t="n">
        <v>1741</v>
      </c>
      <c r="G211" s="1101" t="n">
        <v>10.2</v>
      </c>
      <c r="H211" s="1100" t="n">
        <v>1892.7</v>
      </c>
      <c r="I211" s="1101" t="n">
        <v>11.1</v>
      </c>
      <c r="J211" s="1100" t="n">
        <v>747.6</v>
      </c>
      <c r="K211" s="1101" t="n">
        <v>5.9</v>
      </c>
      <c r="L211" s="1100" t="n">
        <v>829.5</v>
      </c>
      <c r="M211" s="1101" t="n">
        <v>6.6</v>
      </c>
      <c r="N211" s="761" t="inlineStr">
        <is>
          <t>5 week month</t>
        </is>
      </c>
    </row>
    <row r="212">
      <c r="A212" s="776" t="inlineStr">
        <is>
          <t>February 1988</t>
        </is>
      </c>
      <c r="B212" s="1100" t="n">
        <v>2449.4</v>
      </c>
      <c r="C212" s="1101" t="n">
        <v>8.199999999999999</v>
      </c>
      <c r="D212" s="1100" t="n">
        <v>2665.5</v>
      </c>
      <c r="E212" s="1101" t="n">
        <v>9</v>
      </c>
      <c r="F212" s="1100" t="n">
        <v>1712.4</v>
      </c>
      <c r="G212" s="1101" t="n">
        <v>10</v>
      </c>
      <c r="H212" s="1100" t="n">
        <v>1852.1</v>
      </c>
      <c r="I212" s="1101" t="n">
        <v>10.8</v>
      </c>
      <c r="J212" s="1100" t="n">
        <v>737</v>
      </c>
      <c r="K212" s="1101" t="n">
        <v>5.8</v>
      </c>
      <c r="L212" s="1100" t="n">
        <v>813.3</v>
      </c>
      <c r="M212" s="1101" t="n">
        <v>6.4</v>
      </c>
      <c r="N212" s="761" t="inlineStr"/>
    </row>
    <row r="213">
      <c r="A213" s="776" t="inlineStr">
        <is>
          <t>March 1988</t>
        </is>
      </c>
      <c r="B213" s="1100" t="n">
        <v>2405.6</v>
      </c>
      <c r="C213" s="1101" t="n">
        <v>8.1</v>
      </c>
      <c r="D213" s="1100" t="n">
        <v>2592.1</v>
      </c>
      <c r="E213" s="1101" t="n">
        <v>8.699999999999999</v>
      </c>
      <c r="F213" s="1100" t="n">
        <v>1681.7</v>
      </c>
      <c r="G213" s="1101" t="n">
        <v>9.800000000000001</v>
      </c>
      <c r="H213" s="1100" t="n">
        <v>1803.1</v>
      </c>
      <c r="I213" s="1101" t="n">
        <v>10.5</v>
      </c>
      <c r="J213" s="1100" t="n">
        <v>723.9</v>
      </c>
      <c r="K213" s="1101" t="n">
        <v>5.7</v>
      </c>
      <c r="L213" s="1100" t="n">
        <v>789</v>
      </c>
      <c r="M213" s="1101" t="n">
        <v>6.2</v>
      </c>
      <c r="N213" s="761" t="inlineStr"/>
    </row>
    <row r="214">
      <c r="A214" s="776" t="inlineStr">
        <is>
          <t>April 1988</t>
        </is>
      </c>
      <c r="B214" s="1100" t="n">
        <v>2362.4</v>
      </c>
      <c r="C214" s="1101" t="n">
        <v>7.9</v>
      </c>
      <c r="D214" s="1100" t="n">
        <v>2536</v>
      </c>
      <c r="E214" s="1101" t="n">
        <v>8.5</v>
      </c>
      <c r="F214" s="1100" t="n">
        <v>1653.2</v>
      </c>
      <c r="G214" s="1101" t="n">
        <v>9.699999999999999</v>
      </c>
      <c r="H214" s="1100" t="n">
        <v>1765.7</v>
      </c>
      <c r="I214" s="1101" t="n">
        <v>10.3</v>
      </c>
      <c r="J214" s="1100" t="n">
        <v>709.2</v>
      </c>
      <c r="K214" s="1101" t="n">
        <v>5.6</v>
      </c>
      <c r="L214" s="1100" t="n">
        <v>770.3</v>
      </c>
      <c r="M214" s="1101" t="n">
        <v>6.1</v>
      </c>
      <c r="N214" s="761" t="inlineStr">
        <is>
          <t>5 week month</t>
        </is>
      </c>
    </row>
    <row r="215">
      <c r="A215" s="776" t="inlineStr">
        <is>
          <t>May 1988</t>
        </is>
      </c>
      <c r="B215" s="1100" t="n">
        <v>2317.2</v>
      </c>
      <c r="C215" s="1101" t="n">
        <v>7.8</v>
      </c>
      <c r="D215" s="1100" t="n">
        <v>2426.9</v>
      </c>
      <c r="E215" s="1101" t="n">
        <v>8.1</v>
      </c>
      <c r="F215" s="1100" t="n">
        <v>1622.7</v>
      </c>
      <c r="G215" s="1101" t="n">
        <v>9.5</v>
      </c>
      <c r="H215" s="1100" t="n">
        <v>1692.1</v>
      </c>
      <c r="I215" s="1101" t="n">
        <v>9.9</v>
      </c>
      <c r="J215" s="1100" t="n">
        <v>694.5</v>
      </c>
      <c r="K215" s="1101" t="n">
        <v>5.5</v>
      </c>
      <c r="L215" s="1100" t="n">
        <v>734.8</v>
      </c>
      <c r="M215" s="1101" t="n">
        <v>5.8</v>
      </c>
      <c r="N215" s="761" t="inlineStr"/>
    </row>
    <row r="216">
      <c r="A216" s="776" t="inlineStr">
        <is>
          <t>June 1988</t>
        </is>
      </c>
      <c r="B216" s="1100" t="n">
        <v>2271.8</v>
      </c>
      <c r="C216" s="1101" t="n">
        <v>7.6</v>
      </c>
      <c r="D216" s="1100" t="n">
        <v>2340.8</v>
      </c>
      <c r="E216" s="1101" t="n">
        <v>7.9</v>
      </c>
      <c r="F216" s="1100" t="n">
        <v>1592.2</v>
      </c>
      <c r="G216" s="1101" t="n">
        <v>9.300000000000001</v>
      </c>
      <c r="H216" s="1100" t="n">
        <v>1632</v>
      </c>
      <c r="I216" s="1101" t="n">
        <v>9.5</v>
      </c>
      <c r="J216" s="1100" t="n">
        <v>679.6</v>
      </c>
      <c r="K216" s="1101" t="n">
        <v>5.4</v>
      </c>
      <c r="L216" s="1100" t="n">
        <v>708.7</v>
      </c>
      <c r="M216" s="1101" t="n">
        <v>5.6</v>
      </c>
      <c r="N216" s="761" t="inlineStr"/>
    </row>
    <row r="217">
      <c r="A217" s="776" t="inlineStr">
        <is>
          <t>July 1988</t>
        </is>
      </c>
      <c r="B217" s="1100" t="n">
        <v>2214.4</v>
      </c>
      <c r="C217" s="1101" t="n">
        <v>7.4</v>
      </c>
      <c r="D217" s="1100" t="n">
        <v>2326.7</v>
      </c>
      <c r="E217" s="1101" t="n">
        <v>7.8</v>
      </c>
      <c r="F217" s="1100" t="n">
        <v>1553.1</v>
      </c>
      <c r="G217" s="1101" t="n">
        <v>9.1</v>
      </c>
      <c r="H217" s="1100" t="n">
        <v>1606.3</v>
      </c>
      <c r="I217" s="1101" t="n">
        <v>9.4</v>
      </c>
      <c r="J217" s="1100" t="n">
        <v>661.3</v>
      </c>
      <c r="K217" s="1101" t="n">
        <v>5.2</v>
      </c>
      <c r="L217" s="1100" t="n">
        <v>720.4</v>
      </c>
      <c r="M217" s="1101" t="n">
        <v>5.7</v>
      </c>
      <c r="N217" s="761" t="inlineStr">
        <is>
          <t>5 week month</t>
        </is>
      </c>
    </row>
    <row r="218">
      <c r="A218" s="776" t="inlineStr">
        <is>
          <t>August 1988</t>
        </is>
      </c>
      <c r="B218" s="1100" t="n">
        <v>2176.8</v>
      </c>
      <c r="C218" s="1101" t="n">
        <v>7.3</v>
      </c>
      <c r="D218" s="1100" t="n">
        <v>2291.2</v>
      </c>
      <c r="E218" s="1101" t="n">
        <v>7.7</v>
      </c>
      <c r="F218" s="1100" t="n">
        <v>1529.9</v>
      </c>
      <c r="G218" s="1101" t="n">
        <v>8.9</v>
      </c>
      <c r="H218" s="1100" t="n">
        <v>1576.5</v>
      </c>
      <c r="I218" s="1101" t="n">
        <v>9.199999999999999</v>
      </c>
      <c r="J218" s="1100" t="n">
        <v>646.9</v>
      </c>
      <c r="K218" s="1101" t="n">
        <v>5.1</v>
      </c>
      <c r="L218" s="1100" t="n">
        <v>714.6</v>
      </c>
      <c r="M218" s="1101" t="n">
        <v>5.6</v>
      </c>
      <c r="N218" s="761" t="inlineStr"/>
    </row>
    <row r="219">
      <c r="A219" s="776" t="inlineStr">
        <is>
          <t>September 1988</t>
        </is>
      </c>
      <c r="B219" s="1100" t="n">
        <v>2156.4</v>
      </c>
      <c r="C219" s="1101" t="n">
        <v>7.2</v>
      </c>
      <c r="D219" s="1100" t="n">
        <v>2311</v>
      </c>
      <c r="E219" s="1101" t="n">
        <v>7.8</v>
      </c>
      <c r="F219" s="1100" t="n">
        <v>1518.3</v>
      </c>
      <c r="G219" s="1101" t="n">
        <v>8.9</v>
      </c>
      <c r="H219" s="1100" t="n">
        <v>1594.4</v>
      </c>
      <c r="I219" s="1101" t="n">
        <v>9.300000000000001</v>
      </c>
      <c r="J219" s="1100" t="n">
        <v>638.1</v>
      </c>
      <c r="K219" s="1101" t="n">
        <v>5</v>
      </c>
      <c r="L219" s="1100" t="n">
        <v>716.6</v>
      </c>
      <c r="M219" s="1101" t="n">
        <v>5.7</v>
      </c>
      <c r="N219" s="761" t="inlineStr"/>
    </row>
    <row r="220">
      <c r="A220" s="776" t="inlineStr">
        <is>
          <t>October 1988</t>
        </is>
      </c>
      <c r="B220" s="1100" t="n">
        <v>2120</v>
      </c>
      <c r="C220" s="1101" t="n">
        <v>7.1</v>
      </c>
      <c r="D220" s="1100" t="n">
        <v>2118.9</v>
      </c>
      <c r="E220" s="1101" t="n">
        <v>7.1</v>
      </c>
      <c r="F220" s="1100" t="n">
        <v>1495.9</v>
      </c>
      <c r="G220" s="1101" t="n">
        <v>8.699999999999999</v>
      </c>
      <c r="H220" s="1100" t="n">
        <v>1484.2</v>
      </c>
      <c r="I220" s="1101" t="n">
        <v>8.699999999999999</v>
      </c>
      <c r="J220" s="1100" t="n">
        <v>624.1</v>
      </c>
      <c r="K220" s="1101" t="n">
        <v>4.9</v>
      </c>
      <c r="L220" s="1100" t="n">
        <v>634.6</v>
      </c>
      <c r="M220" s="1101" t="n">
        <v>5</v>
      </c>
      <c r="N220" s="761" t="inlineStr">
        <is>
          <t>5 week month</t>
        </is>
      </c>
    </row>
    <row r="221">
      <c r="A221" s="776" t="inlineStr">
        <is>
          <t>November 1988</t>
        </is>
      </c>
      <c r="B221" s="1100" t="n">
        <v>2069</v>
      </c>
      <c r="C221" s="1101" t="n">
        <v>6.9</v>
      </c>
      <c r="D221" s="1100" t="n">
        <v>2066.9</v>
      </c>
      <c r="E221" s="1101" t="n">
        <v>6.9</v>
      </c>
      <c r="F221" s="1100" t="n">
        <v>1459.9</v>
      </c>
      <c r="G221" s="1101" t="n">
        <v>8.5</v>
      </c>
      <c r="H221" s="1100" t="n">
        <v>1454.8</v>
      </c>
      <c r="I221" s="1101" t="n">
        <v>8.5</v>
      </c>
      <c r="J221" s="1100" t="n">
        <v>609.1</v>
      </c>
      <c r="K221" s="1101" t="n">
        <v>4.8</v>
      </c>
      <c r="L221" s="1100" t="n">
        <v>612.2</v>
      </c>
      <c r="M221" s="1101" t="n">
        <v>4.8</v>
      </c>
      <c r="N221" s="761" t="inlineStr"/>
    </row>
    <row r="222">
      <c r="A222" s="776" t="inlineStr">
        <is>
          <t>December 1988</t>
        </is>
      </c>
      <c r="B222" s="1100" t="n">
        <v>2005.8</v>
      </c>
      <c r="C222" s="1101" t="n">
        <v>6.7</v>
      </c>
      <c r="D222" s="1100" t="n">
        <v>2046.5</v>
      </c>
      <c r="E222" s="1101" t="n">
        <v>6.9</v>
      </c>
      <c r="F222" s="1100" t="n">
        <v>1416.5</v>
      </c>
      <c r="G222" s="1101" t="n">
        <v>8.300000000000001</v>
      </c>
      <c r="H222" s="1100" t="n">
        <v>1451.5</v>
      </c>
      <c r="I222" s="1101" t="n">
        <v>8.5</v>
      </c>
      <c r="J222" s="1100" t="n">
        <v>589.3</v>
      </c>
      <c r="K222" s="1101" t="n">
        <v>4.7</v>
      </c>
      <c r="L222" s="1100" t="n">
        <v>595.1</v>
      </c>
      <c r="M222" s="1101" t="n">
        <v>4.7</v>
      </c>
      <c r="N222" s="761" t="inlineStr"/>
    </row>
    <row r="223">
      <c r="A223" s="776" t="inlineStr">
        <is>
          <t>January 1989</t>
        </is>
      </c>
      <c r="B223" s="1100" t="n">
        <v>1967.3</v>
      </c>
      <c r="C223" s="1101" t="n">
        <v>6.6</v>
      </c>
      <c r="D223" s="1100" t="n">
        <v>2074.3</v>
      </c>
      <c r="E223" s="1101" t="n">
        <v>6.9</v>
      </c>
      <c r="F223" s="1100" t="n">
        <v>1388.2</v>
      </c>
      <c r="G223" s="1101" t="n">
        <v>8.1</v>
      </c>
      <c r="H223" s="1100" t="n">
        <v>1473.2</v>
      </c>
      <c r="I223" s="1101" t="n">
        <v>8.6</v>
      </c>
      <c r="J223" s="1100" t="n">
        <v>579.1</v>
      </c>
      <c r="K223" s="1101" t="n">
        <v>4.5</v>
      </c>
      <c r="L223" s="1100" t="n">
        <v>601.1</v>
      </c>
      <c r="M223" s="1101" t="n">
        <v>4.7</v>
      </c>
      <c r="N223" s="761" t="inlineStr">
        <is>
          <t>5 week month</t>
        </is>
      </c>
    </row>
    <row r="224">
      <c r="A224" s="776" t="inlineStr">
        <is>
          <t>February 1989</t>
        </is>
      </c>
      <c r="B224" s="1100" t="n">
        <v>1918.2</v>
      </c>
      <c r="C224" s="1101" t="n">
        <v>6.4</v>
      </c>
      <c r="D224" s="1100" t="n">
        <v>2018.2</v>
      </c>
      <c r="E224" s="1101" t="n">
        <v>6.7</v>
      </c>
      <c r="F224" s="1100" t="n">
        <v>1359.2</v>
      </c>
      <c r="G224" s="1101" t="n">
        <v>7.9</v>
      </c>
      <c r="H224" s="1100" t="n">
        <v>1434.9</v>
      </c>
      <c r="I224" s="1101" t="n">
        <v>8.4</v>
      </c>
      <c r="J224" s="1100" t="n">
        <v>559</v>
      </c>
      <c r="K224" s="1101" t="n">
        <v>4.3</v>
      </c>
      <c r="L224" s="1100" t="n">
        <v>583.3</v>
      </c>
      <c r="M224" s="1101" t="n">
        <v>4.5</v>
      </c>
      <c r="N224" s="761" t="inlineStr"/>
    </row>
    <row r="225">
      <c r="A225" s="776" t="inlineStr">
        <is>
          <t>March 1989</t>
        </is>
      </c>
      <c r="B225" s="1100" t="n">
        <v>1876.9</v>
      </c>
      <c r="C225" s="1101" t="n">
        <v>6.3</v>
      </c>
      <c r="D225" s="1100" t="n">
        <v>1960.2</v>
      </c>
      <c r="E225" s="1101" t="n">
        <v>6.5</v>
      </c>
      <c r="F225" s="1100" t="n">
        <v>1336.6</v>
      </c>
      <c r="G225" s="1101" t="n">
        <v>7.8</v>
      </c>
      <c r="H225" s="1100" t="n">
        <v>1399.4</v>
      </c>
      <c r="I225" s="1101" t="n">
        <v>8.199999999999999</v>
      </c>
      <c r="J225" s="1100" t="n">
        <v>540.3</v>
      </c>
      <c r="K225" s="1101" t="n">
        <v>4.2</v>
      </c>
      <c r="L225" s="1100" t="n">
        <v>560.9</v>
      </c>
      <c r="M225" s="1101" t="n">
        <v>4.3</v>
      </c>
      <c r="N225" s="761" t="inlineStr"/>
    </row>
    <row r="226">
      <c r="A226" s="776" t="inlineStr">
        <is>
          <t>April 1989</t>
        </is>
      </c>
      <c r="B226" s="1100" t="n">
        <v>1820.6</v>
      </c>
      <c r="C226" s="1101" t="n">
        <v>6.1</v>
      </c>
      <c r="D226" s="1100" t="n">
        <v>1883.6</v>
      </c>
      <c r="E226" s="1101" t="n">
        <v>6.3</v>
      </c>
      <c r="F226" s="1100" t="n">
        <v>1300</v>
      </c>
      <c r="G226" s="1101" t="n">
        <v>7.6</v>
      </c>
      <c r="H226" s="1100" t="n">
        <v>1350.8</v>
      </c>
      <c r="I226" s="1101" t="n">
        <v>7.9</v>
      </c>
      <c r="J226" s="1100" t="n">
        <v>520.6</v>
      </c>
      <c r="K226" s="1101" t="n">
        <v>4</v>
      </c>
      <c r="L226" s="1100" t="n">
        <v>532.8</v>
      </c>
      <c r="M226" s="1101" t="n">
        <v>4.1</v>
      </c>
      <c r="N226" s="761" t="inlineStr">
        <is>
          <t>5 week month</t>
        </is>
      </c>
    </row>
    <row r="227">
      <c r="A227" s="776" t="inlineStr">
        <is>
          <t>May 1989</t>
        </is>
      </c>
      <c r="B227" s="1100" t="n">
        <v>1787.8</v>
      </c>
      <c r="C227" s="1101" t="n">
        <v>6</v>
      </c>
      <c r="D227" s="1100" t="n">
        <v>1802.5</v>
      </c>
      <c r="E227" s="1101" t="n">
        <v>6</v>
      </c>
      <c r="F227" s="1100" t="n">
        <v>1283.7</v>
      </c>
      <c r="G227" s="1101" t="n">
        <v>7.5</v>
      </c>
      <c r="H227" s="1100" t="n">
        <v>1297.1</v>
      </c>
      <c r="I227" s="1101" t="n">
        <v>7.6</v>
      </c>
      <c r="J227" s="1100" t="n">
        <v>504.1</v>
      </c>
      <c r="K227" s="1101" t="n">
        <v>3.9</v>
      </c>
      <c r="L227" s="1100" t="n">
        <v>505.5</v>
      </c>
      <c r="M227" s="1101" t="n">
        <v>3.9</v>
      </c>
      <c r="N227" s="761" t="inlineStr"/>
    </row>
    <row r="228">
      <c r="A228" s="776" t="inlineStr">
        <is>
          <t>June 1989</t>
        </is>
      </c>
      <c r="B228" s="1100" t="n">
        <v>1762.3</v>
      </c>
      <c r="C228" s="1101" t="n">
        <v>5.9</v>
      </c>
      <c r="D228" s="1100" t="n">
        <v>1743.1</v>
      </c>
      <c r="E228" s="1101" t="n">
        <v>5.8</v>
      </c>
      <c r="F228" s="1100" t="n">
        <v>1269.6</v>
      </c>
      <c r="G228" s="1101" t="n">
        <v>7.4</v>
      </c>
      <c r="H228" s="1100" t="n">
        <v>1256.6</v>
      </c>
      <c r="I228" s="1101" t="n">
        <v>7.3</v>
      </c>
      <c r="J228" s="1100" t="n">
        <v>492.7</v>
      </c>
      <c r="K228" s="1101" t="n">
        <v>3.8</v>
      </c>
      <c r="L228" s="1100" t="n">
        <v>486.6</v>
      </c>
      <c r="M228" s="1101" t="n">
        <v>3.8</v>
      </c>
      <c r="N228" s="761" t="inlineStr"/>
    </row>
    <row r="229">
      <c r="A229" s="776" t="inlineStr">
        <is>
          <t>July 1989</t>
        </is>
      </c>
      <c r="B229" s="1100" t="n">
        <v>1743</v>
      </c>
      <c r="C229" s="1101" t="n">
        <v>5.8</v>
      </c>
      <c r="D229" s="1100" t="n">
        <v>1771.4</v>
      </c>
      <c r="E229" s="1101" t="n">
        <v>5.9</v>
      </c>
      <c r="F229" s="1100" t="n">
        <v>1255.2</v>
      </c>
      <c r="G229" s="1101" t="n">
        <v>7.3</v>
      </c>
      <c r="H229" s="1100" t="n">
        <v>1261.6</v>
      </c>
      <c r="I229" s="1101" t="n">
        <v>7.4</v>
      </c>
      <c r="J229" s="1100" t="n">
        <v>487.8</v>
      </c>
      <c r="K229" s="1101" t="n">
        <v>3.8</v>
      </c>
      <c r="L229" s="1100" t="n">
        <v>509.8</v>
      </c>
      <c r="M229" s="1101" t="n">
        <v>3.9</v>
      </c>
      <c r="N229" s="761" t="inlineStr">
        <is>
          <t>5 week month</t>
        </is>
      </c>
    </row>
    <row r="230">
      <c r="A230" s="776" t="inlineStr">
        <is>
          <t>August 1989</t>
        </is>
      </c>
      <c r="B230" s="1100" t="n">
        <v>1705.2</v>
      </c>
      <c r="C230" s="1101" t="n">
        <v>5.7</v>
      </c>
      <c r="D230" s="1100" t="n">
        <v>1741.1</v>
      </c>
      <c r="E230" s="1101" t="n">
        <v>5.8</v>
      </c>
      <c r="F230" s="1100" t="n">
        <v>1234.2</v>
      </c>
      <c r="G230" s="1101" t="n">
        <v>7.2</v>
      </c>
      <c r="H230" s="1100" t="n">
        <v>1238.4</v>
      </c>
      <c r="I230" s="1101" t="n">
        <v>7.2</v>
      </c>
      <c r="J230" s="1100" t="n">
        <v>471</v>
      </c>
      <c r="K230" s="1101" t="n">
        <v>3.6</v>
      </c>
      <c r="L230" s="1100" t="n">
        <v>502.7</v>
      </c>
      <c r="M230" s="1101" t="n">
        <v>3.9</v>
      </c>
      <c r="N230" s="761" t="inlineStr"/>
    </row>
    <row r="231">
      <c r="A231" s="776" t="inlineStr">
        <is>
          <t>September 1989</t>
        </is>
      </c>
      <c r="B231" s="1100" t="n">
        <v>1685</v>
      </c>
      <c r="C231" s="1101" t="n">
        <v>5.6</v>
      </c>
      <c r="D231" s="1100" t="n">
        <v>1702.9</v>
      </c>
      <c r="E231" s="1101" t="n">
        <v>5.7</v>
      </c>
      <c r="F231" s="1100" t="n">
        <v>1219.7</v>
      </c>
      <c r="G231" s="1101" t="n">
        <v>7.1</v>
      </c>
      <c r="H231" s="1100" t="n">
        <v>1218.8</v>
      </c>
      <c r="I231" s="1101" t="n">
        <v>7.1</v>
      </c>
      <c r="J231" s="1100" t="n">
        <v>465.3</v>
      </c>
      <c r="K231" s="1101" t="n">
        <v>3.6</v>
      </c>
      <c r="L231" s="1100" t="n">
        <v>484.1</v>
      </c>
      <c r="M231" s="1101" t="n">
        <v>3.7</v>
      </c>
      <c r="N231" s="761" t="inlineStr">
        <is>
          <t>5 week month</t>
        </is>
      </c>
    </row>
    <row r="232">
      <c r="A232" s="776" t="inlineStr">
        <is>
          <t>October 1989</t>
        </is>
      </c>
      <c r="B232" s="1100" t="n">
        <v>1671.7</v>
      </c>
      <c r="C232" s="1101" t="n">
        <v>5.6</v>
      </c>
      <c r="D232" s="1100" t="n">
        <v>1635.8</v>
      </c>
      <c r="E232" s="1101" t="n">
        <v>5.4</v>
      </c>
      <c r="F232" s="1100" t="n">
        <v>1214.8</v>
      </c>
      <c r="G232" s="1101" t="n">
        <v>7.1</v>
      </c>
      <c r="H232" s="1100" t="n">
        <v>1181.3</v>
      </c>
      <c r="I232" s="1101" t="n">
        <v>6.9</v>
      </c>
      <c r="J232" s="1100" t="n">
        <v>456.9</v>
      </c>
      <c r="K232" s="1101" t="n">
        <v>3.5</v>
      </c>
      <c r="L232" s="1100" t="n">
        <v>454.5</v>
      </c>
      <c r="M232" s="1101" t="n">
        <v>3.5</v>
      </c>
      <c r="N232" s="761" t="inlineStr"/>
    </row>
    <row r="233">
      <c r="A233" s="776" t="inlineStr">
        <is>
          <t>November 1989</t>
        </is>
      </c>
      <c r="B233" s="1100" t="n">
        <v>1648.7</v>
      </c>
      <c r="C233" s="1101" t="n">
        <v>5.5</v>
      </c>
      <c r="D233" s="1100" t="n">
        <v>1612.4</v>
      </c>
      <c r="E233" s="1101" t="n">
        <v>5.4</v>
      </c>
      <c r="F233" s="1100" t="n">
        <v>1200.9</v>
      </c>
      <c r="G233" s="1101" t="n">
        <v>7</v>
      </c>
      <c r="H233" s="1100" t="n">
        <v>1172.7</v>
      </c>
      <c r="I233" s="1101" t="n">
        <v>6.9</v>
      </c>
      <c r="J233" s="1100" t="n">
        <v>447.8</v>
      </c>
      <c r="K233" s="1101" t="n">
        <v>3.5</v>
      </c>
      <c r="L233" s="1100" t="n">
        <v>439.7</v>
      </c>
      <c r="M233" s="1101" t="n">
        <v>3.4</v>
      </c>
      <c r="N233" s="761" t="inlineStr"/>
    </row>
    <row r="234">
      <c r="A234" s="776" t="inlineStr">
        <is>
          <t>December 1989</t>
        </is>
      </c>
      <c r="B234" s="1100" t="n">
        <v>1629.5</v>
      </c>
      <c r="C234" s="1101" t="n">
        <v>5.4</v>
      </c>
      <c r="D234" s="1100" t="n">
        <v>1639</v>
      </c>
      <c r="E234" s="1101" t="n">
        <v>5.5</v>
      </c>
      <c r="F234" s="1100" t="n">
        <v>1190.8</v>
      </c>
      <c r="G234" s="1101" t="n">
        <v>7</v>
      </c>
      <c r="H234" s="1100" t="n">
        <v>1204.8</v>
      </c>
      <c r="I234" s="1101" t="n">
        <v>7</v>
      </c>
      <c r="J234" s="1100" t="n">
        <v>438.7</v>
      </c>
      <c r="K234" s="1101" t="n">
        <v>3.4</v>
      </c>
      <c r="L234" s="1100" t="n">
        <v>434.2</v>
      </c>
      <c r="M234" s="1101" t="n">
        <v>3.4</v>
      </c>
      <c r="N234" s="761" t="inlineStr">
        <is>
          <t>5 week month</t>
        </is>
      </c>
    </row>
    <row r="235">
      <c r="A235" s="776" t="inlineStr">
        <is>
          <t>January 1990</t>
        </is>
      </c>
      <c r="B235" s="1100" t="n">
        <v>1605.9</v>
      </c>
      <c r="C235" s="1101" t="n">
        <v>5.3</v>
      </c>
      <c r="D235" s="1100" t="n">
        <v>1687</v>
      </c>
      <c r="E235" s="1101" t="n">
        <v>5.6</v>
      </c>
      <c r="F235" s="1100" t="n">
        <v>1176.4</v>
      </c>
      <c r="G235" s="1101" t="n">
        <v>6.9</v>
      </c>
      <c r="H235" s="1100" t="n">
        <v>1239.3</v>
      </c>
      <c r="I235" s="1101" t="n">
        <v>7.3</v>
      </c>
      <c r="J235" s="1100" t="n">
        <v>429.5</v>
      </c>
      <c r="K235" s="1101" t="n">
        <v>3.3</v>
      </c>
      <c r="L235" s="1100" t="n">
        <v>447.7</v>
      </c>
      <c r="M235" s="1101" t="n">
        <v>3.4</v>
      </c>
      <c r="N235" s="761" t="inlineStr"/>
    </row>
    <row r="236">
      <c r="A236" s="776" t="inlineStr">
        <is>
          <t>February 1990</t>
        </is>
      </c>
      <c r="B236" s="1100" t="n">
        <v>1597</v>
      </c>
      <c r="C236" s="1101" t="n">
        <v>5.3</v>
      </c>
      <c r="D236" s="1100" t="n">
        <v>1675.7</v>
      </c>
      <c r="E236" s="1101" t="n">
        <v>5.6</v>
      </c>
      <c r="F236" s="1100" t="n">
        <v>1173.8</v>
      </c>
      <c r="G236" s="1101" t="n">
        <v>6.9</v>
      </c>
      <c r="H236" s="1100" t="n">
        <v>1232.2</v>
      </c>
      <c r="I236" s="1101" t="n">
        <v>7.2</v>
      </c>
      <c r="J236" s="1100" t="n">
        <v>423.2</v>
      </c>
      <c r="K236" s="1101" t="n">
        <v>3.2</v>
      </c>
      <c r="L236" s="1100" t="n">
        <v>443.5</v>
      </c>
      <c r="M236" s="1101" t="n">
        <v>3.4</v>
      </c>
      <c r="N236" s="761" t="inlineStr"/>
    </row>
    <row r="237">
      <c r="A237" s="776" t="inlineStr">
        <is>
          <t>March 1990</t>
        </is>
      </c>
      <c r="B237" s="1100" t="n">
        <v>1584.1</v>
      </c>
      <c r="C237" s="1101" t="n">
        <v>5.3</v>
      </c>
      <c r="D237" s="1100" t="n">
        <v>1646.6</v>
      </c>
      <c r="E237" s="1101" t="n">
        <v>5.5</v>
      </c>
      <c r="F237" s="1100" t="n">
        <v>1167.1</v>
      </c>
      <c r="G237" s="1101" t="n">
        <v>6.8</v>
      </c>
      <c r="H237" s="1100" t="n">
        <v>1213.5</v>
      </c>
      <c r="I237" s="1101" t="n">
        <v>7.1</v>
      </c>
      <c r="J237" s="1100" t="n">
        <v>417</v>
      </c>
      <c r="K237" s="1101" t="n">
        <v>3.2</v>
      </c>
      <c r="L237" s="1100" t="n">
        <v>433.1</v>
      </c>
      <c r="M237" s="1101" t="n">
        <v>3.3</v>
      </c>
      <c r="N237" s="761" t="inlineStr"/>
    </row>
    <row r="238">
      <c r="A238" s="776" t="inlineStr">
        <is>
          <t>April 1990</t>
        </is>
      </c>
      <c r="B238" s="1100" t="n">
        <v>1570.2</v>
      </c>
      <c r="C238" s="1101" t="n">
        <v>5.2</v>
      </c>
      <c r="D238" s="1100" t="n">
        <v>1626.3</v>
      </c>
      <c r="E238" s="1101" t="n">
        <v>5.4</v>
      </c>
      <c r="F238" s="1100" t="n">
        <v>1156.6</v>
      </c>
      <c r="G238" s="1101" t="n">
        <v>6.8</v>
      </c>
      <c r="H238" s="1100" t="n">
        <v>1198.2</v>
      </c>
      <c r="I238" s="1101" t="n">
        <v>7</v>
      </c>
      <c r="J238" s="1100" t="n">
        <v>413.6</v>
      </c>
      <c r="K238" s="1101" t="n">
        <v>3.2</v>
      </c>
      <c r="L238" s="1100" t="n">
        <v>428.1</v>
      </c>
      <c r="M238" s="1101" t="n">
        <v>3.3</v>
      </c>
      <c r="N238" s="761" t="inlineStr">
        <is>
          <t>5 week month</t>
        </is>
      </c>
    </row>
    <row r="239">
      <c r="A239" s="776" t="inlineStr">
        <is>
          <t>May 1990</t>
        </is>
      </c>
      <c r="B239" s="1100" t="n">
        <v>1567.5</v>
      </c>
      <c r="C239" s="1101" t="n">
        <v>5.2</v>
      </c>
      <c r="D239" s="1100" t="n">
        <v>1578.5</v>
      </c>
      <c r="E239" s="1101" t="n">
        <v>5.2</v>
      </c>
      <c r="F239" s="1100" t="n">
        <v>1157.3</v>
      </c>
      <c r="G239" s="1101" t="n">
        <v>6.8</v>
      </c>
      <c r="H239" s="1100" t="n">
        <v>1170</v>
      </c>
      <c r="I239" s="1101" t="n">
        <v>6.9</v>
      </c>
      <c r="J239" s="1100" t="n">
        <v>410.2</v>
      </c>
      <c r="K239" s="1101" t="n">
        <v>3.1</v>
      </c>
      <c r="L239" s="1100" t="n">
        <v>408.5</v>
      </c>
      <c r="M239" s="1101" t="n">
        <v>3.1</v>
      </c>
      <c r="N239" s="761" t="inlineStr"/>
    </row>
    <row r="240">
      <c r="A240" s="776" t="inlineStr">
        <is>
          <t>June 1990</t>
        </is>
      </c>
      <c r="B240" s="1100" t="n">
        <v>1584.3</v>
      </c>
      <c r="C240" s="1101" t="n">
        <v>5.3</v>
      </c>
      <c r="D240" s="1100" t="n">
        <v>1555.6</v>
      </c>
      <c r="E240" s="1101" t="n">
        <v>5.2</v>
      </c>
      <c r="F240" s="1100" t="n">
        <v>1174.3</v>
      </c>
      <c r="G240" s="1101" t="n">
        <v>6.9</v>
      </c>
      <c r="H240" s="1100" t="n">
        <v>1155.4</v>
      </c>
      <c r="I240" s="1101" t="n">
        <v>6.8</v>
      </c>
      <c r="J240" s="1100" t="n">
        <v>410</v>
      </c>
      <c r="K240" s="1101" t="n">
        <v>3.1</v>
      </c>
      <c r="L240" s="1100" t="n">
        <v>400.2</v>
      </c>
      <c r="M240" s="1101" t="n">
        <v>3.1</v>
      </c>
      <c r="N240" s="761" t="inlineStr">
        <is>
          <t>5 week month</t>
        </is>
      </c>
    </row>
    <row r="241">
      <c r="A241" s="776" t="inlineStr">
        <is>
          <t>July 1990</t>
        </is>
      </c>
      <c r="B241" s="1100" t="n">
        <v>1607</v>
      </c>
      <c r="C241" s="1101" t="n">
        <v>5.3</v>
      </c>
      <c r="D241" s="1100" t="n">
        <v>1623.6</v>
      </c>
      <c r="E241" s="1101" t="n">
        <v>5.4</v>
      </c>
      <c r="F241" s="1100" t="n">
        <v>1195.2</v>
      </c>
      <c r="G241" s="1101" t="n">
        <v>7</v>
      </c>
      <c r="H241" s="1100" t="n">
        <v>1192.1</v>
      </c>
      <c r="I241" s="1101" t="n">
        <v>7</v>
      </c>
      <c r="J241" s="1100" t="n">
        <v>411.8</v>
      </c>
      <c r="K241" s="1101" t="n">
        <v>3.2</v>
      </c>
      <c r="L241" s="1100" t="n">
        <v>431.5</v>
      </c>
      <c r="M241" s="1101" t="n">
        <v>3.3</v>
      </c>
      <c r="N241" s="761" t="inlineStr"/>
    </row>
    <row r="242">
      <c r="A242" s="776" t="inlineStr">
        <is>
          <t>August 1990</t>
        </is>
      </c>
      <c r="B242" s="1100" t="n">
        <v>1635.2</v>
      </c>
      <c r="C242" s="1101" t="n">
        <v>5.4</v>
      </c>
      <c r="D242" s="1100" t="n">
        <v>1657.8</v>
      </c>
      <c r="E242" s="1101" t="n">
        <v>5.5</v>
      </c>
      <c r="F242" s="1100" t="n">
        <v>1219.4</v>
      </c>
      <c r="G242" s="1101" t="n">
        <v>7.2</v>
      </c>
      <c r="H242" s="1100" t="n">
        <v>1211.8</v>
      </c>
      <c r="I242" s="1101" t="n">
        <v>7.1</v>
      </c>
      <c r="J242" s="1100" t="n">
        <v>415.8</v>
      </c>
      <c r="K242" s="1101" t="n">
        <v>3.2</v>
      </c>
      <c r="L242" s="1100" t="n">
        <v>446</v>
      </c>
      <c r="M242" s="1101" t="n">
        <v>3.4</v>
      </c>
      <c r="N242" s="761" t="inlineStr"/>
    </row>
    <row r="243">
      <c r="A243" s="776" t="inlineStr">
        <is>
          <t>September 1990</t>
        </is>
      </c>
      <c r="B243" s="1100" t="n">
        <v>1680.5</v>
      </c>
      <c r="C243" s="1101" t="n">
        <v>5.6</v>
      </c>
      <c r="D243" s="1100" t="n">
        <v>1673.9</v>
      </c>
      <c r="E243" s="1101" t="n">
        <v>5.6</v>
      </c>
      <c r="F243" s="1100" t="n">
        <v>1258.8</v>
      </c>
      <c r="G243" s="1101" t="n">
        <v>7.4</v>
      </c>
      <c r="H243" s="1100" t="n">
        <v>1234.2</v>
      </c>
      <c r="I243" s="1101" t="n">
        <v>7.2</v>
      </c>
      <c r="J243" s="1100" t="n">
        <v>421.7</v>
      </c>
      <c r="K243" s="1101" t="n">
        <v>3.2</v>
      </c>
      <c r="L243" s="1100" t="n">
        <v>439.7</v>
      </c>
      <c r="M243" s="1101" t="n">
        <v>3.4</v>
      </c>
      <c r="N243" s="761" t="inlineStr">
        <is>
          <t>5 week month</t>
        </is>
      </c>
    </row>
    <row r="244">
      <c r="A244" s="776" t="inlineStr">
        <is>
          <t>October 1990</t>
        </is>
      </c>
      <c r="B244" s="1100" t="n">
        <v>1725.9</v>
      </c>
      <c r="C244" s="1101" t="n">
        <v>5.7</v>
      </c>
      <c r="D244" s="1100" t="n">
        <v>1670.6</v>
      </c>
      <c r="E244" s="1101" t="n">
        <v>5.5</v>
      </c>
      <c r="F244" s="1100" t="n">
        <v>1296.3</v>
      </c>
      <c r="G244" s="1101" t="n">
        <v>7.6</v>
      </c>
      <c r="H244" s="1100" t="n">
        <v>1244.4</v>
      </c>
      <c r="I244" s="1101" t="n">
        <v>7.3</v>
      </c>
      <c r="J244" s="1100" t="n">
        <v>429.6</v>
      </c>
      <c r="K244" s="1101" t="n">
        <v>3.3</v>
      </c>
      <c r="L244" s="1100" t="n">
        <v>426.2</v>
      </c>
      <c r="M244" s="1101" t="n">
        <v>3.3</v>
      </c>
      <c r="N244" s="761" t="inlineStr"/>
    </row>
    <row r="245">
      <c r="A245" s="776" t="inlineStr">
        <is>
          <t>November 1990</t>
        </is>
      </c>
      <c r="B245" s="1100" t="n">
        <v>1773.5</v>
      </c>
      <c r="C245" s="1101" t="n">
        <v>5.9</v>
      </c>
      <c r="D245" s="1100" t="n">
        <v>1728.1</v>
      </c>
      <c r="E245" s="1101" t="n">
        <v>5.7</v>
      </c>
      <c r="F245" s="1100" t="n">
        <v>1332.9</v>
      </c>
      <c r="G245" s="1101" t="n">
        <v>7.8</v>
      </c>
      <c r="H245" s="1100" t="n">
        <v>1295.8</v>
      </c>
      <c r="I245" s="1101" t="n">
        <v>7.6</v>
      </c>
      <c r="J245" s="1100" t="n">
        <v>440.6</v>
      </c>
      <c r="K245" s="1101" t="n">
        <v>3.4</v>
      </c>
      <c r="L245" s="1100" t="n">
        <v>432.3</v>
      </c>
      <c r="M245" s="1101" t="n">
        <v>3.3</v>
      </c>
      <c r="N245" s="761" t="inlineStr"/>
    </row>
    <row r="246">
      <c r="A246" s="776" t="inlineStr">
        <is>
          <t>December 1990</t>
        </is>
      </c>
      <c r="B246" s="1100" t="n">
        <v>1846.5</v>
      </c>
      <c r="C246" s="1101" t="n">
        <v>6.1</v>
      </c>
      <c r="D246" s="1100" t="n">
        <v>1850.4</v>
      </c>
      <c r="E246" s="1101" t="n">
        <v>6.1</v>
      </c>
      <c r="F246" s="1100" t="n">
        <v>1392.9</v>
      </c>
      <c r="G246" s="1101" t="n">
        <v>8.199999999999999</v>
      </c>
      <c r="H246" s="1100" t="n">
        <v>1400.6</v>
      </c>
      <c r="I246" s="1101" t="n">
        <v>8.199999999999999</v>
      </c>
      <c r="J246" s="1100" t="n">
        <v>453.6</v>
      </c>
      <c r="K246" s="1101" t="n">
        <v>3.5</v>
      </c>
      <c r="L246" s="1100" t="n">
        <v>449.8</v>
      </c>
      <c r="M246" s="1101" t="n">
        <v>3.4</v>
      </c>
      <c r="N246" s="761" t="inlineStr">
        <is>
          <t>5 week month</t>
        </is>
      </c>
    </row>
    <row r="247">
      <c r="A247" s="776" t="inlineStr">
        <is>
          <t>January 1991</t>
        </is>
      </c>
      <c r="B247" s="1100" t="n">
        <v>1871.1</v>
      </c>
      <c r="C247" s="1101" t="n">
        <v>6.3</v>
      </c>
      <c r="D247" s="1100" t="n">
        <v>1959.7</v>
      </c>
      <c r="E247" s="1101" t="n">
        <v>6.6</v>
      </c>
      <c r="F247" s="1100" t="n">
        <v>1411.3</v>
      </c>
      <c r="G247" s="1101" t="n">
        <v>8.4</v>
      </c>
      <c r="H247" s="1100" t="n">
        <v>1480.8</v>
      </c>
      <c r="I247" s="1101" t="n">
        <v>8.800000000000001</v>
      </c>
      <c r="J247" s="1100" t="n">
        <v>459.8</v>
      </c>
      <c r="K247" s="1101" t="n">
        <v>3.5</v>
      </c>
      <c r="L247" s="1100" t="n">
        <v>479</v>
      </c>
      <c r="M247" s="1101" t="n">
        <v>3.7</v>
      </c>
      <c r="N247" s="761" t="inlineStr"/>
    </row>
    <row r="248">
      <c r="A248" s="776" t="inlineStr">
        <is>
          <t>February 1991</t>
        </is>
      </c>
      <c r="B248" s="1100" t="n">
        <v>1960.9</v>
      </c>
      <c r="C248" s="1101" t="n">
        <v>6.6</v>
      </c>
      <c r="D248" s="1100" t="n">
        <v>2045.4</v>
      </c>
      <c r="E248" s="1101" t="n">
        <v>6.8</v>
      </c>
      <c r="F248" s="1100" t="n">
        <v>1484</v>
      </c>
      <c r="G248" s="1101" t="n">
        <v>8.800000000000001</v>
      </c>
      <c r="H248" s="1100" t="n">
        <v>1547.8</v>
      </c>
      <c r="I248" s="1101" t="n">
        <v>9.199999999999999</v>
      </c>
      <c r="J248" s="1100" t="n">
        <v>476.9</v>
      </c>
      <c r="K248" s="1101" t="n">
        <v>3.7</v>
      </c>
      <c r="L248" s="1100" t="n">
        <v>497.6</v>
      </c>
      <c r="M248" s="1101" t="n">
        <v>3.8</v>
      </c>
      <c r="N248" s="761" t="inlineStr">
        <is>
          <t>5 week month</t>
        </is>
      </c>
    </row>
    <row r="249">
      <c r="A249" s="776" t="inlineStr">
        <is>
          <t>March 1991</t>
        </is>
      </c>
      <c r="B249" s="1100" t="n">
        <v>2079.6</v>
      </c>
      <c r="C249" s="1101" t="n">
        <v>7</v>
      </c>
      <c r="D249" s="1100" t="n">
        <v>2142.1</v>
      </c>
      <c r="E249" s="1101" t="n">
        <v>7.2</v>
      </c>
      <c r="F249" s="1100" t="n">
        <v>1575.9</v>
      </c>
      <c r="G249" s="1101" t="n">
        <v>9.300000000000001</v>
      </c>
      <c r="H249" s="1100" t="n">
        <v>1623.8</v>
      </c>
      <c r="I249" s="1101" t="n">
        <v>9.6</v>
      </c>
      <c r="J249" s="1100" t="n">
        <v>503.7</v>
      </c>
      <c r="K249" s="1101" t="n">
        <v>3.9</v>
      </c>
      <c r="L249" s="1100" t="n">
        <v>518.2</v>
      </c>
      <c r="M249" s="1101" t="n">
        <v>4</v>
      </c>
      <c r="N249" s="761" t="inlineStr"/>
    </row>
    <row r="250">
      <c r="A250" s="776" t="inlineStr">
        <is>
          <t>April 1991</t>
        </is>
      </c>
      <c r="B250" s="1100" t="n">
        <v>2143.6</v>
      </c>
      <c r="C250" s="1101" t="n">
        <v>7.2</v>
      </c>
      <c r="D250" s="1100" t="n">
        <v>2198.5</v>
      </c>
      <c r="E250" s="1101" t="n">
        <v>7.4</v>
      </c>
      <c r="F250" s="1100" t="n">
        <v>1622.7</v>
      </c>
      <c r="G250" s="1101" t="n">
        <v>9.6</v>
      </c>
      <c r="H250" s="1100" t="n">
        <v>1668.2</v>
      </c>
      <c r="I250" s="1101" t="n">
        <v>9.9</v>
      </c>
      <c r="J250" s="1100" t="n">
        <v>520.9</v>
      </c>
      <c r="K250" s="1101" t="n">
        <v>4</v>
      </c>
      <c r="L250" s="1100" t="n">
        <v>530.2</v>
      </c>
      <c r="M250" s="1101" t="n">
        <v>4.1</v>
      </c>
      <c r="N250" s="761" t="inlineStr"/>
    </row>
    <row r="251">
      <c r="A251" s="776" t="inlineStr">
        <is>
          <t>May 1991</t>
        </is>
      </c>
      <c r="B251" s="1100" t="n">
        <v>2205.9</v>
      </c>
      <c r="C251" s="1101" t="n">
        <v>7.4</v>
      </c>
      <c r="D251" s="1100" t="n">
        <v>2213.8</v>
      </c>
      <c r="E251" s="1101" t="n">
        <v>7.4</v>
      </c>
      <c r="F251" s="1100" t="n">
        <v>1673.9</v>
      </c>
      <c r="G251" s="1101" t="n">
        <v>9.9</v>
      </c>
      <c r="H251" s="1100" t="n">
        <v>1684.7</v>
      </c>
      <c r="I251" s="1101" t="n">
        <v>10</v>
      </c>
      <c r="J251" s="1100" t="n">
        <v>532</v>
      </c>
      <c r="K251" s="1101" t="n">
        <v>4.1</v>
      </c>
      <c r="L251" s="1100" t="n">
        <v>529</v>
      </c>
      <c r="M251" s="1101" t="n">
        <v>4.1</v>
      </c>
      <c r="N251" s="761" t="inlineStr"/>
    </row>
    <row r="252">
      <c r="A252" s="776" t="inlineStr">
        <is>
          <t>June 1991</t>
        </is>
      </c>
      <c r="B252" s="1100" t="n">
        <v>2274.7</v>
      </c>
      <c r="C252" s="1101" t="n">
        <v>7.6</v>
      </c>
      <c r="D252" s="1100" t="n">
        <v>2241</v>
      </c>
      <c r="E252" s="1101" t="n">
        <v>7.5</v>
      </c>
      <c r="F252" s="1100" t="n">
        <v>1729.9</v>
      </c>
      <c r="G252" s="1101" t="n">
        <v>10.2</v>
      </c>
      <c r="H252" s="1100" t="n">
        <v>1707.7</v>
      </c>
      <c r="I252" s="1101" t="n">
        <v>10.1</v>
      </c>
      <c r="J252" s="1100" t="n">
        <v>544.8</v>
      </c>
      <c r="K252" s="1101" t="n">
        <v>4.2</v>
      </c>
      <c r="L252" s="1100" t="n">
        <v>533.4</v>
      </c>
      <c r="M252" s="1101" t="n">
        <v>4.1</v>
      </c>
      <c r="N252" s="761" t="inlineStr">
        <is>
          <t>5 week month</t>
        </is>
      </c>
    </row>
    <row r="253">
      <c r="A253" s="776" t="inlineStr">
        <is>
          <t>July 1991</t>
        </is>
      </c>
      <c r="B253" s="1100" t="n">
        <v>2341.3</v>
      </c>
      <c r="C253" s="1101" t="n">
        <v>7.8</v>
      </c>
      <c r="D253" s="1100" t="n">
        <v>2367.5</v>
      </c>
      <c r="E253" s="1101" t="n">
        <v>7.9</v>
      </c>
      <c r="F253" s="1100" t="n">
        <v>1782.6</v>
      </c>
      <c r="G253" s="1101" t="n">
        <v>10.6</v>
      </c>
      <c r="H253" s="1100" t="n">
        <v>1782.4</v>
      </c>
      <c r="I253" s="1101" t="n">
        <v>10.6</v>
      </c>
      <c r="J253" s="1100" t="n">
        <v>558.7</v>
      </c>
      <c r="K253" s="1101" t="n">
        <v>4.3</v>
      </c>
      <c r="L253" s="1100" t="n">
        <v>585.2</v>
      </c>
      <c r="M253" s="1101" t="n">
        <v>4.5</v>
      </c>
      <c r="N253" s="761" t="inlineStr"/>
    </row>
    <row r="254">
      <c r="A254" s="776" t="inlineStr">
        <is>
          <t>August 1991</t>
        </is>
      </c>
      <c r="B254" s="1100" t="n">
        <v>2391.3</v>
      </c>
      <c r="C254" s="1101" t="n">
        <v>8</v>
      </c>
      <c r="D254" s="1100" t="n">
        <v>2435.1</v>
      </c>
      <c r="E254" s="1101" t="n">
        <v>8.199999999999999</v>
      </c>
      <c r="F254" s="1100" t="n">
        <v>1822.1</v>
      </c>
      <c r="G254" s="1101" t="n">
        <v>10.8</v>
      </c>
      <c r="H254" s="1100" t="n">
        <v>1823</v>
      </c>
      <c r="I254" s="1101" t="n">
        <v>10.8</v>
      </c>
      <c r="J254" s="1100" t="n">
        <v>569.2</v>
      </c>
      <c r="K254" s="1101" t="n">
        <v>4.4</v>
      </c>
      <c r="L254" s="1100" t="n">
        <v>612.2</v>
      </c>
      <c r="M254" s="1101" t="n">
        <v>4.7</v>
      </c>
      <c r="N254" s="761" t="inlineStr"/>
    </row>
    <row r="255">
      <c r="A255" s="776" t="inlineStr">
        <is>
          <t>September 1991</t>
        </is>
      </c>
      <c r="B255" s="1100" t="n">
        <v>2434.9</v>
      </c>
      <c r="C255" s="1101" t="n">
        <v>8.199999999999999</v>
      </c>
      <c r="D255" s="1100" t="n">
        <v>2450.7</v>
      </c>
      <c r="E255" s="1101" t="n">
        <v>8.199999999999999</v>
      </c>
      <c r="F255" s="1100" t="n">
        <v>1856.8</v>
      </c>
      <c r="G255" s="1101" t="n">
        <v>11</v>
      </c>
      <c r="H255" s="1100" t="n">
        <v>1843.4</v>
      </c>
      <c r="I255" s="1101" t="n">
        <v>10.9</v>
      </c>
      <c r="J255" s="1100" t="n">
        <v>578.1</v>
      </c>
      <c r="K255" s="1101" t="n">
        <v>4.5</v>
      </c>
      <c r="L255" s="1100" t="n">
        <v>607.2</v>
      </c>
      <c r="M255" s="1101" t="n">
        <v>4.7</v>
      </c>
      <c r="N255" s="761" t="inlineStr">
        <is>
          <t>5 week month</t>
        </is>
      </c>
    </row>
    <row r="256">
      <c r="A256" s="776" t="inlineStr">
        <is>
          <t>October 1991</t>
        </is>
      </c>
      <c r="B256" s="1100" t="n">
        <v>2470.1</v>
      </c>
      <c r="C256" s="1101" t="n">
        <v>8.300000000000001</v>
      </c>
      <c r="D256" s="1100" t="n">
        <v>2426</v>
      </c>
      <c r="E256" s="1101" t="n">
        <v>8.1</v>
      </c>
      <c r="F256" s="1100" t="n">
        <v>1886.4</v>
      </c>
      <c r="G256" s="1101" t="n">
        <v>11.2</v>
      </c>
      <c r="H256" s="1100" t="n">
        <v>1839.7</v>
      </c>
      <c r="I256" s="1101" t="n">
        <v>10.9</v>
      </c>
      <c r="J256" s="1100" t="n">
        <v>583.7</v>
      </c>
      <c r="K256" s="1101" t="n">
        <v>4.5</v>
      </c>
      <c r="L256" s="1100" t="n">
        <v>586.2</v>
      </c>
      <c r="M256" s="1101" t="n">
        <v>4.5</v>
      </c>
      <c r="N256" s="761" t="inlineStr"/>
    </row>
    <row r="257">
      <c r="A257" s="776" t="inlineStr">
        <is>
          <t>November 1991</t>
        </is>
      </c>
      <c r="B257" s="1100" t="n">
        <v>2504.8</v>
      </c>
      <c r="C257" s="1101" t="n">
        <v>8.4</v>
      </c>
      <c r="D257" s="1100" t="n">
        <v>2471.8</v>
      </c>
      <c r="E257" s="1101" t="n">
        <v>8.300000000000001</v>
      </c>
      <c r="F257" s="1100" t="n">
        <v>1916.4</v>
      </c>
      <c r="G257" s="1101" t="n">
        <v>11.3</v>
      </c>
      <c r="H257" s="1100" t="n">
        <v>1885.7</v>
      </c>
      <c r="I257" s="1101" t="n">
        <v>11.2</v>
      </c>
      <c r="J257" s="1100" t="n">
        <v>588.4</v>
      </c>
      <c r="K257" s="1101" t="n">
        <v>4.5</v>
      </c>
      <c r="L257" s="1100" t="n">
        <v>586.1</v>
      </c>
      <c r="M257" s="1101" t="n">
        <v>4.5</v>
      </c>
      <c r="N257" s="761" t="inlineStr">
        <is>
          <t>5 week month</t>
        </is>
      </c>
    </row>
    <row r="258">
      <c r="A258" s="776" t="inlineStr">
        <is>
          <t>December 1991</t>
        </is>
      </c>
      <c r="B258" s="1100" t="n">
        <v>2535.9</v>
      </c>
      <c r="C258" s="1101" t="n">
        <v>8.5</v>
      </c>
      <c r="D258" s="1100" t="n">
        <v>2551.7</v>
      </c>
      <c r="E258" s="1101" t="n">
        <v>8.5</v>
      </c>
      <c r="F258" s="1100" t="n">
        <v>1941.8</v>
      </c>
      <c r="G258" s="1101" t="n">
        <v>11.5</v>
      </c>
      <c r="H258" s="1100" t="n">
        <v>1957.4</v>
      </c>
      <c r="I258" s="1101" t="n">
        <v>11.6</v>
      </c>
      <c r="J258" s="1100" t="n">
        <v>594.1</v>
      </c>
      <c r="K258" s="1101" t="n">
        <v>4.6</v>
      </c>
      <c r="L258" s="1100" t="n">
        <v>594.3</v>
      </c>
      <c r="M258" s="1101" t="n">
        <v>4.6</v>
      </c>
      <c r="N258" s="761" t="inlineStr"/>
    </row>
    <row r="259">
      <c r="A259" s="776" t="inlineStr">
        <is>
          <t>January 1992</t>
        </is>
      </c>
      <c r="B259" s="1100" t="n">
        <v>2564.4</v>
      </c>
      <c r="C259" s="1101" t="n">
        <v>8.6</v>
      </c>
      <c r="D259" s="1100" t="n">
        <v>2673.9</v>
      </c>
      <c r="E259" s="1101" t="n">
        <v>9</v>
      </c>
      <c r="F259" s="1100" t="n">
        <v>1963.1</v>
      </c>
      <c r="G259" s="1101" t="n">
        <v>11.7</v>
      </c>
      <c r="H259" s="1100" t="n">
        <v>2045.4</v>
      </c>
      <c r="I259" s="1101" t="n">
        <v>12.2</v>
      </c>
      <c r="J259" s="1100" t="n">
        <v>601.3</v>
      </c>
      <c r="K259" s="1101" t="n">
        <v>4.6</v>
      </c>
      <c r="L259" s="1100" t="n">
        <v>628.5</v>
      </c>
      <c r="M259" s="1101" t="n">
        <v>4.8</v>
      </c>
      <c r="N259" s="761" t="inlineStr"/>
    </row>
    <row r="260">
      <c r="A260" s="776" t="inlineStr">
        <is>
          <t>February 1992</t>
        </is>
      </c>
      <c r="B260" s="1100" t="n">
        <v>2609.1</v>
      </c>
      <c r="C260" s="1101" t="n">
        <v>8.800000000000001</v>
      </c>
      <c r="D260" s="1100" t="n">
        <v>2710.5</v>
      </c>
      <c r="E260" s="1101" t="n">
        <v>9.1</v>
      </c>
      <c r="F260" s="1100" t="n">
        <v>1999.9</v>
      </c>
      <c r="G260" s="1101" t="n">
        <v>11.9</v>
      </c>
      <c r="H260" s="1100" t="n">
        <v>2074.5</v>
      </c>
      <c r="I260" s="1101" t="n">
        <v>12.4</v>
      </c>
      <c r="J260" s="1100" t="n">
        <v>609.2</v>
      </c>
      <c r="K260" s="1101" t="n">
        <v>4.7</v>
      </c>
      <c r="L260" s="1100" t="n">
        <v>636</v>
      </c>
      <c r="M260" s="1101" t="n">
        <v>4.9</v>
      </c>
      <c r="N260" s="761" t="inlineStr">
        <is>
          <t>5 week month</t>
        </is>
      </c>
    </row>
    <row r="261">
      <c r="A261" s="776" t="inlineStr">
        <is>
          <t>March 1992</t>
        </is>
      </c>
      <c r="B261" s="1100" t="n">
        <v>2636.1</v>
      </c>
      <c r="C261" s="1101" t="n">
        <v>8.9</v>
      </c>
      <c r="D261" s="1100" t="n">
        <v>2707.5</v>
      </c>
      <c r="E261" s="1101" t="n">
        <v>9.1</v>
      </c>
      <c r="F261" s="1100" t="n">
        <v>2022.3</v>
      </c>
      <c r="G261" s="1101" t="n">
        <v>12</v>
      </c>
      <c r="H261" s="1100" t="n">
        <v>2075.1</v>
      </c>
      <c r="I261" s="1101" t="n">
        <v>12.4</v>
      </c>
      <c r="J261" s="1100" t="n">
        <v>613.8</v>
      </c>
      <c r="K261" s="1101" t="n">
        <v>4.7</v>
      </c>
      <c r="L261" s="1100" t="n">
        <v>632.4</v>
      </c>
      <c r="M261" s="1101" t="n">
        <v>4.9</v>
      </c>
      <c r="N261" s="761" t="inlineStr"/>
    </row>
    <row r="262">
      <c r="A262" s="776" t="inlineStr">
        <is>
          <t>April 1992</t>
        </is>
      </c>
      <c r="B262" s="1100" t="n">
        <v>2665</v>
      </c>
      <c r="C262" s="1101" t="n">
        <v>9</v>
      </c>
      <c r="D262" s="1100" t="n">
        <v>2736.5</v>
      </c>
      <c r="E262" s="1101" t="n">
        <v>9.199999999999999</v>
      </c>
      <c r="F262" s="1100" t="n">
        <v>2048.9</v>
      </c>
      <c r="G262" s="1101" t="n">
        <v>12.2</v>
      </c>
      <c r="H262" s="1100" t="n">
        <v>2100.1</v>
      </c>
      <c r="I262" s="1101" t="n">
        <v>12.5</v>
      </c>
      <c r="J262" s="1100" t="n">
        <v>616.1</v>
      </c>
      <c r="K262" s="1101" t="n">
        <v>4.8</v>
      </c>
      <c r="L262" s="1100" t="n">
        <v>636.5</v>
      </c>
      <c r="M262" s="1101" t="n">
        <v>4.9</v>
      </c>
      <c r="N262" s="761" t="inlineStr"/>
    </row>
    <row r="263">
      <c r="A263" s="776" t="inlineStr">
        <is>
          <t>May 1992</t>
        </is>
      </c>
      <c r="B263" s="1100" t="n">
        <v>2696.7</v>
      </c>
      <c r="C263" s="1101" t="n">
        <v>9.1</v>
      </c>
      <c r="D263" s="1100" t="n">
        <v>2707.9</v>
      </c>
      <c r="E263" s="1101" t="n">
        <v>9.1</v>
      </c>
      <c r="F263" s="1100" t="n">
        <v>2073.6</v>
      </c>
      <c r="G263" s="1101" t="n">
        <v>12.4</v>
      </c>
      <c r="H263" s="1100" t="n">
        <v>2085.1</v>
      </c>
      <c r="I263" s="1101" t="n">
        <v>12.4</v>
      </c>
      <c r="J263" s="1100" t="n">
        <v>623.1</v>
      </c>
      <c r="K263" s="1101" t="n">
        <v>4.8</v>
      </c>
      <c r="L263" s="1100" t="n">
        <v>622.8</v>
      </c>
      <c r="M263" s="1101" t="n">
        <v>4.8</v>
      </c>
      <c r="N263" s="761" t="inlineStr">
        <is>
          <t>5 week month</t>
        </is>
      </c>
    </row>
    <row r="264">
      <c r="A264" s="776" t="inlineStr">
        <is>
          <t>June 1992</t>
        </is>
      </c>
      <c r="B264" s="1100" t="n">
        <v>2711.1</v>
      </c>
      <c r="C264" s="1101" t="n">
        <v>9.1</v>
      </c>
      <c r="D264" s="1100" t="n">
        <v>2678.2</v>
      </c>
      <c r="E264" s="1101" t="n">
        <v>9</v>
      </c>
      <c r="F264" s="1100" t="n">
        <v>2084.4</v>
      </c>
      <c r="G264" s="1101" t="n">
        <v>12.4</v>
      </c>
      <c r="H264" s="1100" t="n">
        <v>2061.2</v>
      </c>
      <c r="I264" s="1101" t="n">
        <v>12.3</v>
      </c>
      <c r="J264" s="1100" t="n">
        <v>626.7</v>
      </c>
      <c r="K264" s="1101" t="n">
        <v>4.8</v>
      </c>
      <c r="L264" s="1100" t="n">
        <v>617</v>
      </c>
      <c r="M264" s="1101" t="n">
        <v>4.8</v>
      </c>
      <c r="N264" s="761" t="inlineStr"/>
    </row>
    <row r="265">
      <c r="A265" s="776" t="inlineStr">
        <is>
          <t>July 1992</t>
        </is>
      </c>
      <c r="B265" s="1100" t="n">
        <v>2733.2</v>
      </c>
      <c r="C265" s="1101" t="n">
        <v>9.199999999999999</v>
      </c>
      <c r="D265" s="1100" t="n">
        <v>2774</v>
      </c>
      <c r="E265" s="1101" t="n">
        <v>9.300000000000001</v>
      </c>
      <c r="F265" s="1100" t="n">
        <v>2103.9</v>
      </c>
      <c r="G265" s="1101" t="n">
        <v>12.5</v>
      </c>
      <c r="H265" s="1100" t="n">
        <v>2108.7</v>
      </c>
      <c r="I265" s="1101" t="n">
        <v>12.6</v>
      </c>
      <c r="J265" s="1100" t="n">
        <v>629.3</v>
      </c>
      <c r="K265" s="1101" t="n">
        <v>4.9</v>
      </c>
      <c r="L265" s="1100" t="n">
        <v>665.3</v>
      </c>
      <c r="M265" s="1101" t="n">
        <v>5.1</v>
      </c>
      <c r="N265" s="761" t="inlineStr"/>
    </row>
    <row r="266">
      <c r="A266" s="776" t="inlineStr">
        <is>
          <t>August 1992</t>
        </is>
      </c>
      <c r="B266" s="1100" t="n">
        <v>2777.7</v>
      </c>
      <c r="C266" s="1101" t="n">
        <v>9.300000000000001</v>
      </c>
      <c r="D266" s="1100" t="n">
        <v>2845.5</v>
      </c>
      <c r="E266" s="1101" t="n">
        <v>9.6</v>
      </c>
      <c r="F266" s="1100" t="n">
        <v>2138</v>
      </c>
      <c r="G266" s="1101" t="n">
        <v>12.7</v>
      </c>
      <c r="H266" s="1100" t="n">
        <v>2149.4</v>
      </c>
      <c r="I266" s="1101" t="n">
        <v>12.8</v>
      </c>
      <c r="J266" s="1100" t="n">
        <v>639.7</v>
      </c>
      <c r="K266" s="1101" t="n">
        <v>4.9</v>
      </c>
      <c r="L266" s="1100" t="n">
        <v>696.1</v>
      </c>
      <c r="M266" s="1101" t="n">
        <v>5.4</v>
      </c>
      <c r="N266" s="761" t="inlineStr">
        <is>
          <t>5 week month</t>
        </is>
      </c>
    </row>
    <row r="267">
      <c r="A267" s="776" t="inlineStr">
        <is>
          <t>September 1992</t>
        </is>
      </c>
      <c r="B267" s="1100" t="n">
        <v>2807.7</v>
      </c>
      <c r="C267" s="1101" t="n">
        <v>9.4</v>
      </c>
      <c r="D267" s="1100" t="n">
        <v>2847.4</v>
      </c>
      <c r="E267" s="1101" t="n">
        <v>9.6</v>
      </c>
      <c r="F267" s="1100" t="n">
        <v>2161.4</v>
      </c>
      <c r="G267" s="1101" t="n">
        <v>12.9</v>
      </c>
      <c r="H267" s="1100" t="n">
        <v>2160.9</v>
      </c>
      <c r="I267" s="1101" t="n">
        <v>12.9</v>
      </c>
      <c r="J267" s="1100" t="n">
        <v>646.3</v>
      </c>
      <c r="K267" s="1101" t="n">
        <v>5</v>
      </c>
      <c r="L267" s="1100" t="n">
        <v>686.5</v>
      </c>
      <c r="M267" s="1101" t="n">
        <v>5.3</v>
      </c>
      <c r="N267" s="761" t="inlineStr"/>
    </row>
    <row r="268">
      <c r="A268" s="776" t="inlineStr">
        <is>
          <t>October 1992</t>
        </is>
      </c>
      <c r="B268" s="1100" t="n">
        <v>2848.4</v>
      </c>
      <c r="C268" s="1101" t="n">
        <v>9.6</v>
      </c>
      <c r="D268" s="1100" t="n">
        <v>2814.4</v>
      </c>
      <c r="E268" s="1101" t="n">
        <v>9.5</v>
      </c>
      <c r="F268" s="1100" t="n">
        <v>2193.7</v>
      </c>
      <c r="G268" s="1101" t="n">
        <v>13.1</v>
      </c>
      <c r="H268" s="1100" t="n">
        <v>2151.9</v>
      </c>
      <c r="I268" s="1101" t="n">
        <v>12.8</v>
      </c>
      <c r="J268" s="1100" t="n">
        <v>654.7</v>
      </c>
      <c r="K268" s="1101" t="n">
        <v>5</v>
      </c>
      <c r="L268" s="1100" t="n">
        <v>662.5</v>
      </c>
      <c r="M268" s="1101" t="n">
        <v>5.1</v>
      </c>
      <c r="N268" s="761" t="inlineStr"/>
    </row>
    <row r="269">
      <c r="A269" s="776" t="inlineStr">
        <is>
          <t>November 1992</t>
        </is>
      </c>
      <c r="B269" s="1100" t="n">
        <v>2888.9</v>
      </c>
      <c r="C269" s="1101" t="n">
        <v>9.699999999999999</v>
      </c>
      <c r="D269" s="1100" t="n">
        <v>2864.1</v>
      </c>
      <c r="E269" s="1101" t="n">
        <v>9.6</v>
      </c>
      <c r="F269" s="1100" t="n">
        <v>2226.1</v>
      </c>
      <c r="G269" s="1101" t="n">
        <v>13.3</v>
      </c>
      <c r="H269" s="1100" t="n">
        <v>2199.7</v>
      </c>
      <c r="I269" s="1101" t="n">
        <v>13.1</v>
      </c>
      <c r="J269" s="1100" t="n">
        <v>662.8</v>
      </c>
      <c r="K269" s="1101" t="n">
        <v>5.1</v>
      </c>
      <c r="L269" s="1100" t="n">
        <v>664.4</v>
      </c>
      <c r="M269" s="1101" t="n">
        <v>5.1</v>
      </c>
      <c r="N269" s="761" t="inlineStr">
        <is>
          <t>5 week month</t>
        </is>
      </c>
    </row>
    <row r="270">
      <c r="A270" s="776" t="inlineStr">
        <is>
          <t>December 1992</t>
        </is>
      </c>
      <c r="B270" s="1100" t="n">
        <v>2960.3</v>
      </c>
      <c r="C270" s="1101" t="n">
        <v>9.9</v>
      </c>
      <c r="D270" s="1100" t="n">
        <v>2983.3</v>
      </c>
      <c r="E270" s="1101" t="n">
        <v>10</v>
      </c>
      <c r="F270" s="1100" t="n">
        <v>2279.4</v>
      </c>
      <c r="G270" s="1101" t="n">
        <v>13.6</v>
      </c>
      <c r="H270" s="1100" t="n">
        <v>2299.7</v>
      </c>
      <c r="I270" s="1101" t="n">
        <v>13.7</v>
      </c>
      <c r="J270" s="1100" t="n">
        <v>680.9</v>
      </c>
      <c r="K270" s="1101" t="n">
        <v>5.3</v>
      </c>
      <c r="L270" s="1100" t="n">
        <v>683.7</v>
      </c>
      <c r="M270" s="1101" t="n">
        <v>5.3</v>
      </c>
      <c r="N270" s="761" t="inlineStr"/>
    </row>
    <row r="271">
      <c r="A271" s="776" t="inlineStr">
        <is>
          <t>January 1993</t>
        </is>
      </c>
      <c r="B271" s="1100" t="n">
        <v>2937.5</v>
      </c>
      <c r="C271" s="1101" t="n">
        <v>9.9</v>
      </c>
      <c r="D271" s="1100" t="n">
        <v>3062.1</v>
      </c>
      <c r="E271" s="1101" t="n">
        <v>10.4</v>
      </c>
      <c r="F271" s="1100" t="n">
        <v>2260.6</v>
      </c>
      <c r="G271" s="1101" t="n">
        <v>13.6</v>
      </c>
      <c r="H271" s="1100" t="n">
        <v>2353.8</v>
      </c>
      <c r="I271" s="1101" t="n">
        <v>14.2</v>
      </c>
      <c r="J271" s="1100" t="n">
        <v>676.9</v>
      </c>
      <c r="K271" s="1101" t="n">
        <v>5.2</v>
      </c>
      <c r="L271" s="1100" t="n">
        <v>708.2</v>
      </c>
      <c r="M271" s="1101" t="n">
        <v>5.5</v>
      </c>
      <c r="N271" s="761" t="inlineStr">
        <is>
          <t>5 week month</t>
        </is>
      </c>
    </row>
    <row r="272">
      <c r="A272" s="776" t="inlineStr">
        <is>
          <t>February 1993</t>
        </is>
      </c>
      <c r="B272" s="1100" t="n">
        <v>2930.6</v>
      </c>
      <c r="C272" s="1101" t="n">
        <v>9.9</v>
      </c>
      <c r="D272" s="1100" t="n">
        <v>3042.6</v>
      </c>
      <c r="E272" s="1101" t="n">
        <v>10.3</v>
      </c>
      <c r="F272" s="1100" t="n">
        <v>2253.9</v>
      </c>
      <c r="G272" s="1101" t="n">
        <v>13.6</v>
      </c>
      <c r="H272" s="1100" t="n">
        <v>2335.9</v>
      </c>
      <c r="I272" s="1101" t="n">
        <v>14.1</v>
      </c>
      <c r="J272" s="1100" t="n">
        <v>676.7</v>
      </c>
      <c r="K272" s="1101" t="n">
        <v>5.2</v>
      </c>
      <c r="L272" s="1100" t="n">
        <v>706.7</v>
      </c>
      <c r="M272" s="1101" t="n">
        <v>5.5</v>
      </c>
      <c r="N272" s="761" t="inlineStr"/>
    </row>
    <row r="273">
      <c r="A273" s="776" t="inlineStr">
        <is>
          <t>March 1993</t>
        </is>
      </c>
      <c r="B273" s="1100" t="n">
        <v>2923.1</v>
      </c>
      <c r="C273" s="1101" t="n">
        <v>9.9</v>
      </c>
      <c r="D273" s="1100" t="n">
        <v>2996.7</v>
      </c>
      <c r="E273" s="1101" t="n">
        <v>10.1</v>
      </c>
      <c r="F273" s="1100" t="n">
        <v>2248.5</v>
      </c>
      <c r="G273" s="1101" t="n">
        <v>13.6</v>
      </c>
      <c r="H273" s="1100" t="n">
        <v>2303.2</v>
      </c>
      <c r="I273" s="1101" t="n">
        <v>13.9</v>
      </c>
      <c r="J273" s="1100" t="n">
        <v>674.6</v>
      </c>
      <c r="K273" s="1101" t="n">
        <v>5.2</v>
      </c>
      <c r="L273" s="1100" t="n">
        <v>693.5</v>
      </c>
      <c r="M273" s="1101" t="n">
        <v>5.4</v>
      </c>
      <c r="N273" s="761" t="inlineStr"/>
    </row>
    <row r="274">
      <c r="A274" s="776" t="inlineStr">
        <is>
          <t>April 1993</t>
        </is>
      </c>
      <c r="B274" s="1100" t="n">
        <v>2925.5</v>
      </c>
      <c r="C274" s="1101" t="n">
        <v>9.9</v>
      </c>
      <c r="D274" s="1100" t="n">
        <v>3000.5</v>
      </c>
      <c r="E274" s="1101" t="n">
        <v>10.2</v>
      </c>
      <c r="F274" s="1100" t="n">
        <v>2251.4</v>
      </c>
      <c r="G274" s="1101" t="n">
        <v>13.6</v>
      </c>
      <c r="H274" s="1100" t="n">
        <v>2304.2</v>
      </c>
      <c r="I274" s="1101" t="n">
        <v>13.9</v>
      </c>
      <c r="J274" s="1100" t="n">
        <v>674.1</v>
      </c>
      <c r="K274" s="1101" t="n">
        <v>5.2</v>
      </c>
      <c r="L274" s="1100" t="n">
        <v>696.3</v>
      </c>
      <c r="M274" s="1101" t="n">
        <v>5.4</v>
      </c>
      <c r="N274" s="761" t="inlineStr"/>
    </row>
    <row r="275">
      <c r="A275" s="776" t="inlineStr">
        <is>
          <t>May 1993</t>
        </is>
      </c>
      <c r="B275" s="1100" t="n">
        <v>2909.4</v>
      </c>
      <c r="C275" s="1101" t="n">
        <v>9.800000000000001</v>
      </c>
      <c r="D275" s="1100" t="n">
        <v>2916.6</v>
      </c>
      <c r="E275" s="1101" t="n">
        <v>9.9</v>
      </c>
      <c r="F275" s="1100" t="n">
        <v>2240.4</v>
      </c>
      <c r="G275" s="1101" t="n">
        <v>13.5</v>
      </c>
      <c r="H275" s="1100" t="n">
        <v>2248.4</v>
      </c>
      <c r="I275" s="1101" t="n">
        <v>13.6</v>
      </c>
      <c r="J275" s="1100" t="n">
        <v>669</v>
      </c>
      <c r="K275" s="1101" t="n">
        <v>5.2</v>
      </c>
      <c r="L275" s="1100" t="n">
        <v>668.1</v>
      </c>
      <c r="M275" s="1101" t="n">
        <v>5.2</v>
      </c>
      <c r="N275" s="761" t="inlineStr">
        <is>
          <t>5 week month</t>
        </is>
      </c>
    </row>
    <row r="276">
      <c r="A276" s="776" t="inlineStr">
        <is>
          <t>June 1993</t>
        </is>
      </c>
      <c r="B276" s="1100" t="n">
        <v>2901.8</v>
      </c>
      <c r="C276" s="1101" t="n">
        <v>9.800000000000001</v>
      </c>
      <c r="D276" s="1100" t="n">
        <v>2865</v>
      </c>
      <c r="E276" s="1101" t="n">
        <v>9.699999999999999</v>
      </c>
      <c r="F276" s="1100" t="n">
        <v>2235.3</v>
      </c>
      <c r="G276" s="1101" t="n">
        <v>13.5</v>
      </c>
      <c r="H276" s="1100" t="n">
        <v>2209.2</v>
      </c>
      <c r="I276" s="1101" t="n">
        <v>13.3</v>
      </c>
      <c r="J276" s="1100" t="n">
        <v>666.5</v>
      </c>
      <c r="K276" s="1101" t="n">
        <v>5.1</v>
      </c>
      <c r="L276" s="1100" t="n">
        <v>655.8</v>
      </c>
      <c r="M276" s="1101" t="n">
        <v>5.1</v>
      </c>
      <c r="N276" s="761" t="inlineStr"/>
    </row>
    <row r="277">
      <c r="A277" s="776" t="inlineStr">
        <is>
          <t>July 1993</t>
        </is>
      </c>
      <c r="B277" s="1100" t="n">
        <v>2878.1</v>
      </c>
      <c r="C277" s="1101" t="n">
        <v>9.699999999999999</v>
      </c>
      <c r="D277" s="1100" t="n">
        <v>2929.3</v>
      </c>
      <c r="E277" s="1101" t="n">
        <v>9.9</v>
      </c>
      <c r="F277" s="1100" t="n">
        <v>2222.8</v>
      </c>
      <c r="G277" s="1101" t="n">
        <v>13.4</v>
      </c>
      <c r="H277" s="1100" t="n">
        <v>2231.1</v>
      </c>
      <c r="I277" s="1101" t="n">
        <v>13.5</v>
      </c>
      <c r="J277" s="1100" t="n">
        <v>655.3</v>
      </c>
      <c r="K277" s="1101" t="n">
        <v>5.1</v>
      </c>
      <c r="L277" s="1100" t="n">
        <v>698.2</v>
      </c>
      <c r="M277" s="1101" t="n">
        <v>5.4</v>
      </c>
      <c r="N277" s="761" t="inlineStr"/>
    </row>
    <row r="278">
      <c r="A278" s="776" t="inlineStr">
        <is>
          <t>August 1993</t>
        </is>
      </c>
      <c r="B278" s="1100" t="n">
        <v>2874.8</v>
      </c>
      <c r="C278" s="1101" t="n">
        <v>9.699999999999999</v>
      </c>
      <c r="D278" s="1100" t="n">
        <v>2960</v>
      </c>
      <c r="E278" s="1101" t="n">
        <v>10</v>
      </c>
      <c r="F278" s="1100" t="n">
        <v>2215.2</v>
      </c>
      <c r="G278" s="1101" t="n">
        <v>13.4</v>
      </c>
      <c r="H278" s="1100" t="n">
        <v>2234.4</v>
      </c>
      <c r="I278" s="1101" t="n">
        <v>13.5</v>
      </c>
      <c r="J278" s="1100" t="n">
        <v>659.6</v>
      </c>
      <c r="K278" s="1101" t="n">
        <v>5.1</v>
      </c>
      <c r="L278" s="1100" t="n">
        <v>725.6</v>
      </c>
      <c r="M278" s="1101" t="n">
        <v>5.6</v>
      </c>
      <c r="N278" s="761" t="inlineStr">
        <is>
          <t>5 week month</t>
        </is>
      </c>
    </row>
    <row r="279">
      <c r="A279" s="776" t="inlineStr">
        <is>
          <t>September 1993</t>
        </is>
      </c>
      <c r="B279" s="1100" t="n">
        <v>2855.9</v>
      </c>
      <c r="C279" s="1101" t="n">
        <v>9.699999999999999</v>
      </c>
      <c r="D279" s="1100" t="n">
        <v>2912.1</v>
      </c>
      <c r="E279" s="1101" t="n">
        <v>9.9</v>
      </c>
      <c r="F279" s="1100" t="n">
        <v>2198.6</v>
      </c>
      <c r="G279" s="1101" t="n">
        <v>13.3</v>
      </c>
      <c r="H279" s="1100" t="n">
        <v>2207.2</v>
      </c>
      <c r="I279" s="1101" t="n">
        <v>13.3</v>
      </c>
      <c r="J279" s="1100" t="n">
        <v>657.3</v>
      </c>
      <c r="K279" s="1101" t="n">
        <v>5.1</v>
      </c>
      <c r="L279" s="1100" t="n">
        <v>704.9</v>
      </c>
      <c r="M279" s="1101" t="n">
        <v>5.4</v>
      </c>
      <c r="N279" s="761" t="inlineStr"/>
    </row>
    <row r="280">
      <c r="A280" s="776" t="inlineStr">
        <is>
          <t>October 1993</t>
        </is>
      </c>
      <c r="B280" s="1100" t="n">
        <v>2823.9</v>
      </c>
      <c r="C280" s="1101" t="n">
        <v>9.6</v>
      </c>
      <c r="D280" s="1100" t="n">
        <v>2793.6</v>
      </c>
      <c r="E280" s="1101" t="n">
        <v>9.5</v>
      </c>
      <c r="F280" s="1100" t="n">
        <v>2175.1</v>
      </c>
      <c r="G280" s="1101" t="n">
        <v>13.1</v>
      </c>
      <c r="H280" s="1100" t="n">
        <v>2135.5</v>
      </c>
      <c r="I280" s="1101" t="n">
        <v>12.9</v>
      </c>
      <c r="J280" s="1100" t="n">
        <v>648.8</v>
      </c>
      <c r="K280" s="1101" t="n">
        <v>5</v>
      </c>
      <c r="L280" s="1100" t="n">
        <v>658.1</v>
      </c>
      <c r="M280" s="1101" t="n">
        <v>5.1</v>
      </c>
      <c r="N280" s="761" t="inlineStr">
        <is>
          <t>5 week month</t>
        </is>
      </c>
    </row>
    <row r="281">
      <c r="A281" s="776" t="inlineStr">
        <is>
          <t>November 1993</t>
        </is>
      </c>
      <c r="B281" s="1100" t="n">
        <v>2794.3</v>
      </c>
      <c r="C281" s="1101" t="n">
        <v>9.5</v>
      </c>
      <c r="D281" s="1100" t="n">
        <v>2769.4</v>
      </c>
      <c r="E281" s="1101" t="n">
        <v>9.4</v>
      </c>
      <c r="F281" s="1100" t="n">
        <v>2151.5</v>
      </c>
      <c r="G281" s="1101" t="n">
        <v>13</v>
      </c>
      <c r="H281" s="1100" t="n">
        <v>2124.1</v>
      </c>
      <c r="I281" s="1101" t="n">
        <v>12.8</v>
      </c>
      <c r="J281" s="1100" t="n">
        <v>642.8</v>
      </c>
      <c r="K281" s="1101" t="n">
        <v>5</v>
      </c>
      <c r="L281" s="1100" t="n">
        <v>645.3</v>
      </c>
      <c r="M281" s="1101" t="n">
        <v>5</v>
      </c>
      <c r="N281" s="761" t="inlineStr"/>
    </row>
    <row r="282">
      <c r="A282" s="776" t="inlineStr">
        <is>
          <t>December 1993</t>
        </is>
      </c>
      <c r="B282" s="1100" t="n">
        <v>2764.8</v>
      </c>
      <c r="C282" s="1101" t="n">
        <v>9.4</v>
      </c>
      <c r="D282" s="1100" t="n">
        <v>2782.7</v>
      </c>
      <c r="E282" s="1101" t="n">
        <v>9.4</v>
      </c>
      <c r="F282" s="1100" t="n">
        <v>2128.2</v>
      </c>
      <c r="G282" s="1101" t="n">
        <v>12.8</v>
      </c>
      <c r="H282" s="1100" t="n">
        <v>2146</v>
      </c>
      <c r="I282" s="1101" t="n">
        <v>12.9</v>
      </c>
      <c r="J282" s="1100" t="n">
        <v>636.6</v>
      </c>
      <c r="K282" s="1101" t="n">
        <v>4.9</v>
      </c>
      <c r="L282" s="1100" t="n">
        <v>636.7</v>
      </c>
      <c r="M282" s="1101" t="n">
        <v>4.9</v>
      </c>
      <c r="N282" s="761" t="inlineStr"/>
    </row>
    <row r="283">
      <c r="A283" s="776" t="inlineStr">
        <is>
          <t>January 1994</t>
        </is>
      </c>
      <c r="B283" s="1100" t="n">
        <v>2766</v>
      </c>
      <c r="C283" s="1101" t="n">
        <v>9.4</v>
      </c>
      <c r="D283" s="1100" t="n">
        <v>2889.3</v>
      </c>
      <c r="E283" s="1101" t="n">
        <v>9.800000000000001</v>
      </c>
      <c r="F283" s="1100" t="n">
        <v>2131.1</v>
      </c>
      <c r="G283" s="1101" t="n">
        <v>13</v>
      </c>
      <c r="H283" s="1100" t="n">
        <v>2224.2</v>
      </c>
      <c r="I283" s="1101" t="n">
        <v>13.6</v>
      </c>
      <c r="J283" s="1100" t="n">
        <v>634.9</v>
      </c>
      <c r="K283" s="1101" t="n">
        <v>4.9</v>
      </c>
      <c r="L283" s="1100" t="n">
        <v>665.1</v>
      </c>
      <c r="M283" s="1101" t="n">
        <v>5.1</v>
      </c>
      <c r="N283" s="761" t="inlineStr">
        <is>
          <t>5 week month</t>
        </is>
      </c>
    </row>
    <row r="284">
      <c r="A284" s="776" t="inlineStr">
        <is>
          <t>February 1994</t>
        </is>
      </c>
      <c r="B284" s="1100" t="n">
        <v>2734.2</v>
      </c>
      <c r="C284" s="1101" t="n">
        <v>9.300000000000001</v>
      </c>
      <c r="D284" s="1100" t="n">
        <v>2841.4</v>
      </c>
      <c r="E284" s="1101" t="n">
        <v>9.699999999999999</v>
      </c>
      <c r="F284" s="1100" t="n">
        <v>2104.7</v>
      </c>
      <c r="G284" s="1101" t="n">
        <v>12.9</v>
      </c>
      <c r="H284" s="1100" t="n">
        <v>2184.3</v>
      </c>
      <c r="I284" s="1101" t="n">
        <v>13.4</v>
      </c>
      <c r="J284" s="1100" t="n">
        <v>629.5</v>
      </c>
      <c r="K284" s="1101" t="n">
        <v>4.8</v>
      </c>
      <c r="L284" s="1100" t="n">
        <v>657.1</v>
      </c>
      <c r="M284" s="1101" t="n">
        <v>5.1</v>
      </c>
      <c r="N284" s="761" t="inlineStr"/>
    </row>
    <row r="285">
      <c r="A285" s="776" t="inlineStr">
        <is>
          <t>March 1994</t>
        </is>
      </c>
      <c r="B285" s="1100" t="n">
        <v>2712</v>
      </c>
      <c r="C285" s="1101" t="n">
        <v>9.199999999999999</v>
      </c>
      <c r="D285" s="1100" t="n">
        <v>2777.5</v>
      </c>
      <c r="E285" s="1101" t="n">
        <v>9.5</v>
      </c>
      <c r="F285" s="1100" t="n">
        <v>2086.5</v>
      </c>
      <c r="G285" s="1101" t="n">
        <v>12.8</v>
      </c>
      <c r="H285" s="1100" t="n">
        <v>2136.5</v>
      </c>
      <c r="I285" s="1101" t="n">
        <v>13.1</v>
      </c>
      <c r="J285" s="1100" t="n">
        <v>625.5</v>
      </c>
      <c r="K285" s="1101" t="n">
        <v>4.8</v>
      </c>
      <c r="L285" s="1100" t="n">
        <v>641.1</v>
      </c>
      <c r="M285" s="1101" t="n">
        <v>4.9</v>
      </c>
      <c r="N285" s="761" t="inlineStr"/>
    </row>
    <row r="286">
      <c r="A286" s="776" t="inlineStr">
        <is>
          <t>April 1994</t>
        </is>
      </c>
      <c r="B286" s="1100" t="n">
        <v>2676.3</v>
      </c>
      <c r="C286" s="1101" t="n">
        <v>9.1</v>
      </c>
      <c r="D286" s="1100" t="n">
        <v>2734.4</v>
      </c>
      <c r="E286" s="1101" t="n">
        <v>9.300000000000001</v>
      </c>
      <c r="F286" s="1100" t="n">
        <v>2056.4</v>
      </c>
      <c r="G286" s="1101" t="n">
        <v>12.6</v>
      </c>
      <c r="H286" s="1100" t="n">
        <v>2101.3</v>
      </c>
      <c r="I286" s="1101" t="n">
        <v>12.8</v>
      </c>
      <c r="J286" s="1100" t="n">
        <v>619.9</v>
      </c>
      <c r="K286" s="1101" t="n">
        <v>4.8</v>
      </c>
      <c r="L286" s="1100" t="n">
        <v>633.1</v>
      </c>
      <c r="M286" s="1101" t="n">
        <v>4.9</v>
      </c>
      <c r="N286" s="761" t="inlineStr">
        <is>
          <t>5 week month</t>
        </is>
      </c>
    </row>
    <row r="287">
      <c r="A287" s="776" t="inlineStr">
        <is>
          <t>May 1994</t>
        </is>
      </c>
      <c r="B287" s="1100" t="n">
        <v>2652.6</v>
      </c>
      <c r="C287" s="1101" t="n">
        <v>9</v>
      </c>
      <c r="D287" s="1100" t="n">
        <v>2652.6</v>
      </c>
      <c r="E287" s="1101" t="n">
        <v>9</v>
      </c>
      <c r="F287" s="1100" t="n">
        <v>2038.3</v>
      </c>
      <c r="G287" s="1101" t="n">
        <v>12.5</v>
      </c>
      <c r="H287" s="1100" t="n">
        <v>2042.1</v>
      </c>
      <c r="I287" s="1101" t="n">
        <v>12.5</v>
      </c>
      <c r="J287" s="1100" t="n">
        <v>614.3</v>
      </c>
      <c r="K287" s="1101" t="n">
        <v>4.7</v>
      </c>
      <c r="L287" s="1100" t="n">
        <v>610.5</v>
      </c>
      <c r="M287" s="1101" t="n">
        <v>4.7</v>
      </c>
      <c r="N287" s="761" t="inlineStr"/>
    </row>
    <row r="288">
      <c r="A288" s="776" t="inlineStr">
        <is>
          <t>June 1994</t>
        </is>
      </c>
      <c r="B288" s="1100" t="n">
        <v>2624.9</v>
      </c>
      <c r="C288" s="1101" t="n">
        <v>8.9</v>
      </c>
      <c r="D288" s="1100" t="n">
        <v>2585.6</v>
      </c>
      <c r="E288" s="1101" t="n">
        <v>8.800000000000001</v>
      </c>
      <c r="F288" s="1100" t="n">
        <v>2015.9</v>
      </c>
      <c r="G288" s="1101" t="n">
        <v>12.3</v>
      </c>
      <c r="H288" s="1100" t="n">
        <v>1988.8</v>
      </c>
      <c r="I288" s="1101" t="n">
        <v>12.2</v>
      </c>
      <c r="J288" s="1100" t="n">
        <v>609</v>
      </c>
      <c r="K288" s="1101" t="n">
        <v>4.7</v>
      </c>
      <c r="L288" s="1100" t="n">
        <v>596.8</v>
      </c>
      <c r="M288" s="1101" t="n">
        <v>4.6</v>
      </c>
      <c r="N288" s="761" t="inlineStr"/>
    </row>
    <row r="289">
      <c r="A289" s="776" t="inlineStr">
        <is>
          <t>July 1994</t>
        </is>
      </c>
      <c r="B289" s="1100" t="n">
        <v>2593.5</v>
      </c>
      <c r="C289" s="1101" t="n">
        <v>8.800000000000001</v>
      </c>
      <c r="D289" s="1100" t="n">
        <v>2643.1</v>
      </c>
      <c r="E289" s="1101" t="n">
        <v>9</v>
      </c>
      <c r="F289" s="1100" t="n">
        <v>1989.2</v>
      </c>
      <c r="G289" s="1101" t="n">
        <v>12.2</v>
      </c>
      <c r="H289" s="1100" t="n">
        <v>1998</v>
      </c>
      <c r="I289" s="1101" t="n">
        <v>12.2</v>
      </c>
      <c r="J289" s="1100" t="n">
        <v>604.3</v>
      </c>
      <c r="K289" s="1101" t="n">
        <v>4.6</v>
      </c>
      <c r="L289" s="1100" t="n">
        <v>645.1</v>
      </c>
      <c r="M289" s="1101" t="n">
        <v>5</v>
      </c>
      <c r="N289" s="761" t="inlineStr">
        <is>
          <t>5 week month</t>
        </is>
      </c>
    </row>
    <row r="290">
      <c r="A290" s="776" t="inlineStr">
        <is>
          <t>August 1994</t>
        </is>
      </c>
      <c r="B290" s="1100" t="n">
        <v>2553.2</v>
      </c>
      <c r="C290" s="1101" t="n">
        <v>8.699999999999999</v>
      </c>
      <c r="D290" s="1100" t="n">
        <v>2638.3</v>
      </c>
      <c r="E290" s="1101" t="n">
        <v>9</v>
      </c>
      <c r="F290" s="1100" t="n">
        <v>1958.9</v>
      </c>
      <c r="G290" s="1101" t="n">
        <v>12</v>
      </c>
      <c r="H290" s="1100" t="n">
        <v>1979.1</v>
      </c>
      <c r="I290" s="1101" t="n">
        <v>12.1</v>
      </c>
      <c r="J290" s="1100" t="n">
        <v>594.3</v>
      </c>
      <c r="K290" s="1101" t="n">
        <v>4.6</v>
      </c>
      <c r="L290" s="1100" t="n">
        <v>659.1</v>
      </c>
      <c r="M290" s="1101" t="n">
        <v>5.1</v>
      </c>
      <c r="N290" s="761" t="inlineStr"/>
    </row>
    <row r="291">
      <c r="A291" s="776" t="inlineStr">
        <is>
          <t>September 1994</t>
        </is>
      </c>
      <c r="B291" s="1100" t="n">
        <v>2524.5</v>
      </c>
      <c r="C291" s="1101" t="n">
        <v>8.6</v>
      </c>
      <c r="D291" s="1100" t="n">
        <v>2580.4</v>
      </c>
      <c r="E291" s="1101" t="n">
        <v>8.800000000000001</v>
      </c>
      <c r="F291" s="1100" t="n">
        <v>1937.4</v>
      </c>
      <c r="G291" s="1101" t="n">
        <v>11.8</v>
      </c>
      <c r="H291" s="1100" t="n">
        <v>1947.3</v>
      </c>
      <c r="I291" s="1101" t="n">
        <v>11.9</v>
      </c>
      <c r="J291" s="1100" t="n">
        <v>587.1</v>
      </c>
      <c r="K291" s="1101" t="n">
        <v>4.5</v>
      </c>
      <c r="L291" s="1100" t="n">
        <v>633.1</v>
      </c>
      <c r="M291" s="1101" t="n">
        <v>4.9</v>
      </c>
      <c r="N291" s="761" t="inlineStr"/>
    </row>
    <row r="292">
      <c r="A292" s="776" t="inlineStr">
        <is>
          <t>October 1994</t>
        </is>
      </c>
      <c r="B292" s="1100" t="n">
        <v>2484.9</v>
      </c>
      <c r="C292" s="1101" t="n">
        <v>8.5</v>
      </c>
      <c r="D292" s="1100" t="n">
        <v>2455</v>
      </c>
      <c r="E292" s="1101" t="n">
        <v>8.4</v>
      </c>
      <c r="F292" s="1100" t="n">
        <v>1906.5</v>
      </c>
      <c r="G292" s="1101" t="n">
        <v>11.7</v>
      </c>
      <c r="H292" s="1100" t="n">
        <v>1868.2</v>
      </c>
      <c r="I292" s="1101" t="n">
        <v>11.4</v>
      </c>
      <c r="J292" s="1100" t="n">
        <v>578.4</v>
      </c>
      <c r="K292" s="1101" t="n">
        <v>4.4</v>
      </c>
      <c r="L292" s="1100" t="n">
        <v>586.9</v>
      </c>
      <c r="M292" s="1101" t="n">
        <v>4.5</v>
      </c>
      <c r="N292" s="761" t="inlineStr">
        <is>
          <t>5 week month</t>
        </is>
      </c>
    </row>
    <row r="293">
      <c r="A293" s="776" t="inlineStr">
        <is>
          <t>November 1994</t>
        </is>
      </c>
      <c r="B293" s="1100" t="n">
        <v>2453.5</v>
      </c>
      <c r="C293" s="1101" t="n">
        <v>8.4</v>
      </c>
      <c r="D293" s="1100" t="n">
        <v>2423</v>
      </c>
      <c r="E293" s="1101" t="n">
        <v>8.300000000000001</v>
      </c>
      <c r="F293" s="1100" t="n">
        <v>1880.1</v>
      </c>
      <c r="G293" s="1101" t="n">
        <v>11.5</v>
      </c>
      <c r="H293" s="1100" t="n">
        <v>1848.9</v>
      </c>
      <c r="I293" s="1101" t="n">
        <v>11.3</v>
      </c>
      <c r="J293" s="1100" t="n">
        <v>573.4</v>
      </c>
      <c r="K293" s="1101" t="n">
        <v>4.4</v>
      </c>
      <c r="L293" s="1100" t="n">
        <v>574.1</v>
      </c>
      <c r="M293" s="1101" t="n">
        <v>4.4</v>
      </c>
      <c r="N293" s="761" t="inlineStr"/>
    </row>
    <row r="294">
      <c r="A294" s="776" t="inlineStr">
        <is>
          <t>December 1994</t>
        </is>
      </c>
      <c r="B294" s="1100" t="n">
        <v>2407.4</v>
      </c>
      <c r="C294" s="1101" t="n">
        <v>8.199999999999999</v>
      </c>
      <c r="D294" s="1100" t="n">
        <v>2417</v>
      </c>
      <c r="E294" s="1101" t="n">
        <v>8.199999999999999</v>
      </c>
      <c r="F294" s="1100" t="n">
        <v>1842.3</v>
      </c>
      <c r="G294" s="1101" t="n">
        <v>11.3</v>
      </c>
      <c r="H294" s="1100" t="n">
        <v>1854.3</v>
      </c>
      <c r="I294" s="1101" t="n">
        <v>11.3</v>
      </c>
      <c r="J294" s="1100" t="n">
        <v>565.1</v>
      </c>
      <c r="K294" s="1101" t="n">
        <v>4.3</v>
      </c>
      <c r="L294" s="1100" t="n">
        <v>562.7</v>
      </c>
      <c r="M294" s="1101" t="n">
        <v>4.3</v>
      </c>
      <c r="N294" s="761" t="inlineStr"/>
    </row>
    <row r="295">
      <c r="A295" s="776" t="inlineStr">
        <is>
          <t>January 1995</t>
        </is>
      </c>
      <c r="B295" s="1100" t="n">
        <v>2387.3</v>
      </c>
      <c r="C295" s="1101" t="n">
        <v>7.9</v>
      </c>
      <c r="D295" s="1100" t="n">
        <v>2503.4</v>
      </c>
      <c r="E295" s="1101" t="n">
        <v>8.300000000000001</v>
      </c>
      <c r="F295" s="1100" t="n">
        <v>1828.9</v>
      </c>
      <c r="G295" s="1101" t="n">
        <v>11</v>
      </c>
      <c r="H295" s="1100" t="n">
        <v>1918.2</v>
      </c>
      <c r="I295" s="1101" t="n">
        <v>11.5</v>
      </c>
      <c r="J295" s="1100" t="n">
        <v>558.4</v>
      </c>
      <c r="K295" s="1101" t="n">
        <v>4.2</v>
      </c>
      <c r="L295" s="1100" t="n">
        <v>585.1</v>
      </c>
      <c r="M295" s="1101" t="n">
        <v>4.4</v>
      </c>
      <c r="N295" s="761" t="inlineStr">
        <is>
          <t>5 week month</t>
        </is>
      </c>
    </row>
    <row r="296">
      <c r="A296" s="776" t="inlineStr">
        <is>
          <t>February 1995</t>
        </is>
      </c>
      <c r="B296" s="1100" t="n">
        <v>2358.6</v>
      </c>
      <c r="C296" s="1101" t="n">
        <v>7.9</v>
      </c>
      <c r="D296" s="1100" t="n">
        <v>2458.8</v>
      </c>
      <c r="E296" s="1101" t="n">
        <v>8.199999999999999</v>
      </c>
      <c r="F296" s="1100" t="n">
        <v>1806.3</v>
      </c>
      <c r="G296" s="1101" t="n">
        <v>10.9</v>
      </c>
      <c r="H296" s="1100" t="n">
        <v>1882.3</v>
      </c>
      <c r="I296" s="1101" t="n">
        <v>11.3</v>
      </c>
      <c r="J296" s="1100" t="n">
        <v>552.3</v>
      </c>
      <c r="K296" s="1101" t="n">
        <v>4.1</v>
      </c>
      <c r="L296" s="1100" t="n">
        <v>576.5</v>
      </c>
      <c r="M296" s="1101" t="n">
        <v>4.3</v>
      </c>
      <c r="N296" s="761" t="inlineStr"/>
    </row>
    <row r="297">
      <c r="A297" s="776" t="inlineStr">
        <is>
          <t>March 1995</t>
        </is>
      </c>
      <c r="B297" s="1100" t="n">
        <v>2341.9</v>
      </c>
      <c r="C297" s="1101" t="n">
        <v>7.8</v>
      </c>
      <c r="D297" s="1100" t="n">
        <v>2398.3</v>
      </c>
      <c r="E297" s="1101" t="n">
        <v>8</v>
      </c>
      <c r="F297" s="1100" t="n">
        <v>1793.6</v>
      </c>
      <c r="G297" s="1101" t="n">
        <v>10.8</v>
      </c>
      <c r="H297" s="1100" t="n">
        <v>1838.8</v>
      </c>
      <c r="I297" s="1101" t="n">
        <v>11.1</v>
      </c>
      <c r="J297" s="1100" t="n">
        <v>548.3</v>
      </c>
      <c r="K297" s="1101" t="n">
        <v>4.1</v>
      </c>
      <c r="L297" s="1100" t="n">
        <v>559.5</v>
      </c>
      <c r="M297" s="1101" t="n">
        <v>4.2</v>
      </c>
      <c r="N297" s="761" t="inlineStr"/>
    </row>
    <row r="298">
      <c r="A298" s="776" t="inlineStr">
        <is>
          <t>April 1995</t>
        </is>
      </c>
      <c r="B298" s="1100" t="n">
        <v>2319.6</v>
      </c>
      <c r="C298" s="1101" t="n">
        <v>7.7</v>
      </c>
      <c r="D298" s="1100" t="n">
        <v>2375.3</v>
      </c>
      <c r="E298" s="1101" t="n">
        <v>7.9</v>
      </c>
      <c r="F298" s="1100" t="n">
        <v>1775.9</v>
      </c>
      <c r="G298" s="1101" t="n">
        <v>10.7</v>
      </c>
      <c r="H298" s="1100" t="n">
        <v>1815.5</v>
      </c>
      <c r="I298" s="1101" t="n">
        <v>10.9</v>
      </c>
      <c r="J298" s="1100" t="n">
        <v>543.7</v>
      </c>
      <c r="K298" s="1101" t="n">
        <v>4.1</v>
      </c>
      <c r="L298" s="1100" t="n">
        <v>559.8</v>
      </c>
      <c r="M298" s="1101" t="n">
        <v>4.2</v>
      </c>
      <c r="N298" s="761" t="inlineStr">
        <is>
          <t>5 week month</t>
        </is>
      </c>
    </row>
    <row r="299">
      <c r="A299" s="776" t="inlineStr">
        <is>
          <t>May 1995</t>
        </is>
      </c>
      <c r="B299" s="1100" t="n">
        <v>2307.1</v>
      </c>
      <c r="C299" s="1101" t="n">
        <v>7.7</v>
      </c>
      <c r="D299" s="1100" t="n">
        <v>2302.3</v>
      </c>
      <c r="E299" s="1101" t="n">
        <v>7.7</v>
      </c>
      <c r="F299" s="1100" t="n">
        <v>1765.2</v>
      </c>
      <c r="G299" s="1101" t="n">
        <v>10.6</v>
      </c>
      <c r="H299" s="1100" t="n">
        <v>1766.1</v>
      </c>
      <c r="I299" s="1101" t="n">
        <v>10.6</v>
      </c>
      <c r="J299" s="1100" t="n">
        <v>541.9</v>
      </c>
      <c r="K299" s="1101" t="n">
        <v>4</v>
      </c>
      <c r="L299" s="1100" t="n">
        <v>536.2</v>
      </c>
      <c r="M299" s="1101" t="n">
        <v>4</v>
      </c>
      <c r="N299" s="761" t="inlineStr"/>
    </row>
    <row r="300">
      <c r="A300" s="776" t="inlineStr">
        <is>
          <t>June 1995</t>
        </is>
      </c>
      <c r="B300" s="1100" t="n">
        <v>2294</v>
      </c>
      <c r="C300" s="1101" t="n">
        <v>7.6</v>
      </c>
      <c r="D300" s="1100" t="n">
        <v>2254.5</v>
      </c>
      <c r="E300" s="1101" t="n">
        <v>7.5</v>
      </c>
      <c r="F300" s="1100" t="n">
        <v>1755.6</v>
      </c>
      <c r="G300" s="1101" t="n">
        <v>10.6</v>
      </c>
      <c r="H300" s="1100" t="n">
        <v>1728.9</v>
      </c>
      <c r="I300" s="1101" t="n">
        <v>10.4</v>
      </c>
      <c r="J300" s="1100" t="n">
        <v>538.4</v>
      </c>
      <c r="K300" s="1101" t="n">
        <v>4</v>
      </c>
      <c r="L300" s="1100" t="n">
        <v>525.6</v>
      </c>
      <c r="M300" s="1101" t="n">
        <v>3.9</v>
      </c>
      <c r="N300" s="761" t="inlineStr"/>
    </row>
    <row r="301">
      <c r="A301" s="776" t="inlineStr">
        <is>
          <t>July 1995</t>
        </is>
      </c>
      <c r="B301" s="1100" t="n">
        <v>2283.5</v>
      </c>
      <c r="C301" s="1101" t="n">
        <v>7.6</v>
      </c>
      <c r="D301" s="1100" t="n">
        <v>2336.2</v>
      </c>
      <c r="E301" s="1101" t="n">
        <v>7.8</v>
      </c>
      <c r="F301" s="1100" t="n">
        <v>1747</v>
      </c>
      <c r="G301" s="1101" t="n">
        <v>10.5</v>
      </c>
      <c r="H301" s="1100" t="n">
        <v>1758.6</v>
      </c>
      <c r="I301" s="1101" t="n">
        <v>10.6</v>
      </c>
      <c r="J301" s="1100" t="n">
        <v>536.5</v>
      </c>
      <c r="K301" s="1101" t="n">
        <v>4</v>
      </c>
      <c r="L301" s="1100" t="n">
        <v>577.5</v>
      </c>
      <c r="M301" s="1101" t="n">
        <v>4.3</v>
      </c>
      <c r="N301" s="761" t="inlineStr">
        <is>
          <t>5 week month</t>
        </is>
      </c>
    </row>
    <row r="302">
      <c r="A302" s="776" t="inlineStr">
        <is>
          <t>August 1995</t>
        </is>
      </c>
      <c r="B302" s="1100" t="n">
        <v>2260.7</v>
      </c>
      <c r="C302" s="1101" t="n">
        <v>7.5</v>
      </c>
      <c r="D302" s="1100" t="n">
        <v>2350.2</v>
      </c>
      <c r="E302" s="1101" t="n">
        <v>7.8</v>
      </c>
      <c r="F302" s="1100" t="n">
        <v>1729.7</v>
      </c>
      <c r="G302" s="1101" t="n">
        <v>10.4</v>
      </c>
      <c r="H302" s="1100" t="n">
        <v>1753.7</v>
      </c>
      <c r="I302" s="1101" t="n">
        <v>10.5</v>
      </c>
      <c r="J302" s="1100" t="n">
        <v>531</v>
      </c>
      <c r="K302" s="1101" t="n">
        <v>4</v>
      </c>
      <c r="L302" s="1100" t="n">
        <v>596.4</v>
      </c>
      <c r="M302" s="1101" t="n">
        <v>4.4</v>
      </c>
      <c r="N302" s="761" t="inlineStr"/>
    </row>
    <row r="303">
      <c r="A303" s="776" t="inlineStr">
        <is>
          <t>September 1995</t>
        </is>
      </c>
      <c r="B303" s="1100" t="n">
        <v>2233.9</v>
      </c>
      <c r="C303" s="1101" t="n">
        <v>7.4</v>
      </c>
      <c r="D303" s="1100" t="n">
        <v>2292.2</v>
      </c>
      <c r="E303" s="1101" t="n">
        <v>7.6</v>
      </c>
      <c r="F303" s="1100" t="n">
        <v>1711.3</v>
      </c>
      <c r="G303" s="1101" t="n">
        <v>10.3</v>
      </c>
      <c r="H303" s="1100" t="n">
        <v>1724</v>
      </c>
      <c r="I303" s="1101" t="n">
        <v>10.4</v>
      </c>
      <c r="J303" s="1100" t="n">
        <v>522.6</v>
      </c>
      <c r="K303" s="1101" t="n">
        <v>3.9</v>
      </c>
      <c r="L303" s="1100" t="n">
        <v>568.2</v>
      </c>
      <c r="M303" s="1101" t="n">
        <v>4.2</v>
      </c>
      <c r="N303" s="761" t="inlineStr">
        <is>
          <t>5 week month</t>
        </is>
      </c>
    </row>
    <row r="304">
      <c r="A304" s="776" t="inlineStr">
        <is>
          <t>October 1995</t>
        </is>
      </c>
      <c r="B304" s="1100" t="n">
        <v>2238.7</v>
      </c>
      <c r="C304" s="1101" t="n">
        <v>7.5</v>
      </c>
      <c r="D304" s="1100" t="n">
        <v>2212.3</v>
      </c>
      <c r="E304" s="1101" t="n">
        <v>7.4</v>
      </c>
      <c r="F304" s="1100" t="n">
        <v>1711.7</v>
      </c>
      <c r="G304" s="1101" t="n">
        <v>10.3</v>
      </c>
      <c r="H304" s="1100" t="n">
        <v>1676.4</v>
      </c>
      <c r="I304" s="1101" t="n">
        <v>10.1</v>
      </c>
      <c r="J304" s="1100" t="n">
        <v>527</v>
      </c>
      <c r="K304" s="1101" t="n">
        <v>3.9</v>
      </c>
      <c r="L304" s="1100" t="n">
        <v>535.9</v>
      </c>
      <c r="M304" s="1101" t="n">
        <v>4</v>
      </c>
      <c r="N304" s="761" t="inlineStr"/>
    </row>
    <row r="305">
      <c r="A305" s="776" t="inlineStr">
        <is>
          <t>November 1995</t>
        </is>
      </c>
      <c r="B305" s="1100" t="n">
        <v>2228.8</v>
      </c>
      <c r="C305" s="1101" t="n">
        <v>7.4</v>
      </c>
      <c r="D305" s="1100" t="n">
        <v>2196.1</v>
      </c>
      <c r="E305" s="1101" t="n">
        <v>7.3</v>
      </c>
      <c r="F305" s="1100" t="n">
        <v>1703.3</v>
      </c>
      <c r="G305" s="1101" t="n">
        <v>10.2</v>
      </c>
      <c r="H305" s="1100" t="n">
        <v>1670.7</v>
      </c>
      <c r="I305" s="1101" t="n">
        <v>10</v>
      </c>
      <c r="J305" s="1100" t="n">
        <v>525.5</v>
      </c>
      <c r="K305" s="1101" t="n">
        <v>3.9</v>
      </c>
      <c r="L305" s="1100" t="n">
        <v>525.5</v>
      </c>
      <c r="M305" s="1101" t="n">
        <v>3.9</v>
      </c>
      <c r="N305" s="761" t="inlineStr"/>
    </row>
    <row r="306">
      <c r="A306" s="776" t="inlineStr">
        <is>
          <t>December 1995</t>
        </is>
      </c>
      <c r="B306" s="1100" t="n">
        <v>2221.8</v>
      </c>
      <c r="C306" s="1101" t="n">
        <v>7.4</v>
      </c>
      <c r="D306" s="1100" t="n">
        <v>2228.2</v>
      </c>
      <c r="E306" s="1101" t="n">
        <v>7.4</v>
      </c>
      <c r="F306" s="1100" t="n">
        <v>1697.7</v>
      </c>
      <c r="G306" s="1101" t="n">
        <v>10.2</v>
      </c>
      <c r="H306" s="1100" t="n">
        <v>1707.2</v>
      </c>
      <c r="I306" s="1101" t="n">
        <v>10.3</v>
      </c>
      <c r="J306" s="1100" t="n">
        <v>524.1</v>
      </c>
      <c r="K306" s="1101" t="n">
        <v>3.9</v>
      </c>
      <c r="L306" s="1100" t="n">
        <v>521</v>
      </c>
      <c r="M306" s="1101" t="n">
        <v>3.9</v>
      </c>
      <c r="N306" s="761" t="inlineStr">
        <is>
          <t>5 week month</t>
        </is>
      </c>
    </row>
    <row r="307">
      <c r="A307" s="776" t="inlineStr">
        <is>
          <t>January 1996</t>
        </is>
      </c>
      <c r="B307" s="1100" t="n">
        <v>2198.4</v>
      </c>
      <c r="C307" s="1101" t="n">
        <v>7.5</v>
      </c>
      <c r="D307" s="1100" t="n">
        <v>2310.5</v>
      </c>
      <c r="E307" s="1101" t="n">
        <v>7.9</v>
      </c>
      <c r="F307" s="1100" t="n">
        <v>1679</v>
      </c>
      <c r="G307" s="1101" t="n">
        <v>10.8</v>
      </c>
      <c r="H307" s="1100" t="n">
        <v>1766.4</v>
      </c>
      <c r="I307" s="1101" t="n">
        <v>11.4</v>
      </c>
      <c r="J307" s="1100" t="n">
        <v>519.4</v>
      </c>
      <c r="K307" s="1101" t="n">
        <v>3.8</v>
      </c>
      <c r="L307" s="1100" t="n">
        <v>544.1</v>
      </c>
      <c r="M307" s="1101" t="n">
        <v>3.9</v>
      </c>
      <c r="N307" s="761" t="inlineStr"/>
    </row>
    <row r="308">
      <c r="A308" s="776" t="inlineStr">
        <is>
          <t>February 1996</t>
        </is>
      </c>
      <c r="B308" s="1100" t="n">
        <v>2205.2</v>
      </c>
      <c r="C308" s="1101" t="n">
        <v>7.5</v>
      </c>
      <c r="D308" s="1100" t="n">
        <v>2303</v>
      </c>
      <c r="E308" s="1101" t="n">
        <v>7.8</v>
      </c>
      <c r="F308" s="1100" t="n">
        <v>1686</v>
      </c>
      <c r="G308" s="1101" t="n">
        <v>10.8</v>
      </c>
      <c r="H308" s="1100" t="n">
        <v>1761</v>
      </c>
      <c r="I308" s="1101" t="n">
        <v>11.3</v>
      </c>
      <c r="J308" s="1100" t="n">
        <v>519.2</v>
      </c>
      <c r="K308" s="1101" t="n">
        <v>3.8</v>
      </c>
      <c r="L308" s="1100" t="n">
        <v>541.9</v>
      </c>
      <c r="M308" s="1101" t="n">
        <v>3.9</v>
      </c>
      <c r="N308" s="761" t="inlineStr"/>
    </row>
    <row r="309">
      <c r="A309" s="776" t="inlineStr">
        <is>
          <t>March 1996</t>
        </is>
      </c>
      <c r="B309" s="1100" t="n">
        <v>2179.1</v>
      </c>
      <c r="C309" s="1101" t="n">
        <v>7.4</v>
      </c>
      <c r="D309" s="1100" t="n">
        <v>2230.8</v>
      </c>
      <c r="E309" s="1101" t="n">
        <v>7.6</v>
      </c>
      <c r="F309" s="1100" t="n">
        <v>1664.7</v>
      </c>
      <c r="G309" s="1101" t="n">
        <v>10.7</v>
      </c>
      <c r="H309" s="1100" t="n">
        <v>1707.2</v>
      </c>
      <c r="I309" s="1101" t="n">
        <v>11</v>
      </c>
      <c r="J309" s="1100" t="n">
        <v>514.4</v>
      </c>
      <c r="K309" s="1101" t="n">
        <v>3.7</v>
      </c>
      <c r="L309" s="1100" t="n">
        <v>523.6</v>
      </c>
      <c r="M309" s="1101" t="n">
        <v>3.8</v>
      </c>
      <c r="N309" s="761" t="inlineStr">
        <is>
          <t>5 week month</t>
        </is>
      </c>
    </row>
    <row r="310">
      <c r="A310" s="776" t="inlineStr">
        <is>
          <t>April 1996</t>
        </is>
      </c>
      <c r="B310" s="1100" t="n">
        <v>2171.1</v>
      </c>
      <c r="C310" s="1101" t="n">
        <v>7.4</v>
      </c>
      <c r="D310" s="1100" t="n">
        <v>2223.9</v>
      </c>
      <c r="E310" s="1101" t="n">
        <v>7.6</v>
      </c>
      <c r="F310" s="1100" t="n">
        <v>1657.6</v>
      </c>
      <c r="G310" s="1101" t="n">
        <v>10.7</v>
      </c>
      <c r="H310" s="1100" t="n">
        <v>1695.5</v>
      </c>
      <c r="I310" s="1101" t="n">
        <v>10.9</v>
      </c>
      <c r="J310" s="1100" t="n">
        <v>513.5</v>
      </c>
      <c r="K310" s="1101" t="n">
        <v>3.7</v>
      </c>
      <c r="L310" s="1100" t="n">
        <v>528.5</v>
      </c>
      <c r="M310" s="1101" t="n">
        <v>3.8</v>
      </c>
      <c r="N310" s="761" t="inlineStr"/>
    </row>
    <row r="311">
      <c r="A311" s="776" t="inlineStr">
        <is>
          <t>May 1996</t>
        </is>
      </c>
      <c r="B311" s="1100" t="n">
        <v>2153</v>
      </c>
      <c r="C311" s="1101" t="n">
        <v>7.3</v>
      </c>
      <c r="D311" s="1100" t="n">
        <v>2147.4</v>
      </c>
      <c r="E311" s="1101" t="n">
        <v>7.3</v>
      </c>
      <c r="F311" s="1100" t="n">
        <v>1643.1</v>
      </c>
      <c r="G311" s="1101" t="n">
        <v>10.6</v>
      </c>
      <c r="H311" s="1100" t="n">
        <v>1643.9</v>
      </c>
      <c r="I311" s="1101" t="n">
        <v>10.6</v>
      </c>
      <c r="J311" s="1100" t="n">
        <v>509.9</v>
      </c>
      <c r="K311" s="1101" t="n">
        <v>3.7</v>
      </c>
      <c r="L311" s="1100" t="n">
        <v>503.5</v>
      </c>
      <c r="M311" s="1101" t="n">
        <v>3.6</v>
      </c>
      <c r="N311" s="761" t="inlineStr"/>
    </row>
    <row r="312">
      <c r="A312" s="776" t="inlineStr">
        <is>
          <t>June 1996</t>
        </is>
      </c>
      <c r="B312" s="1100" t="n">
        <v>2134.5</v>
      </c>
      <c r="C312" s="1101" t="n">
        <v>7.3</v>
      </c>
      <c r="D312" s="1100" t="n">
        <v>2096.3</v>
      </c>
      <c r="E312" s="1101" t="n">
        <v>7.1</v>
      </c>
      <c r="F312" s="1100" t="n">
        <v>1625.3</v>
      </c>
      <c r="G312" s="1101" t="n">
        <v>10.4</v>
      </c>
      <c r="H312" s="1100" t="n">
        <v>1599.5</v>
      </c>
      <c r="I312" s="1101" t="n">
        <v>10.3</v>
      </c>
      <c r="J312" s="1100" t="n">
        <v>509.2</v>
      </c>
      <c r="K312" s="1101" t="n">
        <v>3.7</v>
      </c>
      <c r="L312" s="1100" t="n">
        <v>496.8</v>
      </c>
      <c r="M312" s="1101" t="n">
        <v>3.6</v>
      </c>
      <c r="N312" s="761" t="inlineStr">
        <is>
          <t>5 week month</t>
        </is>
      </c>
    </row>
    <row r="313">
      <c r="A313" s="776" t="inlineStr">
        <is>
          <t>July 1996</t>
        </is>
      </c>
      <c r="B313" s="1100" t="n">
        <v>2103.4</v>
      </c>
      <c r="C313" s="1101" t="n">
        <v>7.2</v>
      </c>
      <c r="D313" s="1100" t="n">
        <v>2158.1</v>
      </c>
      <c r="E313" s="1101" t="n">
        <v>7.3</v>
      </c>
      <c r="F313" s="1100" t="n">
        <v>1603.3</v>
      </c>
      <c r="G313" s="1101" t="n">
        <v>10.3</v>
      </c>
      <c r="H313" s="1100" t="n">
        <v>1616.5</v>
      </c>
      <c r="I313" s="1101" t="n">
        <v>10.4</v>
      </c>
      <c r="J313" s="1100" t="n">
        <v>500.1</v>
      </c>
      <c r="K313" s="1101" t="n">
        <v>3.6</v>
      </c>
      <c r="L313" s="1100" t="n">
        <v>541.6</v>
      </c>
      <c r="M313" s="1101" t="n">
        <v>3.9</v>
      </c>
      <c r="N313" s="761" t="inlineStr"/>
    </row>
    <row r="314">
      <c r="A314" s="776" t="inlineStr">
        <is>
          <t>August 1996</t>
        </is>
      </c>
      <c r="B314" s="1100" t="n">
        <v>2083</v>
      </c>
      <c r="C314" s="1101" t="n">
        <v>7.1</v>
      </c>
      <c r="D314" s="1100" t="n">
        <v>2176.4</v>
      </c>
      <c r="E314" s="1101" t="n">
        <v>7.4</v>
      </c>
      <c r="F314" s="1100" t="n">
        <v>1587</v>
      </c>
      <c r="G314" s="1101" t="n">
        <v>10.2</v>
      </c>
      <c r="H314" s="1100" t="n">
        <v>1614.1</v>
      </c>
      <c r="I314" s="1101" t="n">
        <v>10.4</v>
      </c>
      <c r="J314" s="1100" t="n">
        <v>496</v>
      </c>
      <c r="K314" s="1101" t="n">
        <v>3.6</v>
      </c>
      <c r="L314" s="1100" t="n">
        <v>562.4</v>
      </c>
      <c r="M314" s="1101" t="n">
        <v>4.1</v>
      </c>
      <c r="N314" s="761" t="inlineStr"/>
    </row>
    <row r="315">
      <c r="A315" s="776" t="inlineStr">
        <is>
          <t>September 1996</t>
        </is>
      </c>
      <c r="B315" s="1100" t="n">
        <v>2043.8</v>
      </c>
      <c r="C315" s="1101" t="n">
        <v>7</v>
      </c>
      <c r="D315" s="1100" t="n">
        <v>2103.7</v>
      </c>
      <c r="E315" s="1101" t="n">
        <v>7.2</v>
      </c>
      <c r="F315" s="1100" t="n">
        <v>1558</v>
      </c>
      <c r="G315" s="1101" t="n">
        <v>10</v>
      </c>
      <c r="H315" s="1100" t="n">
        <v>1572.4</v>
      </c>
      <c r="I315" s="1101" t="n">
        <v>10.1</v>
      </c>
      <c r="J315" s="1100" t="n">
        <v>485.8</v>
      </c>
      <c r="K315" s="1101" t="n">
        <v>3.5</v>
      </c>
      <c r="L315" s="1100" t="n">
        <v>531.4</v>
      </c>
      <c r="M315" s="1101" t="n">
        <v>3.8</v>
      </c>
      <c r="N315" s="761" t="inlineStr">
        <is>
          <t>5 week month</t>
        </is>
      </c>
    </row>
    <row r="316">
      <c r="A316" s="776" t="inlineStr">
        <is>
          <t>October 1996</t>
        </is>
      </c>
      <c r="B316" s="1100" t="n">
        <v>2002.4</v>
      </c>
      <c r="C316" s="1101" t="n">
        <v>6.8</v>
      </c>
      <c r="D316" s="1100" t="n">
        <v>1977.2</v>
      </c>
      <c r="E316" s="1101" t="n">
        <v>6.7</v>
      </c>
      <c r="F316" s="1100" t="n">
        <v>1526.6</v>
      </c>
      <c r="G316" s="1101" t="n">
        <v>9.800000000000001</v>
      </c>
      <c r="H316" s="1100" t="n">
        <v>1492.6</v>
      </c>
      <c r="I316" s="1101" t="n">
        <v>9.6</v>
      </c>
      <c r="J316" s="1100" t="n">
        <v>475.8</v>
      </c>
      <c r="K316" s="1101" t="n">
        <v>3.4</v>
      </c>
      <c r="L316" s="1100" t="n">
        <v>484.6</v>
      </c>
      <c r="M316" s="1101" t="n">
        <v>3.5</v>
      </c>
      <c r="N316" s="761" t="inlineStr"/>
    </row>
    <row r="317">
      <c r="A317" s="776" t="inlineStr">
        <is>
          <t>November 1996</t>
        </is>
      </c>
      <c r="B317" s="1100" t="n">
        <v>1903.9</v>
      </c>
      <c r="C317" s="1101" t="n">
        <v>6.5</v>
      </c>
      <c r="D317" s="1100" t="n">
        <v>1871.4</v>
      </c>
      <c r="E317" s="1101" t="n">
        <v>6.4</v>
      </c>
      <c r="F317" s="1100" t="n">
        <v>1455.4</v>
      </c>
      <c r="G317" s="1101" t="n">
        <v>9.4</v>
      </c>
      <c r="H317" s="1100" t="n">
        <v>1424.1</v>
      </c>
      <c r="I317" s="1101" t="n">
        <v>9.199999999999999</v>
      </c>
      <c r="J317" s="1100" t="n">
        <v>448.5</v>
      </c>
      <c r="K317" s="1101" t="n">
        <v>3.2</v>
      </c>
      <c r="L317" s="1100" t="n">
        <v>447.3</v>
      </c>
      <c r="M317" s="1101" t="n">
        <v>3.2</v>
      </c>
      <c r="N317" s="761" t="inlineStr">
        <is>
          <t>5 week month</t>
        </is>
      </c>
    </row>
    <row r="318">
      <c r="A318" s="776" t="inlineStr">
        <is>
          <t>December 1996</t>
        </is>
      </c>
      <c r="B318" s="1100" t="n">
        <v>1872.1</v>
      </c>
      <c r="C318" s="1101" t="n">
        <v>6.4</v>
      </c>
      <c r="D318" s="1100" t="n">
        <v>1868.2</v>
      </c>
      <c r="E318" s="1101" t="n">
        <v>6.4</v>
      </c>
      <c r="F318" s="1100" t="n">
        <v>1431.2</v>
      </c>
      <c r="G318" s="1101" t="n">
        <v>9.199999999999999</v>
      </c>
      <c r="H318" s="1100" t="n">
        <v>1430.5</v>
      </c>
      <c r="I318" s="1101" t="n">
        <v>9.199999999999999</v>
      </c>
      <c r="J318" s="1100" t="n">
        <v>440.9</v>
      </c>
      <c r="K318" s="1101" t="n">
        <v>3.2</v>
      </c>
      <c r="L318" s="1100" t="n">
        <v>437.7</v>
      </c>
      <c r="M318" s="1101" t="n">
        <v>3.2</v>
      </c>
      <c r="N318" s="761" t="inlineStr"/>
    </row>
    <row r="319">
      <c r="A319" s="776" t="inlineStr">
        <is>
          <t>January 1997</t>
        </is>
      </c>
      <c r="B319" s="1100" t="n">
        <v>1818.4</v>
      </c>
      <c r="C319" s="1100" t="n">
        <v>6.00239125179863</v>
      </c>
      <c r="D319" s="1100" t="n">
        <v>1907.8</v>
      </c>
      <c r="E319" s="1100" t="n">
        <v>6.297493417389697</v>
      </c>
      <c r="F319" s="1100" t="n">
        <v>1393</v>
      </c>
      <c r="G319" s="1100" t="n">
        <v>8.563945065827411</v>
      </c>
      <c r="H319" s="1100" t="n">
        <v>1463.5</v>
      </c>
      <c r="I319" s="1100" t="n">
        <v>8.997367985526502</v>
      </c>
      <c r="J319" s="1100" t="n">
        <v>425.4</v>
      </c>
      <c r="K319" s="1100" t="n">
        <v>3.032349696782851</v>
      </c>
      <c r="L319" s="1100" t="n">
        <v>444.3</v>
      </c>
      <c r="M319" s="1100" t="n">
        <v>3.167073272874049</v>
      </c>
      <c r="N319" s="761" t="inlineStr"/>
    </row>
    <row r="320">
      <c r="A320" s="776" t="inlineStr">
        <is>
          <t>February 1997</t>
        </is>
      </c>
      <c r="B320" s="1100" t="n">
        <v>1752.8</v>
      </c>
      <c r="C320" s="1100" t="n">
        <v>5.785850960268719</v>
      </c>
      <c r="D320" s="1100" t="n">
        <v>1827.8</v>
      </c>
      <c r="E320" s="1100" t="n">
        <v>6.033419891133708</v>
      </c>
      <c r="F320" s="1100" t="n">
        <v>1345.8</v>
      </c>
      <c r="G320" s="1100" t="n">
        <v>8.273766884128163</v>
      </c>
      <c r="H320" s="1100" t="n">
        <v>1403.3</v>
      </c>
      <c r="I320" s="1100" t="n">
        <v>8.627267847003308</v>
      </c>
      <c r="J320" s="1100" t="n">
        <v>407</v>
      </c>
      <c r="K320" s="1100" t="n">
        <v>2.901190236461261</v>
      </c>
      <c r="L320" s="1100" t="n">
        <v>424.5</v>
      </c>
      <c r="M320" s="1100" t="n">
        <v>3.025934288397556</v>
      </c>
      <c r="N320" s="761" t="inlineStr">
        <is>
          <t>5 week month</t>
        </is>
      </c>
    </row>
    <row r="321">
      <c r="A321" s="776" t="inlineStr">
        <is>
          <t>March 1997</t>
        </is>
      </c>
      <c r="B321" s="1100" t="n">
        <v>1704.3</v>
      </c>
      <c r="C321" s="1100" t="n">
        <v>5.625756384976025</v>
      </c>
      <c r="D321" s="1100" t="n">
        <v>1745.3</v>
      </c>
      <c r="E321" s="1100" t="n">
        <v>5.76109406718222</v>
      </c>
      <c r="F321" s="1100" t="n">
        <v>1307.7</v>
      </c>
      <c r="G321" s="1100" t="n">
        <v>8.039534072205676</v>
      </c>
      <c r="H321" s="1100" t="n">
        <v>1342.4</v>
      </c>
      <c r="I321" s="1100" t="n">
        <v>8.252864218497285</v>
      </c>
      <c r="J321" s="1100" t="n">
        <v>396.6</v>
      </c>
      <c r="K321" s="1100" t="n">
        <v>2.827056628453405</v>
      </c>
      <c r="L321" s="1100" t="n">
        <v>402.9</v>
      </c>
      <c r="M321" s="1100" t="n">
        <v>2.871964487150471</v>
      </c>
      <c r="N321" s="761" t="inlineStr"/>
    </row>
    <row r="322">
      <c r="A322" s="776" t="inlineStr">
        <is>
          <t>April 1997</t>
        </is>
      </c>
      <c r="B322" s="1100" t="n">
        <v>1662.6</v>
      </c>
      <c r="C322" s="1100" t="n">
        <v>5.488108059415091</v>
      </c>
      <c r="D322" s="1100" t="n">
        <v>1688</v>
      </c>
      <c r="E322" s="1100" t="n">
        <v>5.571951404001368</v>
      </c>
      <c r="F322" s="1100" t="n">
        <v>1275.7</v>
      </c>
      <c r="G322" s="1100" t="n">
        <v>7.842803101562118</v>
      </c>
      <c r="H322" s="1100" t="n">
        <v>1298.8</v>
      </c>
      <c r="I322" s="1100" t="n">
        <v>7.984818270995437</v>
      </c>
      <c r="J322" s="1100" t="n">
        <v>386.9</v>
      </c>
      <c r="K322" s="1100" t="n">
        <v>2.757912782523002</v>
      </c>
      <c r="L322" s="1100" t="n">
        <v>389.1</v>
      </c>
      <c r="M322" s="1100" t="n">
        <v>2.773594891909279</v>
      </c>
      <c r="N322" s="761" t="inlineStr">
        <is>
          <t>5 week month</t>
        </is>
      </c>
    </row>
    <row r="323">
      <c r="A323" s="776" t="inlineStr">
        <is>
          <t>May 1997</t>
        </is>
      </c>
      <c r="B323" s="1100" t="n">
        <v>1619.6</v>
      </c>
      <c r="C323" s="1100" t="n">
        <v>5.346168539052497</v>
      </c>
      <c r="D323" s="1100" t="n">
        <v>1620.496</v>
      </c>
      <c r="E323" s="1100" t="n">
        <v>5.349126162546563</v>
      </c>
      <c r="F323" s="1100" t="n">
        <v>1243.9</v>
      </c>
      <c r="G323" s="1100" t="n">
        <v>7.647301699485082</v>
      </c>
      <c r="H323" s="1100" t="n">
        <v>1249.85</v>
      </c>
      <c r="I323" s="1100" t="n">
        <v>7.683881364339118</v>
      </c>
      <c r="J323" s="1100" t="n">
        <v>375.7</v>
      </c>
      <c r="K323" s="1100" t="n">
        <v>2.678076589283773</v>
      </c>
      <c r="L323" s="1100" t="n">
        <v>370.646</v>
      </c>
      <c r="M323" s="1100" t="n">
        <v>2.642050507084571</v>
      </c>
      <c r="N323" s="761" t="n"/>
    </row>
    <row r="324">
      <c r="A324" s="776" t="inlineStr">
        <is>
          <t>June 1997</t>
        </is>
      </c>
      <c r="B324" s="1100" t="n">
        <v>1571.5</v>
      </c>
      <c r="C324" s="1100" t="n">
        <v>5.187394331391082</v>
      </c>
      <c r="D324" s="1100" t="n">
        <v>1550.141</v>
      </c>
      <c r="E324" s="1100" t="n">
        <v>5.116890000799811</v>
      </c>
      <c r="F324" s="1100" t="n">
        <v>1207.6</v>
      </c>
      <c r="G324" s="1100" t="n">
        <v>7.424135004661293</v>
      </c>
      <c r="H324" s="1100" t="n">
        <v>1193.314</v>
      </c>
      <c r="I324" s="1100" t="n">
        <v>7.336306921954609</v>
      </c>
      <c r="J324" s="1100" t="n">
        <v>363.9</v>
      </c>
      <c r="K324" s="1100" t="n">
        <v>2.593963457121014</v>
      </c>
      <c r="L324" s="1100" t="n">
        <v>356.827</v>
      </c>
      <c r="M324" s="1100" t="n">
        <v>2.543545475444133</v>
      </c>
      <c r="N324" s="761" t="inlineStr">
        <is>
          <t>5 week month</t>
        </is>
      </c>
    </row>
    <row r="325">
      <c r="A325" s="776" t="inlineStr">
        <is>
          <t>July 1997</t>
        </is>
      </c>
      <c r="B325" s="1100" t="n">
        <v>1554.1</v>
      </c>
      <c r="C325" s="1100" t="n">
        <v>5.129958339430407</v>
      </c>
      <c r="D325" s="1100" t="n">
        <v>1585.272</v>
      </c>
      <c r="E325" s="1100" t="n">
        <v>5.232854588936052</v>
      </c>
      <c r="F325" s="1100" t="n">
        <v>1191.7</v>
      </c>
      <c r="G325" s="1100" t="n">
        <v>7.326384303622777</v>
      </c>
      <c r="H325" s="1100" t="n">
        <v>1201.318</v>
      </c>
      <c r="I325" s="1100" t="n">
        <v>7.385514255986831</v>
      </c>
      <c r="J325" s="1100" t="n">
        <v>362.4</v>
      </c>
      <c r="K325" s="1100" t="n">
        <v>2.583271109812189</v>
      </c>
      <c r="L325" s="1100" t="n">
        <v>383.954</v>
      </c>
      <c r="M325" s="1100" t="n">
        <v>2.736913012408469</v>
      </c>
      <c r="N325" s="761" t="n"/>
    </row>
    <row r="326">
      <c r="A326" s="776" t="inlineStr">
        <is>
          <t>August 1997</t>
        </is>
      </c>
      <c r="B326" s="1100" t="n">
        <v>1526.5</v>
      </c>
      <c r="C326" s="1100" t="n">
        <v>5.03885297287209</v>
      </c>
      <c r="D326" s="1100" t="n">
        <v>1579.211</v>
      </c>
      <c r="E326" s="1100" t="n">
        <v>5.212847718403083</v>
      </c>
      <c r="F326" s="1100" t="n">
        <v>1169.9</v>
      </c>
      <c r="G326" s="1100" t="n">
        <v>7.192361329871852</v>
      </c>
      <c r="H326" s="1100" t="n">
        <v>1186.465</v>
      </c>
      <c r="I326" s="1100" t="n">
        <v>7.294200346394057</v>
      </c>
      <c r="J326" s="1100" t="n">
        <v>356.6</v>
      </c>
      <c r="K326" s="1100" t="n">
        <v>2.541927366884731</v>
      </c>
      <c r="L326" s="1100" t="n">
        <v>392.746</v>
      </c>
      <c r="M326" s="1100" t="n">
        <v>2.799584424101264</v>
      </c>
      <c r="N326" s="761" t="inlineStr">
        <is>
          <t>5 week month</t>
        </is>
      </c>
    </row>
    <row r="327">
      <c r="A327" s="776" t="inlineStr">
        <is>
          <t>September 1997</t>
        </is>
      </c>
      <c r="B327" s="1100" t="n">
        <v>1497.8</v>
      </c>
      <c r="C327" s="1100" t="n">
        <v>4.944116595327754</v>
      </c>
      <c r="D327" s="1100" t="n">
        <v>1513.537</v>
      </c>
      <c r="E327" s="1100" t="n">
        <v>4.996063158861384</v>
      </c>
      <c r="F327" s="1100" t="n">
        <v>1146.2</v>
      </c>
      <c r="G327" s="1100" t="n">
        <v>7.046657454738966</v>
      </c>
      <c r="H327" s="1100" t="n">
        <v>1142.178</v>
      </c>
      <c r="I327" s="1100" t="n">
        <v>7.021930830866204</v>
      </c>
      <c r="J327" s="1100" t="n">
        <v>351.6000000000001</v>
      </c>
      <c r="K327" s="1100" t="n">
        <v>2.506286209188647</v>
      </c>
      <c r="L327" s="1100" t="n">
        <v>371.359</v>
      </c>
      <c r="M327" s="1100" t="n">
        <v>2.647132936172033</v>
      </c>
      <c r="N327" s="761" t="n"/>
    </row>
    <row r="328">
      <c r="A328" s="776" t="inlineStr">
        <is>
          <t>October 1997</t>
        </is>
      </c>
      <c r="B328" s="1100" t="n">
        <v>1464.1</v>
      </c>
      <c r="C328" s="1100" t="n">
        <v>4.832875622392418</v>
      </c>
      <c r="D328" s="1100" t="n">
        <v>1432.833</v>
      </c>
      <c r="E328" s="1100" t="n">
        <v>4.729665785574343</v>
      </c>
      <c r="F328" s="1100" t="n">
        <v>1121.8</v>
      </c>
      <c r="G328" s="1100" t="n">
        <v>6.896650089623253</v>
      </c>
      <c r="H328" s="1100" t="n">
        <v>1089.143</v>
      </c>
      <c r="I328" s="1100" t="n">
        <v>6.695879986238669</v>
      </c>
      <c r="J328" s="1100" t="n">
        <v>342.3</v>
      </c>
      <c r="K328" s="1100" t="n">
        <v>2.43999365587393</v>
      </c>
      <c r="L328" s="1100" t="n">
        <v>343.6900000000001</v>
      </c>
      <c r="M328" s="1100" t="n">
        <v>2.449901897713442</v>
      </c>
      <c r="N328" s="761" t="n"/>
    </row>
    <row r="329">
      <c r="A329" s="776" t="inlineStr">
        <is>
          <t>November 1997</t>
        </is>
      </c>
      <c r="B329" s="1100" t="n">
        <v>1431.7</v>
      </c>
      <c r="C329" s="1100" t="n">
        <v>4.725925844258743</v>
      </c>
      <c r="D329" s="1100" t="n">
        <v>1387.649</v>
      </c>
      <c r="E329" s="1100" t="n">
        <v>4.58051705794496</v>
      </c>
      <c r="F329" s="1100" t="n">
        <v>1096.2</v>
      </c>
      <c r="G329" s="1100" t="n">
        <v>6.739265313108405</v>
      </c>
      <c r="H329" s="1100" t="n">
        <v>1060.406</v>
      </c>
      <c r="I329" s="1100" t="n">
        <v>6.51920942675792</v>
      </c>
      <c r="J329" s="1100" t="n">
        <v>335.5</v>
      </c>
      <c r="K329" s="1100" t="n">
        <v>2.391521681407256</v>
      </c>
      <c r="L329" s="1100" t="n">
        <v>327.243</v>
      </c>
      <c r="M329" s="1100" t="n">
        <v>2.332663873587942</v>
      </c>
      <c r="N329" s="761" t="inlineStr">
        <is>
          <t>5 week month</t>
        </is>
      </c>
    </row>
    <row r="330">
      <c r="A330" s="776" t="inlineStr">
        <is>
          <t>December 1997</t>
        </is>
      </c>
      <c r="B330" s="1100" t="n">
        <v>1410.5</v>
      </c>
      <c r="C330" s="1100" t="n">
        <v>4.655946359800906</v>
      </c>
      <c r="D330" s="1100" t="n">
        <v>1391.38</v>
      </c>
      <c r="E330" s="1100" t="n">
        <v>4.592832787025724</v>
      </c>
      <c r="F330" s="1100" t="n">
        <v>1079.7</v>
      </c>
      <c r="G330" s="1100" t="n">
        <v>6.63782590637032</v>
      </c>
      <c r="H330" s="1100" t="n">
        <v>1070.999</v>
      </c>
      <c r="I330" s="1100" t="n">
        <v>6.58433352588377</v>
      </c>
      <c r="J330" s="1100" t="n">
        <v>330.8</v>
      </c>
      <c r="K330" s="1100" t="n">
        <v>2.358018993172936</v>
      </c>
      <c r="L330" s="1100" t="n">
        <v>320.381</v>
      </c>
      <c r="M330" s="1100" t="n">
        <v>2.283749948765836</v>
      </c>
      <c r="N330" s="761" t="n"/>
    </row>
    <row r="331">
      <c r="A331" s="776" t="inlineStr">
        <is>
          <t>January 1998</t>
        </is>
      </c>
      <c r="B331" s="1100" t="n">
        <v>1400.5</v>
      </c>
      <c r="C331" s="1100" t="n">
        <v>4.630432778002108</v>
      </c>
      <c r="D331" s="1100" t="n">
        <v>1479.263</v>
      </c>
      <c r="E331" s="1100" t="n">
        <v>4.890844614413234</v>
      </c>
      <c r="F331" s="1100" t="n">
        <v>1071.8</v>
      </c>
      <c r="G331" s="1100" t="n">
        <v>6.5759930605419</v>
      </c>
      <c r="H331" s="1100" t="n">
        <v>1136.662</v>
      </c>
      <c r="I331" s="1100" t="n">
        <v>6.973951692649447</v>
      </c>
      <c r="J331" s="1100" t="n">
        <v>328.6999999999999</v>
      </c>
      <c r="K331" s="1100" t="n">
        <v>2.356800527487378</v>
      </c>
      <c r="L331" s="1100" t="n">
        <v>342.6009999999999</v>
      </c>
      <c r="M331" s="1100" t="n">
        <v>2.45647160790296</v>
      </c>
      <c r="N331" s="761" t="n"/>
    </row>
    <row r="332">
      <c r="A332" s="776" t="inlineStr">
        <is>
          <t>February 1998</t>
        </is>
      </c>
      <c r="B332" s="1100" t="n">
        <v>1380.7</v>
      </c>
      <c r="C332" s="1100" t="n">
        <v>4.564968608773659</v>
      </c>
      <c r="D332" s="1100" t="n">
        <v>1451.247</v>
      </c>
      <c r="E332" s="1100" t="n">
        <v>4.798216121226152</v>
      </c>
      <c r="F332" s="1100" t="n">
        <v>1054.4</v>
      </c>
      <c r="G332" s="1100" t="n">
        <v>6.469235942372999</v>
      </c>
      <c r="H332" s="1100" t="n">
        <v>1109.812</v>
      </c>
      <c r="I332" s="1100" t="n">
        <v>6.809214415475022</v>
      </c>
      <c r="J332" s="1100" t="n">
        <v>326.3</v>
      </c>
      <c r="K332" s="1100" t="n">
        <v>2.339592370304628</v>
      </c>
      <c r="L332" s="1100" t="n">
        <v>341.435</v>
      </c>
      <c r="M332" s="1100" t="n">
        <v>2.448111311538342</v>
      </c>
      <c r="N332" s="761" t="inlineStr">
        <is>
          <t>5 week month</t>
        </is>
      </c>
    </row>
    <row r="333">
      <c r="A333" s="776" t="inlineStr">
        <is>
          <t>March 1998</t>
        </is>
      </c>
      <c r="B333" s="1100" t="n">
        <v>1364.9</v>
      </c>
      <c r="C333" s="1100" t="n">
        <v>4.512729524237828</v>
      </c>
      <c r="D333" s="1100" t="n">
        <v>1405.906</v>
      </c>
      <c r="E333" s="1100" t="n">
        <v>4.648306479964179</v>
      </c>
      <c r="F333" s="1100" t="n">
        <v>1041.6</v>
      </c>
      <c r="G333" s="1100" t="n">
        <v>6.390701970386681</v>
      </c>
      <c r="H333" s="1100" t="n">
        <v>1076.534</v>
      </c>
      <c r="I333" s="1100" t="n">
        <v>6.605038359243716</v>
      </c>
      <c r="J333" s="1100" t="n">
        <v>323.3</v>
      </c>
      <c r="K333" s="1100" t="n">
        <v>2.318082173826192</v>
      </c>
      <c r="L333" s="1100" t="n">
        <v>329.3720000000001</v>
      </c>
      <c r="M333" s="1100" t="n">
        <v>2.361618811498548</v>
      </c>
      <c r="N333" s="761" t="n"/>
    </row>
    <row r="334">
      <c r="A334" s="776" t="inlineStr">
        <is>
          <t>April 1998</t>
        </is>
      </c>
      <c r="B334" s="1100" t="n">
        <v>1359.4</v>
      </c>
      <c r="C334" s="1100" t="n">
        <v>4.494545032785481</v>
      </c>
      <c r="D334" s="1100" t="n">
        <v>1389.915</v>
      </c>
      <c r="E334" s="1100" t="n">
        <v>4.595435897634274</v>
      </c>
      <c r="F334" s="1100" t="n">
        <v>1038.4</v>
      </c>
      <c r="G334" s="1100" t="n">
        <v>6.371068477390099</v>
      </c>
      <c r="H334" s="1100" t="n">
        <v>1061.498</v>
      </c>
      <c r="I334" s="1100" t="n">
        <v>6.512785484026036</v>
      </c>
      <c r="J334" s="1100" t="n">
        <v>321</v>
      </c>
      <c r="K334" s="1100" t="n">
        <v>2.301591023192724</v>
      </c>
      <c r="L334" s="1100" t="n">
        <v>328.417</v>
      </c>
      <c r="M334" s="1100" t="n">
        <v>2.354771398952912</v>
      </c>
      <c r="N334" s="761" t="n"/>
    </row>
    <row r="335">
      <c r="A335" s="776" t="inlineStr">
        <is>
          <t>May 1998</t>
        </is>
      </c>
      <c r="B335" s="1100" t="n">
        <v>1350</v>
      </c>
      <c r="C335" s="1100" t="n">
        <v>4.463466083757835</v>
      </c>
      <c r="D335" s="1100" t="n">
        <v>1349.377</v>
      </c>
      <c r="E335" s="1100" t="n">
        <v>4.461406276816959</v>
      </c>
      <c r="F335" s="1100" t="n">
        <v>1031.5</v>
      </c>
      <c r="G335" s="1100" t="n">
        <v>6.328733758116227</v>
      </c>
      <c r="H335" s="1100" t="n">
        <v>1036.318</v>
      </c>
      <c r="I335" s="1100" t="n">
        <v>6.3582944360092</v>
      </c>
      <c r="J335" s="1100" t="n">
        <v>318.5</v>
      </c>
      <c r="K335" s="1100" t="n">
        <v>2.283665859460694</v>
      </c>
      <c r="L335" s="1100" t="n">
        <v>313.059</v>
      </c>
      <c r="M335" s="1100" t="n">
        <v>2.244653533114302</v>
      </c>
      <c r="N335" s="761" t="inlineStr">
        <is>
          <t>5 week month</t>
        </is>
      </c>
    </row>
    <row r="336">
      <c r="A336" s="776" t="inlineStr">
        <is>
          <t>June 1998</t>
        </is>
      </c>
      <c r="B336" s="1100" t="n">
        <v>1344.2</v>
      </c>
      <c r="C336" s="1100" t="n">
        <v>4.444289710953542</v>
      </c>
      <c r="D336" s="1100" t="n">
        <v>1322.756</v>
      </c>
      <c r="E336" s="1100" t="n">
        <v>4.373390031916427</v>
      </c>
      <c r="F336" s="1100" t="n">
        <v>1027.6</v>
      </c>
      <c r="G336" s="1100" t="n">
        <v>6.304805438526645</v>
      </c>
      <c r="H336" s="1100" t="n">
        <v>1013.449</v>
      </c>
      <c r="I336" s="1100" t="n">
        <v>6.217982451215832</v>
      </c>
      <c r="J336" s="1100" t="n">
        <v>316.6</v>
      </c>
      <c r="K336" s="1100" t="n">
        <v>2.27004273502435</v>
      </c>
      <c r="L336" s="1100" t="n">
        <v>309.307</v>
      </c>
      <c r="M336" s="1100" t="n">
        <v>2.21775144738527</v>
      </c>
      <c r="N336" s="761" t="n"/>
    </row>
    <row r="337">
      <c r="A337" s="776" t="inlineStr">
        <is>
          <t>July 1998</t>
        </is>
      </c>
      <c r="B337" s="1100" t="n">
        <v>1344</v>
      </c>
      <c r="C337" s="1100" t="n">
        <v>4.44362845671891</v>
      </c>
      <c r="D337" s="1100" t="n">
        <v>1368.295</v>
      </c>
      <c r="E337" s="1100" t="n">
        <v>4.523954314870685</v>
      </c>
      <c r="F337" s="1100" t="n">
        <v>1024.5</v>
      </c>
      <c r="G337" s="1100" t="n">
        <v>6.285785492186208</v>
      </c>
      <c r="H337" s="1100" t="n">
        <v>1030.231</v>
      </c>
      <c r="I337" s="1100" t="n">
        <v>6.320947851049769</v>
      </c>
      <c r="J337" s="1100" t="n">
        <v>319.5</v>
      </c>
      <c r="K337" s="1100" t="n">
        <v>2.290835924953506</v>
      </c>
      <c r="L337" s="1100" t="n">
        <v>338.064</v>
      </c>
      <c r="M337" s="1100" t="n">
        <v>2.423941020762072</v>
      </c>
      <c r="N337" s="761" t="n"/>
    </row>
    <row r="338">
      <c r="A338" s="776" t="inlineStr">
        <is>
          <t>August 1998</t>
        </is>
      </c>
      <c r="B338" s="1100" t="n">
        <v>1340.7</v>
      </c>
      <c r="C338" s="1100" t="n">
        <v>4.432717761847501</v>
      </c>
      <c r="D338" s="1100" t="n">
        <v>1383.194</v>
      </c>
      <c r="E338" s="1100" t="n">
        <v>4.573214449079506</v>
      </c>
      <c r="F338" s="1100" t="n">
        <v>1019.3</v>
      </c>
      <c r="G338" s="1100" t="n">
        <v>6.253881066066764</v>
      </c>
      <c r="H338" s="1100" t="n">
        <v>1030.299</v>
      </c>
      <c r="I338" s="1100" t="n">
        <v>6.321365062775946</v>
      </c>
      <c r="J338" s="1100" t="n">
        <v>321.3999999999999</v>
      </c>
      <c r="K338" s="1100" t="n">
        <v>2.304459049389849</v>
      </c>
      <c r="L338" s="1100" t="n">
        <v>352.895</v>
      </c>
      <c r="M338" s="1100" t="n">
        <v>2.53028026208597</v>
      </c>
      <c r="N338" s="761" t="inlineStr">
        <is>
          <t>5 week month</t>
        </is>
      </c>
    </row>
    <row r="339">
      <c r="A339" s="776" t="inlineStr">
        <is>
          <t>September 1998</t>
        </is>
      </c>
      <c r="B339" s="1100" t="n">
        <v>1327.2</v>
      </c>
      <c r="C339" s="1100" t="n">
        <v>4.388083101009923</v>
      </c>
      <c r="D339" s="1100" t="n">
        <v>1334.273</v>
      </c>
      <c r="E339" s="1100" t="n">
        <v>4.411468357017642</v>
      </c>
      <c r="F339" s="1100" t="n">
        <v>1014.6</v>
      </c>
      <c r="G339" s="1100" t="n">
        <v>6.225044373228038</v>
      </c>
      <c r="H339" s="1100" t="n">
        <v>1005.789</v>
      </c>
      <c r="I339" s="1100" t="n">
        <v>6.170984777355269</v>
      </c>
      <c r="J339" s="1100" t="n">
        <v>312.6</v>
      </c>
      <c r="K339" s="1100" t="n">
        <v>2.241362473053101</v>
      </c>
      <c r="L339" s="1100" t="n">
        <v>328.484</v>
      </c>
      <c r="M339" s="1100" t="n">
        <v>2.355251793340931</v>
      </c>
      <c r="N339" s="761" t="n"/>
    </row>
    <row r="340">
      <c r="A340" s="776" t="inlineStr">
        <is>
          <t>October 1998</t>
        </is>
      </c>
      <c r="B340" s="1100" t="n">
        <v>1321.9</v>
      </c>
      <c r="C340" s="1100" t="n">
        <v>4.370559863792208</v>
      </c>
      <c r="D340" s="1100" t="n">
        <v>1286.429</v>
      </c>
      <c r="E340" s="1100" t="n">
        <v>4.253283119009263</v>
      </c>
      <c r="F340" s="1100" t="n">
        <v>1010.7</v>
      </c>
      <c r="G340" s="1100" t="n">
        <v>6.201116053638457</v>
      </c>
      <c r="H340" s="1100" t="n">
        <v>976.1350000000001</v>
      </c>
      <c r="I340" s="1100" t="n">
        <v>5.98904365194259</v>
      </c>
      <c r="J340" s="1100" t="n">
        <v>311.2</v>
      </c>
      <c r="K340" s="1100" t="n">
        <v>2.231324381363164</v>
      </c>
      <c r="L340" s="1100" t="n">
        <v>310.294</v>
      </c>
      <c r="M340" s="1100" t="n">
        <v>2.224828302026677</v>
      </c>
      <c r="N340" s="761" t="n"/>
    </row>
    <row r="341">
      <c r="A341" s="776" t="inlineStr">
        <is>
          <t>November 1998</t>
        </is>
      </c>
      <c r="B341" s="1100" t="n">
        <v>1325.3</v>
      </c>
      <c r="C341" s="1100" t="n">
        <v>4.381801185780932</v>
      </c>
      <c r="D341" s="1100" t="n">
        <v>1283.87</v>
      </c>
      <c r="E341" s="1100" t="n">
        <v>4.244822371077164</v>
      </c>
      <c r="F341" s="1100" t="n">
        <v>1013.7</v>
      </c>
      <c r="G341" s="1100" t="n">
        <v>6.219522453322751</v>
      </c>
      <c r="H341" s="1100" t="n">
        <v>980.364</v>
      </c>
      <c r="I341" s="1100" t="n">
        <v>6.014990540030882</v>
      </c>
      <c r="J341" s="1100" t="n">
        <v>311.6</v>
      </c>
      <c r="K341" s="1100" t="n">
        <v>2.234192407560289</v>
      </c>
      <c r="L341" s="1100" t="n">
        <v>303.5060000000001</v>
      </c>
      <c r="M341" s="1100" t="n">
        <v>2.176157897461467</v>
      </c>
      <c r="N341" s="761" t="inlineStr">
        <is>
          <t>5 week month</t>
        </is>
      </c>
    </row>
    <row r="342">
      <c r="A342" s="776" t="inlineStr">
        <is>
          <t>December 1998</t>
        </is>
      </c>
      <c r="B342" s="1100" t="n">
        <v>1314.3</v>
      </c>
      <c r="C342" s="1100" t="n">
        <v>4.345432202876238</v>
      </c>
      <c r="D342" s="1100" t="n">
        <v>1293.559</v>
      </c>
      <c r="E342" s="1100" t="n">
        <v>4.276856832473852</v>
      </c>
      <c r="F342" s="1100" t="n">
        <v>1004.8</v>
      </c>
      <c r="G342" s="1100" t="n">
        <v>6.164916800926014</v>
      </c>
      <c r="H342" s="1100" t="n">
        <v>995.1400000000001</v>
      </c>
      <c r="I342" s="1100" t="n">
        <v>6.10564819394259</v>
      </c>
      <c r="J342" s="1100" t="n">
        <v>309.4999999999999</v>
      </c>
      <c r="K342" s="1100" t="n">
        <v>2.219135270025383</v>
      </c>
      <c r="L342" s="1100" t="n">
        <v>298.419</v>
      </c>
      <c r="M342" s="1100" t="n">
        <v>2.139683774299531</v>
      </c>
      <c r="N342" s="761" t="n"/>
    </row>
    <row r="343">
      <c r="A343" s="776" t="inlineStr">
        <is>
          <t>January 1999</t>
        </is>
      </c>
      <c r="B343" s="1100" t="n">
        <v>1309.7</v>
      </c>
      <c r="C343" s="1100" t="n">
        <v>4.288560493277779</v>
      </c>
      <c r="D343" s="1100" t="n">
        <v>1386.411</v>
      </c>
      <c r="E343" s="1100" t="n">
        <v>4.539747607884048</v>
      </c>
      <c r="F343" s="1100" t="n">
        <v>1000.8</v>
      </c>
      <c r="G343" s="1100" t="n">
        <v>6.020888295195828</v>
      </c>
      <c r="H343" s="1100" t="n">
        <v>1063.265</v>
      </c>
      <c r="I343" s="1100" t="n">
        <v>6.396682447233602</v>
      </c>
      <c r="J343" s="1100" t="n">
        <v>308.9</v>
      </c>
      <c r="K343" s="1100" t="n">
        <v>2.219547205184816</v>
      </c>
      <c r="L343" s="1100" t="n">
        <v>323.146</v>
      </c>
      <c r="M343" s="1100" t="n">
        <v>2.321909359555366</v>
      </c>
      <c r="N343" s="761" t="inlineStr">
        <is>
          <t>5 week month</t>
        </is>
      </c>
    </row>
    <row r="344">
      <c r="A344" s="776" t="inlineStr">
        <is>
          <t>February 1999</t>
        </is>
      </c>
      <c r="B344" s="1100" t="n">
        <v>1304.5</v>
      </c>
      <c r="C344" s="1100" t="n">
        <v>4.271533300359519</v>
      </c>
      <c r="D344" s="1100" t="n">
        <v>1379.123</v>
      </c>
      <c r="E344" s="1100" t="n">
        <v>4.515883342117073</v>
      </c>
      <c r="F344" s="1100" t="n">
        <v>998.5</v>
      </c>
      <c r="G344" s="1100" t="n">
        <v>6.007051321695676</v>
      </c>
      <c r="H344" s="1100" t="n">
        <v>1056.441</v>
      </c>
      <c r="I344" s="1100" t="n">
        <v>6.355628748466202</v>
      </c>
      <c r="J344" s="1100" t="n">
        <v>306</v>
      </c>
      <c r="K344" s="1100" t="n">
        <v>2.198709759749284</v>
      </c>
      <c r="L344" s="1100" t="n">
        <v>322.682</v>
      </c>
      <c r="M344" s="1100" t="n">
        <v>2.318575368285681</v>
      </c>
      <c r="N344" s="761" t="n"/>
    </row>
    <row r="345">
      <c r="A345" s="776" t="inlineStr">
        <is>
          <t>March 1999</t>
        </is>
      </c>
      <c r="B345" s="1100" t="n">
        <v>1297.5</v>
      </c>
      <c r="C345" s="1100" t="n">
        <v>4.248612079123401</v>
      </c>
      <c r="D345" s="1100" t="n">
        <v>1346.567</v>
      </c>
      <c r="E345" s="1100" t="n">
        <v>4.409280016608062</v>
      </c>
      <c r="F345" s="1100" t="n">
        <v>993.8000000000001</v>
      </c>
      <c r="G345" s="1100" t="n">
        <v>5.978775767151892</v>
      </c>
      <c r="H345" s="1100" t="n">
        <v>1033.833</v>
      </c>
      <c r="I345" s="1100" t="n">
        <v>6.21961731503516</v>
      </c>
      <c r="J345" s="1100" t="n">
        <v>303.7</v>
      </c>
      <c r="K345" s="1100" t="n">
        <v>2.182183509921103</v>
      </c>
      <c r="L345" s="1100" t="n">
        <v>312.734</v>
      </c>
      <c r="M345" s="1100" t="n">
        <v>2.247095745115792</v>
      </c>
      <c r="N345" s="761" t="n"/>
    </row>
    <row r="346">
      <c r="A346" s="776" t="inlineStr">
        <is>
          <t>April 1999</t>
        </is>
      </c>
      <c r="B346" s="1100" t="n">
        <v>1288.1</v>
      </c>
      <c r="C346" s="1100" t="n">
        <v>4.217832153463471</v>
      </c>
      <c r="D346" s="1100" t="n">
        <v>1320.134</v>
      </c>
      <c r="E346" s="1100" t="n">
        <v>4.322726210760301</v>
      </c>
      <c r="F346" s="1100" t="n">
        <v>986.2</v>
      </c>
      <c r="G346" s="1100" t="n">
        <v>5.933053593847046</v>
      </c>
      <c r="H346" s="1100" t="n">
        <v>1010.308</v>
      </c>
      <c r="I346" s="1100" t="n">
        <v>6.078089140430359</v>
      </c>
      <c r="J346" s="1100" t="n">
        <v>301.9</v>
      </c>
      <c r="K346" s="1100" t="n">
        <v>2.169249923099049</v>
      </c>
      <c r="L346" s="1100" t="n">
        <v>309.826</v>
      </c>
      <c r="M346" s="1100" t="n">
        <v>2.226200817072162</v>
      </c>
      <c r="N346" s="761" t="n"/>
    </row>
    <row r="347">
      <c r="A347" s="776" t="inlineStr">
        <is>
          <t>May 1999</t>
        </is>
      </c>
      <c r="B347" s="1100" t="n">
        <v>1273.1</v>
      </c>
      <c r="C347" s="1100" t="n">
        <v>4.168715250814644</v>
      </c>
      <c r="D347" s="1100" t="n">
        <v>1275.61</v>
      </c>
      <c r="E347" s="1100" t="n">
        <v>4.176934145857881</v>
      </c>
      <c r="F347" s="1100" t="n">
        <v>975.6</v>
      </c>
      <c r="G347" s="1100" t="n">
        <v>5.869283194237659</v>
      </c>
      <c r="H347" s="1100" t="n">
        <v>981.9859999999998</v>
      </c>
      <c r="I347" s="1100" t="n">
        <v>5.907701851964596</v>
      </c>
      <c r="J347" s="1100" t="n">
        <v>297.5</v>
      </c>
      <c r="K347" s="1100" t="n">
        <v>2.137634488645137</v>
      </c>
      <c r="L347" s="1100" t="n">
        <v>293.624</v>
      </c>
      <c r="M347" s="1100" t="n">
        <v>2.109784165021646</v>
      </c>
      <c r="N347" s="761" t="inlineStr">
        <is>
          <t>5 week month</t>
        </is>
      </c>
    </row>
    <row r="348">
      <c r="A348" s="776" t="inlineStr">
        <is>
          <t>June 1999</t>
        </is>
      </c>
      <c r="B348" s="1100" t="n">
        <v>1263.1</v>
      </c>
      <c r="C348" s="1100" t="n">
        <v>4.135970649048761</v>
      </c>
      <c r="D348" s="1100" t="n">
        <v>1244.709</v>
      </c>
      <c r="E348" s="1100" t="n">
        <v>4.075750051941124</v>
      </c>
      <c r="F348" s="1100" t="n">
        <v>968.7999999999998</v>
      </c>
      <c r="G348" s="1100" t="n">
        <v>5.828373881280692</v>
      </c>
      <c r="H348" s="1100" t="n">
        <v>956.5359999999999</v>
      </c>
      <c r="I348" s="1100" t="n">
        <v>5.754592732147717</v>
      </c>
      <c r="J348" s="1100" t="n">
        <v>294.3</v>
      </c>
      <c r="K348" s="1100" t="n">
        <v>2.114641445405929</v>
      </c>
      <c r="L348" s="1100" t="n">
        <v>288.173</v>
      </c>
      <c r="M348" s="1100" t="n">
        <v>2.070616952928857</v>
      </c>
      <c r="N348" s="761" t="n"/>
    </row>
    <row r="349">
      <c r="A349" s="776" t="inlineStr">
        <is>
          <t>July 1999</t>
        </is>
      </c>
      <c r="B349" s="1100" t="n">
        <v>1244.7</v>
      </c>
      <c r="C349" s="1100" t="n">
        <v>4.075720581799535</v>
      </c>
      <c r="D349" s="1100" t="n">
        <v>1263.614</v>
      </c>
      <c r="E349" s="1100" t="n">
        <v>4.137653721579528</v>
      </c>
      <c r="F349" s="1100" t="n">
        <v>954.5</v>
      </c>
      <c r="G349" s="1100" t="n">
        <v>5.742344002562367</v>
      </c>
      <c r="H349" s="1100" t="n">
        <v>957.246</v>
      </c>
      <c r="I349" s="1100" t="n">
        <v>5.758864145706459</v>
      </c>
      <c r="J349" s="1100" t="n">
        <v>290.2</v>
      </c>
      <c r="K349" s="1100" t="n">
        <v>2.085181608755694</v>
      </c>
      <c r="L349" s="1100" t="n">
        <v>306.3679999999999</v>
      </c>
      <c r="M349" s="1100" t="n">
        <v>2.201353959721792</v>
      </c>
      <c r="N349" s="761" t="n"/>
    </row>
    <row r="350">
      <c r="A350" s="776" t="inlineStr">
        <is>
          <t>August 1999</t>
        </is>
      </c>
      <c r="B350" s="1100" t="n">
        <v>1229</v>
      </c>
      <c r="C350" s="1100" t="n">
        <v>4.024311557027098</v>
      </c>
      <c r="D350" s="1100" t="n">
        <v>1263.202</v>
      </c>
      <c r="E350" s="1100" t="n">
        <v>4.136304643986774</v>
      </c>
      <c r="F350" s="1100" t="n">
        <v>941.1999999999999</v>
      </c>
      <c r="G350" s="1100" t="n">
        <v>5.662330199278888</v>
      </c>
      <c r="H350" s="1100" t="n">
        <v>947.2080000000001</v>
      </c>
      <c r="I350" s="1100" t="n">
        <v>5.698474780491456</v>
      </c>
      <c r="J350" s="1100" t="n">
        <v>287.8</v>
      </c>
      <c r="K350" s="1100" t="n">
        <v>2.067936826326287</v>
      </c>
      <c r="L350" s="1100" t="n">
        <v>315.994</v>
      </c>
      <c r="M350" s="1100" t="n">
        <v>2.270519907915736</v>
      </c>
      <c r="N350" s="761" t="inlineStr">
        <is>
          <t>5 week month</t>
        </is>
      </c>
    </row>
    <row r="351">
      <c r="A351" s="776" t="inlineStr">
        <is>
          <t>September 1999</t>
        </is>
      </c>
      <c r="B351" s="1100" t="n">
        <v>1222.9</v>
      </c>
      <c r="C351" s="1100" t="n">
        <v>4.004337349949909</v>
      </c>
      <c r="D351" s="1100" t="n">
        <v>1223.954</v>
      </c>
      <c r="E351" s="1100" t="n">
        <v>4.007788630976033</v>
      </c>
      <c r="F351" s="1100" t="n">
        <v>934.5000000000001</v>
      </c>
      <c r="G351" s="1100" t="n">
        <v>5.622022493865408</v>
      </c>
      <c r="H351" s="1100" t="n">
        <v>922.182</v>
      </c>
      <c r="I351" s="1100" t="n">
        <v>5.547916476658951</v>
      </c>
      <c r="J351" s="1100" t="n">
        <v>288.4</v>
      </c>
      <c r="K351" s="1100" t="n">
        <v>2.072248021933639</v>
      </c>
      <c r="L351" s="1100" t="n">
        <v>301.772</v>
      </c>
      <c r="M351" s="1100" t="n">
        <v>2.16833020136948</v>
      </c>
      <c r="N351" s="761" t="n"/>
    </row>
    <row r="352">
      <c r="A352" s="776" t="inlineStr">
        <is>
          <t>October 1999</t>
        </is>
      </c>
      <c r="B352" s="1100" t="n">
        <v>1200.7</v>
      </c>
      <c r="C352" s="1100" t="n">
        <v>3.931644334029647</v>
      </c>
      <c r="D352" s="1100" t="n">
        <v>1164.939</v>
      </c>
      <c r="E352" s="1100" t="n">
        <v>3.81454636365467</v>
      </c>
      <c r="F352" s="1100" t="n">
        <v>917.8999999999999</v>
      </c>
      <c r="G352" s="1100" t="n">
        <v>5.522155641646932</v>
      </c>
      <c r="H352" s="1100" t="n">
        <v>883.4739999999999</v>
      </c>
      <c r="I352" s="1100" t="n">
        <v>5.315046228726856</v>
      </c>
      <c r="J352" s="1100" t="n">
        <v>282.8</v>
      </c>
      <c r="K352" s="1100" t="n">
        <v>2.032010196265024</v>
      </c>
      <c r="L352" s="1100" t="n">
        <v>281.465</v>
      </c>
      <c r="M352" s="1100" t="n">
        <v>2.022417786038668</v>
      </c>
      <c r="N352" s="761" t="inlineStr">
        <is>
          <t>5 week month</t>
        </is>
      </c>
    </row>
    <row r="353">
      <c r="A353" s="776" t="inlineStr">
        <is>
          <t>November 1999</t>
        </is>
      </c>
      <c r="B353" s="1100" t="n">
        <v>1184.1</v>
      </c>
      <c r="C353" s="1100" t="n">
        <v>3.877288295098281</v>
      </c>
      <c r="D353" s="1100" t="n">
        <v>1147.168</v>
      </c>
      <c r="E353" s="1100" t="n">
        <v>3.756355931856519</v>
      </c>
      <c r="F353" s="1100" t="n">
        <v>904.1</v>
      </c>
      <c r="G353" s="1100" t="n">
        <v>5.43913380064603</v>
      </c>
      <c r="H353" s="1100" t="n">
        <v>873.997</v>
      </c>
      <c r="I353" s="1100" t="n">
        <v>5.258031881830803</v>
      </c>
      <c r="J353" s="1100" t="n">
        <v>280</v>
      </c>
      <c r="K353" s="1100" t="n">
        <v>2.011891283430717</v>
      </c>
      <c r="L353" s="1100" t="n">
        <v>273.171</v>
      </c>
      <c r="M353" s="1100" t="n">
        <v>1.962822692093044</v>
      </c>
      <c r="N353" s="761" t="n"/>
    </row>
    <row r="354">
      <c r="A354" s="776" t="inlineStr">
        <is>
          <t>December 1999</t>
        </is>
      </c>
      <c r="B354" s="1100" t="n">
        <v>1159.3</v>
      </c>
      <c r="C354" s="1100" t="n">
        <v>3.796081682718889</v>
      </c>
      <c r="D354" s="1100" t="n">
        <v>1140.584</v>
      </c>
      <c r="E354" s="1100" t="n">
        <v>3.734796886053862</v>
      </c>
      <c r="F354" s="1100" t="n">
        <v>883.9</v>
      </c>
      <c r="G354" s="1100" t="n">
        <v>5.317609076862102</v>
      </c>
      <c r="H354" s="1100" t="n">
        <v>875.558</v>
      </c>
      <c r="I354" s="1100" t="n">
        <v>5.2674229755846</v>
      </c>
      <c r="J354" s="1100" t="n">
        <v>275.4</v>
      </c>
      <c r="K354" s="1100" t="n">
        <v>1.978838783774356</v>
      </c>
      <c r="L354" s="1100" t="n">
        <v>265.026</v>
      </c>
      <c r="M354" s="1100" t="n">
        <v>1.904298211723247</v>
      </c>
      <c r="N354" s="761" t="n"/>
    </row>
    <row r="355">
      <c r="A355" s="776" t="inlineStr">
        <is>
          <t>January 2000</t>
        </is>
      </c>
      <c r="B355" s="1100" t="n">
        <v>1162.9</v>
      </c>
      <c r="C355" s="1100" t="n">
        <v>3.774851606847111</v>
      </c>
      <c r="D355" s="1100" t="n">
        <v>1236.382</v>
      </c>
      <c r="E355" s="1100" t="n">
        <v>4.013379120626748</v>
      </c>
      <c r="F355" s="1100" t="n">
        <v>886.9999999999999</v>
      </c>
      <c r="G355" s="1100" t="n">
        <v>5.34767160449079</v>
      </c>
      <c r="H355" s="1100" t="n">
        <v>946.606</v>
      </c>
      <c r="I355" s="1100" t="n">
        <v>5.707032724735749</v>
      </c>
      <c r="J355" s="1100" t="n">
        <v>275.8999999999999</v>
      </c>
      <c r="K355" s="1100" t="n">
        <v>1.940245365440186</v>
      </c>
      <c r="L355" s="1100" t="n">
        <v>289.776</v>
      </c>
      <c r="M355" s="1100" t="n">
        <v>2.037827259934018</v>
      </c>
      <c r="N355" s="761" t="inlineStr">
        <is>
          <t>5 week month</t>
        </is>
      </c>
    </row>
    <row r="356">
      <c r="A356" s="776" t="inlineStr">
        <is>
          <t>February 2000</t>
        </is>
      </c>
      <c r="B356" s="1100" t="n">
        <v>1152.2</v>
      </c>
      <c r="C356" s="1100" t="n">
        <v>3.740118687255345</v>
      </c>
      <c r="D356" s="1100" t="n">
        <v>1227.002</v>
      </c>
      <c r="E356" s="1100" t="n">
        <v>3.982931009807052</v>
      </c>
      <c r="F356" s="1100" t="n">
        <v>879.6999999999999</v>
      </c>
      <c r="G356" s="1100" t="n">
        <v>5.30366032747525</v>
      </c>
      <c r="H356" s="1100" t="n">
        <v>937.3010000000002</v>
      </c>
      <c r="I356" s="1100" t="n">
        <v>5.65093341889608</v>
      </c>
      <c r="J356" s="1100" t="n">
        <v>272.4999999999999</v>
      </c>
      <c r="K356" s="1100" t="n">
        <v>1.916335128968651</v>
      </c>
      <c r="L356" s="1100" t="n">
        <v>289.701</v>
      </c>
      <c r="M356" s="1100" t="n">
        <v>2.037299828247146</v>
      </c>
      <c r="N356" s="761" t="n"/>
    </row>
    <row r="357">
      <c r="A357" s="776" t="inlineStr">
        <is>
          <t>March 2000</t>
        </is>
      </c>
      <c r="B357" s="1100" t="n">
        <v>1144</v>
      </c>
      <c r="C357" s="1100" t="n">
        <v>3.713500935792498</v>
      </c>
      <c r="D357" s="1100" t="n">
        <v>1194.298</v>
      </c>
      <c r="E357" s="1100" t="n">
        <v>3.876771626411808</v>
      </c>
      <c r="F357" s="1100" t="n">
        <v>873.2</v>
      </c>
      <c r="G357" s="1100" t="n">
        <v>5.264472204105251</v>
      </c>
      <c r="H357" s="1100" t="n">
        <v>913.173</v>
      </c>
      <c r="I357" s="1100" t="n">
        <v>5.505467104946638</v>
      </c>
      <c r="J357" s="1100" t="n">
        <v>270.8</v>
      </c>
      <c r="K357" s="1100" t="n">
        <v>1.904380010732883</v>
      </c>
      <c r="L357" s="1100" t="n">
        <v>281.125</v>
      </c>
      <c r="M357" s="1100" t="n">
        <v>1.976989772958943</v>
      </c>
      <c r="N357" s="761" t="n"/>
    </row>
    <row r="358">
      <c r="A358" s="776" t="inlineStr">
        <is>
          <t>April 2000</t>
        </is>
      </c>
      <c r="B358" s="1100" t="n">
        <v>1113.3</v>
      </c>
      <c r="C358" s="1100" t="n">
        <v>3.613846671169395</v>
      </c>
      <c r="D358" s="1100" t="n">
        <v>1142.08</v>
      </c>
      <c r="E358" s="1100" t="n">
        <v>3.70726848666949</v>
      </c>
      <c r="F358" s="1100" t="n">
        <v>850.2</v>
      </c>
      <c r="G358" s="1100" t="n">
        <v>5.12580653679602</v>
      </c>
      <c r="H358" s="1100" t="n">
        <v>874.0740000000001</v>
      </c>
      <c r="I358" s="1100" t="n">
        <v>5.269741499463003</v>
      </c>
      <c r="J358" s="1100" t="n">
        <v>263.1</v>
      </c>
      <c r="K358" s="1100" t="n">
        <v>1.850230357547347</v>
      </c>
      <c r="L358" s="1100" t="n">
        <v>268.006</v>
      </c>
      <c r="M358" s="1100" t="n">
        <v>1.884731422291274</v>
      </c>
      <c r="N358" s="761" t="inlineStr">
        <is>
          <t>5 week month</t>
        </is>
      </c>
    </row>
    <row r="359">
      <c r="A359" s="776" t="inlineStr">
        <is>
          <t>May 2000</t>
        </is>
      </c>
      <c r="B359" s="1100" t="n">
        <v>1104.7</v>
      </c>
      <c r="C359" s="1100" t="n">
        <v>3.585930492805919</v>
      </c>
      <c r="D359" s="1100" t="n">
        <v>1108.181</v>
      </c>
      <c r="E359" s="1100" t="n">
        <v>3.597230052908624</v>
      </c>
      <c r="F359" s="1100" t="n">
        <v>844</v>
      </c>
      <c r="G359" s="1100" t="n">
        <v>5.088427096043096</v>
      </c>
      <c r="H359" s="1100" t="n">
        <v>849.9209999999999</v>
      </c>
      <c r="I359" s="1100" t="n">
        <v>5.124124461962138</v>
      </c>
      <c r="J359" s="1100" t="n">
        <v>260.7</v>
      </c>
      <c r="K359" s="1100" t="n">
        <v>1.83335254356744</v>
      </c>
      <c r="L359" s="1100" t="n">
        <v>258.26</v>
      </c>
      <c r="M359" s="1100" t="n">
        <v>1.816193432687867</v>
      </c>
      <c r="N359" s="761" t="n"/>
    </row>
    <row r="360">
      <c r="A360" s="776" t="inlineStr">
        <is>
          <t>June 2000</t>
        </is>
      </c>
      <c r="B360" s="1100" t="n">
        <v>1093.6</v>
      </c>
      <c r="C360" s="1100" t="n">
        <v>3.549899146313528</v>
      </c>
      <c r="D360" s="1100" t="n">
        <v>1077.229</v>
      </c>
      <c r="E360" s="1100" t="n">
        <v>3.496757779338126</v>
      </c>
      <c r="F360" s="1100" t="n">
        <v>835.8000000000001</v>
      </c>
      <c r="G360" s="1100" t="n">
        <v>5.038989771176328</v>
      </c>
      <c r="H360" s="1100" t="n">
        <v>824.614</v>
      </c>
      <c r="I360" s="1100" t="n">
        <v>4.971550025327585</v>
      </c>
      <c r="J360" s="1100" t="n">
        <v>257.8</v>
      </c>
      <c r="K360" s="1100" t="n">
        <v>1.812958518341718</v>
      </c>
      <c r="L360" s="1100" t="n">
        <v>252.615</v>
      </c>
      <c r="M360" s="1100" t="n">
        <v>1.776495407722627</v>
      </c>
      <c r="N360" s="761" t="n"/>
    </row>
    <row r="361">
      <c r="A361" s="776" t="inlineStr">
        <is>
          <t>July 2000</t>
        </is>
      </c>
      <c r="B361" s="1100" t="n">
        <v>1074.7</v>
      </c>
      <c r="C361" s="1100" t="n">
        <v>3.488548475258913</v>
      </c>
      <c r="D361" s="1100" t="n">
        <v>1088.813</v>
      </c>
      <c r="E361" s="1100" t="n">
        <v>3.534360222380277</v>
      </c>
      <c r="F361" s="1100" t="n">
        <v>820.1999999999999</v>
      </c>
      <c r="G361" s="1100" t="n">
        <v>4.944938275088327</v>
      </c>
      <c r="H361" s="1100" t="n">
        <v>820.74</v>
      </c>
      <c r="I361" s="1100" t="n">
        <v>4.948193903799066</v>
      </c>
      <c r="J361" s="1100" t="n">
        <v>254.5</v>
      </c>
      <c r="K361" s="1100" t="n">
        <v>1.789751524119346</v>
      </c>
      <c r="L361" s="1100" t="n">
        <v>268.073</v>
      </c>
      <c r="M361" s="1100" t="n">
        <v>1.885202594598214</v>
      </c>
      <c r="N361" s="761" t="inlineStr">
        <is>
          <t>5 week month</t>
        </is>
      </c>
    </row>
    <row r="362">
      <c r="A362" s="776" t="inlineStr">
        <is>
          <t>August 2000</t>
        </is>
      </c>
      <c r="B362" s="1100" t="n">
        <v>1060.4</v>
      </c>
      <c r="C362" s="1100" t="n">
        <v>3.442129713561507</v>
      </c>
      <c r="D362" s="1100" t="n">
        <v>1089.058</v>
      </c>
      <c r="E362" s="1100" t="n">
        <v>3.535155508856911</v>
      </c>
      <c r="F362" s="1100" t="n">
        <v>809.9000000000001</v>
      </c>
      <c r="G362" s="1100" t="n">
        <v>4.88284017190202</v>
      </c>
      <c r="H362" s="1100" t="n">
        <v>814.253</v>
      </c>
      <c r="I362" s="1100" t="n">
        <v>4.909084156675806</v>
      </c>
      <c r="J362" s="1100" t="n">
        <v>250.5</v>
      </c>
      <c r="K362" s="1100" t="n">
        <v>1.761621834152833</v>
      </c>
      <c r="L362" s="1100" t="n">
        <v>274.805</v>
      </c>
      <c r="M362" s="1100" t="n">
        <v>1.932544862811854</v>
      </c>
      <c r="N362" s="761" t="n"/>
    </row>
    <row r="363">
      <c r="A363" s="776" t="inlineStr">
        <is>
          <t>September 2000</t>
        </is>
      </c>
      <c r="B363" s="1100" t="n">
        <v>1044.8</v>
      </c>
      <c r="C363" s="1100" t="n">
        <v>3.391491064437064</v>
      </c>
      <c r="D363" s="1100" t="n">
        <v>1042.804</v>
      </c>
      <c r="E363" s="1100" t="n">
        <v>3.385011914202937</v>
      </c>
      <c r="F363" s="1100" t="n">
        <v>798.8999999999999</v>
      </c>
      <c r="G363" s="1100" t="n">
        <v>4.816521809275864</v>
      </c>
      <c r="H363" s="1100" t="n">
        <v>785.379</v>
      </c>
      <c r="I363" s="1100" t="n">
        <v>4.735004483724207</v>
      </c>
      <c r="J363" s="1100" t="n">
        <v>245.9</v>
      </c>
      <c r="K363" s="1100" t="n">
        <v>1.729272690691344</v>
      </c>
      <c r="L363" s="1100" t="n">
        <v>257.425</v>
      </c>
      <c r="M363" s="1100" t="n">
        <v>1.810321359907357</v>
      </c>
      <c r="N363" s="761" t="inlineStr">
        <is>
          <t>5 week month</t>
        </is>
      </c>
    </row>
    <row r="364">
      <c r="A364" s="776" t="inlineStr">
        <is>
          <t>October 2000</t>
        </is>
      </c>
      <c r="B364" s="1100" t="n">
        <v>1044.7</v>
      </c>
      <c r="C364" s="1100" t="n">
        <v>3.391166457711908</v>
      </c>
      <c r="D364" s="1100" t="n">
        <v>1009.232</v>
      </c>
      <c r="E364" s="1100" t="n">
        <v>3.276034944433334</v>
      </c>
      <c r="F364" s="1100" t="n">
        <v>799.5</v>
      </c>
      <c r="G364" s="1100" t="n">
        <v>4.820139174510018</v>
      </c>
      <c r="H364" s="1100" t="n">
        <v>766.28</v>
      </c>
      <c r="I364" s="1100" t="n">
        <v>4.619857719379033</v>
      </c>
      <c r="J364" s="1100" t="n">
        <v>245.2</v>
      </c>
      <c r="K364" s="1100" t="n">
        <v>1.724349994947205</v>
      </c>
      <c r="L364" s="1100" t="n">
        <v>242.952</v>
      </c>
      <c r="M364" s="1100" t="n">
        <v>1.708541109186025</v>
      </c>
      <c r="N364" s="761" t="n"/>
    </row>
    <row r="365">
      <c r="A365" s="776" t="inlineStr">
        <is>
          <t>November 2000</t>
        </is>
      </c>
      <c r="B365" s="1100" t="n">
        <v>1035.6</v>
      </c>
      <c r="C365" s="1100" t="n">
        <v>3.36162724572265</v>
      </c>
      <c r="D365" s="1100" t="n">
        <v>1000.578</v>
      </c>
      <c r="E365" s="1100" t="n">
        <v>3.247943478438274</v>
      </c>
      <c r="F365" s="1100" t="n">
        <v>792.3000000000001</v>
      </c>
      <c r="G365" s="1100" t="n">
        <v>4.776730791700174</v>
      </c>
      <c r="H365" s="1100" t="n">
        <v>763.8920000000001</v>
      </c>
      <c r="I365" s="1100" t="n">
        <v>4.605460605747101</v>
      </c>
      <c r="J365" s="1100" t="n">
        <v>243.3</v>
      </c>
      <c r="K365" s="1100" t="n">
        <v>1.710988392213111</v>
      </c>
      <c r="L365" s="1100" t="n">
        <v>236.686</v>
      </c>
      <c r="M365" s="1100" t="n">
        <v>1.664475949853483</v>
      </c>
      <c r="N365" s="761" t="n"/>
    </row>
    <row r="366">
      <c r="A366" s="776" t="inlineStr">
        <is>
          <t>December 2000</t>
        </is>
      </c>
      <c r="B366" s="1100" t="n">
        <v>1029.9</v>
      </c>
      <c r="C366" s="1100" t="n">
        <v>3.343124662388718</v>
      </c>
      <c r="D366" s="1100" t="n">
        <v>1011.43</v>
      </c>
      <c r="E366" s="1100" t="n">
        <v>3.283169800252277</v>
      </c>
      <c r="F366" s="1100" t="n">
        <v>788.3</v>
      </c>
      <c r="G366" s="1100" t="n">
        <v>4.75261502347248</v>
      </c>
      <c r="H366" s="1100" t="n">
        <v>779.3609999999999</v>
      </c>
      <c r="I366" s="1100" t="n">
        <v>4.698722310425643</v>
      </c>
      <c r="J366" s="1100" t="n">
        <v>241.6</v>
      </c>
      <c r="K366" s="1100" t="n">
        <v>1.699033273977343</v>
      </c>
      <c r="L366" s="1100" t="n">
        <v>232.069</v>
      </c>
      <c r="M366" s="1100" t="n">
        <v>1.632007255209636</v>
      </c>
      <c r="N366" s="761" t="inlineStr">
        <is>
          <t>5 week month</t>
        </is>
      </c>
    </row>
    <row r="367">
      <c r="A367" s="776" t="inlineStr">
        <is>
          <t>January 2001</t>
        </is>
      </c>
      <c r="B367" s="1100" t="n">
        <v>1008.6</v>
      </c>
      <c r="C367" s="1100" t="n">
        <v>3.247486900418322</v>
      </c>
      <c r="D367" s="1100" t="n">
        <v>1077.77</v>
      </c>
      <c r="E367" s="1100" t="n">
        <v>3.4702002346459</v>
      </c>
      <c r="F367" s="1100" t="n">
        <v>770.8</v>
      </c>
      <c r="G367" s="1100" t="n">
        <v>4.60579134641837</v>
      </c>
      <c r="H367" s="1100" t="n">
        <v>826.687</v>
      </c>
      <c r="I367" s="1100" t="n">
        <v>4.939735120389936</v>
      </c>
      <c r="J367" s="1100" t="n">
        <v>237.8</v>
      </c>
      <c r="K367" s="1100" t="n">
        <v>1.66033509723573</v>
      </c>
      <c r="L367" s="1100" t="n">
        <v>251.083</v>
      </c>
      <c r="M367" s="1100" t="n">
        <v>1.753077868878213</v>
      </c>
      <c r="N367" s="761" t="n"/>
    </row>
    <row r="368">
      <c r="A368" s="776" t="inlineStr">
        <is>
          <t>February 2001</t>
        </is>
      </c>
      <c r="B368" s="1100" t="n">
        <v>999.5</v>
      </c>
      <c r="C368" s="1100" t="n">
        <v>3.218186750910284</v>
      </c>
      <c r="D368" s="1100" t="n">
        <v>1073.35</v>
      </c>
      <c r="E368" s="1100" t="n">
        <v>3.455968733456283</v>
      </c>
      <c r="F368" s="1100" t="n">
        <v>763.9</v>
      </c>
      <c r="G368" s="1100" t="n">
        <v>4.564561506913587</v>
      </c>
      <c r="H368" s="1100" t="n">
        <v>820.628</v>
      </c>
      <c r="I368" s="1100" t="n">
        <v>4.90353054103349</v>
      </c>
      <c r="J368" s="1100" t="n">
        <v>235.6</v>
      </c>
      <c r="K368" s="1100" t="n">
        <v>1.644974553863491</v>
      </c>
      <c r="L368" s="1100" t="n">
        <v>252.722</v>
      </c>
      <c r="M368" s="1100" t="n">
        <v>1.764521473690531</v>
      </c>
      <c r="N368" s="761" t="n"/>
    </row>
    <row r="369">
      <c r="A369" s="776" t="inlineStr">
        <is>
          <t>March 2001</t>
        </is>
      </c>
      <c r="B369" s="1100" t="n">
        <v>990.9000000000001</v>
      </c>
      <c r="C369" s="1100" t="n">
        <v>3.190496499726865</v>
      </c>
      <c r="D369" s="1100" t="n">
        <v>1041.149</v>
      </c>
      <c r="E369" s="1100" t="n">
        <v>3.35228806155427</v>
      </c>
      <c r="F369" s="1100" t="n">
        <v>758.1</v>
      </c>
      <c r="G369" s="1100" t="n">
        <v>4.529904540373334</v>
      </c>
      <c r="H369" s="1100" t="n">
        <v>797.508</v>
      </c>
      <c r="I369" s="1100" t="n">
        <v>4.765380701997173</v>
      </c>
      <c r="J369" s="1100" t="n">
        <v>232.8</v>
      </c>
      <c r="K369" s="1100" t="n">
        <v>1.625424771389731</v>
      </c>
      <c r="L369" s="1100" t="n">
        <v>243.641</v>
      </c>
      <c r="M369" s="1100" t="n">
        <v>1.701117339889027</v>
      </c>
      <c r="N369" s="761" t="n"/>
    </row>
    <row r="370">
      <c r="A370" s="776" t="inlineStr">
        <is>
          <t>April 2001</t>
        </is>
      </c>
      <c r="B370" s="1100" t="n">
        <v>975.5000000000001</v>
      </c>
      <c r="C370" s="1100" t="n">
        <v>3.140911631328648</v>
      </c>
      <c r="D370" s="1100" t="n">
        <v>1006.416</v>
      </c>
      <c r="E370" s="1100" t="n">
        <v>3.240454864536394</v>
      </c>
      <c r="F370" s="1100" t="n">
        <v>747.1000000000001</v>
      </c>
      <c r="G370" s="1100" t="n">
        <v>4.464175810728029</v>
      </c>
      <c r="H370" s="1100" t="n">
        <v>769.1190000000001</v>
      </c>
      <c r="I370" s="1100" t="n">
        <v>4.595746801460756</v>
      </c>
      <c r="J370" s="1100" t="n">
        <v>228.4</v>
      </c>
      <c r="K370" s="1100" t="n">
        <v>1.594703684645252</v>
      </c>
      <c r="L370" s="1100" t="n">
        <v>237.297</v>
      </c>
      <c r="M370" s="1100" t="n">
        <v>1.656823118455623</v>
      </c>
      <c r="N370" s="761" t="inlineStr">
        <is>
          <t>5 week month</t>
        </is>
      </c>
    </row>
    <row r="371">
      <c r="A371" s="776" t="inlineStr">
        <is>
          <t>May 2001</t>
        </is>
      </c>
      <c r="B371" s="1100" t="n">
        <v>974.9000000000001</v>
      </c>
      <c r="C371" s="1100" t="n">
        <v>3.138979753339107</v>
      </c>
      <c r="D371" s="1100" t="n">
        <v>980.8980000000001</v>
      </c>
      <c r="E371" s="1100" t="n">
        <v>3.158292093641218</v>
      </c>
      <c r="F371" s="1100" t="n">
        <v>744.2</v>
      </c>
      <c r="G371" s="1100" t="n">
        <v>4.446847327457902</v>
      </c>
      <c r="H371" s="1100" t="n">
        <v>751.3830000000002</v>
      </c>
      <c r="I371" s="1100" t="n">
        <v>4.489768187916288</v>
      </c>
      <c r="J371" s="1100" t="n">
        <v>230.7</v>
      </c>
      <c r="K371" s="1100" t="n">
        <v>1.610762434534412</v>
      </c>
      <c r="L371" s="1100" t="n">
        <v>229.515</v>
      </c>
      <c r="M371" s="1100" t="n">
        <v>1.60248868730891</v>
      </c>
      <c r="N371" s="761" t="n"/>
    </row>
    <row r="372">
      <c r="A372" s="776" t="inlineStr">
        <is>
          <t>June 2001</t>
        </is>
      </c>
      <c r="B372" s="1100" t="n">
        <v>961.6000000000001</v>
      </c>
      <c r="C372" s="1100" t="n">
        <v>3.096156457904283</v>
      </c>
      <c r="D372" s="1100" t="n">
        <v>947.9280000000001</v>
      </c>
      <c r="E372" s="1100" t="n">
        <v>3.052135398115943</v>
      </c>
      <c r="F372" s="1100" t="n">
        <v>732.5000000000001</v>
      </c>
      <c r="G372" s="1100" t="n">
        <v>4.376935860471532</v>
      </c>
      <c r="H372" s="1100" t="n">
        <v>722.9400000000002</v>
      </c>
      <c r="I372" s="1100" t="n">
        <v>4.319811619070702</v>
      </c>
      <c r="J372" s="1100" t="n">
        <v>229.1</v>
      </c>
      <c r="K372" s="1100" t="n">
        <v>1.599591130263691</v>
      </c>
      <c r="L372" s="1100" t="n">
        <v>224.988</v>
      </c>
      <c r="M372" s="1100" t="n">
        <v>1.570880878287942</v>
      </c>
      <c r="N372" s="761" t="inlineStr">
        <is>
          <t>5 week month</t>
        </is>
      </c>
    </row>
    <row r="373">
      <c r="A373" s="776" t="inlineStr">
        <is>
          <t>July 2001</t>
        </is>
      </c>
      <c r="B373" s="1100" t="n">
        <v>951.8</v>
      </c>
      <c r="C373" s="1100" t="n">
        <v>3.06460245074178</v>
      </c>
      <c r="D373" s="1100" t="n">
        <v>961.8209999999999</v>
      </c>
      <c r="E373" s="1100" t="n">
        <v>3.096868032963763</v>
      </c>
      <c r="F373" s="1100" t="n">
        <v>725.8</v>
      </c>
      <c r="G373" s="1100" t="n">
        <v>4.336901088778481</v>
      </c>
      <c r="H373" s="1100" t="n">
        <v>724.0599999999999</v>
      </c>
      <c r="I373" s="1100" t="n">
        <v>4.326503998816404</v>
      </c>
      <c r="J373" s="1100" t="n">
        <v>226</v>
      </c>
      <c r="K373" s="1100" t="n">
        <v>1.577946728239172</v>
      </c>
      <c r="L373" s="1100" t="n">
        <v>237.761</v>
      </c>
      <c r="M373" s="1100" t="n">
        <v>1.660062796694132</v>
      </c>
      <c r="N373" s="761" t="n"/>
    </row>
    <row r="374">
      <c r="A374" s="776" t="inlineStr">
        <is>
          <t>August 2001</t>
        </is>
      </c>
      <c r="B374" s="1100" t="n">
        <v>951.1999999999999</v>
      </c>
      <c r="C374" s="1100" t="n">
        <v>3.062670572752239</v>
      </c>
      <c r="D374" s="1100" t="n">
        <v>973.1840000000001</v>
      </c>
      <c r="E374" s="1100" t="n">
        <v>3.133454582289019</v>
      </c>
      <c r="F374" s="1100" t="n">
        <v>725.4999999999999</v>
      </c>
      <c r="G374" s="1100" t="n">
        <v>4.33510848706088</v>
      </c>
      <c r="H374" s="1100" t="n">
        <v>726.6500000000001</v>
      </c>
      <c r="I374" s="1100" t="n">
        <v>4.341980126978346</v>
      </c>
      <c r="J374" s="1100" t="n">
        <v>225.7</v>
      </c>
      <c r="K374" s="1100" t="n">
        <v>1.575852108688412</v>
      </c>
      <c r="L374" s="1100" t="n">
        <v>246.534</v>
      </c>
      <c r="M374" s="1100" t="n">
        <v>1.721316454423522</v>
      </c>
      <c r="N374" s="761" t="n"/>
    </row>
    <row r="375">
      <c r="A375" s="776" t="inlineStr">
        <is>
          <t>September 2001</t>
        </is>
      </c>
      <c r="B375" s="1100" t="n">
        <v>946.1</v>
      </c>
      <c r="C375" s="1100" t="n">
        <v>3.046249609841141</v>
      </c>
      <c r="D375" s="1100" t="n">
        <v>940.3729999999999</v>
      </c>
      <c r="E375" s="1100" t="n">
        <v>3.027809834430972</v>
      </c>
      <c r="F375" s="1100" t="n">
        <v>721.3000000000001</v>
      </c>
      <c r="G375" s="1100" t="n">
        <v>4.310012063014492</v>
      </c>
      <c r="H375" s="1100" t="n">
        <v>705.372</v>
      </c>
      <c r="I375" s="1100" t="n">
        <v>4.214836862488088</v>
      </c>
      <c r="J375" s="1100" t="n">
        <v>224.8</v>
      </c>
      <c r="K375" s="1100" t="n">
        <v>1.569568250036132</v>
      </c>
      <c r="L375" s="1100" t="n">
        <v>235.001</v>
      </c>
      <c r="M375" s="1100" t="n">
        <v>1.64079229682714</v>
      </c>
      <c r="N375" s="761" t="inlineStr">
        <is>
          <t>5 week month</t>
        </is>
      </c>
    </row>
    <row r="376">
      <c r="A376" s="776" t="inlineStr">
        <is>
          <t>October 2001</t>
        </is>
      </c>
      <c r="B376" s="1100" t="n">
        <v>953</v>
      </c>
      <c r="C376" s="1100" t="n">
        <v>3.068466206720862</v>
      </c>
      <c r="D376" s="1100" t="n">
        <v>918.438</v>
      </c>
      <c r="E376" s="1100" t="n">
        <v>2.957183594930005</v>
      </c>
      <c r="F376" s="1100" t="n">
        <v>724.9</v>
      </c>
      <c r="G376" s="1100" t="n">
        <v>4.331523283625683</v>
      </c>
      <c r="H376" s="1100" t="n">
        <v>692.377</v>
      </c>
      <c r="I376" s="1100" t="n">
        <v>4.137187331420747</v>
      </c>
      <c r="J376" s="1100" t="n">
        <v>228.1</v>
      </c>
      <c r="K376" s="1100" t="n">
        <v>1.592609065094492</v>
      </c>
      <c r="L376" s="1100" t="n">
        <v>226.061</v>
      </c>
      <c r="M376" s="1100" t="n">
        <v>1.578372634214493</v>
      </c>
      <c r="N376" s="761" t="n"/>
    </row>
    <row r="377">
      <c r="A377" s="776" t="inlineStr">
        <is>
          <t>November 2001</t>
        </is>
      </c>
      <c r="B377" s="1100" t="n">
        <v>959.7</v>
      </c>
      <c r="C377" s="1100" t="n">
        <v>3.090038844270736</v>
      </c>
      <c r="D377" s="1100" t="n">
        <v>926.1869999999999</v>
      </c>
      <c r="E377" s="1100" t="n">
        <v>2.982133799164926</v>
      </c>
      <c r="F377" s="1100" t="n">
        <v>728.4</v>
      </c>
      <c r="G377" s="1100" t="n">
        <v>4.352436970331008</v>
      </c>
      <c r="H377" s="1100" t="n">
        <v>700.939</v>
      </c>
      <c r="I377" s="1100" t="n">
        <v>4.18834818444103</v>
      </c>
      <c r="J377" s="1100" t="n">
        <v>231.3</v>
      </c>
      <c r="K377" s="1100" t="n">
        <v>1.614951673635932</v>
      </c>
      <c r="L377" s="1100" t="n">
        <v>225.248</v>
      </c>
      <c r="M377" s="1100" t="n">
        <v>1.572696215231934</v>
      </c>
      <c r="N377" s="761" t="n"/>
    </row>
    <row r="378">
      <c r="A378" s="776" t="inlineStr">
        <is>
          <t>December 2001</t>
        </is>
      </c>
      <c r="B378" s="1100" t="n">
        <v>966.5</v>
      </c>
      <c r="C378" s="1100" t="n">
        <v>3.111933461485533</v>
      </c>
      <c r="D378" s="1100" t="n">
        <v>948.4599999999999</v>
      </c>
      <c r="E378" s="1100" t="n">
        <v>3.053848329933335</v>
      </c>
      <c r="F378" s="1100" t="n">
        <v>733.3</v>
      </c>
      <c r="G378" s="1100" t="n">
        <v>4.381716131718462</v>
      </c>
      <c r="H378" s="1100" t="n">
        <v>724.3739999999999</v>
      </c>
      <c r="I378" s="1100" t="n">
        <v>4.328380255280825</v>
      </c>
      <c r="J378" s="1100" t="n">
        <v>233.2</v>
      </c>
      <c r="K378" s="1100" t="n">
        <v>1.628217597457411</v>
      </c>
      <c r="L378" s="1100" t="n">
        <v>224.086</v>
      </c>
      <c r="M378" s="1100" t="n">
        <v>1.564583055505323</v>
      </c>
      <c r="N378" s="761" t="inlineStr">
        <is>
          <t>5 week month</t>
        </is>
      </c>
    </row>
    <row r="379">
      <c r="A379" s="776" t="inlineStr">
        <is>
          <t>January 2002</t>
        </is>
      </c>
      <c r="B379" s="1100" t="n">
        <v>958.1999999999998</v>
      </c>
      <c r="C379" s="1100" t="n">
        <v>3.058175322554993</v>
      </c>
      <c r="D379" s="1100" t="n">
        <v>1021.466</v>
      </c>
      <c r="E379" s="1100" t="n">
        <v>3.260094045114756</v>
      </c>
      <c r="F379" s="1100" t="n">
        <v>727.1999999999998</v>
      </c>
      <c r="G379" s="1100" t="n">
        <v>4.334506089826081</v>
      </c>
      <c r="H379" s="1100" t="n">
        <v>778.369</v>
      </c>
      <c r="I379" s="1100" t="n">
        <v>4.63950105972475</v>
      </c>
      <c r="J379" s="1100" t="n">
        <v>231</v>
      </c>
      <c r="K379" s="1100" t="n">
        <v>1.58703866211679</v>
      </c>
      <c r="L379" s="1100" t="n">
        <v>243.097</v>
      </c>
      <c r="M379" s="1100" t="n">
        <v>1.670148647812144</v>
      </c>
      <c r="N379" s="761" t="n"/>
    </row>
    <row r="380">
      <c r="A380" s="776" t="inlineStr">
        <is>
          <t>February 2002</t>
        </is>
      </c>
      <c r="B380" s="1100" t="n">
        <v>951.9</v>
      </c>
      <c r="C380" s="1100" t="n">
        <v>3.038068346420475</v>
      </c>
      <c r="D380" s="1100" t="n">
        <v>1024.049</v>
      </c>
      <c r="E380" s="1100" t="n">
        <v>3.268337905329909</v>
      </c>
      <c r="F380" s="1100" t="n">
        <v>722.5</v>
      </c>
      <c r="G380" s="1100" t="n">
        <v>4.306491542765875</v>
      </c>
      <c r="H380" s="1100" t="n">
        <v>778.051</v>
      </c>
      <c r="I380" s="1100" t="n">
        <v>4.63760560739174</v>
      </c>
      <c r="J380" s="1100" t="n">
        <v>229.4</v>
      </c>
      <c r="K380" s="1100" t="n">
        <v>1.576046186535028</v>
      </c>
      <c r="L380" s="1100" t="n">
        <v>245.998</v>
      </c>
      <c r="M380" s="1100" t="n">
        <v>1.690079380101325</v>
      </c>
      <c r="N380" s="761" t="inlineStr">
        <is>
          <t>5 week month</t>
        </is>
      </c>
    </row>
    <row r="381">
      <c r="A381" s="776" t="inlineStr">
        <is>
          <t>March 2002</t>
        </is>
      </c>
      <c r="B381" s="1100" t="n">
        <v>947.5000000000002</v>
      </c>
      <c r="C381" s="1100" t="n">
        <v>3.024025378961446</v>
      </c>
      <c r="D381" s="1100" t="n">
        <v>998.181</v>
      </c>
      <c r="E381" s="1100" t="n">
        <v>3.18577802300487</v>
      </c>
      <c r="F381" s="1100" t="n">
        <v>719.8000000000002</v>
      </c>
      <c r="G381" s="1100" t="n">
        <v>4.290398079561077</v>
      </c>
      <c r="H381" s="1100" t="n">
        <v>759.499</v>
      </c>
      <c r="I381" s="1100" t="n">
        <v>4.527025633548982</v>
      </c>
      <c r="J381" s="1100" t="n">
        <v>227.7</v>
      </c>
      <c r="K381" s="1100" t="n">
        <v>1.564366681229407</v>
      </c>
      <c r="L381" s="1100" t="n">
        <v>238.682</v>
      </c>
      <c r="M381" s="1100" t="n">
        <v>1.639816285503721</v>
      </c>
      <c r="N381" s="761" t="n"/>
    </row>
    <row r="382">
      <c r="A382" s="776" t="inlineStr">
        <is>
          <t>April 2002</t>
        </is>
      </c>
      <c r="B382" s="1100" t="n">
        <v>954.8999999999999</v>
      </c>
      <c r="C382" s="1100" t="n">
        <v>3.047643096960722</v>
      </c>
      <c r="D382" s="1100" t="n">
        <v>982.737</v>
      </c>
      <c r="E382" s="1100" t="n">
        <v>3.136487207223677</v>
      </c>
      <c r="F382" s="1100" t="n">
        <v>722.8</v>
      </c>
      <c r="G382" s="1100" t="n">
        <v>4.308279705344186</v>
      </c>
      <c r="H382" s="1100" t="n">
        <v>745.92</v>
      </c>
      <c r="I382" s="1100" t="n">
        <v>4.446087434712695</v>
      </c>
      <c r="J382" s="1100" t="n">
        <v>232.1</v>
      </c>
      <c r="K382" s="1100" t="n">
        <v>1.59459598907925</v>
      </c>
      <c r="L382" s="1100" t="n">
        <v>236.817</v>
      </c>
      <c r="M382" s="1100" t="n">
        <v>1.62700318115373</v>
      </c>
      <c r="N382" s="761" t="n"/>
    </row>
    <row r="383">
      <c r="A383" s="776" t="inlineStr">
        <is>
          <t>May 2002</t>
        </is>
      </c>
      <c r="B383" s="1100" t="n">
        <v>947.0999999999999</v>
      </c>
      <c r="C383" s="1100" t="n">
        <v>3.022748745556079</v>
      </c>
      <c r="D383" s="1100" t="n">
        <v>954.452</v>
      </c>
      <c r="E383" s="1100" t="n">
        <v>3.046213267546712</v>
      </c>
      <c r="F383" s="1100" t="n">
        <v>717.5</v>
      </c>
      <c r="G383" s="1100" t="n">
        <v>4.276688833127356</v>
      </c>
      <c r="H383" s="1100" t="n">
        <v>724.8</v>
      </c>
      <c r="I383" s="1100" t="n">
        <v>4.320200789199593</v>
      </c>
      <c r="J383" s="1100" t="n">
        <v>229.6</v>
      </c>
      <c r="K383" s="1100" t="n">
        <v>1.577420245982748</v>
      </c>
      <c r="L383" s="1100" t="n">
        <v>229.652</v>
      </c>
      <c r="M383" s="1100" t="n">
        <v>1.577777501439156</v>
      </c>
      <c r="N383" s="761" t="n"/>
    </row>
    <row r="384">
      <c r="A384" s="776" t="inlineStr">
        <is>
          <t>June 2002</t>
        </is>
      </c>
      <c r="B384" s="1100" t="n">
        <v>949.7</v>
      </c>
      <c r="C384" s="1100" t="n">
        <v>3.03104686269096</v>
      </c>
      <c r="D384" s="1100" t="n">
        <v>937.0329999999999</v>
      </c>
      <c r="E384" s="1100" t="n">
        <v>2.990619074326522</v>
      </c>
      <c r="F384" s="1100" t="n">
        <v>719.5</v>
      </c>
      <c r="G384" s="1100" t="n">
        <v>4.288609916982765</v>
      </c>
      <c r="H384" s="1100" t="n">
        <v>709.9939999999999</v>
      </c>
      <c r="I384" s="1100" t="n">
        <v>4.231949005418013</v>
      </c>
      <c r="J384" s="1100" t="n">
        <v>230.2</v>
      </c>
      <c r="K384" s="1100" t="n">
        <v>1.581542424325909</v>
      </c>
      <c r="L384" s="1100" t="n">
        <v>227.039</v>
      </c>
      <c r="M384" s="1100" t="n">
        <v>1.559825414754692</v>
      </c>
      <c r="N384" s="761" t="inlineStr">
        <is>
          <t>5 week month</t>
        </is>
      </c>
    </row>
    <row r="385">
      <c r="A385" s="776" t="inlineStr">
        <is>
          <t>July 2002</t>
        </is>
      </c>
      <c r="B385" s="1100" t="n">
        <v>950</v>
      </c>
      <c r="C385" s="1100" t="n">
        <v>3.032004337744985</v>
      </c>
      <c r="D385" s="1100" t="n">
        <v>956.377</v>
      </c>
      <c r="E385" s="1100" t="n">
        <v>3.052357065810037</v>
      </c>
      <c r="F385" s="1100" t="n">
        <v>719.7</v>
      </c>
      <c r="G385" s="1100" t="n">
        <v>4.289802025368305</v>
      </c>
      <c r="H385" s="1100" t="n">
        <v>715.7359999999999</v>
      </c>
      <c r="I385" s="1100" t="n">
        <v>4.266174437166887</v>
      </c>
      <c r="J385" s="1100" t="n">
        <v>230.3</v>
      </c>
      <c r="K385" s="1100" t="n">
        <v>1.582229454049769</v>
      </c>
      <c r="L385" s="1100" t="n">
        <v>240.641</v>
      </c>
      <c r="M385" s="1100" t="n">
        <v>1.65327519779414</v>
      </c>
      <c r="N385" s="761" t="n"/>
    </row>
    <row r="386">
      <c r="A386" s="776" t="inlineStr">
        <is>
          <t>August 2002</t>
        </is>
      </c>
      <c r="B386" s="1100" t="n">
        <v>945.6999999999998</v>
      </c>
      <c r="C386" s="1100" t="n">
        <v>3.018280528637296</v>
      </c>
      <c r="D386" s="1100" t="n">
        <v>962.7170000000001</v>
      </c>
      <c r="E386" s="1100" t="n">
        <v>3.072591705285094</v>
      </c>
      <c r="F386" s="1100" t="n">
        <v>716.6999999999999</v>
      </c>
      <c r="G386" s="1100" t="n">
        <v>4.271920399585193</v>
      </c>
      <c r="H386" s="1100" t="n">
        <v>715.1660000000001</v>
      </c>
      <c r="I386" s="1100" t="n">
        <v>4.262776928268097</v>
      </c>
      <c r="J386" s="1100" t="n">
        <v>228.9999999999999</v>
      </c>
      <c r="K386" s="1100" t="n">
        <v>1.573298067639587</v>
      </c>
      <c r="L386" s="1100" t="n">
        <v>247.551</v>
      </c>
      <c r="M386" s="1100" t="n">
        <v>1.700748951712872</v>
      </c>
      <c r="N386" s="761" t="n"/>
    </row>
    <row r="387">
      <c r="A387" s="776" t="inlineStr">
        <is>
          <t>September 2002</t>
        </is>
      </c>
      <c r="B387" s="1100" t="n">
        <v>943.7</v>
      </c>
      <c r="C387" s="1100" t="n">
        <v>3.011897361610465</v>
      </c>
      <c r="D387" s="1100" t="n">
        <v>936.2139999999999</v>
      </c>
      <c r="E387" s="1100" t="n">
        <v>2.988005167429035</v>
      </c>
      <c r="F387" s="1100" t="n">
        <v>714.5</v>
      </c>
      <c r="G387" s="1100" t="n">
        <v>4.258807207344246</v>
      </c>
      <c r="H387" s="1100" t="n">
        <v>697.643</v>
      </c>
      <c r="I387" s="1100" t="n">
        <v>4.158330352068946</v>
      </c>
      <c r="J387" s="1100" t="n">
        <v>229.2</v>
      </c>
      <c r="K387" s="1100" t="n">
        <v>1.574672127087308</v>
      </c>
      <c r="L387" s="1100" t="n">
        <v>238.571</v>
      </c>
      <c r="M387" s="1100" t="n">
        <v>1.639053682510236</v>
      </c>
      <c r="N387" s="761" t="inlineStr">
        <is>
          <t>5 week month</t>
        </is>
      </c>
    </row>
    <row r="388">
      <c r="A388" s="776" t="inlineStr">
        <is>
          <t>October 2002</t>
        </is>
      </c>
      <c r="B388" s="1100" t="n">
        <v>939.4999999999998</v>
      </c>
      <c r="C388" s="1100" t="n">
        <v>2.998492710854118</v>
      </c>
      <c r="D388" s="1100" t="n">
        <v>907.221</v>
      </c>
      <c r="E388" s="1100" t="n">
        <v>2.895471586624571</v>
      </c>
      <c r="F388" s="1100" t="n">
        <v>710.8999999999997</v>
      </c>
      <c r="G388" s="1100" t="n">
        <v>4.237349256404512</v>
      </c>
      <c r="H388" s="1100" t="n">
        <v>679.846</v>
      </c>
      <c r="I388" s="1100" t="n">
        <v>4.052250587381604</v>
      </c>
      <c r="J388" s="1100" t="n">
        <v>228.6000000000001</v>
      </c>
      <c r="K388" s="1100" t="n">
        <v>1.570549948744148</v>
      </c>
      <c r="L388" s="1100" t="n">
        <v>227.375</v>
      </c>
      <c r="M388" s="1100" t="n">
        <v>1.562133834626861</v>
      </c>
      <c r="N388" s="761" t="n"/>
    </row>
    <row r="389">
      <c r="A389" s="776" t="inlineStr">
        <is>
          <t>November 2002</t>
        </is>
      </c>
      <c r="B389" s="1100" t="n">
        <v>936.4000000000002</v>
      </c>
      <c r="C389" s="1100" t="n">
        <v>2.988598801962531</v>
      </c>
      <c r="D389" s="1100" t="n">
        <v>905.5690000000001</v>
      </c>
      <c r="E389" s="1100" t="n">
        <v>2.890199090660409</v>
      </c>
      <c r="F389" s="1100" t="n">
        <v>708.6000000000001</v>
      </c>
      <c r="G389" s="1100" t="n">
        <v>4.223640009970795</v>
      </c>
      <c r="H389" s="1100" t="n">
        <v>683.0210000000001</v>
      </c>
      <c r="I389" s="1100" t="n">
        <v>4.071175308002064</v>
      </c>
      <c r="J389" s="1100" t="n">
        <v>227.8000000000001</v>
      </c>
      <c r="K389" s="1100" t="n">
        <v>1.565053710953267</v>
      </c>
      <c r="L389" s="1100" t="n">
        <v>222.548</v>
      </c>
      <c r="M389" s="1100" t="n">
        <v>1.528970909856135</v>
      </c>
      <c r="N389" s="761" t="inlineStr">
        <is>
          <t>5 week month</t>
        </is>
      </c>
    </row>
    <row r="390">
      <c r="A390" s="776" t="inlineStr">
        <is>
          <t>December 2002</t>
        </is>
      </c>
      <c r="B390" s="1100" t="n">
        <v>935.1999999999999</v>
      </c>
      <c r="C390" s="1100" t="n">
        <v>2.984768901746431</v>
      </c>
      <c r="D390" s="1100" t="n">
        <v>919.0889999999999</v>
      </c>
      <c r="E390" s="1100" t="n">
        <v>2.93334929976179</v>
      </c>
      <c r="F390" s="1100" t="n">
        <v>705.4999999999999</v>
      </c>
      <c r="G390" s="1100" t="n">
        <v>4.205162329994913</v>
      </c>
      <c r="H390" s="1100" t="n">
        <v>697.341</v>
      </c>
      <c r="I390" s="1100" t="n">
        <v>4.15653026840678</v>
      </c>
      <c r="J390" s="1100" t="n">
        <v>229.7</v>
      </c>
      <c r="K390" s="1100" t="n">
        <v>1.578107275706609</v>
      </c>
      <c r="L390" s="1100" t="n">
        <v>221.748</v>
      </c>
      <c r="M390" s="1100" t="n">
        <v>1.523474672065255</v>
      </c>
      <c r="N390" s="761" t="n"/>
    </row>
    <row r="391">
      <c r="A391" s="776" t="inlineStr">
        <is>
          <t>January 2003</t>
        </is>
      </c>
      <c r="B391" s="1100" t="n">
        <v>939.3000000000001</v>
      </c>
      <c r="C391" s="1100" t="n">
        <v>2.971307851851027</v>
      </c>
      <c r="D391" s="1100" t="n">
        <v>998.0349999999999</v>
      </c>
      <c r="E391" s="1100" t="n">
        <v>3.157105538083828</v>
      </c>
      <c r="F391" s="1100" t="n">
        <v>707.7</v>
      </c>
      <c r="G391" s="1100" t="n">
        <v>4.163742574453154</v>
      </c>
      <c r="H391" s="1100" t="n">
        <v>755.4689999999998</v>
      </c>
      <c r="I391" s="1100" t="n">
        <v>4.444790785614735</v>
      </c>
      <c r="J391" s="1100" t="n">
        <v>231.6</v>
      </c>
      <c r="K391" s="1100" t="n">
        <v>1.584606708962073</v>
      </c>
      <c r="L391" s="1100" t="n">
        <v>242.566</v>
      </c>
      <c r="M391" s="1100" t="n">
        <v>1.659636057711978</v>
      </c>
      <c r="N391" s="761" t="n"/>
    </row>
    <row r="392">
      <c r="A392" s="776" t="inlineStr">
        <is>
          <t>February 2003</t>
        </is>
      </c>
      <c r="B392" s="1100" t="n">
        <v>942.5000000000001</v>
      </c>
      <c r="C392" s="1100" t="n">
        <v>2.981430480538266</v>
      </c>
      <c r="D392" s="1100" t="n">
        <v>1012.828</v>
      </c>
      <c r="E392" s="1100" t="n">
        <v>3.203900552512054</v>
      </c>
      <c r="F392" s="1100" t="n">
        <v>710.0000000000001</v>
      </c>
      <c r="G392" s="1100" t="n">
        <v>4.177274590732994</v>
      </c>
      <c r="H392" s="1100" t="n">
        <v>763.9119999999999</v>
      </c>
      <c r="I392" s="1100" t="n">
        <v>4.494465052332425</v>
      </c>
      <c r="J392" s="1100" t="n">
        <v>232.5</v>
      </c>
      <c r="K392" s="1100" t="n">
        <v>1.590764507053894</v>
      </c>
      <c r="L392" s="1100" t="n">
        <v>248.916</v>
      </c>
      <c r="M392" s="1100" t="n">
        <v>1.703082744248719</v>
      </c>
      <c r="N392" s="761" t="inlineStr">
        <is>
          <t>5 week month</t>
        </is>
      </c>
    </row>
    <row r="393">
      <c r="A393" s="776" t="inlineStr">
        <is>
          <t>March 2003</t>
        </is>
      </c>
      <c r="B393" s="1100" t="n">
        <v>941.1999999999999</v>
      </c>
      <c r="C393" s="1100" t="n">
        <v>2.977318162634075</v>
      </c>
      <c r="D393" s="1100" t="n">
        <v>992.2880000000001</v>
      </c>
      <c r="E393" s="1100" t="n">
        <v>3.138925929625841</v>
      </c>
      <c r="F393" s="1100" t="n">
        <v>708.0999999999999</v>
      </c>
      <c r="G393" s="1100" t="n">
        <v>4.166095968588778</v>
      </c>
      <c r="H393" s="1100" t="n">
        <v>747.8950000000001</v>
      </c>
      <c r="I393" s="1100" t="n">
        <v>4.400229267656694</v>
      </c>
      <c r="J393" s="1100" t="n">
        <v>233.1</v>
      </c>
      <c r="K393" s="1100" t="n">
        <v>1.594869705781776</v>
      </c>
      <c r="L393" s="1100" t="n">
        <v>244.393</v>
      </c>
      <c r="M393" s="1100" t="n">
        <v>1.672136387838376</v>
      </c>
      <c r="N393" s="761" t="n"/>
    </row>
    <row r="394">
      <c r="A394" s="776" t="inlineStr">
        <is>
          <t>April 2003</t>
        </is>
      </c>
      <c r="B394" s="1100" t="n">
        <v>936.1000000000001</v>
      </c>
      <c r="C394" s="1100" t="n">
        <v>2.961185223163789</v>
      </c>
      <c r="D394" s="1100" t="n">
        <v>966.093</v>
      </c>
      <c r="E394" s="1100" t="n">
        <v>3.056062723856398</v>
      </c>
      <c r="F394" s="1100" t="n">
        <v>702.4000000000001</v>
      </c>
      <c r="G394" s="1100" t="n">
        <v>4.132560102156133</v>
      </c>
      <c r="H394" s="1100" t="n">
        <v>726.377</v>
      </c>
      <c r="I394" s="1100" t="n">
        <v>4.273628430130787</v>
      </c>
      <c r="J394" s="1100" t="n">
        <v>233.7</v>
      </c>
      <c r="K394" s="1100" t="n">
        <v>1.598974904509657</v>
      </c>
      <c r="L394" s="1100" t="n">
        <v>239.716</v>
      </c>
      <c r="M394" s="1100" t="n">
        <v>1.640136363754543</v>
      </c>
      <c r="N394" s="761" t="n"/>
    </row>
    <row r="395">
      <c r="A395" s="776" t="inlineStr">
        <is>
          <t>May 2003</t>
        </is>
      </c>
      <c r="B395" s="1100" t="n">
        <v>947.1999999999998</v>
      </c>
      <c r="C395" s="1100" t="n">
        <v>2.996298091422647</v>
      </c>
      <c r="D395" s="1100" t="n">
        <v>957.787</v>
      </c>
      <c r="E395" s="1100" t="n">
        <v>3.029788175770084</v>
      </c>
      <c r="F395" s="1100" t="n">
        <v>711.7999999999998</v>
      </c>
      <c r="G395" s="1100" t="n">
        <v>4.187864864343301</v>
      </c>
      <c r="H395" s="1100" t="n">
        <v>720.902</v>
      </c>
      <c r="I395" s="1100" t="n">
        <v>4.241416347899431</v>
      </c>
      <c r="J395" s="1100" t="n">
        <v>235.4</v>
      </c>
      <c r="K395" s="1100" t="n">
        <v>1.610606300905319</v>
      </c>
      <c r="L395" s="1100" t="n">
        <v>236.885</v>
      </c>
      <c r="M395" s="1100" t="n">
        <v>1.620766667756825</v>
      </c>
      <c r="N395" s="761" t="n"/>
    </row>
    <row r="396">
      <c r="A396" s="776" t="inlineStr">
        <is>
          <t>June 2003</t>
        </is>
      </c>
      <c r="B396" s="1100" t="n">
        <v>947.0999999999999</v>
      </c>
      <c r="C396" s="1100" t="n">
        <v>2.995981759276171</v>
      </c>
      <c r="D396" s="1100" t="n">
        <v>939.1590000000001</v>
      </c>
      <c r="E396" s="1100" t="n">
        <v>2.970861823524496</v>
      </c>
      <c r="F396" s="1100" t="n">
        <v>711.6999999999999</v>
      </c>
      <c r="G396" s="1100" t="n">
        <v>4.187276515809395</v>
      </c>
      <c r="H396" s="1100" t="n">
        <v>705.3000000000001</v>
      </c>
      <c r="I396" s="1100" t="n">
        <v>4.149622209639409</v>
      </c>
      <c r="J396" s="1100" t="n">
        <v>235.3999999999999</v>
      </c>
      <c r="K396" s="1100" t="n">
        <v>1.610606300905319</v>
      </c>
      <c r="L396" s="1100" t="n">
        <v>233.859</v>
      </c>
      <c r="M396" s="1100" t="n">
        <v>1.600062782172545</v>
      </c>
      <c r="N396" s="761" t="inlineStr">
        <is>
          <t>5 week month</t>
        </is>
      </c>
    </row>
    <row r="397">
      <c r="A397" s="776" t="inlineStr">
        <is>
          <t>July 2003</t>
        </is>
      </c>
      <c r="B397" s="1100" t="n">
        <v>940.2</v>
      </c>
      <c r="C397" s="1100" t="n">
        <v>2.974154841169313</v>
      </c>
      <c r="D397" s="1100" t="n">
        <v>946.3150000000001</v>
      </c>
      <c r="E397" s="1100" t="n">
        <v>2.993498551926333</v>
      </c>
      <c r="F397" s="1100" t="n">
        <v>705.2</v>
      </c>
      <c r="G397" s="1100" t="n">
        <v>4.149033861105502</v>
      </c>
      <c r="H397" s="1100" t="n">
        <v>701.447</v>
      </c>
      <c r="I397" s="1100" t="n">
        <v>4.126953140628007</v>
      </c>
      <c r="J397" s="1100" t="n">
        <v>235</v>
      </c>
      <c r="K397" s="1100" t="n">
        <v>1.607869501753399</v>
      </c>
      <c r="L397" s="1100" t="n">
        <v>244.868</v>
      </c>
      <c r="M397" s="1100" t="n">
        <v>1.675386336831282</v>
      </c>
      <c r="N397" s="761" t="n"/>
    </row>
    <row r="398">
      <c r="A398" s="776" t="inlineStr">
        <is>
          <t>August 2003</t>
        </is>
      </c>
      <c r="B398" s="1100" t="n">
        <v>933.3</v>
      </c>
      <c r="C398" s="1100" t="n">
        <v>2.952327923062455</v>
      </c>
      <c r="D398" s="1100" t="n">
        <v>948.5530000000001</v>
      </c>
      <c r="E398" s="1100" t="n">
        <v>3.000578065364471</v>
      </c>
      <c r="F398" s="1100" t="n">
        <v>699.4</v>
      </c>
      <c r="G398" s="1100" t="n">
        <v>4.114909646138951</v>
      </c>
      <c r="H398" s="1100" t="n">
        <v>696.9250000000001</v>
      </c>
      <c r="I398" s="1100" t="n">
        <v>4.100348019924777</v>
      </c>
      <c r="J398" s="1100" t="n">
        <v>233.9</v>
      </c>
      <c r="K398" s="1100" t="n">
        <v>1.600343304085617</v>
      </c>
      <c r="L398" s="1100" t="n">
        <v>251.628</v>
      </c>
      <c r="M398" s="1100" t="n">
        <v>1.721638242498742</v>
      </c>
      <c r="N398" s="761" t="inlineStr">
        <is>
          <t>5 week month</t>
        </is>
      </c>
    </row>
    <row r="399">
      <c r="A399" s="776" t="inlineStr">
        <is>
          <t>September 2003</t>
        </is>
      </c>
      <c r="B399" s="1100" t="n">
        <v>928.7</v>
      </c>
      <c r="C399" s="1100" t="n">
        <v>2.937776644324549</v>
      </c>
      <c r="D399" s="1100" t="n">
        <v>922.1359999999999</v>
      </c>
      <c r="E399" s="1100" t="n">
        <v>2.91701260222985</v>
      </c>
      <c r="F399" s="1100" t="n">
        <v>695.6</v>
      </c>
      <c r="G399" s="1100" t="n">
        <v>4.092552401850521</v>
      </c>
      <c r="H399" s="1100" t="n">
        <v>679.2399999999999</v>
      </c>
      <c r="I399" s="1100" t="n">
        <v>3.99629858170349</v>
      </c>
      <c r="J399" s="1100" t="n">
        <v>233.1</v>
      </c>
      <c r="K399" s="1100" t="n">
        <v>1.594869705781776</v>
      </c>
      <c r="L399" s="1100" t="n">
        <v>242.896</v>
      </c>
      <c r="M399" s="1100" t="n">
        <v>1.661893917012313</v>
      </c>
      <c r="N399" s="761" t="n"/>
    </row>
    <row r="400">
      <c r="A400" s="776" t="inlineStr">
        <is>
          <t>October 2003</t>
        </is>
      </c>
      <c r="B400" s="1100" t="n">
        <v>922</v>
      </c>
      <c r="C400" s="1100" t="n">
        <v>2.916582390510643</v>
      </c>
      <c r="D400" s="1100" t="n">
        <v>893.1760000000002</v>
      </c>
      <c r="E400" s="1100" t="n">
        <v>2.825402812610341</v>
      </c>
      <c r="F400" s="1100" t="n">
        <v>690.3</v>
      </c>
      <c r="G400" s="1100" t="n">
        <v>4.0613699295535</v>
      </c>
      <c r="H400" s="1100" t="n">
        <v>661.6990000000001</v>
      </c>
      <c r="I400" s="1100" t="n">
        <v>3.89309636537103</v>
      </c>
      <c r="J400" s="1100" t="n">
        <v>231.7</v>
      </c>
      <c r="K400" s="1100" t="n">
        <v>1.585290908750053</v>
      </c>
      <c r="L400" s="1100" t="n">
        <v>231.477</v>
      </c>
      <c r="M400" s="1100" t="n">
        <v>1.583765143222858</v>
      </c>
      <c r="N400" s="761" t="n"/>
    </row>
    <row r="401">
      <c r="A401" s="776" t="inlineStr">
        <is>
          <t>November 2003</t>
        </is>
      </c>
      <c r="B401" s="1100" t="n">
        <v>913.0000000000001</v>
      </c>
      <c r="C401" s="1100" t="n">
        <v>2.888112497327784</v>
      </c>
      <c r="D401" s="1100" t="n">
        <v>884.646</v>
      </c>
      <c r="E401" s="1100" t="n">
        <v>2.79841968051592</v>
      </c>
      <c r="F401" s="1100" t="n">
        <v>683.5000000000001</v>
      </c>
      <c r="G401" s="1100" t="n">
        <v>4.021362229247889</v>
      </c>
      <c r="H401" s="1100" t="n">
        <v>659.977</v>
      </c>
      <c r="I401" s="1100" t="n">
        <v>3.882965003617167</v>
      </c>
      <c r="J401" s="1100" t="n">
        <v>229.5</v>
      </c>
      <c r="K401" s="1100" t="n">
        <v>1.57023851341449</v>
      </c>
      <c r="L401" s="1100" t="n">
        <v>224.669</v>
      </c>
      <c r="M401" s="1100" t="n">
        <v>1.537184821657167</v>
      </c>
      <c r="N401" s="761" t="inlineStr">
        <is>
          <t>5 week month</t>
        </is>
      </c>
    </row>
    <row r="402">
      <c r="A402" s="776" t="inlineStr">
        <is>
          <t>December 2003</t>
        </is>
      </c>
      <c r="B402" s="1100" t="n">
        <v>906</v>
      </c>
      <c r="C402" s="1100" t="n">
        <v>2.86596924707445</v>
      </c>
      <c r="D402" s="1100" t="n">
        <v>889.717</v>
      </c>
      <c r="E402" s="1100" t="n">
        <v>2.814460883663728</v>
      </c>
      <c r="F402" s="1100" t="n">
        <v>677.9</v>
      </c>
      <c r="G402" s="1100" t="n">
        <v>3.988414711349149</v>
      </c>
      <c r="H402" s="1100" t="n">
        <v>669.2489999999999</v>
      </c>
      <c r="I402" s="1100" t="n">
        <v>3.937516679680936</v>
      </c>
      <c r="J402" s="1100" t="n">
        <v>228.1</v>
      </c>
      <c r="K402" s="1100" t="n">
        <v>1.560659716382767</v>
      </c>
      <c r="L402" s="1100" t="n">
        <v>220.468</v>
      </c>
      <c r="M402" s="1100" t="n">
        <v>1.508441588564121</v>
      </c>
      <c r="N402" s="761" t="n"/>
    </row>
    <row r="403">
      <c r="A403" s="776" t="inlineStr">
        <is>
          <t>January 2004</t>
        </is>
      </c>
      <c r="B403" s="1100" t="n">
        <v>899.1999999999999</v>
      </c>
      <c r="C403" s="1100" t="n">
        <v>2.823995190665841</v>
      </c>
      <c r="D403" s="1100" t="n">
        <v>952.429</v>
      </c>
      <c r="E403" s="1100" t="n">
        <v>2.99116427430013</v>
      </c>
      <c r="F403" s="1100" t="n">
        <v>672.8</v>
      </c>
      <c r="G403" s="1100" t="n">
        <v>3.945976253762402</v>
      </c>
      <c r="H403" s="1100" t="n">
        <v>716.331</v>
      </c>
      <c r="I403" s="1100" t="n">
        <v>4.20128584398614</v>
      </c>
      <c r="J403" s="1100" t="n">
        <v>226.4</v>
      </c>
      <c r="K403" s="1100" t="n">
        <v>1.530646669822611</v>
      </c>
      <c r="L403" s="1100" t="n">
        <v>236.098</v>
      </c>
      <c r="M403" s="1100" t="n">
        <v>1.596212974610331</v>
      </c>
      <c r="N403" s="761" t="n"/>
    </row>
    <row r="404">
      <c r="A404" s="776" t="inlineStr">
        <is>
          <t>February 2004</t>
        </is>
      </c>
      <c r="B404" s="1100" t="n">
        <v>892.1000000000001</v>
      </c>
      <c r="C404" s="1100" t="n">
        <v>2.801697185935273</v>
      </c>
      <c r="D404" s="1100" t="n">
        <v>957.0040000000001</v>
      </c>
      <c r="E404" s="1100" t="n">
        <v>3.005532354813138</v>
      </c>
      <c r="F404" s="1100" t="n">
        <v>667.2</v>
      </c>
      <c r="G404" s="1100" t="n">
        <v>3.913132218356531</v>
      </c>
      <c r="H404" s="1100" t="n">
        <v>716.5450000000001</v>
      </c>
      <c r="I404" s="1100" t="n">
        <v>4.202540955339151</v>
      </c>
      <c r="J404" s="1100" t="n">
        <v>224.9</v>
      </c>
      <c r="K404" s="1100" t="n">
        <v>1.520505459554352</v>
      </c>
      <c r="L404" s="1100" t="n">
        <v>240.459</v>
      </c>
      <c r="M404" s="1100" t="n">
        <v>1.625696853263583</v>
      </c>
      <c r="N404" s="761" t="inlineStr">
        <is>
          <t>5 week month</t>
        </is>
      </c>
    </row>
    <row r="405">
      <c r="A405" s="776" t="inlineStr">
        <is>
          <t>March 2004</t>
        </is>
      </c>
      <c r="B405" s="1100" t="n">
        <v>881</v>
      </c>
      <c r="C405" s="1100" t="n">
        <v>2.766836925018468</v>
      </c>
      <c r="D405" s="1100" t="n">
        <v>932.028</v>
      </c>
      <c r="E405" s="1100" t="n">
        <v>2.92709362718628</v>
      </c>
      <c r="F405" s="1100" t="n">
        <v>658.2</v>
      </c>
      <c r="G405" s="1100" t="n">
        <v>3.86034716145424</v>
      </c>
      <c r="H405" s="1100" t="n">
        <v>697.2379999999999</v>
      </c>
      <c r="I405" s="1100" t="n">
        <v>4.08930527827109</v>
      </c>
      <c r="J405" s="1100" t="n">
        <v>222.8</v>
      </c>
      <c r="K405" s="1100" t="n">
        <v>1.506307765178789</v>
      </c>
      <c r="L405" s="1100" t="n">
        <v>234.79</v>
      </c>
      <c r="M405" s="1100" t="n">
        <v>1.587369839256409</v>
      </c>
      <c r="N405" s="761" t="n"/>
    </row>
    <row r="406">
      <c r="A406" s="776" t="inlineStr">
        <is>
          <t>April 2004</t>
        </is>
      </c>
      <c r="B406" s="1100" t="n">
        <v>871.8999999999999</v>
      </c>
      <c r="C406" s="1100" t="n">
        <v>2.738257792194781</v>
      </c>
      <c r="D406" s="1100" t="n">
        <v>905.2259999999999</v>
      </c>
      <c r="E406" s="1100" t="n">
        <v>2.842920229610406</v>
      </c>
      <c r="F406" s="1100" t="n">
        <v>651.1999999999999</v>
      </c>
      <c r="G406" s="1100" t="n">
        <v>3.819292117196901</v>
      </c>
      <c r="H406" s="1100" t="n">
        <v>675.6629999999999</v>
      </c>
      <c r="I406" s="1100" t="n">
        <v>3.962767766863652</v>
      </c>
      <c r="J406" s="1100" t="n">
        <v>220.7</v>
      </c>
      <c r="K406" s="1100" t="n">
        <v>1.492110070803226</v>
      </c>
      <c r="L406" s="1100" t="n">
        <v>229.563</v>
      </c>
      <c r="M406" s="1100" t="n">
        <v>1.552031101874948</v>
      </c>
      <c r="N406" s="761" t="n"/>
    </row>
    <row r="407">
      <c r="A407" s="776" t="inlineStr">
        <is>
          <t>May 2004</t>
        </is>
      </c>
      <c r="B407" s="1100" t="n">
        <v>858.1000000000001</v>
      </c>
      <c r="C407" s="1100" t="n">
        <v>2.694918008352268</v>
      </c>
      <c r="D407" s="1100" t="n">
        <v>869.653</v>
      </c>
      <c r="E407" s="1100" t="n">
        <v>2.731200944782163</v>
      </c>
      <c r="F407" s="1100" t="n">
        <v>639.8000000000001</v>
      </c>
      <c r="G407" s="1100" t="n">
        <v>3.752431045120667</v>
      </c>
      <c r="H407" s="1100" t="n">
        <v>649.641</v>
      </c>
      <c r="I407" s="1100" t="n">
        <v>3.810148572340161</v>
      </c>
      <c r="J407" s="1100" t="n">
        <v>218.3</v>
      </c>
      <c r="K407" s="1100" t="n">
        <v>1.475884134374011</v>
      </c>
      <c r="L407" s="1100" t="n">
        <v>220.0120000000001</v>
      </c>
      <c r="M407" s="1100" t="n">
        <v>1.487458635693518</v>
      </c>
      <c r="N407" s="761" t="inlineStr">
        <is>
          <t>5 week month</t>
        </is>
      </c>
    </row>
    <row r="408">
      <c r="A408" s="776" t="inlineStr">
        <is>
          <t>June 2004</t>
        </is>
      </c>
      <c r="B408" s="1100" t="n">
        <v>846.8999999999999</v>
      </c>
      <c r="C408" s="1100" t="n">
        <v>2.659743691030807</v>
      </c>
      <c r="D408" s="1100" t="n">
        <v>840.4579999999999</v>
      </c>
      <c r="E408" s="1100" t="n">
        <v>2.639512177442873</v>
      </c>
      <c r="F408" s="1100" t="n">
        <v>630.9999999999999</v>
      </c>
      <c r="G408" s="1100" t="n">
        <v>3.70081898948287</v>
      </c>
      <c r="H408" s="1100" t="n">
        <v>625.7509999999999</v>
      </c>
      <c r="I408" s="1100" t="n">
        <v>3.670033571296189</v>
      </c>
      <c r="J408" s="1100" t="n">
        <v>215.9</v>
      </c>
      <c r="K408" s="1100" t="n">
        <v>1.459658197944796</v>
      </c>
      <c r="L408" s="1100" t="n">
        <v>214.707</v>
      </c>
      <c r="M408" s="1100" t="n">
        <v>1.451592555378107</v>
      </c>
      <c r="N408" s="761" t="inlineStr"/>
    </row>
    <row r="409">
      <c r="A409" s="776" t="inlineStr">
        <is>
          <t>July 2004</t>
        </is>
      </c>
      <c r="B409" s="1100" t="n">
        <v>836.4</v>
      </c>
      <c r="C409" s="1100" t="n">
        <v>2.626767768541937</v>
      </c>
      <c r="D409" s="1100" t="n">
        <v>841.4880000000001</v>
      </c>
      <c r="E409" s="1100" t="n">
        <v>2.64274695841083</v>
      </c>
      <c r="F409" s="1100" t="n">
        <v>624.3</v>
      </c>
      <c r="G409" s="1100" t="n">
        <v>3.661523447122276</v>
      </c>
      <c r="H409" s="1100" t="n">
        <v>620.2420000000001</v>
      </c>
      <c r="I409" s="1100" t="n">
        <v>3.637723251465666</v>
      </c>
      <c r="J409" s="1100" t="n">
        <v>212.1</v>
      </c>
      <c r="K409" s="1100" t="n">
        <v>1.433967131931872</v>
      </c>
      <c r="L409" s="1100" t="n">
        <v>221.246</v>
      </c>
      <c r="M409" s="1100" t="n">
        <v>1.495801471340872</v>
      </c>
      <c r="N409" s="761" t="inlineStr"/>
    </row>
    <row r="410">
      <c r="A410" s="776" t="inlineStr">
        <is>
          <t>August 2004</t>
        </is>
      </c>
      <c r="B410" s="1100" t="n">
        <v>834.4999999999999</v>
      </c>
      <c r="C410" s="1100" t="n">
        <v>2.620800696853475</v>
      </c>
      <c r="D410" s="1100" t="n">
        <v>847.601</v>
      </c>
      <c r="E410" s="1100" t="n">
        <v>2.661945226427445</v>
      </c>
      <c r="F410" s="1100" t="n">
        <v>621.6999999999999</v>
      </c>
      <c r="G410" s="1100" t="n">
        <v>3.646274430683836</v>
      </c>
      <c r="H410" s="1100" t="n">
        <v>618.043</v>
      </c>
      <c r="I410" s="1100" t="n">
        <v>3.624826102562539</v>
      </c>
      <c r="J410" s="1100" t="n">
        <v>212.8</v>
      </c>
      <c r="K410" s="1100" t="n">
        <v>1.438699696723726</v>
      </c>
      <c r="L410" s="1100" t="n">
        <v>229.558</v>
      </c>
      <c r="M410" s="1100" t="n">
        <v>1.55199729784072</v>
      </c>
      <c r="N410" s="761" t="inlineStr">
        <is>
          <t>5 week month</t>
        </is>
      </c>
    </row>
    <row r="411">
      <c r="A411" s="776" t="inlineStr">
        <is>
          <t>September 2004</t>
        </is>
      </c>
      <c r="B411" s="1100" t="n">
        <v>832.9000000000001</v>
      </c>
      <c r="C411" s="1100" t="n">
        <v>2.615775794378981</v>
      </c>
      <c r="D411" s="1100" t="n">
        <v>827.833</v>
      </c>
      <c r="E411" s="1100" t="n">
        <v>2.599862556355066</v>
      </c>
      <c r="F411" s="1100" t="n">
        <v>620.1000000000001</v>
      </c>
      <c r="G411" s="1100" t="n">
        <v>3.636890420567874</v>
      </c>
      <c r="H411" s="1100" t="n">
        <v>604.884</v>
      </c>
      <c r="I411" s="1100" t="n">
        <v>3.547648484365066</v>
      </c>
      <c r="J411" s="1100" t="n">
        <v>212.8</v>
      </c>
      <c r="K411" s="1100" t="n">
        <v>1.438699696723726</v>
      </c>
      <c r="L411" s="1100" t="n">
        <v>222.949</v>
      </c>
      <c r="M411" s="1100" t="n">
        <v>1.507315125398769</v>
      </c>
      <c r="N411" s="761" t="inlineStr"/>
    </row>
    <row r="412">
      <c r="A412" s="776" t="inlineStr">
        <is>
          <t>October 2004</t>
        </is>
      </c>
      <c r="B412" s="1100" t="n">
        <v>831.5</v>
      </c>
      <c r="C412" s="1100" t="n">
        <v>2.611379004713798</v>
      </c>
      <c r="D412" s="1100" t="n">
        <v>806.7900000000001</v>
      </c>
      <c r="E412" s="1100" t="n">
        <v>2.533775667123326</v>
      </c>
      <c r="F412" s="1100" t="n">
        <v>619.2</v>
      </c>
      <c r="G412" s="1100" t="n">
        <v>3.631611914877644</v>
      </c>
      <c r="H412" s="1100" t="n">
        <v>593.34</v>
      </c>
      <c r="I412" s="1100" t="n">
        <v>3.479942851378394</v>
      </c>
      <c r="J412" s="1100" t="n">
        <v>212.3</v>
      </c>
      <c r="K412" s="1100" t="n">
        <v>1.435319293300973</v>
      </c>
      <c r="L412" s="1100" t="n">
        <v>213.45</v>
      </c>
      <c r="M412" s="1100" t="n">
        <v>1.443094221173306</v>
      </c>
      <c r="N412" s="761" t="inlineStr">
        <is>
          <t>5 week month</t>
        </is>
      </c>
    </row>
    <row r="413">
      <c r="A413" s="776" t="inlineStr">
        <is>
          <t>November 2004</t>
        </is>
      </c>
      <c r="B413" s="1100" t="n">
        <v>829.5</v>
      </c>
      <c r="C413" s="1100" t="n">
        <v>2.60509787662068</v>
      </c>
      <c r="D413" s="1100" t="n">
        <v>803.0290000000001</v>
      </c>
      <c r="E413" s="1100" t="n">
        <v>2.521964005744218</v>
      </c>
      <c r="F413" s="1100" t="n">
        <v>616.6</v>
      </c>
      <c r="G413" s="1100" t="n">
        <v>3.616362898439204</v>
      </c>
      <c r="H413" s="1100" t="n">
        <v>594.0680000000001</v>
      </c>
      <c r="I413" s="1100" t="n">
        <v>3.484212575981158</v>
      </c>
      <c r="J413" s="1100" t="n">
        <v>212.9</v>
      </c>
      <c r="K413" s="1100" t="n">
        <v>1.439375777408277</v>
      </c>
      <c r="L413" s="1100" t="n">
        <v>208.961</v>
      </c>
      <c r="M413" s="1100" t="n">
        <v>1.412744959243828</v>
      </c>
      <c r="N413" s="761" t="inlineStr"/>
    </row>
    <row r="414">
      <c r="A414" s="776" t="inlineStr">
        <is>
          <t>December 2004</t>
        </is>
      </c>
      <c r="B414" s="1100" t="n">
        <v>826.0999999999999</v>
      </c>
      <c r="C414" s="1100" t="n">
        <v>2.59441995886238</v>
      </c>
      <c r="D414" s="1100" t="n">
        <v>810.193</v>
      </c>
      <c r="E414" s="1100" t="n">
        <v>2.544463006573766</v>
      </c>
      <c r="F414" s="1100" t="n">
        <v>612.6999999999999</v>
      </c>
      <c r="G414" s="1100" t="n">
        <v>3.593489373781544</v>
      </c>
      <c r="H414" s="1100" t="n">
        <v>604.29</v>
      </c>
      <c r="I414" s="1100" t="n">
        <v>3.544164670609515</v>
      </c>
      <c r="J414" s="1100" t="n">
        <v>213.4</v>
      </c>
      <c r="K414" s="1100" t="n">
        <v>1.44275618083103</v>
      </c>
      <c r="L414" s="1100" t="n">
        <v>205.903</v>
      </c>
      <c r="M414" s="1100" t="n">
        <v>1.39207041191027</v>
      </c>
      <c r="N414" s="761" t="inlineStr"/>
    </row>
    <row r="415">
      <c r="A415" s="776" t="inlineStr">
        <is>
          <t>January 2005</t>
        </is>
      </c>
      <c r="B415" s="1100" t="n">
        <v>823.7</v>
      </c>
      <c r="C415" s="1100" t="n">
        <v>2.555137950616817</v>
      </c>
      <c r="D415" s="1100" t="n">
        <v>872.072</v>
      </c>
      <c r="E415" s="1100" t="n">
        <v>2.705189101457216</v>
      </c>
      <c r="F415" s="1100" t="n">
        <v>610.4</v>
      </c>
      <c r="G415" s="1100" t="n">
        <v>3.549229688073646</v>
      </c>
      <c r="H415" s="1100" t="n">
        <v>650.091</v>
      </c>
      <c r="I415" s="1100" t="n">
        <v>3.780016836745552</v>
      </c>
      <c r="J415" s="1100" t="n">
        <v>213.3</v>
      </c>
      <c r="K415" s="1100" t="n">
        <v>1.418320969958659</v>
      </c>
      <c r="L415" s="1100" t="n">
        <v>221.981</v>
      </c>
      <c r="M415" s="1100" t="n">
        <v>1.476044572116235</v>
      </c>
      <c r="N415" s="761" t="inlineStr">
        <is>
          <t>5 week month</t>
        </is>
      </c>
    </row>
    <row r="416">
      <c r="A416" s="776" t="inlineStr">
        <is>
          <t>February 2005</t>
        </is>
      </c>
      <c r="B416" s="1100" t="n">
        <v>821.6999999999999</v>
      </c>
      <c r="C416" s="1100" t="n">
        <v>2.548933900718513</v>
      </c>
      <c r="D416" s="1100" t="n">
        <v>884.997</v>
      </c>
      <c r="E416" s="1100" t="n">
        <v>2.745282773925011</v>
      </c>
      <c r="F416" s="1100" t="n">
        <v>609.1999999999999</v>
      </c>
      <c r="G416" s="1100" t="n">
        <v>3.54225217230417</v>
      </c>
      <c r="H416" s="1100" t="n">
        <v>657.8149999999999</v>
      </c>
      <c r="I416" s="1100" t="n">
        <v>3.824928779915081</v>
      </c>
      <c r="J416" s="1100" t="n">
        <v>212.5</v>
      </c>
      <c r="K416" s="1100" t="n">
        <v>1.413001435143999</v>
      </c>
      <c r="L416" s="1100" t="n">
        <v>227.182</v>
      </c>
      <c r="M416" s="1100" t="n">
        <v>1.510628197830042</v>
      </c>
      <c r="N416" s="761" t="inlineStr"/>
    </row>
    <row r="417">
      <c r="A417" s="776" t="inlineStr">
        <is>
          <t>March 2005</t>
        </is>
      </c>
      <c r="B417" s="1100" t="n">
        <v>830.0999999999999</v>
      </c>
      <c r="C417" s="1100" t="n">
        <v>2.574990910291393</v>
      </c>
      <c r="D417" s="1100" t="n">
        <v>882.2979999999999</v>
      </c>
      <c r="E417" s="1100" t="n">
        <v>2.736910408587248</v>
      </c>
      <c r="F417" s="1100" t="n">
        <v>616.0999999999999</v>
      </c>
      <c r="G417" s="1100" t="n">
        <v>3.582372887978658</v>
      </c>
      <c r="H417" s="1100" t="n">
        <v>656.1939999999998</v>
      </c>
      <c r="I417" s="1100" t="n">
        <v>3.815503319029813</v>
      </c>
      <c r="J417" s="1100" t="n">
        <v>214</v>
      </c>
      <c r="K417" s="1100" t="n">
        <v>1.422975562921486</v>
      </c>
      <c r="L417" s="1100" t="n">
        <v>226.104</v>
      </c>
      <c r="M417" s="1100" t="n">
        <v>1.503460124667288</v>
      </c>
      <c r="N417" s="761" t="inlineStr"/>
    </row>
    <row r="418">
      <c r="A418" s="776" t="inlineStr">
        <is>
          <t>April 2005</t>
        </is>
      </c>
      <c r="B418" s="1100" t="n">
        <v>840.3000000000001</v>
      </c>
      <c r="C418" s="1100" t="n">
        <v>2.606631564772747</v>
      </c>
      <c r="D418" s="1100" t="n">
        <v>871.7780000000001</v>
      </c>
      <c r="E418" s="1100" t="n">
        <v>2.704277106122166</v>
      </c>
      <c r="F418" s="1100" t="n">
        <v>622.8000000000001</v>
      </c>
      <c r="G418" s="1100" t="n">
        <v>3.621330684358236</v>
      </c>
      <c r="H418" s="1100" t="n">
        <v>647.2470000000001</v>
      </c>
      <c r="I418" s="1100" t="n">
        <v>3.763480124371894</v>
      </c>
      <c r="J418" s="1100" t="n">
        <v>217.5</v>
      </c>
      <c r="K418" s="1100" t="n">
        <v>1.446248527735623</v>
      </c>
      <c r="L418" s="1100" t="n">
        <v>224.531</v>
      </c>
      <c r="M418" s="1100" t="n">
        <v>1.493000589337964</v>
      </c>
      <c r="N418" s="761" t="inlineStr">
        <is>
          <t>5 week month</t>
        </is>
      </c>
    </row>
    <row r="419">
      <c r="A419" s="776" t="inlineStr">
        <is>
          <t>May 2005</t>
        </is>
      </c>
      <c r="B419" s="1100" t="n">
        <v>854.0999999999999</v>
      </c>
      <c r="C419" s="1100" t="n">
        <v>2.649439509071049</v>
      </c>
      <c r="D419" s="1100" t="n">
        <v>867.567</v>
      </c>
      <c r="E419" s="1100" t="n">
        <v>2.691214479061285</v>
      </c>
      <c r="F419" s="1100" t="n">
        <v>634.9999999999999</v>
      </c>
      <c r="G419" s="1100" t="n">
        <v>3.692268761347911</v>
      </c>
      <c r="H419" s="1100" t="n">
        <v>645.7330000000001</v>
      </c>
      <c r="I419" s="1100" t="n">
        <v>3.754676825309404</v>
      </c>
      <c r="J419" s="1100" t="n">
        <v>219.1</v>
      </c>
      <c r="K419" s="1100" t="n">
        <v>1.456887597364942</v>
      </c>
      <c r="L419" s="1100" t="n">
        <v>221.834</v>
      </c>
      <c r="M419" s="1100" t="n">
        <v>1.475067107594042</v>
      </c>
      <c r="N419" s="761" t="inlineStr"/>
    </row>
    <row r="420">
      <c r="A420" s="776" t="inlineStr">
        <is>
          <t>June 2005</t>
        </is>
      </c>
      <c r="B420" s="1100" t="n">
        <v>863.1999999999999</v>
      </c>
      <c r="C420" s="1100" t="n">
        <v>2.677667936108336</v>
      </c>
      <c r="D420" s="1100" t="n">
        <v>858.1720000000001</v>
      </c>
      <c r="E420" s="1100" t="n">
        <v>2.662070954663999</v>
      </c>
      <c r="F420" s="1100" t="n">
        <v>641.8</v>
      </c>
      <c r="G420" s="1100" t="n">
        <v>3.731808017374945</v>
      </c>
      <c r="H420" s="1100" t="n">
        <v>637.5060000000001</v>
      </c>
      <c r="I420" s="1100" t="n">
        <v>3.706840140113169</v>
      </c>
      <c r="J420" s="1100" t="n">
        <v>221.4</v>
      </c>
      <c r="K420" s="1100" t="n">
        <v>1.472181259957089</v>
      </c>
      <c r="L420" s="1100" t="n">
        <v>220.6660000000001</v>
      </c>
      <c r="M420" s="1100" t="n">
        <v>1.467300586764639</v>
      </c>
      <c r="N420" s="761" t="inlineStr"/>
    </row>
    <row r="421">
      <c r="A421" s="776" t="inlineStr">
        <is>
          <t>July 2005</t>
        </is>
      </c>
      <c r="B421" s="1100" t="n">
        <v>866.7</v>
      </c>
      <c r="C421" s="1100" t="n">
        <v>2.68852502343037</v>
      </c>
      <c r="D421" s="1100" t="n">
        <v>870.9819999999999</v>
      </c>
      <c r="E421" s="1100" t="n">
        <v>2.70180789426264</v>
      </c>
      <c r="F421" s="1100" t="n">
        <v>643.8000000000001</v>
      </c>
      <c r="G421" s="1100" t="n">
        <v>3.743437210324073</v>
      </c>
      <c r="H421" s="1100" t="n">
        <v>639.6869999999999</v>
      </c>
      <c r="I421" s="1100" t="n">
        <v>3.719521775024191</v>
      </c>
      <c r="J421" s="1100" t="n">
        <v>222.9</v>
      </c>
      <c r="K421" s="1100" t="n">
        <v>1.482155387734576</v>
      </c>
      <c r="L421" s="1100" t="n">
        <v>231.295</v>
      </c>
      <c r="M421" s="1100" t="n">
        <v>1.537977256195912</v>
      </c>
      <c r="N421" s="761" t="inlineStr">
        <is>
          <t>5 week month</t>
        </is>
      </c>
    </row>
    <row r="422">
      <c r="A422" s="776" t="inlineStr">
        <is>
          <t>August 2005</t>
        </is>
      </c>
      <c r="B422" s="1100" t="n">
        <v>868.1999999999999</v>
      </c>
      <c r="C422" s="1100" t="n">
        <v>2.693178060854098</v>
      </c>
      <c r="D422" s="1100" t="n">
        <v>880.727</v>
      </c>
      <c r="E422" s="1100" t="n">
        <v>2.732037127392131</v>
      </c>
      <c r="F422" s="1100" t="n">
        <v>645.0999999999999</v>
      </c>
      <c r="G422" s="1100" t="n">
        <v>3.750996185741004</v>
      </c>
      <c r="H422" s="1100" t="n">
        <v>641.603</v>
      </c>
      <c r="I422" s="1100" t="n">
        <v>3.730662541869455</v>
      </c>
      <c r="J422" s="1100" t="n">
        <v>223.1000000000001</v>
      </c>
      <c r="K422" s="1100" t="n">
        <v>1.483485271438241</v>
      </c>
      <c r="L422" s="1100" t="n">
        <v>239.124</v>
      </c>
      <c r="M422" s="1100" t="n">
        <v>1.590035553775875</v>
      </c>
      <c r="N422" s="761" t="inlineStr"/>
    </row>
    <row r="423">
      <c r="A423" s="776" t="inlineStr">
        <is>
          <t>September 2005</t>
        </is>
      </c>
      <c r="B423" s="1100" t="n">
        <v>876.1</v>
      </c>
      <c r="C423" s="1100" t="n">
        <v>2.717684057952402</v>
      </c>
      <c r="D423" s="1100" t="n">
        <v>871.5319999999999</v>
      </c>
      <c r="E423" s="1100" t="n">
        <v>2.703514007984674</v>
      </c>
      <c r="F423" s="1100" t="n">
        <v>651.1</v>
      </c>
      <c r="G423" s="1100" t="n">
        <v>3.785883764588386</v>
      </c>
      <c r="H423" s="1100" t="n">
        <v>636.4109999999999</v>
      </c>
      <c r="I423" s="1100" t="n">
        <v>3.700473156973521</v>
      </c>
      <c r="J423" s="1100" t="n">
        <v>225</v>
      </c>
      <c r="K423" s="1100" t="n">
        <v>1.496119166623058</v>
      </c>
      <c r="L423" s="1100" t="n">
        <v>235.121</v>
      </c>
      <c r="M423" s="1100" t="n">
        <v>1.563417931447022</v>
      </c>
      <c r="N423" s="761" t="inlineStr"/>
    </row>
    <row r="424">
      <c r="A424" s="776" t="inlineStr">
        <is>
          <t>October 2005</t>
        </is>
      </c>
      <c r="B424" s="1100" t="n">
        <v>888.1999999999998</v>
      </c>
      <c r="C424" s="1100" t="n">
        <v>2.755218559837145</v>
      </c>
      <c r="D424" s="1100" t="n">
        <v>864.827</v>
      </c>
      <c r="E424" s="1100" t="n">
        <v>2.682714930700608</v>
      </c>
      <c r="F424" s="1100" t="n">
        <v>659.4999999999999</v>
      </c>
      <c r="G424" s="1100" t="n">
        <v>3.83472637497472</v>
      </c>
      <c r="H424" s="1100" t="n">
        <v>634.813</v>
      </c>
      <c r="I424" s="1100" t="n">
        <v>3.691181431807168</v>
      </c>
      <c r="J424" s="1100" t="n">
        <v>228.7</v>
      </c>
      <c r="K424" s="1100" t="n">
        <v>1.520722015140859</v>
      </c>
      <c r="L424" s="1100" t="n">
        <v>230.014</v>
      </c>
      <c r="M424" s="1100" t="n">
        <v>1.529459351073938</v>
      </c>
      <c r="N424" s="761" t="inlineStr">
        <is>
          <t>5 week month</t>
        </is>
      </c>
    </row>
    <row r="425">
      <c r="A425" s="776" t="inlineStr">
        <is>
          <t>November 2005</t>
        </is>
      </c>
      <c r="B425" s="1100" t="n">
        <v>900.9000000000001</v>
      </c>
      <c r="C425" s="1100" t="n">
        <v>2.794614276691382</v>
      </c>
      <c r="D425" s="1100" t="n">
        <v>875.3350000000002</v>
      </c>
      <c r="E425" s="1100" t="n">
        <v>2.715311008866301</v>
      </c>
      <c r="F425" s="1100" t="n">
        <v>668.7</v>
      </c>
      <c r="G425" s="1100" t="n">
        <v>3.888220662540706</v>
      </c>
      <c r="H425" s="1100" t="n">
        <v>646.5100000000001</v>
      </c>
      <c r="I425" s="1100" t="n">
        <v>3.75919476677014</v>
      </c>
      <c r="J425" s="1100" t="n">
        <v>232.2</v>
      </c>
      <c r="K425" s="1100" t="n">
        <v>1.543994979954995</v>
      </c>
      <c r="L425" s="1100" t="n">
        <v>228.825</v>
      </c>
      <c r="M425" s="1100" t="n">
        <v>1.52155319245565</v>
      </c>
      <c r="N425" s="761" t="inlineStr"/>
    </row>
    <row r="426">
      <c r="A426" s="776" t="inlineStr">
        <is>
          <t>December 2005</t>
        </is>
      </c>
      <c r="B426" s="1100" t="n">
        <v>908.1</v>
      </c>
      <c r="C426" s="1100" t="n">
        <v>2.816948856325278</v>
      </c>
      <c r="D426" s="1100" t="n">
        <v>892.711</v>
      </c>
      <c r="E426" s="1100" t="n">
        <v>2.769211794382773</v>
      </c>
      <c r="F426" s="1100" t="n">
        <v>673.1</v>
      </c>
      <c r="G426" s="1100" t="n">
        <v>3.913804887028786</v>
      </c>
      <c r="H426" s="1100" t="n">
        <v>664.9720000000001</v>
      </c>
      <c r="I426" s="1100" t="n">
        <v>3.866543846883534</v>
      </c>
      <c r="J426" s="1100" t="n">
        <v>235</v>
      </c>
      <c r="K426" s="1100" t="n">
        <v>1.562613351806304</v>
      </c>
      <c r="L426" s="1100" t="n">
        <v>227.739</v>
      </c>
      <c r="M426" s="1100" t="n">
        <v>1.514331923944749</v>
      </c>
      <c r="N426" s="761" t="inlineStr"/>
    </row>
    <row r="427">
      <c r="A427" s="776" t="inlineStr">
        <is>
          <t>January 2006</t>
        </is>
      </c>
      <c r="B427" s="1100" t="n">
        <v>913.5</v>
      </c>
      <c r="C427" s="1100" t="n">
        <v>2.790438865928989</v>
      </c>
      <c r="D427" s="1100" t="n">
        <v>955.335</v>
      </c>
      <c r="E427" s="1100" t="n">
        <v>2.918230885585408</v>
      </c>
      <c r="F427" s="1100" t="n">
        <v>676.7</v>
      </c>
      <c r="G427" s="1100" t="n">
        <v>3.86219668529124</v>
      </c>
      <c r="H427" s="1100" t="n">
        <v>711.5680000000001</v>
      </c>
      <c r="I427" s="1100" t="n">
        <v>4.061202262390006</v>
      </c>
      <c r="J427" s="1100" t="n">
        <v>236.8</v>
      </c>
      <c r="K427" s="1100" t="n">
        <v>1.556290426664776</v>
      </c>
      <c r="L427" s="1100" t="n">
        <v>243.767</v>
      </c>
      <c r="M427" s="1100" t="n">
        <v>1.602078751844562</v>
      </c>
      <c r="N427" s="761" t="inlineStr">
        <is>
          <t>5 week month</t>
        </is>
      </c>
    </row>
    <row r="428">
      <c r="A428" s="776" t="inlineStr">
        <is>
          <t>February 2006</t>
        </is>
      </c>
      <c r="B428" s="1100" t="n">
        <v>923.8</v>
      </c>
      <c r="C428" s="1100" t="n">
        <v>2.821901942359277</v>
      </c>
      <c r="D428" s="1100" t="n">
        <v>984.6640000000001</v>
      </c>
      <c r="E428" s="1100" t="n">
        <v>3.007821232053752</v>
      </c>
      <c r="F428" s="1100" t="n">
        <v>684.0999999999999</v>
      </c>
      <c r="G428" s="1100" t="n">
        <v>3.904431435507222</v>
      </c>
      <c r="H428" s="1100" t="n">
        <v>730.8860000000001</v>
      </c>
      <c r="I428" s="1100" t="n">
        <v>4.171457790048432</v>
      </c>
      <c r="J428" s="1100" t="n">
        <v>239.7</v>
      </c>
      <c r="K428" s="1100" t="n">
        <v>1.575349726653491</v>
      </c>
      <c r="L428" s="1100" t="n">
        <v>253.778</v>
      </c>
      <c r="M428" s="1100" t="n">
        <v>1.667872769840091</v>
      </c>
      <c r="N428" s="761" t="inlineStr"/>
    </row>
    <row r="429">
      <c r="A429" s="776" t="inlineStr">
        <is>
          <t>March 2006</t>
        </is>
      </c>
      <c r="B429" s="1100" t="n">
        <v>935.8</v>
      </c>
      <c r="C429" s="1100" t="n">
        <v>2.858557953734371</v>
      </c>
      <c r="D429" s="1100" t="n">
        <v>989.136</v>
      </c>
      <c r="E429" s="1100" t="n">
        <v>3.021481705626203</v>
      </c>
      <c r="F429" s="1100" t="n">
        <v>692.8</v>
      </c>
      <c r="G429" s="1100" t="n">
        <v>3.954085804004391</v>
      </c>
      <c r="H429" s="1100" t="n">
        <v>734.0759999999999</v>
      </c>
      <c r="I429" s="1100" t="n">
        <v>4.189664391830726</v>
      </c>
      <c r="J429" s="1100" t="n">
        <v>243</v>
      </c>
      <c r="K429" s="1100" t="n">
        <v>1.597037895606168</v>
      </c>
      <c r="L429" s="1100" t="n">
        <v>255.06</v>
      </c>
      <c r="M429" s="1100" t="n">
        <v>1.676298294869585</v>
      </c>
      <c r="N429" s="761" t="inlineStr"/>
    </row>
    <row r="430">
      <c r="A430" s="776" t="inlineStr">
        <is>
          <t>April 2006</t>
        </is>
      </c>
      <c r="B430" s="1100" t="n">
        <v>945.4000000000001</v>
      </c>
      <c r="C430" s="1100" t="n">
        <v>2.887882762834446</v>
      </c>
      <c r="D430" s="1100" t="n">
        <v>981.198</v>
      </c>
      <c r="E430" s="1100" t="n">
        <v>2.997233754101579</v>
      </c>
      <c r="F430" s="1100" t="n">
        <v>701.0000000000001</v>
      </c>
      <c r="G430" s="1100" t="n">
        <v>4.000886473162642</v>
      </c>
      <c r="H430" s="1100" t="n">
        <v>727.318</v>
      </c>
      <c r="I430" s="1100" t="n">
        <v>4.151093791565915</v>
      </c>
      <c r="J430" s="1100" t="n">
        <v>244.4</v>
      </c>
      <c r="K430" s="1100" t="n">
        <v>1.60623893698003</v>
      </c>
      <c r="L430" s="1100" t="n">
        <v>253.88</v>
      </c>
      <c r="M430" s="1100" t="n">
        <v>1.668543131425901</v>
      </c>
      <c r="N430" s="761" t="inlineStr">
        <is>
          <t>5 week month</t>
        </is>
      </c>
    </row>
    <row r="431">
      <c r="A431" s="776" t="inlineStr">
        <is>
          <t>May 2006</t>
        </is>
      </c>
      <c r="B431" s="1100" t="n">
        <v>950.8000000000002</v>
      </c>
      <c r="C431" s="1100" t="n">
        <v>2.904377967953238</v>
      </c>
      <c r="D431" s="1100" t="n">
        <v>965.744</v>
      </c>
      <c r="E431" s="1100" t="n">
        <v>2.950026920785688</v>
      </c>
      <c r="F431" s="1100" t="n">
        <v>703.8000000000002</v>
      </c>
      <c r="G431" s="1100" t="n">
        <v>4.016867189460582</v>
      </c>
      <c r="H431" s="1100" t="n">
        <v>715.681</v>
      </c>
      <c r="I431" s="1100" t="n">
        <v>4.084676793151944</v>
      </c>
      <c r="J431" s="1100" t="n">
        <v>247</v>
      </c>
      <c r="K431" s="1100" t="n">
        <v>1.623326585245775</v>
      </c>
      <c r="L431" s="1100" t="n">
        <v>250.063</v>
      </c>
      <c r="M431" s="1100" t="n">
        <v>1.643457149337305</v>
      </c>
      <c r="N431" s="761" t="inlineStr"/>
    </row>
    <row r="432">
      <c r="A432" s="776" t="inlineStr">
        <is>
          <t>June 2006</t>
        </is>
      </c>
      <c r="B432" s="1100" t="n">
        <v>955.7</v>
      </c>
      <c r="C432" s="1100" t="n">
        <v>2.919345839264734</v>
      </c>
      <c r="D432" s="1100" t="n">
        <v>952.8900000000001</v>
      </c>
      <c r="E432" s="1100" t="n">
        <v>2.910762223267734</v>
      </c>
      <c r="F432" s="1100" t="n">
        <v>707.5</v>
      </c>
      <c r="G432" s="1100" t="n">
        <v>4.037984564568572</v>
      </c>
      <c r="H432" s="1100" t="n">
        <v>704.465</v>
      </c>
      <c r="I432" s="1100" t="n">
        <v>4.020662609581342</v>
      </c>
      <c r="J432" s="1100" t="n">
        <v>248.2</v>
      </c>
      <c r="K432" s="1100" t="n">
        <v>1.631213192137658</v>
      </c>
      <c r="L432" s="1100" t="n">
        <v>248.425</v>
      </c>
      <c r="M432" s="1100" t="n">
        <v>1.632691930929886</v>
      </c>
      <c r="N432" s="761" t="inlineStr"/>
    </row>
    <row r="433">
      <c r="A433" s="776" t="inlineStr">
        <is>
          <t>July 2006</t>
        </is>
      </c>
      <c r="B433" s="1100" t="n">
        <v>956.7</v>
      </c>
      <c r="C433" s="1100" t="n">
        <v>2.922400506879325</v>
      </c>
      <c r="D433" s="1100" t="n">
        <v>960.8399999999999</v>
      </c>
      <c r="E433" s="1100" t="n">
        <v>2.935046830803732</v>
      </c>
      <c r="F433" s="1100" t="n">
        <v>706.2</v>
      </c>
      <c r="G433" s="1100" t="n">
        <v>4.030564946287385</v>
      </c>
      <c r="H433" s="1100" t="n">
        <v>701.905</v>
      </c>
      <c r="I433" s="1100" t="n">
        <v>4.006051668966083</v>
      </c>
      <c r="J433" s="1100" t="n">
        <v>250.5</v>
      </c>
      <c r="K433" s="1100" t="n">
        <v>1.646329188680432</v>
      </c>
      <c r="L433" s="1100" t="n">
        <v>258.935</v>
      </c>
      <c r="M433" s="1100" t="n">
        <v>1.701765462957955</v>
      </c>
      <c r="N433" s="761" t="inlineStr">
        <is>
          <t>5 week month</t>
        </is>
      </c>
    </row>
    <row r="434">
      <c r="A434" s="776" t="inlineStr">
        <is>
          <t>August 2006</t>
        </is>
      </c>
      <c r="B434" s="1100" t="n">
        <v>951.3999999999999</v>
      </c>
      <c r="C434" s="1100" t="n">
        <v>2.906210768521992</v>
      </c>
      <c r="D434" s="1100" t="n">
        <v>958.8810000000001</v>
      </c>
      <c r="E434" s="1100" t="n">
        <v>2.929062736946749</v>
      </c>
      <c r="F434" s="1100" t="n">
        <v>701.3999999999999</v>
      </c>
      <c r="G434" s="1100" t="n">
        <v>4.003169432633775</v>
      </c>
      <c r="H434" s="1100" t="n">
        <v>694.0410000000001</v>
      </c>
      <c r="I434" s="1100" t="n">
        <v>3.961168685763584</v>
      </c>
      <c r="J434" s="1100" t="n">
        <v>250</v>
      </c>
      <c r="K434" s="1100" t="n">
        <v>1.643043102475481</v>
      </c>
      <c r="L434" s="1100" t="n">
        <v>264.84</v>
      </c>
      <c r="M434" s="1100" t="n">
        <v>1.740574141038426</v>
      </c>
      <c r="N434" s="761" t="inlineStr"/>
    </row>
    <row r="435">
      <c r="A435" s="776" t="inlineStr">
        <is>
          <t>September 2006</t>
        </is>
      </c>
      <c r="B435" s="1100" t="n">
        <v>958.0999999999999</v>
      </c>
      <c r="C435" s="1100" t="n">
        <v>2.926677041539753</v>
      </c>
      <c r="D435" s="1100" t="n">
        <v>952.909</v>
      </c>
      <c r="E435" s="1100" t="n">
        <v>2.91082026195241</v>
      </c>
      <c r="F435" s="1100" t="n">
        <v>705.3999999999999</v>
      </c>
      <c r="G435" s="1100" t="n">
        <v>4.025999027345117</v>
      </c>
      <c r="H435" s="1100" t="n">
        <v>689.6559999999999</v>
      </c>
      <c r="I435" s="1100" t="n">
        <v>3.936141742561276</v>
      </c>
      <c r="J435" s="1100" t="n">
        <v>252.7</v>
      </c>
      <c r="K435" s="1100" t="n">
        <v>1.660787967982216</v>
      </c>
      <c r="L435" s="1100" t="n">
        <v>263.253</v>
      </c>
      <c r="M435" s="1100" t="n">
        <v>1.730144103423912</v>
      </c>
      <c r="N435" s="761" t="inlineStr">
        <is>
          <t>5 week month</t>
        </is>
      </c>
    </row>
    <row r="436">
      <c r="A436" s="776" t="inlineStr">
        <is>
          <t>October 2006</t>
        </is>
      </c>
      <c r="B436" s="1100" t="n">
        <v>958.5</v>
      </c>
      <c r="C436" s="1100" t="n">
        <v>2.927898908585589</v>
      </c>
      <c r="D436" s="1100" t="n">
        <v>933.6609999999998</v>
      </c>
      <c r="E436" s="1100" t="n">
        <v>2.85202401970676</v>
      </c>
      <c r="F436" s="1100" t="n">
        <v>703.9</v>
      </c>
      <c r="G436" s="1100" t="n">
        <v>4.017437929328365</v>
      </c>
      <c r="H436" s="1100" t="n">
        <v>677.8319999999999</v>
      </c>
      <c r="I436" s="1100" t="n">
        <v>3.86865746059455</v>
      </c>
      <c r="J436" s="1100" t="n">
        <v>254.6</v>
      </c>
      <c r="K436" s="1100" t="n">
        <v>1.67327509556103</v>
      </c>
      <c r="L436" s="1100" t="n">
        <v>255.829</v>
      </c>
      <c r="M436" s="1100" t="n">
        <v>1.681352295452799</v>
      </c>
      <c r="N436" s="761" t="inlineStr"/>
    </row>
    <row r="437">
      <c r="A437" s="776" t="inlineStr">
        <is>
          <t>November 2006</t>
        </is>
      </c>
      <c r="B437" s="1100" t="n">
        <v>949.2</v>
      </c>
      <c r="C437" s="1100" t="n">
        <v>2.899490499769892</v>
      </c>
      <c r="D437" s="1100" t="n">
        <v>922.069</v>
      </c>
      <c r="E437" s="1100" t="n">
        <v>2.81661431271842</v>
      </c>
      <c r="F437" s="1100" t="n">
        <v>696.6</v>
      </c>
      <c r="G437" s="1100" t="n">
        <v>3.975773918980166</v>
      </c>
      <c r="H437" s="1100" t="n">
        <v>673.724</v>
      </c>
      <c r="I437" s="1100" t="n">
        <v>3.845211466826002</v>
      </c>
      <c r="J437" s="1100" t="n">
        <v>252.6</v>
      </c>
      <c r="K437" s="1100" t="n">
        <v>1.660130750741226</v>
      </c>
      <c r="L437" s="1100" t="n">
        <v>248.345</v>
      </c>
      <c r="M437" s="1100" t="n">
        <v>1.632166157137093</v>
      </c>
      <c r="N437" s="761" t="inlineStr"/>
    </row>
    <row r="438">
      <c r="A438" s="776" t="inlineStr">
        <is>
          <t>December 2006</t>
        </is>
      </c>
      <c r="B438" s="1100" t="n">
        <v>939.9000000000001</v>
      </c>
      <c r="C438" s="1100" t="n">
        <v>2.871082090954195</v>
      </c>
      <c r="D438" s="1100" t="n">
        <v>923.4599999999999</v>
      </c>
      <c r="E438" s="1100" t="n">
        <v>2.820863355370316</v>
      </c>
      <c r="F438" s="1100" t="n">
        <v>689.6</v>
      </c>
      <c r="G438" s="1100" t="n">
        <v>3.935822128235317</v>
      </c>
      <c r="H438" s="1100" t="n">
        <v>681.7189999999999</v>
      </c>
      <c r="I438" s="1100" t="n">
        <v>3.890842119255296</v>
      </c>
      <c r="J438" s="1100" t="n">
        <v>250.3</v>
      </c>
      <c r="K438" s="1100" t="n">
        <v>1.645014754198452</v>
      </c>
      <c r="L438" s="1100" t="n">
        <v>241.741</v>
      </c>
      <c r="M438" s="1100" t="n">
        <v>1.588763530542101</v>
      </c>
      <c r="N438" s="761" t="inlineStr">
        <is>
          <t>5 week month</t>
        </is>
      </c>
    </row>
    <row r="439">
      <c r="A439" s="776" t="inlineStr">
        <is>
          <t>January 2007</t>
        </is>
      </c>
      <c r="B439" s="1100" t="n">
        <v>925.6</v>
      </c>
      <c r="C439" s="1100" t="n">
        <v>2.811727845644161</v>
      </c>
      <c r="D439" s="1100" t="n">
        <v>965.097</v>
      </c>
      <c r="E439" s="1100" t="n">
        <v>2.931709279005664</v>
      </c>
      <c r="F439" s="1100" t="n">
        <v>678.3000000000001</v>
      </c>
      <c r="G439" s="1100" t="n">
        <v>3.849976359794283</v>
      </c>
      <c r="H439" s="1100" t="n">
        <v>711.337</v>
      </c>
      <c r="I439" s="1100" t="n">
        <v>4.037491720252079</v>
      </c>
      <c r="J439" s="1100" t="n">
        <v>247.3</v>
      </c>
      <c r="K439" s="1100" t="n">
        <v>1.616237401942491</v>
      </c>
      <c r="L439" s="1100" t="n">
        <v>253.76</v>
      </c>
      <c r="M439" s="1100" t="n">
        <v>1.658456947500714</v>
      </c>
      <c r="N439" s="761" t="inlineStr"/>
    </row>
    <row r="440">
      <c r="A440" s="776" t="inlineStr">
        <is>
          <t>February 2007</t>
        </is>
      </c>
      <c r="B440" s="1100" t="n">
        <v>911.5</v>
      </c>
      <c r="C440" s="1100" t="n">
        <v>2.768895777122572</v>
      </c>
      <c r="D440" s="1100" t="n">
        <v>974.8630000000001</v>
      </c>
      <c r="E440" s="1100" t="n">
        <v>2.961375802493738</v>
      </c>
      <c r="F440" s="1100" t="n">
        <v>666.9</v>
      </c>
      <c r="G440" s="1100" t="n">
        <v>3.785270874755722</v>
      </c>
      <c r="H440" s="1100" t="n">
        <v>715.919</v>
      </c>
      <c r="I440" s="1100" t="n">
        <v>4.063498784501788</v>
      </c>
      <c r="J440" s="1100" t="n">
        <v>244.6</v>
      </c>
      <c r="K440" s="1100" t="n">
        <v>1.598591461848497</v>
      </c>
      <c r="L440" s="1100" t="n">
        <v>258.944</v>
      </c>
      <c r="M440" s="1100" t="n">
        <v>1.692337152481183</v>
      </c>
      <c r="N440" s="761" t="inlineStr"/>
    </row>
    <row r="441">
      <c r="A441" s="776" t="inlineStr">
        <is>
          <t>March 2007</t>
        </is>
      </c>
      <c r="B441" s="1100" t="n">
        <v>896.7999999999998</v>
      </c>
      <c r="C441" s="1100" t="n">
        <v>2.724241067387298</v>
      </c>
      <c r="D441" s="1100" t="n">
        <v>956.0219999999999</v>
      </c>
      <c r="E441" s="1100" t="n">
        <v>2.904141830648684</v>
      </c>
      <c r="F441" s="1100" t="n">
        <v>654.9999999999999</v>
      </c>
      <c r="G441" s="1100" t="n">
        <v>3.71772742984705</v>
      </c>
      <c r="H441" s="1100" t="n">
        <v>701.3299999999999</v>
      </c>
      <c r="I441" s="1100" t="n">
        <v>3.980692791411652</v>
      </c>
      <c r="J441" s="1100" t="n">
        <v>241.8</v>
      </c>
      <c r="K441" s="1100" t="n">
        <v>1.580291968417688</v>
      </c>
      <c r="L441" s="1100" t="n">
        <v>254.692</v>
      </c>
      <c r="M441" s="1100" t="n">
        <v>1.664548064599826</v>
      </c>
      <c r="N441" s="761" t="inlineStr"/>
    </row>
    <row r="442">
      <c r="A442" s="776" t="inlineStr">
        <is>
          <t>April 2007</t>
        </is>
      </c>
      <c r="B442" s="1100" t="n">
        <v>878.2</v>
      </c>
      <c r="C442" s="1100" t="n">
        <v>2.667739189763075</v>
      </c>
      <c r="D442" s="1100" t="n">
        <v>918.5119999999999</v>
      </c>
      <c r="E442" s="1100" t="n">
        <v>2.790196377439833</v>
      </c>
      <c r="F442" s="1100" t="n">
        <v>640.5</v>
      </c>
      <c r="G442" s="1100" t="n">
        <v>3.635426593613796</v>
      </c>
      <c r="H442" s="1100" t="n">
        <v>671.478</v>
      </c>
      <c r="I442" s="1100" t="n">
        <v>3.81125523532647</v>
      </c>
      <c r="J442" s="1100" t="n">
        <v>237.7</v>
      </c>
      <c r="K442" s="1100" t="n">
        <v>1.55349628160829</v>
      </c>
      <c r="L442" s="1100" t="n">
        <v>247.034</v>
      </c>
      <c r="M442" s="1100" t="n">
        <v>1.614498950066564</v>
      </c>
      <c r="N442" s="761" t="inlineStr">
        <is>
          <t>5 week month</t>
        </is>
      </c>
    </row>
    <row r="443">
      <c r="A443" s="776" t="inlineStr">
        <is>
          <t>May 2007</t>
        </is>
      </c>
      <c r="B443" s="1100" t="n">
        <v>870.8</v>
      </c>
      <c r="C443" s="1100" t="n">
        <v>2.645259948127631</v>
      </c>
      <c r="D443" s="1100" t="n">
        <v>889.13</v>
      </c>
      <c r="E443" s="1100" t="n">
        <v>2.700941637205696</v>
      </c>
      <c r="F443" s="1100" t="n">
        <v>634.8</v>
      </c>
      <c r="G443" s="1100" t="n">
        <v>3.603073851094516</v>
      </c>
      <c r="H443" s="1100" t="n">
        <v>649.9589999999999</v>
      </c>
      <c r="I443" s="1100" t="n">
        <v>3.689115118436579</v>
      </c>
      <c r="J443" s="1100" t="n">
        <v>236</v>
      </c>
      <c r="K443" s="1100" t="n">
        <v>1.542385874882442</v>
      </c>
      <c r="L443" s="1100" t="n">
        <v>239.171</v>
      </c>
      <c r="M443" s="1100" t="n">
        <v>1.563110051192833</v>
      </c>
      <c r="N443" s="761" t="inlineStr"/>
    </row>
    <row r="444">
      <c r="A444" s="776" t="inlineStr">
        <is>
          <t>June 2007</t>
        </is>
      </c>
      <c r="B444" s="1100" t="n">
        <v>861.8999999999997</v>
      </c>
      <c r="C444" s="1100" t="n">
        <v>2.618224103457975</v>
      </c>
      <c r="D444" s="1100" t="n">
        <v>855.6279999999999</v>
      </c>
      <c r="E444" s="1100" t="n">
        <v>2.599171427304259</v>
      </c>
      <c r="F444" s="1100" t="n">
        <v>628.6999999999998</v>
      </c>
      <c r="G444" s="1100" t="n">
        <v>3.568450740679145</v>
      </c>
      <c r="H444" s="1100" t="n">
        <v>624.0579999999999</v>
      </c>
      <c r="I444" s="1100" t="n">
        <v>3.542103121245024</v>
      </c>
      <c r="J444" s="1100" t="n">
        <v>233.2</v>
      </c>
      <c r="K444" s="1100" t="n">
        <v>1.524086381451633</v>
      </c>
      <c r="L444" s="1100" t="n">
        <v>231.57</v>
      </c>
      <c r="M444" s="1100" t="n">
        <v>1.513433462061556</v>
      </c>
      <c r="N444" s="761" t="inlineStr">
        <is>
          <t>5 week month</t>
        </is>
      </c>
    </row>
    <row r="445">
      <c r="A445" s="776" t="inlineStr">
        <is>
          <t>July 2007</t>
        </is>
      </c>
      <c r="B445" s="1100" t="n">
        <v>856.3</v>
      </c>
      <c r="C445" s="1100" t="n">
        <v>2.601212785463586</v>
      </c>
      <c r="D445" s="1100" t="n">
        <v>854.1489999999999</v>
      </c>
      <c r="E445" s="1100" t="n">
        <v>2.594678616712526</v>
      </c>
      <c r="F445" s="1100" t="n">
        <v>626.1999999999999</v>
      </c>
      <c r="G445" s="1100" t="n">
        <v>3.554260941328585</v>
      </c>
      <c r="H445" s="1100" t="n">
        <v>617.66</v>
      </c>
      <c r="I445" s="1100" t="n">
        <v>3.505788586747068</v>
      </c>
      <c r="J445" s="1100" t="n">
        <v>230.1</v>
      </c>
      <c r="K445" s="1100" t="n">
        <v>1.503826228010381</v>
      </c>
      <c r="L445" s="1100" t="n">
        <v>236.489</v>
      </c>
      <c r="M445" s="1100" t="n">
        <v>1.545581750699465</v>
      </c>
      <c r="N445" s="761" t="inlineStr"/>
    </row>
    <row r="446">
      <c r="A446" s="776" t="inlineStr">
        <is>
          <t>August 2007</t>
        </is>
      </c>
      <c r="B446" s="1100" t="n">
        <v>851.3</v>
      </c>
      <c r="C446" s="1100" t="n">
        <v>2.586024108682881</v>
      </c>
      <c r="D446" s="1100" t="n">
        <v>857.1329999999999</v>
      </c>
      <c r="E446" s="1100" t="n">
        <v>2.603743219015251</v>
      </c>
      <c r="F446" s="1100" t="n">
        <v>623.3</v>
      </c>
      <c r="G446" s="1100" t="n">
        <v>3.537800774081934</v>
      </c>
      <c r="H446" s="1100" t="n">
        <v>614.231</v>
      </c>
      <c r="I446" s="1100" t="n">
        <v>3.486325857957838</v>
      </c>
      <c r="J446" s="1100" t="n">
        <v>228</v>
      </c>
      <c r="K446" s="1100" t="n">
        <v>1.490101607937275</v>
      </c>
      <c r="L446" s="1100" t="n">
        <v>242.902</v>
      </c>
      <c r="M446" s="1100" t="n">
        <v>1.587494126189385</v>
      </c>
      <c r="N446" s="761" t="inlineStr"/>
    </row>
    <row r="447">
      <c r="A447" s="776" t="inlineStr">
        <is>
          <t>September 2007</t>
        </is>
      </c>
      <c r="B447" s="1100" t="n">
        <v>844.5</v>
      </c>
      <c r="C447" s="1100" t="n">
        <v>2.565367508261121</v>
      </c>
      <c r="D447" s="1100" t="n">
        <v>827.8879999999999</v>
      </c>
      <c r="E447" s="1100" t="n">
        <v>2.514904648524906</v>
      </c>
      <c r="F447" s="1100" t="n">
        <v>618.1</v>
      </c>
      <c r="G447" s="1100" t="n">
        <v>3.508285991432767</v>
      </c>
      <c r="H447" s="1100" t="n">
        <v>593.255</v>
      </c>
      <c r="I447" s="1100" t="n">
        <v>3.367267765486889</v>
      </c>
      <c r="J447" s="1100" t="n">
        <v>226.4</v>
      </c>
      <c r="K447" s="1100" t="n">
        <v>1.479644754548241</v>
      </c>
      <c r="L447" s="1100" t="n">
        <v>234.633</v>
      </c>
      <c r="M447" s="1100" t="n">
        <v>1.533451800768186</v>
      </c>
      <c r="N447" s="761" t="inlineStr">
        <is>
          <t>5 week month</t>
        </is>
      </c>
    </row>
    <row r="448">
      <c r="A448" s="776" t="inlineStr">
        <is>
          <t>October 2007</t>
        </is>
      </c>
      <c r="B448" s="1100" t="n">
        <v>836.3</v>
      </c>
      <c r="C448" s="1100" t="n">
        <v>2.540458078340765</v>
      </c>
      <c r="D448" s="1100" t="n">
        <v>800.9589999999998</v>
      </c>
      <c r="E448" s="1100" t="n">
        <v>2.433101473119383</v>
      </c>
      <c r="F448" s="1100" t="n">
        <v>611</v>
      </c>
      <c r="G448" s="1100" t="n">
        <v>3.467986961277172</v>
      </c>
      <c r="H448" s="1100" t="n">
        <v>576.9969999999998</v>
      </c>
      <c r="I448" s="1100" t="n">
        <v>3.274988662350319</v>
      </c>
      <c r="J448" s="1100" t="n">
        <v>225.3</v>
      </c>
      <c r="K448" s="1100" t="n">
        <v>1.47245566784328</v>
      </c>
      <c r="L448" s="1100" t="n">
        <v>223.962</v>
      </c>
      <c r="M448" s="1100" t="n">
        <v>1.463711124196701</v>
      </c>
      <c r="N448" s="761" t="inlineStr"/>
    </row>
    <row r="449">
      <c r="A449" s="776" t="inlineStr">
        <is>
          <t>November 2007</t>
        </is>
      </c>
      <c r="B449" s="1100" t="n">
        <v>825.1999999999999</v>
      </c>
      <c r="C449" s="1100" t="n">
        <v>2.506739215887599</v>
      </c>
      <c r="D449" s="1100" t="n">
        <v>785.7590000000001</v>
      </c>
      <c r="E449" s="1100" t="n">
        <v>2.38692789570604</v>
      </c>
      <c r="F449" s="1100" t="n">
        <v>601.6999999999999</v>
      </c>
      <c r="G449" s="1100" t="n">
        <v>3.415200907693084</v>
      </c>
      <c r="H449" s="1100" t="n">
        <v>569.8100000000002</v>
      </c>
      <c r="I449" s="1100" t="n">
        <v>3.234195827177326</v>
      </c>
      <c r="J449" s="1100" t="n">
        <v>223.5</v>
      </c>
      <c r="K449" s="1100" t="n">
        <v>1.460691707780618</v>
      </c>
      <c r="L449" s="1100" t="n">
        <v>215.949</v>
      </c>
      <c r="M449" s="1100" t="n">
        <v>1.411341895317748</v>
      </c>
      <c r="N449" s="761" t="inlineStr"/>
    </row>
    <row r="450">
      <c r="A450" s="776" t="inlineStr">
        <is>
          <t>December 2007</t>
        </is>
      </c>
      <c r="B450" s="1100" t="n">
        <v>815.1999999999999</v>
      </c>
      <c r="C450" s="1100" t="n">
        <v>2.476361862326188</v>
      </c>
      <c r="D450" s="1100" t="n">
        <v>790.3699999999999</v>
      </c>
      <c r="E450" s="1100" t="n">
        <v>2.400934893433206</v>
      </c>
      <c r="F450" s="1100" t="n">
        <v>593.0999999999999</v>
      </c>
      <c r="G450" s="1100" t="n">
        <v>3.366387997927153</v>
      </c>
      <c r="H450" s="1100" t="n">
        <v>580.3589999999999</v>
      </c>
      <c r="I450" s="1100" t="n">
        <v>3.294071104516953</v>
      </c>
      <c r="J450" s="1100" t="n">
        <v>222.1</v>
      </c>
      <c r="K450" s="1100" t="n">
        <v>1.451541961065214</v>
      </c>
      <c r="L450" s="1100" t="n">
        <v>210.011</v>
      </c>
      <c r="M450" s="1100" t="n">
        <v>1.372533898177697</v>
      </c>
      <c r="N450" s="761" t="inlineStr">
        <is>
          <t>5 week month</t>
        </is>
      </c>
    </row>
    <row r="451">
      <c r="A451" s="776" t="inlineStr">
        <is>
          <t>January 2008</t>
        </is>
      </c>
      <c r="B451" s="1100" t="n">
        <v>792</v>
      </c>
      <c r="C451" s="1100" t="n">
        <v>2.388330904694319</v>
      </c>
      <c r="D451" s="1100" t="n">
        <v>830.5419999999999</v>
      </c>
      <c r="E451" s="1100" t="n">
        <v>2.504556977584127</v>
      </c>
      <c r="F451" s="1100" t="n">
        <v>576.6</v>
      </c>
      <c r="G451" s="1100" t="n">
        <v>3.227523080904197</v>
      </c>
      <c r="H451" s="1100" t="n">
        <v>610.1069999999999</v>
      </c>
      <c r="I451" s="1100" t="n">
        <v>3.415078779606688</v>
      </c>
      <c r="J451" s="1100" t="n">
        <v>215.3999999999999</v>
      </c>
      <c r="K451" s="1100" t="n">
        <v>1.408198316163534</v>
      </c>
      <c r="L451" s="1100" t="n">
        <v>220.435</v>
      </c>
      <c r="M451" s="1100" t="n">
        <v>1.441115115243773</v>
      </c>
      <c r="N451" s="761" t="inlineStr"/>
    </row>
    <row r="452">
      <c r="A452" s="776" t="inlineStr">
        <is>
          <t>February 2008</t>
        </is>
      </c>
      <c r="B452" s="1100" t="n">
        <v>778.4000000000001</v>
      </c>
      <c r="C452" s="1100" t="n">
        <v>2.347319161886437</v>
      </c>
      <c r="D452" s="1100" t="n">
        <v>848.939</v>
      </c>
      <c r="E452" s="1100" t="n">
        <v>2.56003440643976</v>
      </c>
      <c r="F452" s="1100" t="n">
        <v>567</v>
      </c>
      <c r="G452" s="1100" t="n">
        <v>3.17378700463524</v>
      </c>
      <c r="H452" s="1100" t="n">
        <v>622.843</v>
      </c>
      <c r="I452" s="1100" t="n">
        <v>3.486368640790171</v>
      </c>
      <c r="J452" s="1100" t="n">
        <v>211.4</v>
      </c>
      <c r="K452" s="1100" t="n">
        <v>1.382047929605252</v>
      </c>
      <c r="L452" s="1100" t="n">
        <v>226.096</v>
      </c>
      <c r="M452" s="1100" t="n">
        <v>1.478124449820383</v>
      </c>
      <c r="N452" s="761" t="inlineStr">
        <is>
          <t>5 week month</t>
        </is>
      </c>
    </row>
    <row r="453">
      <c r="A453" s="776" t="inlineStr">
        <is>
          <t>March 2008</t>
        </is>
      </c>
      <c r="B453" s="1100" t="n">
        <v>778.5</v>
      </c>
      <c r="C453" s="1100" t="n">
        <v>2.347620718818848</v>
      </c>
      <c r="D453" s="1100" t="n">
        <v>842.827</v>
      </c>
      <c r="E453" s="1100" t="n">
        <v>2.541603246730806</v>
      </c>
      <c r="F453" s="1100" t="n">
        <v>567.8</v>
      </c>
      <c r="G453" s="1100" t="n">
        <v>3.178265010990987</v>
      </c>
      <c r="H453" s="1100" t="n">
        <v>618.655</v>
      </c>
      <c r="I453" s="1100" t="n">
        <v>3.462926277517839</v>
      </c>
      <c r="J453" s="1100" t="n">
        <v>210.7</v>
      </c>
      <c r="K453" s="1100" t="n">
        <v>1.377471611957552</v>
      </c>
      <c r="L453" s="1100" t="n">
        <v>224.172</v>
      </c>
      <c r="M453" s="1100" t="n">
        <v>1.465546113885849</v>
      </c>
      <c r="N453" s="761" t="inlineStr"/>
    </row>
    <row r="454">
      <c r="A454" s="776" t="inlineStr">
        <is>
          <t>April 2008</t>
        </is>
      </c>
      <c r="B454" s="1100" t="n">
        <v>792.4</v>
      </c>
      <c r="C454" s="1100" t="n">
        <v>2.389537132423962</v>
      </c>
      <c r="D454" s="1100" t="n">
        <v>835.1849999999999</v>
      </c>
      <c r="E454" s="1100" t="n">
        <v>2.518558265955965</v>
      </c>
      <c r="F454" s="1100" t="n">
        <v>577</v>
      </c>
      <c r="G454" s="1100" t="n">
        <v>3.22976208408207</v>
      </c>
      <c r="H454" s="1100" t="n">
        <v>611.672</v>
      </c>
      <c r="I454" s="1100" t="n">
        <v>3.423838879540118</v>
      </c>
      <c r="J454" s="1100" t="n">
        <v>215.4</v>
      </c>
      <c r="K454" s="1100" t="n">
        <v>1.408198316163534</v>
      </c>
      <c r="L454" s="1100" t="n">
        <v>223.513</v>
      </c>
      <c r="M454" s="1100" t="n">
        <v>1.461237837700371</v>
      </c>
      <c r="N454" s="761" t="inlineStr"/>
    </row>
    <row r="455">
      <c r="A455" s="776" t="inlineStr">
        <is>
          <t>May 2008</t>
        </is>
      </c>
      <c r="B455" s="1100" t="n">
        <v>814.7</v>
      </c>
      <c r="C455" s="1100" t="n">
        <v>2.456784328351593</v>
      </c>
      <c r="D455" s="1100" t="n">
        <v>831.851</v>
      </c>
      <c r="E455" s="1100" t="n">
        <v>2.508504357829386</v>
      </c>
      <c r="F455" s="1100" t="n">
        <v>595.1</v>
      </c>
      <c r="G455" s="1100" t="n">
        <v>3.331076977880831</v>
      </c>
      <c r="H455" s="1100" t="n">
        <v>610.054</v>
      </c>
      <c r="I455" s="1100" t="n">
        <v>3.414782111685621</v>
      </c>
      <c r="J455" s="1100" t="n">
        <v>219.6</v>
      </c>
      <c r="K455" s="1100" t="n">
        <v>1.435656222049731</v>
      </c>
      <c r="L455" s="1100" t="n">
        <v>221.797</v>
      </c>
      <c r="M455" s="1100" t="n">
        <v>1.450019321866868</v>
      </c>
      <c r="N455" s="761" t="inlineStr"/>
    </row>
    <row r="456">
      <c r="A456" s="776" t="inlineStr">
        <is>
          <t>June 2008</t>
        </is>
      </c>
      <c r="B456" s="1100" t="n">
        <v>848.6999999999999</v>
      </c>
      <c r="C456" s="1100" t="n">
        <v>2.559313685371298</v>
      </c>
      <c r="D456" s="1100" t="n">
        <v>835.317</v>
      </c>
      <c r="E456" s="1100" t="n">
        <v>2.518956321106748</v>
      </c>
      <c r="F456" s="1100" t="n">
        <v>620.1999999999999</v>
      </c>
      <c r="G456" s="1100" t="n">
        <v>3.471574427292373</v>
      </c>
      <c r="H456" s="1100" t="n">
        <v>610.702</v>
      </c>
      <c r="I456" s="1100" t="n">
        <v>3.418409296833775</v>
      </c>
      <c r="J456" s="1100" t="n">
        <v>228.5</v>
      </c>
      <c r="K456" s="1100" t="n">
        <v>1.493840832141911</v>
      </c>
      <c r="L456" s="1100" t="n">
        <v>224.615</v>
      </c>
      <c r="M456" s="1100" t="n">
        <v>1.468442269197178</v>
      </c>
      <c r="N456" s="761" t="inlineStr">
        <is>
          <t>5 week month</t>
        </is>
      </c>
    </row>
    <row r="457">
      <c r="A457" s="776" t="inlineStr">
        <is>
          <t>July 2008</t>
        </is>
      </c>
      <c r="B457" s="1100" t="n">
        <v>882.7</v>
      </c>
      <c r="C457" s="1100" t="n">
        <v>2.661843042391004</v>
      </c>
      <c r="D457" s="1100" t="n">
        <v>871.288</v>
      </c>
      <c r="E457" s="1100" t="n">
        <v>2.627429365264272</v>
      </c>
      <c r="F457" s="1100" t="n">
        <v>647.9</v>
      </c>
      <c r="G457" s="1100" t="n">
        <v>3.626625397360092</v>
      </c>
      <c r="H457" s="1100" t="n">
        <v>632.364</v>
      </c>
      <c r="I457" s="1100" t="n">
        <v>3.539662513931498</v>
      </c>
      <c r="J457" s="1100" t="n">
        <v>234.8</v>
      </c>
      <c r="K457" s="1100" t="n">
        <v>1.535027690971206</v>
      </c>
      <c r="L457" s="1100" t="n">
        <v>238.9239999999999</v>
      </c>
      <c r="M457" s="1100" t="n">
        <v>1.561988739512796</v>
      </c>
      <c r="N457" s="761" t="inlineStr"/>
    </row>
    <row r="458">
      <c r="A458" s="776" t="inlineStr">
        <is>
          <t>August 2008</t>
        </is>
      </c>
      <c r="B458" s="1100" t="n">
        <v>924.9</v>
      </c>
      <c r="C458" s="1100" t="n">
        <v>2.789100067868403</v>
      </c>
      <c r="D458" s="1100" t="n">
        <v>923.8760000000001</v>
      </c>
      <c r="E458" s="1100" t="n">
        <v>2.786012124880516</v>
      </c>
      <c r="F458" s="1100" t="n">
        <v>681.8</v>
      </c>
      <c r="G458" s="1100" t="n">
        <v>3.816380916684845</v>
      </c>
      <c r="H458" s="1100" t="n">
        <v>666.6730000000001</v>
      </c>
      <c r="I458" s="1100" t="n">
        <v>3.731707414005626</v>
      </c>
      <c r="J458" s="1100" t="n">
        <v>243.1</v>
      </c>
      <c r="K458" s="1100" t="n">
        <v>1.589289743079643</v>
      </c>
      <c r="L458" s="1100" t="n">
        <v>257.203</v>
      </c>
      <c r="M458" s="1100" t="n">
        <v>1.681489468487509</v>
      </c>
      <c r="N458" s="761" t="inlineStr">
        <is>
          <t>5 week month</t>
        </is>
      </c>
    </row>
    <row r="459">
      <c r="A459" s="776" t="inlineStr">
        <is>
          <t>September 2008</t>
        </is>
      </c>
      <c r="B459" s="1100" t="n">
        <v>968.6000000000001</v>
      </c>
      <c r="C459" s="1100" t="n">
        <v>2.920880447331966</v>
      </c>
      <c r="D459" s="1100" t="n">
        <v>944.7160000000001</v>
      </c>
      <c r="E459" s="1100" t="n">
        <v>2.848856589594947</v>
      </c>
      <c r="F459" s="1100" t="n">
        <v>715.4000000000001</v>
      </c>
      <c r="G459" s="1100" t="n">
        <v>4.004457183626193</v>
      </c>
      <c r="H459" s="1100" t="n">
        <v>684.2170000000001</v>
      </c>
      <c r="I459" s="1100" t="n">
        <v>3.829910093387144</v>
      </c>
      <c r="J459" s="1100" t="n">
        <v>253.2</v>
      </c>
      <c r="K459" s="1100" t="n">
        <v>1.655319469139308</v>
      </c>
      <c r="L459" s="1100" t="n">
        <v>260.499</v>
      </c>
      <c r="M459" s="1100" t="n">
        <v>1.703037387011535</v>
      </c>
      <c r="N459" s="761" t="inlineStr"/>
    </row>
    <row r="460">
      <c r="A460" s="776" t="inlineStr">
        <is>
          <t>October 2008</t>
        </is>
      </c>
      <c r="B460" s="1100" t="n">
        <v>1012.3</v>
      </c>
      <c r="C460" s="1100" t="n">
        <v>3.052660826795529</v>
      </c>
      <c r="D460" s="1100" t="n">
        <v>970.2790000000001</v>
      </c>
      <c r="E460" s="1100" t="n">
        <v>2.925943588227145</v>
      </c>
      <c r="F460" s="1100" t="n">
        <v>747</v>
      </c>
      <c r="G460" s="1100" t="n">
        <v>4.181338434678174</v>
      </c>
      <c r="H460" s="1100" t="n">
        <v>708.2900000000001</v>
      </c>
      <c r="I460" s="1100" t="n">
        <v>3.964658902139497</v>
      </c>
      <c r="J460" s="1100" t="n">
        <v>265.3</v>
      </c>
      <c r="K460" s="1100" t="n">
        <v>1.734424388478114</v>
      </c>
      <c r="L460" s="1100" t="n">
        <v>261.989</v>
      </c>
      <c r="M460" s="1100" t="n">
        <v>1.712778406004495</v>
      </c>
      <c r="N460" s="761" t="inlineStr"/>
    </row>
    <row r="461">
      <c r="A461" s="776" t="inlineStr">
        <is>
          <t>November 2008</t>
        </is>
      </c>
      <c r="B461" s="1100" t="n">
        <v>1100.4</v>
      </c>
      <c r="C461" s="1100" t="n">
        <v>3.318332484249531</v>
      </c>
      <c r="D461" s="1100" t="n">
        <v>1056.145</v>
      </c>
      <c r="E461" s="1100" t="n">
        <v>3.184878463811088</v>
      </c>
      <c r="F461" s="1100" t="n">
        <v>817.4</v>
      </c>
      <c r="G461" s="1100" t="n">
        <v>4.575402993983854</v>
      </c>
      <c r="H461" s="1100" t="n">
        <v>782.956</v>
      </c>
      <c r="I461" s="1100" t="n">
        <v>4.382602430337195</v>
      </c>
      <c r="J461" s="1100" t="n">
        <v>283</v>
      </c>
      <c r="K461" s="1100" t="n">
        <v>1.850139848998515</v>
      </c>
      <c r="L461" s="1100" t="n">
        <v>273.189</v>
      </c>
      <c r="M461" s="1100" t="n">
        <v>1.785999488367686</v>
      </c>
      <c r="N461" s="761" t="inlineStr">
        <is>
          <t>5 week month</t>
        </is>
      </c>
    </row>
    <row r="462">
      <c r="A462" s="776" t="inlineStr">
        <is>
          <t>December 2008</t>
        </is>
      </c>
      <c r="B462" s="1100" t="n">
        <v>1179.4</v>
      </c>
      <c r="C462" s="1100" t="n">
        <v>3.55656246085414</v>
      </c>
      <c r="D462" s="1100" t="n">
        <v>1153.328</v>
      </c>
      <c r="E462" s="1100" t="n">
        <v>3.477940537435971</v>
      </c>
      <c r="F462" s="1100" t="n">
        <v>876.4999999999999</v>
      </c>
      <c r="G462" s="1100" t="n">
        <v>4.906215713514617</v>
      </c>
      <c r="H462" s="1100" t="n">
        <v>865.168</v>
      </c>
      <c r="I462" s="1100" t="n">
        <v>4.84278475348547</v>
      </c>
      <c r="J462" s="1100" t="n">
        <v>302.9</v>
      </c>
      <c r="K462" s="1100" t="n">
        <v>1.980238022125973</v>
      </c>
      <c r="L462" s="1100" t="n">
        <v>288.16</v>
      </c>
      <c r="M462" s="1100" t="n">
        <v>1.8838738476587</v>
      </c>
      <c r="N462" s="761" t="inlineStr"/>
    </row>
    <row r="463">
      <c r="A463" s="776" t="inlineStr">
        <is>
          <t>January 2009</t>
        </is>
      </c>
      <c r="B463" s="1100" t="n">
        <v>1240.8</v>
      </c>
      <c r="C463" s="1100" t="n">
        <v>3.729703617514926</v>
      </c>
      <c r="D463" s="1100" t="n">
        <v>1282.645</v>
      </c>
      <c r="E463" s="1100" t="n">
        <v>3.855484926247125</v>
      </c>
      <c r="F463" s="1100" t="n">
        <v>921.3999999999999</v>
      </c>
      <c r="G463" s="1100" t="n">
        <v>5.10792387896205</v>
      </c>
      <c r="H463" s="1100" t="n">
        <v>958.6220000000001</v>
      </c>
      <c r="I463" s="1100" t="n">
        <v>5.314269811914868</v>
      </c>
      <c r="J463" s="1100" t="n">
        <v>319.4</v>
      </c>
      <c r="K463" s="1100" t="n">
        <v>2.0972566320488</v>
      </c>
      <c r="L463" s="1100" t="n">
        <v>324.023</v>
      </c>
      <c r="M463" s="1100" t="n">
        <v>2.127612353432524</v>
      </c>
      <c r="N463" s="761" t="inlineStr"/>
    </row>
    <row r="464">
      <c r="A464" s="776" t="inlineStr">
        <is>
          <t>February 2009</t>
        </is>
      </c>
      <c r="B464" s="1100" t="n">
        <v>1383.6</v>
      </c>
      <c r="C464" s="1100" t="n">
        <v>4.158944169240532</v>
      </c>
      <c r="D464" s="1100" t="n">
        <v>1459.84</v>
      </c>
      <c r="E464" s="1100" t="n">
        <v>4.388112934391515</v>
      </c>
      <c r="F464" s="1100" t="n">
        <v>1026.7</v>
      </c>
      <c r="G464" s="1100" t="n">
        <v>5.691670768971496</v>
      </c>
      <c r="H464" s="1100" t="n">
        <v>1087.707</v>
      </c>
      <c r="I464" s="1100" t="n">
        <v>6.029872540280198</v>
      </c>
      <c r="J464" s="1100" t="n">
        <v>356.9</v>
      </c>
      <c r="K464" s="1100" t="n">
        <v>2.343490582273691</v>
      </c>
      <c r="L464" s="1100" t="n">
        <v>372.133</v>
      </c>
      <c r="M464" s="1100" t="n">
        <v>2.443514095974377</v>
      </c>
      <c r="N464" s="761" t="inlineStr">
        <is>
          <t>5 week month</t>
        </is>
      </c>
    </row>
    <row r="465">
      <c r="A465" s="776" t="inlineStr">
        <is>
          <t>March 2009</t>
        </is>
      </c>
      <c r="B465" s="1100" t="n">
        <v>1457.1</v>
      </c>
      <c r="C465" s="1100" t="n">
        <v>4.379876806158123</v>
      </c>
      <c r="D465" s="1100" t="n">
        <v>1523.482</v>
      </c>
      <c r="E465" s="1100" t="n">
        <v>4.579413544986199</v>
      </c>
      <c r="F465" s="1100" t="n">
        <v>1080.9</v>
      </c>
      <c r="G465" s="1100" t="n">
        <v>5.992136879498674</v>
      </c>
      <c r="H465" s="1100" t="n">
        <v>1134.53</v>
      </c>
      <c r="I465" s="1100" t="n">
        <v>6.289443106575663</v>
      </c>
      <c r="J465" s="1100" t="n">
        <v>376.1999999999999</v>
      </c>
      <c r="K465" s="1100" t="n">
        <v>2.4702189886561</v>
      </c>
      <c r="L465" s="1100" t="n">
        <v>388.9520000000001</v>
      </c>
      <c r="M465" s="1100" t="n">
        <v>2.553951664209909</v>
      </c>
      <c r="N465" s="761" t="inlineStr"/>
    </row>
    <row r="466">
      <c r="A466" s="776" t="inlineStr">
        <is>
          <t>April 2009</t>
        </is>
      </c>
      <c r="B466" s="1100" t="n">
        <v>1510.8</v>
      </c>
      <c r="C466" s="1100" t="n">
        <v>4.541292895987711</v>
      </c>
      <c r="D466" s="1100" t="n">
        <v>1557.616</v>
      </c>
      <c r="E466" s="1100" t="n">
        <v>4.682016465102459</v>
      </c>
      <c r="F466" s="1100" t="n">
        <v>1120.8</v>
      </c>
      <c r="G466" s="1100" t="n">
        <v>6.213328721012228</v>
      </c>
      <c r="H466" s="1100" t="n">
        <v>1156.895</v>
      </c>
      <c r="I466" s="1100" t="n">
        <v>6.413426954581943</v>
      </c>
      <c r="J466" s="1100" t="n">
        <v>390</v>
      </c>
      <c r="K466" s="1100" t="n">
        <v>2.56083308233886</v>
      </c>
      <c r="L466" s="1100" t="n">
        <v>400.7210000000001</v>
      </c>
      <c r="M466" s="1100" t="n">
        <v>2.631229727148488</v>
      </c>
      <c r="N466" s="761" t="inlineStr"/>
    </row>
    <row r="467">
      <c r="A467" s="776" t="inlineStr">
        <is>
          <t>May 2009</t>
        </is>
      </c>
      <c r="B467" s="1100" t="n">
        <v>1549.4</v>
      </c>
      <c r="C467" s="1100" t="n">
        <v>4.657320103947152</v>
      </c>
      <c r="D467" s="1100" t="n">
        <v>1564.978</v>
      </c>
      <c r="E467" s="1100" t="n">
        <v>4.704145799428815</v>
      </c>
      <c r="F467" s="1100" t="n">
        <v>1146.2</v>
      </c>
      <c r="G467" s="1100" t="n">
        <v>6.354137562476993</v>
      </c>
      <c r="H467" s="1100" t="n">
        <v>1160.589</v>
      </c>
      <c r="I467" s="1100" t="n">
        <v>6.433905216801268</v>
      </c>
      <c r="J467" s="1100" t="n">
        <v>403.2</v>
      </c>
      <c r="K467" s="1100" t="n">
        <v>2.647507432818021</v>
      </c>
      <c r="L467" s="1100" t="n">
        <v>404.389</v>
      </c>
      <c r="M467" s="1100" t="n">
        <v>2.655314690599818</v>
      </c>
      <c r="N467" s="761" t="inlineStr">
        <is>
          <t>5 week month</t>
        </is>
      </c>
    </row>
    <row r="468">
      <c r="A468" s="776" t="inlineStr">
        <is>
          <t>June 2009</t>
        </is>
      </c>
      <c r="B468" s="1100" t="n">
        <v>1571.9</v>
      </c>
      <c r="C468" s="1100" t="n">
        <v>4.724952543819884</v>
      </c>
      <c r="D468" s="1100" t="n">
        <v>1553.256</v>
      </c>
      <c r="E468" s="1100" t="n">
        <v>4.668910801198231</v>
      </c>
      <c r="F468" s="1100" t="n">
        <v>1161</v>
      </c>
      <c r="G468" s="1100" t="n">
        <v>6.436183659078512</v>
      </c>
      <c r="H468" s="1100" t="n">
        <v>1148.238</v>
      </c>
      <c r="I468" s="1100" t="n">
        <v>6.365435531725232</v>
      </c>
      <c r="J468" s="1100" t="n">
        <v>410.9</v>
      </c>
      <c r="K468" s="1100" t="n">
        <v>2.698067470597532</v>
      </c>
      <c r="L468" s="1100" t="n">
        <v>405.018</v>
      </c>
      <c r="M468" s="1100" t="n">
        <v>2.659444854724924</v>
      </c>
      <c r="N468" s="761" t="inlineStr"/>
    </row>
    <row r="469">
      <c r="A469" s="776" t="inlineStr">
        <is>
          <t>July 2009</t>
        </is>
      </c>
      <c r="B469" s="1100" t="n">
        <v>1585.8</v>
      </c>
      <c r="C469" s="1100" t="n">
        <v>4.76673436223015</v>
      </c>
      <c r="D469" s="1100" t="n">
        <v>1573.139</v>
      </c>
      <c r="E469" s="1100" t="n">
        <v>4.728676836842211</v>
      </c>
      <c r="F469" s="1100" t="n">
        <v>1168.6</v>
      </c>
      <c r="G469" s="1100" t="n">
        <v>6.478315438414425</v>
      </c>
      <c r="H469" s="1100" t="n">
        <v>1151.487</v>
      </c>
      <c r="I469" s="1100" t="n">
        <v>6.383446867391333</v>
      </c>
      <c r="J469" s="1100" t="n">
        <v>417.2</v>
      </c>
      <c r="K469" s="1100" t="n">
        <v>2.739434774235314</v>
      </c>
      <c r="L469" s="1100" t="n">
        <v>421.652</v>
      </c>
      <c r="M469" s="1100" t="n">
        <v>2.768667668806013</v>
      </c>
      <c r="N469" s="761" t="inlineStr"/>
    </row>
    <row r="470">
      <c r="A470" s="776" t="inlineStr">
        <is>
          <t>August 2009</t>
        </is>
      </c>
      <c r="B470" s="1100" t="n">
        <v>1600.8</v>
      </c>
      <c r="C470" s="1100" t="n">
        <v>4.811822655478639</v>
      </c>
      <c r="D470" s="1100" t="n">
        <v>1602.189</v>
      </c>
      <c r="E470" s="1100" t="n">
        <v>4.815997831433448</v>
      </c>
      <c r="F470" s="1100" t="n">
        <v>1174.4</v>
      </c>
      <c r="G470" s="1100" t="n">
        <v>6.51046863843394</v>
      </c>
      <c r="H470" s="1100" t="n">
        <v>1159.762</v>
      </c>
      <c r="I470" s="1100" t="n">
        <v>6.429320613970899</v>
      </c>
      <c r="J470" s="1100" t="n">
        <v>426.4</v>
      </c>
      <c r="K470" s="1100" t="n">
        <v>2.79984417002382</v>
      </c>
      <c r="L470" s="1100" t="n">
        <v>442.427</v>
      </c>
      <c r="M470" s="1100" t="n">
        <v>2.905081277230602</v>
      </c>
      <c r="N470" s="761" t="inlineStr">
        <is>
          <t>5 week month</t>
        </is>
      </c>
    </row>
    <row r="471">
      <c r="A471" s="776" t="inlineStr">
        <is>
          <t>September 2009</t>
        </is>
      </c>
      <c r="B471" s="1100" t="n">
        <v>1609.7</v>
      </c>
      <c r="C471" s="1100" t="n">
        <v>4.838575042806075</v>
      </c>
      <c r="D471" s="1100" t="n">
        <v>1591.112</v>
      </c>
      <c r="E471" s="1100" t="n">
        <v>4.782701629812546</v>
      </c>
      <c r="F471" s="1100" t="n">
        <v>1177.8</v>
      </c>
      <c r="G471" s="1100" t="n">
        <v>6.529317066031587</v>
      </c>
      <c r="H471" s="1100" t="n">
        <v>1149.365</v>
      </c>
      <c r="I471" s="1100" t="n">
        <v>6.371683231108332</v>
      </c>
      <c r="J471" s="1100" t="n">
        <v>431.9</v>
      </c>
      <c r="K471" s="1100" t="n">
        <v>2.835958482723471</v>
      </c>
      <c r="L471" s="1100" t="n">
        <v>441.747</v>
      </c>
      <c r="M471" s="1100" t="n">
        <v>2.900616234933191</v>
      </c>
      <c r="N471" s="761" t="inlineStr"/>
    </row>
    <row r="472">
      <c r="A472" s="776" t="inlineStr">
        <is>
          <t>October 2009</t>
        </is>
      </c>
      <c r="B472" s="1100" t="n">
        <v>1618.5</v>
      </c>
      <c r="C472" s="1100" t="n">
        <v>4.865026841511854</v>
      </c>
      <c r="D472" s="1100" t="n">
        <v>1582.555</v>
      </c>
      <c r="E472" s="1100" t="n">
        <v>4.756980261457394</v>
      </c>
      <c r="F472" s="1100" t="n">
        <v>1180.8</v>
      </c>
      <c r="G472" s="1100" t="n">
        <v>6.545948031558921</v>
      </c>
      <c r="H472" s="1100" t="n">
        <v>1145.989</v>
      </c>
      <c r="I472" s="1100" t="n">
        <v>6.352967851234906</v>
      </c>
      <c r="J472" s="1100" t="n">
        <v>437.7</v>
      </c>
      <c r="K472" s="1100" t="n">
        <v>2.874042667024921</v>
      </c>
      <c r="L472" s="1100" t="n">
        <v>436.566</v>
      </c>
      <c r="M472" s="1100" t="n">
        <v>2.86659655237012</v>
      </c>
      <c r="N472" s="761" t="inlineStr"/>
    </row>
    <row r="473">
      <c r="A473" s="776" t="inlineStr">
        <is>
          <t>November 2009</t>
        </is>
      </c>
      <c r="B473" s="1100" t="n">
        <v>1610.4</v>
      </c>
      <c r="C473" s="1100" t="n">
        <v>4.840679163157671</v>
      </c>
      <c r="D473" s="1100" t="n">
        <v>1569.446</v>
      </c>
      <c r="E473" s="1100" t="n">
        <v>4.717576099044432</v>
      </c>
      <c r="F473" s="1100" t="n">
        <v>1174.8</v>
      </c>
      <c r="G473" s="1100" t="n">
        <v>6.512686100504252</v>
      </c>
      <c r="H473" s="1100" t="n">
        <v>1143.015</v>
      </c>
      <c r="I473" s="1100" t="n">
        <v>6.33648102074214</v>
      </c>
      <c r="J473" s="1100" t="n">
        <v>435.6000000000001</v>
      </c>
      <c r="K473" s="1100" t="n">
        <v>2.860253565812327</v>
      </c>
      <c r="L473" s="1100" t="n">
        <v>426.431</v>
      </c>
      <c r="M473" s="1100" t="n">
        <v>2.800047723422673</v>
      </c>
      <c r="N473" s="761" t="inlineStr">
        <is>
          <t>5 week month</t>
        </is>
      </c>
    </row>
    <row r="474">
      <c r="A474" s="776" t="inlineStr">
        <is>
          <t>December 2009</t>
        </is>
      </c>
      <c r="B474" s="1100" t="n">
        <v>1593.4</v>
      </c>
      <c r="C474" s="1100" t="n">
        <v>4.789579097476049</v>
      </c>
      <c r="D474" s="1100" t="n">
        <v>1567.005</v>
      </c>
      <c r="E474" s="1100" t="n">
        <v>4.710238730789793</v>
      </c>
      <c r="F474" s="1100" t="n">
        <v>1159.6</v>
      </c>
      <c r="G474" s="1100" t="n">
        <v>6.428422541832422</v>
      </c>
      <c r="H474" s="1100" t="n">
        <v>1148.772</v>
      </c>
      <c r="I474" s="1100" t="n">
        <v>6.368395843589095</v>
      </c>
      <c r="J474" s="1100" t="n">
        <v>433.8</v>
      </c>
      <c r="K474" s="1100" t="n">
        <v>2.848434336201532</v>
      </c>
      <c r="L474" s="1100" t="n">
        <v>418.2329999999999</v>
      </c>
      <c r="M474" s="1100" t="n">
        <v>2.746217698784175</v>
      </c>
      <c r="N474" s="761" t="inlineStr"/>
    </row>
    <row r="475">
      <c r="A475" s="776" t="inlineStr">
        <is>
          <t>January 2010</t>
        </is>
      </c>
      <c r="B475" s="1100" t="n">
        <v>1609</v>
      </c>
      <c r="C475" s="1100" t="n">
        <v>4.876636552551957</v>
      </c>
      <c r="D475" s="1100" t="n">
        <v>1654.025</v>
      </c>
      <c r="E475" s="1100" t="n">
        <v>5.013100543091826</v>
      </c>
      <c r="F475" s="1100" t="n">
        <v>1174.4</v>
      </c>
      <c r="G475" s="1100" t="n">
        <v>6.617493013710223</v>
      </c>
      <c r="H475" s="1100" t="n">
        <v>1213.439</v>
      </c>
      <c r="I475" s="1100" t="n">
        <v>6.837469435510489</v>
      </c>
      <c r="J475" s="1100" t="n">
        <v>434.6000000000001</v>
      </c>
      <c r="K475" s="1100" t="n">
        <v>2.850368757439915</v>
      </c>
      <c r="L475" s="1100" t="n">
        <v>440.586</v>
      </c>
      <c r="M475" s="1100" t="n">
        <v>2.889628553532955</v>
      </c>
      <c r="N475" s="761" t="inlineStr">
        <is>
          <t>5 week month</t>
        </is>
      </c>
    </row>
    <row r="476">
      <c r="A476" s="776" t="inlineStr">
        <is>
          <t>February 2010</t>
        </is>
      </c>
      <c r="B476" s="1100" t="n">
        <v>1576.5</v>
      </c>
      <c r="C476" s="1100" t="n">
        <v>4.778133949719179</v>
      </c>
      <c r="D476" s="1100" t="n">
        <v>1657.04</v>
      </c>
      <c r="E476" s="1100" t="n">
        <v>5.022238553785392</v>
      </c>
      <c r="F476" s="1100" t="n">
        <v>1146.3</v>
      </c>
      <c r="G476" s="1100" t="n">
        <v>6.459155519087219</v>
      </c>
      <c r="H476" s="1100" t="n">
        <v>1210.661</v>
      </c>
      <c r="I476" s="1100" t="n">
        <v>6.821815999209326</v>
      </c>
      <c r="J476" s="1100" t="n">
        <v>430.2</v>
      </c>
      <c r="K476" s="1100" t="n">
        <v>2.821510905316731</v>
      </c>
      <c r="L476" s="1100" t="n">
        <v>446.379</v>
      </c>
      <c r="M476" s="1100" t="n">
        <v>2.927622539294229</v>
      </c>
      <c r="N476" s="761" t="inlineStr"/>
    </row>
    <row r="477">
      <c r="A477" s="776" t="inlineStr">
        <is>
          <t>March 2010</t>
        </is>
      </c>
      <c r="B477" s="1100" t="n">
        <v>1548.6</v>
      </c>
      <c r="C477" s="1100" t="n">
        <v>4.693573253748888</v>
      </c>
      <c r="D477" s="1100" t="n">
        <v>1614.852</v>
      </c>
      <c r="E477" s="1100" t="n">
        <v>4.894373082760493</v>
      </c>
      <c r="F477" s="1100" t="n">
        <v>1120.4</v>
      </c>
      <c r="G477" s="1100" t="n">
        <v>6.31321455429235</v>
      </c>
      <c r="H477" s="1100" t="n">
        <v>1174.219</v>
      </c>
      <c r="I477" s="1100" t="n">
        <v>6.616473117392546</v>
      </c>
      <c r="J477" s="1100" t="n">
        <v>428.2</v>
      </c>
      <c r="K477" s="1100" t="n">
        <v>2.808393699806194</v>
      </c>
      <c r="L477" s="1100" t="n">
        <v>440.6329999999999</v>
      </c>
      <c r="M477" s="1100" t="n">
        <v>2.889936807862453</v>
      </c>
      <c r="N477" s="761" t="inlineStr"/>
    </row>
    <row r="478">
      <c r="A478" s="776" t="inlineStr">
        <is>
          <t>April 2010</t>
        </is>
      </c>
      <c r="B478" s="1100" t="n">
        <v>1526.1</v>
      </c>
      <c r="C478" s="1100" t="n">
        <v>4.625379144095427</v>
      </c>
      <c r="D478" s="1100" t="n">
        <v>1568.128</v>
      </c>
      <c r="E478" s="1100" t="n">
        <v>4.752759679229457</v>
      </c>
      <c r="F478" s="1100" t="n">
        <v>1100.5</v>
      </c>
      <c r="G478" s="1100" t="n">
        <v>6.201082307210577</v>
      </c>
      <c r="H478" s="1100" t="n">
        <v>1134.031</v>
      </c>
      <c r="I478" s="1100" t="n">
        <v>6.390022326150222</v>
      </c>
      <c r="J478" s="1100" t="n">
        <v>425.6</v>
      </c>
      <c r="K478" s="1100" t="n">
        <v>2.791341332642494</v>
      </c>
      <c r="L478" s="1100" t="n">
        <v>434.097</v>
      </c>
      <c r="M478" s="1100" t="n">
        <v>2.847069780254015</v>
      </c>
      <c r="N478" s="761" t="inlineStr"/>
    </row>
    <row r="479">
      <c r="A479" s="776" t="inlineStr">
        <is>
          <t>May 2010</t>
        </is>
      </c>
      <c r="B479" s="1100" t="n">
        <v>1494.8</v>
      </c>
      <c r="C479" s="1100" t="n">
        <v>4.530513560444168</v>
      </c>
      <c r="D479" s="1100" t="n">
        <v>1502.155</v>
      </c>
      <c r="E479" s="1100" t="n">
        <v>4.552805457177555</v>
      </c>
      <c r="F479" s="1100" t="n">
        <v>1071.7</v>
      </c>
      <c r="G479" s="1100" t="n">
        <v>6.03880046218771</v>
      </c>
      <c r="H479" s="1100" t="n">
        <v>1081.815</v>
      </c>
      <c r="I479" s="1100" t="n">
        <v>6.095796325465706</v>
      </c>
      <c r="J479" s="1100" t="n">
        <v>423.1</v>
      </c>
      <c r="K479" s="1100" t="n">
        <v>2.774944825754321</v>
      </c>
      <c r="L479" s="1100" t="n">
        <v>420.34</v>
      </c>
      <c r="M479" s="1100" t="n">
        <v>2.756843082149779</v>
      </c>
      <c r="N479" s="761" t="inlineStr">
        <is>
          <t>5 week month</t>
        </is>
      </c>
    </row>
    <row r="480">
      <c r="A480" s="776" t="inlineStr">
        <is>
          <t>June 2010</t>
        </is>
      </c>
      <c r="B480" s="1100" t="n">
        <v>1471.3</v>
      </c>
      <c r="C480" s="1100" t="n">
        <v>4.459288601472774</v>
      </c>
      <c r="D480" s="1100" t="n">
        <v>1444.096</v>
      </c>
      <c r="E480" s="1100" t="n">
        <v>4.376837376627764</v>
      </c>
      <c r="F480" s="1100" t="n">
        <v>1051.9</v>
      </c>
      <c r="G480" s="1100" t="n">
        <v>5.927231693734488</v>
      </c>
      <c r="H480" s="1100" t="n">
        <v>1034.845</v>
      </c>
      <c r="I480" s="1100" t="n">
        <v>5.831130413635012</v>
      </c>
      <c r="J480" s="1100" t="n">
        <v>419.3999999999999</v>
      </c>
      <c r="K480" s="1100" t="n">
        <v>2.750677995559826</v>
      </c>
      <c r="L480" s="1100" t="n">
        <v>409.2509999999999</v>
      </c>
      <c r="M480" s="1100" t="n">
        <v>2.6841147361966</v>
      </c>
      <c r="N480" s="761" t="inlineStr"/>
    </row>
    <row r="481">
      <c r="A481" s="776" t="inlineStr">
        <is>
          <t>July 2010</t>
        </is>
      </c>
      <c r="B481" s="1100" t="n">
        <v>1458.2</v>
      </c>
      <c r="C481" s="1100" t="n">
        <v>4.419584475407871</v>
      </c>
      <c r="D481" s="1100" t="n">
        <v>1441.035</v>
      </c>
      <c r="E481" s="1100" t="n">
        <v>4.367559946865574</v>
      </c>
      <c r="F481" s="1100" t="n">
        <v>1038.4</v>
      </c>
      <c r="G481" s="1100" t="n">
        <v>5.851162078880021</v>
      </c>
      <c r="H481" s="1100" t="n">
        <v>1018.863</v>
      </c>
      <c r="I481" s="1100" t="n">
        <v>5.741075259219891</v>
      </c>
      <c r="J481" s="1100" t="n">
        <v>419.8</v>
      </c>
      <c r="K481" s="1100" t="n">
        <v>2.753301436661933</v>
      </c>
      <c r="L481" s="1100" t="n">
        <v>422.172</v>
      </c>
      <c r="M481" s="1100" t="n">
        <v>2.768858442397431</v>
      </c>
      <c r="N481" s="761" t="inlineStr"/>
    </row>
    <row r="482">
      <c r="A482" s="776" t="inlineStr">
        <is>
          <t>August 2010</t>
        </is>
      </c>
      <c r="B482" s="1100" t="n">
        <v>1457.3</v>
      </c>
      <c r="C482" s="1100" t="n">
        <v>4.416856711021733</v>
      </c>
      <c r="D482" s="1100" t="n">
        <v>1456.023</v>
      </c>
      <c r="E482" s="1100" t="n">
        <v>4.412986316442733</v>
      </c>
      <c r="F482" s="1100" t="n">
        <v>1033.6</v>
      </c>
      <c r="G482" s="1100" t="n">
        <v>5.824115104709544</v>
      </c>
      <c r="H482" s="1100" t="n">
        <v>1016.532</v>
      </c>
      <c r="I482" s="1100" t="n">
        <v>5.727940572388352</v>
      </c>
      <c r="J482" s="1100" t="n">
        <v>423.7</v>
      </c>
      <c r="K482" s="1100" t="n">
        <v>2.778879987407483</v>
      </c>
      <c r="L482" s="1100" t="n">
        <v>439.491</v>
      </c>
      <c r="M482" s="1100" t="n">
        <v>2.882446883515936</v>
      </c>
      <c r="N482" s="761" t="inlineStr">
        <is>
          <t>5 week month</t>
        </is>
      </c>
    </row>
    <row r="483">
      <c r="A483" s="776" t="inlineStr">
        <is>
          <t>September 2010</t>
        </is>
      </c>
      <c r="B483" s="1100" t="n">
        <v>1457.1</v>
      </c>
      <c r="C483" s="1100" t="n">
        <v>4.416250541158147</v>
      </c>
      <c r="D483" s="1100" t="n">
        <v>1439.601</v>
      </c>
      <c r="E483" s="1100" t="n">
        <v>4.36321370894366</v>
      </c>
      <c r="F483" s="1100" t="n">
        <v>1030.3</v>
      </c>
      <c r="G483" s="1100" t="n">
        <v>5.805520309967341</v>
      </c>
      <c r="H483" s="1100" t="n">
        <v>1001.931</v>
      </c>
      <c r="I483" s="1100" t="n">
        <v>5.645667057833531</v>
      </c>
      <c r="J483" s="1100" t="n">
        <v>426.8000000000001</v>
      </c>
      <c r="K483" s="1100" t="n">
        <v>2.799211655948817</v>
      </c>
      <c r="L483" s="1100" t="n">
        <v>437.67</v>
      </c>
      <c r="M483" s="1100" t="n">
        <v>2.870503667898591</v>
      </c>
      <c r="N483" s="761" t="inlineStr"/>
    </row>
    <row r="484">
      <c r="A484" s="776" t="inlineStr">
        <is>
          <t>October 2010</t>
        </is>
      </c>
      <c r="B484" s="1100" t="n">
        <v>1451</v>
      </c>
      <c r="C484" s="1100" t="n">
        <v>4.397762360318763</v>
      </c>
      <c r="D484" s="1100" t="n">
        <v>1416.784</v>
      </c>
      <c r="E484" s="1100" t="n">
        <v>4.294058820056415</v>
      </c>
      <c r="F484" s="1100" t="n">
        <v>1022.2</v>
      </c>
      <c r="G484" s="1100" t="n">
        <v>5.759878541054658</v>
      </c>
      <c r="H484" s="1100" t="n">
        <v>987.9000000000001</v>
      </c>
      <c r="I484" s="1100" t="n">
        <v>5.566605371461454</v>
      </c>
      <c r="J484" s="1100" t="n">
        <v>428.8</v>
      </c>
      <c r="K484" s="1100" t="n">
        <v>2.812328861459354</v>
      </c>
      <c r="L484" s="1100" t="n">
        <v>428.884</v>
      </c>
      <c r="M484" s="1100" t="n">
        <v>2.812879784090797</v>
      </c>
      <c r="N484" s="761" t="inlineStr">
        <is>
          <t>5 week month</t>
        </is>
      </c>
    </row>
    <row r="485">
      <c r="A485" s="776" t="inlineStr">
        <is>
          <t>November 2010</t>
        </is>
      </c>
      <c r="B485" s="1100" t="n">
        <v>1452.4</v>
      </c>
      <c r="C485" s="1100" t="n">
        <v>4.402005549363866</v>
      </c>
      <c r="D485" s="1100" t="n">
        <v>1413.264</v>
      </c>
      <c r="E485" s="1100" t="n">
        <v>4.283390230457297</v>
      </c>
      <c r="F485" s="1100" t="n">
        <v>1017.6</v>
      </c>
      <c r="G485" s="1100" t="n">
        <v>5.733958524141284</v>
      </c>
      <c r="H485" s="1100" t="n">
        <v>986.4720000000001</v>
      </c>
      <c r="I485" s="1100" t="n">
        <v>5.558558896645736</v>
      </c>
      <c r="J485" s="1100" t="n">
        <v>434.8</v>
      </c>
      <c r="K485" s="1100" t="n">
        <v>2.851680477990969</v>
      </c>
      <c r="L485" s="1100" t="n">
        <v>426.792</v>
      </c>
      <c r="M485" s="1100" t="n">
        <v>2.799159187126775</v>
      </c>
      <c r="N485" s="761" t="inlineStr"/>
    </row>
    <row r="486">
      <c r="A486" s="776" t="inlineStr">
        <is>
          <t>December 2010</t>
        </is>
      </c>
      <c r="B486" s="1100" t="n">
        <v>1454</v>
      </c>
      <c r="C486" s="1100" t="n">
        <v>4.406854908272558</v>
      </c>
      <c r="D486" s="1100" t="n">
        <v>1425.192</v>
      </c>
      <c r="E486" s="1100" t="n">
        <v>4.319542201121584</v>
      </c>
      <c r="F486" s="1100" t="n">
        <v>1014.7</v>
      </c>
      <c r="G486" s="1100" t="n">
        <v>5.717617643913287</v>
      </c>
      <c r="H486" s="1100" t="n">
        <v>1001.847</v>
      </c>
      <c r="I486" s="1100" t="n">
        <v>5.645193735785547</v>
      </c>
      <c r="J486" s="1100" t="n">
        <v>439.3</v>
      </c>
      <c r="K486" s="1100" t="n">
        <v>2.881194190389679</v>
      </c>
      <c r="L486" s="1100" t="n">
        <v>423.345</v>
      </c>
      <c r="M486" s="1100" t="n">
        <v>2.776551683429362</v>
      </c>
      <c r="N486" s="761" t="inlineStr"/>
    </row>
    <row r="487">
      <c r="A487" s="776" t="inlineStr">
        <is>
          <t>January 2011</t>
        </is>
      </c>
      <c r="B487" s="1100" t="n">
        <v>1461.8</v>
      </c>
      <c r="C487" s="1100" t="n">
        <v>4.42220160598704</v>
      </c>
      <c r="D487" s="1100" t="n">
        <v>1505.068</v>
      </c>
      <c r="E487" s="1100" t="n">
        <v>4.553094901299564</v>
      </c>
      <c r="F487" s="1100" t="n">
        <v>1012.4</v>
      </c>
      <c r="G487" s="1100" t="n">
        <v>5.709623784068389</v>
      </c>
      <c r="H487" s="1100" t="n">
        <v>1050.72</v>
      </c>
      <c r="I487" s="1100" t="n">
        <v>5.925736766491839</v>
      </c>
      <c r="J487" s="1100" t="n">
        <v>449.4</v>
      </c>
      <c r="K487" s="1100" t="n">
        <v>2.932565289220173</v>
      </c>
      <c r="L487" s="1100" t="n">
        <v>454.348</v>
      </c>
      <c r="M487" s="1100" t="n">
        <v>2.964853524758806</v>
      </c>
      <c r="N487" s="761" t="inlineStr">
        <is>
          <t>5 week month</t>
        </is>
      </c>
    </row>
    <row r="488">
      <c r="A488" s="776" t="inlineStr">
        <is>
          <t>February 2011</t>
        </is>
      </c>
      <c r="B488" s="1100" t="n">
        <v>1458.5</v>
      </c>
      <c r="C488" s="1100" t="n">
        <v>4.412218526701395</v>
      </c>
      <c r="D488" s="1100" t="n">
        <v>1538.187</v>
      </c>
      <c r="E488" s="1100" t="n">
        <v>4.653285690045415</v>
      </c>
      <c r="F488" s="1100" t="n">
        <v>998.9000000000002</v>
      </c>
      <c r="G488" s="1100" t="n">
        <v>5.633487947358669</v>
      </c>
      <c r="H488" s="1100" t="n">
        <v>1062.779</v>
      </c>
      <c r="I488" s="1100" t="n">
        <v>5.993745807594251</v>
      </c>
      <c r="J488" s="1100" t="n">
        <v>459.6</v>
      </c>
      <c r="K488" s="1100" t="n">
        <v>2.999125516078307</v>
      </c>
      <c r="L488" s="1100" t="n">
        <v>475.408</v>
      </c>
      <c r="M488" s="1100" t="n">
        <v>3.102280816683542</v>
      </c>
      <c r="N488" s="761" t="inlineStr"/>
    </row>
    <row r="489">
      <c r="A489" s="776" t="inlineStr">
        <is>
          <t>March 2011</t>
        </is>
      </c>
      <c r="B489" s="1100" t="n">
        <v>1463.5</v>
      </c>
      <c r="C489" s="1100" t="n">
        <v>4.427344404406917</v>
      </c>
      <c r="D489" s="1100" t="n">
        <v>1526.946</v>
      </c>
      <c r="E489" s="1100" t="n">
        <v>4.619279691787854</v>
      </c>
      <c r="F489" s="1100" t="n">
        <v>996.4999999999998</v>
      </c>
      <c r="G489" s="1100" t="n">
        <v>5.61995268749916</v>
      </c>
      <c r="H489" s="1100" t="n">
        <v>1048.682</v>
      </c>
      <c r="I489" s="1100" t="n">
        <v>5.914243074994475</v>
      </c>
      <c r="J489" s="1100" t="n">
        <v>467</v>
      </c>
      <c r="K489" s="1100" t="n">
        <v>3.047414308112641</v>
      </c>
      <c r="L489" s="1100" t="n">
        <v>478.264</v>
      </c>
      <c r="M489" s="1100" t="n">
        <v>3.12091768020382</v>
      </c>
      <c r="N489" s="761" t="inlineStr"/>
    </row>
    <row r="490">
      <c r="A490" s="776" t="inlineStr">
        <is>
          <t>April 2011</t>
        </is>
      </c>
      <c r="B490" s="1100" t="n">
        <v>1484.7</v>
      </c>
      <c r="C490" s="1100" t="n">
        <v>4.49147812587834</v>
      </c>
      <c r="D490" s="1100" t="n">
        <v>1520.806</v>
      </c>
      <c r="E490" s="1100" t="n">
        <v>4.600705113965472</v>
      </c>
      <c r="F490" s="1100" t="n">
        <v>1003.6</v>
      </c>
      <c r="G490" s="1100" t="n">
        <v>5.659994497916866</v>
      </c>
      <c r="H490" s="1100" t="n">
        <v>1034.182</v>
      </c>
      <c r="I490" s="1100" t="n">
        <v>5.832467546676626</v>
      </c>
      <c r="J490" s="1100" t="n">
        <v>481.1</v>
      </c>
      <c r="K490" s="1100" t="n">
        <v>3.139424033475357</v>
      </c>
      <c r="L490" s="1100" t="n">
        <v>486.624</v>
      </c>
      <c r="M490" s="1100" t="n">
        <v>3.175470964177742</v>
      </c>
      <c r="N490" s="761" t="inlineStr">
        <is>
          <t>5 week month</t>
        </is>
      </c>
    </row>
    <row r="491">
      <c r="A491" s="776" t="inlineStr">
        <is>
          <t>May 2011</t>
        </is>
      </c>
      <c r="B491" s="1100" t="n">
        <v>1500.4</v>
      </c>
      <c r="C491" s="1100" t="n">
        <v>4.538973381873687</v>
      </c>
      <c r="D491" s="1100" t="n">
        <v>1504.913</v>
      </c>
      <c r="E491" s="1100" t="n">
        <v>4.552625999090692</v>
      </c>
      <c r="F491" s="1100" t="n">
        <v>1011.7</v>
      </c>
      <c r="G491" s="1100" t="n">
        <v>5.7056759999427</v>
      </c>
      <c r="H491" s="1100" t="n">
        <v>1020.381</v>
      </c>
      <c r="I491" s="1100" t="n">
        <v>5.754634162792856</v>
      </c>
      <c r="J491" s="1100" t="n">
        <v>488.6999999999999</v>
      </c>
      <c r="K491" s="1100" t="n">
        <v>3.189017927997104</v>
      </c>
      <c r="L491" s="1100" t="n">
        <v>484.5319999999999</v>
      </c>
      <c r="M491" s="1100" t="n">
        <v>3.161819592159387</v>
      </c>
      <c r="N491" s="761" t="inlineStr"/>
    </row>
    <row r="492">
      <c r="A492" s="776" t="inlineStr">
        <is>
          <t>June 2011</t>
        </is>
      </c>
      <c r="B492" s="1100" t="n">
        <v>1519.5</v>
      </c>
      <c r="C492" s="1100" t="n">
        <v>4.596754234708788</v>
      </c>
      <c r="D492" s="1100" t="n">
        <v>1493.077</v>
      </c>
      <c r="E492" s="1100" t="n">
        <v>4.516820021386176</v>
      </c>
      <c r="F492" s="1100" t="n">
        <v>1023.9</v>
      </c>
      <c r="G492" s="1100" t="n">
        <v>5.774480237561859</v>
      </c>
      <c r="H492" s="1100" t="n">
        <v>1007.544</v>
      </c>
      <c r="I492" s="1100" t="n">
        <v>5.682237441619322</v>
      </c>
      <c r="J492" s="1100" t="n">
        <v>495.6</v>
      </c>
      <c r="K492" s="1100" t="n">
        <v>3.234043963812901</v>
      </c>
      <c r="L492" s="1100" t="n">
        <v>485.533</v>
      </c>
      <c r="M492" s="1100" t="n">
        <v>3.168351630108897</v>
      </c>
      <c r="N492" s="761" t="inlineStr"/>
    </row>
    <row r="493">
      <c r="A493" s="776" t="inlineStr">
        <is>
          <t>July 2011</t>
        </is>
      </c>
      <c r="B493" s="1100" t="n">
        <v>1555.1</v>
      </c>
      <c r="C493" s="1100" t="n">
        <v>4.704450483972121</v>
      </c>
      <c r="D493" s="1100" t="n">
        <v>1541.793</v>
      </c>
      <c r="E493" s="1100" t="n">
        <v>4.664194473046638</v>
      </c>
      <c r="F493" s="1100" t="n">
        <v>1044</v>
      </c>
      <c r="G493" s="1100" t="n">
        <v>5.887838038885223</v>
      </c>
      <c r="H493" s="1100" t="n">
        <v>1027.192</v>
      </c>
      <c r="I493" s="1100" t="n">
        <v>5.793046102335812</v>
      </c>
      <c r="J493" s="1100" t="n">
        <v>511.1</v>
      </c>
      <c r="K493" s="1100" t="n">
        <v>3.335189406587517</v>
      </c>
      <c r="L493" s="1100" t="n">
        <v>514.601</v>
      </c>
      <c r="M493" s="1100" t="n">
        <v>3.358035225629707</v>
      </c>
      <c r="N493" s="761" t="inlineStr">
        <is>
          <t>5 week month</t>
        </is>
      </c>
    </row>
    <row r="494">
      <c r="A494" s="776" t="inlineStr">
        <is>
          <t>August 2011</t>
        </is>
      </c>
      <c r="B494" s="1100" t="n">
        <v>1576.7</v>
      </c>
      <c r="C494" s="1100" t="n">
        <v>4.769794275659986</v>
      </c>
      <c r="D494" s="1100" t="n">
        <v>1576.835</v>
      </c>
      <c r="E494" s="1100" t="n">
        <v>4.770202674358035</v>
      </c>
      <c r="F494" s="1100" t="n">
        <v>1058.3</v>
      </c>
      <c r="G494" s="1100" t="n">
        <v>5.968485628881449</v>
      </c>
      <c r="H494" s="1100" t="n">
        <v>1042.341</v>
      </c>
      <c r="I494" s="1100" t="n">
        <v>5.878481790507338</v>
      </c>
      <c r="J494" s="1100" t="n">
        <v>518.4</v>
      </c>
      <c r="K494" s="1100" t="n">
        <v>3.382825647378144</v>
      </c>
      <c r="L494" s="1100" t="n">
        <v>534.494</v>
      </c>
      <c r="M494" s="1100" t="n">
        <v>3.487847244540381</v>
      </c>
      <c r="N494" s="761" t="inlineStr"/>
    </row>
    <row r="495">
      <c r="A495" s="776" t="inlineStr">
        <is>
          <t>September 2011</t>
        </is>
      </c>
      <c r="B495" s="1100" t="n">
        <v>1596</v>
      </c>
      <c r="C495" s="1100" t="n">
        <v>4.828180163603308</v>
      </c>
      <c r="D495" s="1100" t="n">
        <v>1578.609</v>
      </c>
      <c r="E495" s="1100" t="n">
        <v>4.775569335767954</v>
      </c>
      <c r="F495" s="1100" t="n">
        <v>1069.6</v>
      </c>
      <c r="G495" s="1100" t="n">
        <v>6.032214144053289</v>
      </c>
      <c r="H495" s="1100" t="n">
        <v>1041.555</v>
      </c>
      <c r="I495" s="1100" t="n">
        <v>5.874048992903351</v>
      </c>
      <c r="J495" s="1100" t="n">
        <v>526.4</v>
      </c>
      <c r="K495" s="1100" t="n">
        <v>3.43502974687472</v>
      </c>
      <c r="L495" s="1100" t="n">
        <v>537.054</v>
      </c>
      <c r="M495" s="1100" t="n">
        <v>3.504552556379285</v>
      </c>
      <c r="N495" s="761" t="inlineStr"/>
    </row>
    <row r="496">
      <c r="A496" s="776" t="inlineStr">
        <is>
          <t>October 2011</t>
        </is>
      </c>
      <c r="B496" s="1100" t="n">
        <v>1595.7</v>
      </c>
      <c r="C496" s="1100" t="n">
        <v>4.827272610940977</v>
      </c>
      <c r="D496" s="1100" t="n">
        <v>1562.501</v>
      </c>
      <c r="E496" s="1100" t="n">
        <v>4.726839808151837</v>
      </c>
      <c r="F496" s="1100" t="n">
        <v>1069.2</v>
      </c>
      <c r="G496" s="1100" t="n">
        <v>6.029958267410039</v>
      </c>
      <c r="H496" s="1100" t="n">
        <v>1035.535</v>
      </c>
      <c r="I496" s="1100" t="n">
        <v>5.840098049422422</v>
      </c>
      <c r="J496" s="1100" t="n">
        <v>526.5</v>
      </c>
      <c r="K496" s="1100" t="n">
        <v>3.435682298118428</v>
      </c>
      <c r="L496" s="1100" t="n">
        <v>526.966</v>
      </c>
      <c r="M496" s="1100" t="n">
        <v>3.438723186914103</v>
      </c>
      <c r="N496" s="761" t="inlineStr">
        <is>
          <t>5 week month</t>
        </is>
      </c>
    </row>
    <row r="497">
      <c r="A497" s="776" t="inlineStr">
        <is>
          <t>November 2011</t>
        </is>
      </c>
      <c r="B497" s="1100" t="n">
        <v>1599.2</v>
      </c>
      <c r="C497" s="1100" t="n">
        <v>4.837860725334843</v>
      </c>
      <c r="D497" s="1100" t="n">
        <v>1558.756</v>
      </c>
      <c r="E497" s="1100" t="n">
        <v>4.7155105257504</v>
      </c>
      <c r="F497" s="1100" t="n">
        <v>1071.6</v>
      </c>
      <c r="G497" s="1100" t="n">
        <v>6.043493527269544</v>
      </c>
      <c r="H497" s="1100" t="n">
        <v>1039.898</v>
      </c>
      <c r="I497" s="1100" t="n">
        <v>5.864704023908683</v>
      </c>
      <c r="J497" s="1100" t="n">
        <v>527.5999999999999</v>
      </c>
      <c r="K497" s="1100" t="n">
        <v>3.442860361799206</v>
      </c>
      <c r="L497" s="1100" t="n">
        <v>518.8580000000001</v>
      </c>
      <c r="M497" s="1100" t="n">
        <v>3.385814332074323</v>
      </c>
      <c r="N497" s="761" t="inlineStr"/>
    </row>
    <row r="498">
      <c r="A498" s="776" t="inlineStr">
        <is>
          <t>December 2011</t>
        </is>
      </c>
      <c r="B498" s="1100" t="n">
        <v>1601.8</v>
      </c>
      <c r="C498" s="1100" t="n">
        <v>4.845726181741716</v>
      </c>
      <c r="D498" s="1100" t="n">
        <v>1568.849</v>
      </c>
      <c r="E498" s="1100" t="n">
        <v>4.746043622486771</v>
      </c>
      <c r="F498" s="1100" t="n">
        <v>1073.1</v>
      </c>
      <c r="G498" s="1100" t="n">
        <v>6.051953064681736</v>
      </c>
      <c r="H498" s="1100" t="n">
        <v>1056.607</v>
      </c>
      <c r="I498" s="1100" t="n">
        <v>5.958937630988888</v>
      </c>
      <c r="J498" s="1100" t="n">
        <v>528.7</v>
      </c>
      <c r="K498" s="1100" t="n">
        <v>3.450038425479986</v>
      </c>
      <c r="L498" s="1100" t="n">
        <v>512.242</v>
      </c>
      <c r="M498" s="1100" t="n">
        <v>3.342641541790654</v>
      </c>
      <c r="N498" s="761" t="inlineStr"/>
    </row>
    <row r="499">
      <c r="A499" s="776" t="inlineStr">
        <is>
          <t>January 2012</t>
        </is>
      </c>
      <c r="B499" s="1100" t="n">
        <v>1609.9</v>
      </c>
      <c r="C499" s="1100" t="n">
        <v>4.783701315424262</v>
      </c>
      <c r="D499" s="1100" t="n">
        <v>1649.19</v>
      </c>
      <c r="E499" s="1100" t="n">
        <v>4.900448706369674</v>
      </c>
      <c r="F499" s="1100" t="n">
        <v>1079.9</v>
      </c>
      <c r="G499" s="1100" t="n">
        <v>5.989352717856673</v>
      </c>
      <c r="H499" s="1100" t="n">
        <v>1115.108</v>
      </c>
      <c r="I499" s="1100" t="n">
        <v>6.184623697105028</v>
      </c>
      <c r="J499" s="1100" t="n">
        <v>530</v>
      </c>
      <c r="K499" s="1100" t="n">
        <v>3.392319583643336</v>
      </c>
      <c r="L499" s="1100" t="n">
        <v>534.082</v>
      </c>
      <c r="M499" s="1100" t="n">
        <v>3.418446845040377</v>
      </c>
      <c r="N499" s="761" t="inlineStr">
        <is>
          <t>5 week month</t>
        </is>
      </c>
    </row>
    <row r="500">
      <c r="A500" s="776" t="inlineStr">
        <is>
          <t>February 2012</t>
        </is>
      </c>
      <c r="B500" s="1100" t="n">
        <v>1609.5</v>
      </c>
      <c r="C500" s="1100" t="n">
        <v>4.782512744378751</v>
      </c>
      <c r="D500" s="1100" t="n">
        <v>1685.989</v>
      </c>
      <c r="E500" s="1100" t="n">
        <v>5.009794271129161</v>
      </c>
      <c r="F500" s="1100" t="n">
        <v>1080.1</v>
      </c>
      <c r="G500" s="1100" t="n">
        <v>5.990461959956474</v>
      </c>
      <c r="H500" s="1100" t="n">
        <v>1141.242</v>
      </c>
      <c r="I500" s="1100" t="n">
        <v>6.329568362285571</v>
      </c>
      <c r="J500" s="1100" t="n">
        <v>529.4</v>
      </c>
      <c r="K500" s="1100" t="n">
        <v>3.388479221850532</v>
      </c>
      <c r="L500" s="1100" t="n">
        <v>544.7470000000001</v>
      </c>
      <c r="M500" s="1100" t="n">
        <v>3.486709275907465</v>
      </c>
      <c r="N500" s="761" t="inlineStr"/>
    </row>
    <row r="501">
      <c r="A501" s="776" t="inlineStr">
        <is>
          <t>March 2012</t>
        </is>
      </c>
      <c r="B501" s="1100" t="n">
        <v>1606.7</v>
      </c>
      <c r="C501" s="1100" t="n">
        <v>4.774192747060165</v>
      </c>
      <c r="D501" s="1100" t="n">
        <v>1666.859</v>
      </c>
      <c r="E501" s="1100" t="n">
        <v>4.952950860877551</v>
      </c>
      <c r="F501" s="1100" t="n">
        <v>1079.5</v>
      </c>
      <c r="G501" s="1100" t="n">
        <v>5.987134233657077</v>
      </c>
      <c r="H501" s="1100" t="n">
        <v>1129.068</v>
      </c>
      <c r="I501" s="1100" t="n">
        <v>6.262048795670894</v>
      </c>
      <c r="J501" s="1100" t="n">
        <v>527.1999999999999</v>
      </c>
      <c r="K501" s="1100" t="n">
        <v>3.374397895276918</v>
      </c>
      <c r="L501" s="1100" t="n">
        <v>537.7910000000001</v>
      </c>
      <c r="M501" s="1100" t="n">
        <v>3.442186681522893</v>
      </c>
      <c r="N501" s="761" t="inlineStr"/>
    </row>
    <row r="502">
      <c r="A502" s="776" t="inlineStr">
        <is>
          <t>April 2012</t>
        </is>
      </c>
      <c r="B502" s="1100" t="n">
        <v>1582.6</v>
      </c>
      <c r="C502" s="1100" t="n">
        <v>4.70258134156807</v>
      </c>
      <c r="D502" s="1100" t="n">
        <v>1616.849</v>
      </c>
      <c r="E502" s="1100" t="n">
        <v>4.804349765912418</v>
      </c>
      <c r="F502" s="1100" t="n">
        <v>1064.7</v>
      </c>
      <c r="G502" s="1100" t="n">
        <v>5.905050318272063</v>
      </c>
      <c r="H502" s="1100" t="n">
        <v>1092.397</v>
      </c>
      <c r="I502" s="1100" t="n">
        <v>6.058663710462521</v>
      </c>
      <c r="J502" s="1100" t="n">
        <v>517.9</v>
      </c>
      <c r="K502" s="1100" t="n">
        <v>3.31487228748846</v>
      </c>
      <c r="L502" s="1100" t="n">
        <v>524.452</v>
      </c>
      <c r="M502" s="1100" t="n">
        <v>3.356809038265877</v>
      </c>
      <c r="N502" s="761" t="inlineStr">
        <is>
          <t>5 week month</t>
        </is>
      </c>
    </row>
    <row r="503">
      <c r="A503" s="776" t="inlineStr">
        <is>
          <t>May 2012</t>
        </is>
      </c>
      <c r="B503" s="1100" t="n">
        <v>1585.5</v>
      </c>
      <c r="C503" s="1100" t="n">
        <v>4.711198481648032</v>
      </c>
      <c r="D503" s="1100" t="n">
        <v>1590.708</v>
      </c>
      <c r="E503" s="1100" t="n">
        <v>4.726673676660598</v>
      </c>
      <c r="F503" s="1100" t="n">
        <v>1066.7</v>
      </c>
      <c r="G503" s="1100" t="n">
        <v>5.916142739270038</v>
      </c>
      <c r="H503" s="1100" t="n">
        <v>1076.039</v>
      </c>
      <c r="I503" s="1100" t="n">
        <v>5.967938799120082</v>
      </c>
      <c r="J503" s="1100" t="n">
        <v>518.8</v>
      </c>
      <c r="K503" s="1100" t="n">
        <v>3.320632830177665</v>
      </c>
      <c r="L503" s="1100" t="n">
        <v>514.6690000000001</v>
      </c>
      <c r="M503" s="1100" t="n">
        <v>3.294191939234212</v>
      </c>
      <c r="N503" s="761" t="inlineStr"/>
    </row>
    <row r="504">
      <c r="A504" s="776" t="inlineStr">
        <is>
          <t>June 2012</t>
        </is>
      </c>
      <c r="B504" s="1100" t="n">
        <v>1589.3</v>
      </c>
      <c r="C504" s="1100" t="n">
        <v>4.722489906580396</v>
      </c>
      <c r="D504" s="1100" t="n">
        <v>1564.156</v>
      </c>
      <c r="E504" s="1100" t="n">
        <v>4.647776330659515</v>
      </c>
      <c r="F504" s="1100" t="n">
        <v>1062.8</v>
      </c>
      <c r="G504" s="1100" t="n">
        <v>5.894512518323986</v>
      </c>
      <c r="H504" s="1100" t="n">
        <v>1047.368</v>
      </c>
      <c r="I504" s="1100" t="n">
        <v>5.808923397903611</v>
      </c>
      <c r="J504" s="1100" t="n">
        <v>526.5</v>
      </c>
      <c r="K504" s="1100" t="n">
        <v>3.369917473185314</v>
      </c>
      <c r="L504" s="1100" t="n">
        <v>516.788</v>
      </c>
      <c r="M504" s="1100" t="n">
        <v>3.307754816965796</v>
      </c>
      <c r="N504" s="761" t="inlineStr">
        <is>
          <t>5 week month</t>
        </is>
      </c>
    </row>
    <row r="505">
      <c r="A505" s="776" t="inlineStr">
        <is>
          <t>July 2012</t>
        </is>
      </c>
      <c r="B505" s="1100" t="n">
        <v>1583.7</v>
      </c>
      <c r="C505" s="1100" t="n">
        <v>4.705849911943228</v>
      </c>
      <c r="D505" s="1100" t="n">
        <v>1572.672</v>
      </c>
      <c r="E505" s="1100" t="n">
        <v>4.673081008218463</v>
      </c>
      <c r="F505" s="1100" t="n">
        <v>1053.8</v>
      </c>
      <c r="G505" s="1100" t="n">
        <v>5.844596623833098</v>
      </c>
      <c r="H505" s="1100" t="n">
        <v>1039.194</v>
      </c>
      <c r="I505" s="1100" t="n">
        <v>5.763588673284884</v>
      </c>
      <c r="J505" s="1100" t="n">
        <v>529.9</v>
      </c>
      <c r="K505" s="1100" t="n">
        <v>3.391679523344535</v>
      </c>
      <c r="L505" s="1100" t="n">
        <v>533.4780000000001</v>
      </c>
      <c r="M505" s="1100" t="n">
        <v>3.414580880835622</v>
      </c>
      <c r="N505" s="761" t="inlineStr"/>
    </row>
    <row r="506">
      <c r="A506" s="776" t="inlineStr">
        <is>
          <t>August 2012</t>
        </is>
      </c>
      <c r="B506" s="1100" t="n">
        <v>1571.4</v>
      </c>
      <c r="C506" s="1100" t="n">
        <v>4.669301352293735</v>
      </c>
      <c r="D506" s="1100" t="n">
        <v>1569.926</v>
      </c>
      <c r="E506" s="1100" t="n">
        <v>4.664921467991024</v>
      </c>
      <c r="F506" s="1100" t="n">
        <v>1040.8</v>
      </c>
      <c r="G506" s="1100" t="n">
        <v>5.77249588734626</v>
      </c>
      <c r="H506" s="1100" t="n">
        <v>1024.975</v>
      </c>
      <c r="I506" s="1100" t="n">
        <v>5.684727106199782</v>
      </c>
      <c r="J506" s="1100" t="n">
        <v>530.5999999999999</v>
      </c>
      <c r="K506" s="1100" t="n">
        <v>3.396159945436139</v>
      </c>
      <c r="L506" s="1100" t="n">
        <v>544.9509999999999</v>
      </c>
      <c r="M506" s="1100" t="n">
        <v>3.488014998917018</v>
      </c>
      <c r="N506" s="761" t="inlineStr"/>
    </row>
    <row r="507">
      <c r="A507" s="776" t="inlineStr">
        <is>
          <t>September 2012</t>
        </is>
      </c>
      <c r="B507" s="1100" t="n">
        <v>1571.3</v>
      </c>
      <c r="C507" s="1100" t="n">
        <v>4.669004209532358</v>
      </c>
      <c r="D507" s="1100" t="n">
        <v>1552.985</v>
      </c>
      <c r="E507" s="1100" t="n">
        <v>4.614582512785979</v>
      </c>
      <c r="F507" s="1100" t="n">
        <v>1034.8</v>
      </c>
      <c r="G507" s="1100" t="n">
        <v>5.739218624352334</v>
      </c>
      <c r="H507" s="1100" t="n">
        <v>1007.625</v>
      </c>
      <c r="I507" s="1100" t="n">
        <v>5.588500354042346</v>
      </c>
      <c r="J507" s="1100" t="n">
        <v>536.5</v>
      </c>
      <c r="K507" s="1100" t="n">
        <v>3.433923503065377</v>
      </c>
      <c r="L507" s="1100" t="n">
        <v>545.36</v>
      </c>
      <c r="M507" s="1100" t="n">
        <v>3.490632845539113</v>
      </c>
      <c r="N507" s="761" t="inlineStr">
        <is>
          <t>5 week month</t>
        </is>
      </c>
    </row>
    <row r="508">
      <c r="A508" s="776" t="inlineStr">
        <is>
          <t>October 2012</t>
        </is>
      </c>
      <c r="B508" s="1100" t="n">
        <v>1579.8</v>
      </c>
      <c r="C508" s="1100" t="n">
        <v>4.694261344249488</v>
      </c>
      <c r="D508" s="1100" t="n">
        <v>1547.425</v>
      </c>
      <c r="E508" s="1100" t="n">
        <v>4.598061375253362</v>
      </c>
      <c r="F508" s="1100" t="n">
        <v>1036.9</v>
      </c>
      <c r="G508" s="1100" t="n">
        <v>5.750865666400209</v>
      </c>
      <c r="H508" s="1100" t="n">
        <v>1004.469</v>
      </c>
      <c r="I508" s="1100" t="n">
        <v>5.570996513707542</v>
      </c>
      <c r="J508" s="1100" t="n">
        <v>542.9000000000001</v>
      </c>
      <c r="K508" s="1100" t="n">
        <v>3.474887362188618</v>
      </c>
      <c r="L508" s="1100" t="n">
        <v>542.956</v>
      </c>
      <c r="M508" s="1100" t="n">
        <v>3.475245795955945</v>
      </c>
      <c r="N508" s="761" t="inlineStr"/>
    </row>
    <row r="509">
      <c r="A509" s="776" t="inlineStr">
        <is>
          <t>November 2012</t>
        </is>
      </c>
      <c r="B509" s="1100" t="n">
        <v>1576.9</v>
      </c>
      <c r="C509" s="1100" t="n">
        <v>4.685644204169525</v>
      </c>
      <c r="D509" s="1100" t="n">
        <v>1534.984</v>
      </c>
      <c r="E509" s="1100" t="n">
        <v>4.561093844310327</v>
      </c>
      <c r="F509" s="1100" t="n">
        <v>1031</v>
      </c>
      <c r="G509" s="1100" t="n">
        <v>5.718143024456182</v>
      </c>
      <c r="H509" s="1100" t="n">
        <v>999.0640000000001</v>
      </c>
      <c r="I509" s="1100" t="n">
        <v>5.541019245960515</v>
      </c>
      <c r="J509" s="1100" t="n">
        <v>545.9</v>
      </c>
      <c r="K509" s="1100" t="n">
        <v>3.494089171152636</v>
      </c>
      <c r="L509" s="1100" t="n">
        <v>535.9200000000001</v>
      </c>
      <c r="M509" s="1100" t="n">
        <v>3.430211153332334</v>
      </c>
      <c r="N509" s="761" t="inlineStr"/>
    </row>
    <row r="510">
      <c r="A510" s="776" t="inlineStr">
        <is>
          <t>December 2012</t>
        </is>
      </c>
      <c r="B510" s="1100" t="n">
        <v>1560.3</v>
      </c>
      <c r="C510" s="1100" t="n">
        <v>4.636318505780779</v>
      </c>
      <c r="D510" s="1100" t="n">
        <v>1523.222</v>
      </c>
      <c r="E510" s="1100" t="n">
        <v>4.526143912717048</v>
      </c>
      <c r="F510" s="1100" t="n">
        <v>1021.9</v>
      </c>
      <c r="G510" s="1100" t="n">
        <v>5.667672508915396</v>
      </c>
      <c r="H510" s="1100" t="n">
        <v>1002.24</v>
      </c>
      <c r="I510" s="1100" t="n">
        <v>5.558634010505299</v>
      </c>
      <c r="J510" s="1100" t="n">
        <v>538.4000000000002</v>
      </c>
      <c r="K510" s="1100" t="n">
        <v>3.44608464874259</v>
      </c>
      <c r="L510" s="1100" t="n">
        <v>520.982</v>
      </c>
      <c r="M510" s="1100" t="n">
        <v>3.334598945897495</v>
      </c>
      <c r="N510" s="761" t="inlineStr">
        <is>
          <t>5 week month</t>
        </is>
      </c>
    </row>
    <row r="511" customFormat="1" s="147">
      <c r="A511" s="758" t="inlineStr">
        <is>
          <t>January 2013</t>
        </is>
      </c>
      <c r="B511" s="758" t="n">
        <v>1550.014</v>
      </c>
      <c r="C511" s="758" t="n">
        <v>4.601551813317145</v>
      </c>
      <c r="D511" s="758" t="n">
        <v>1581.838</v>
      </c>
      <c r="E511" s="758" t="n">
        <v>4.696028240566838</v>
      </c>
      <c r="F511" s="758" t="n">
        <v>1014.213</v>
      </c>
      <c r="G511" s="758" t="n">
        <v>5.633663166696913</v>
      </c>
      <c r="H511" s="758" t="n">
        <v>1044.137</v>
      </c>
      <c r="I511" s="758" t="n">
        <v>5.799882428923129</v>
      </c>
      <c r="J511" s="758" t="n">
        <v>535.801</v>
      </c>
      <c r="K511" s="758" t="n">
        <v>3.416691610551958</v>
      </c>
      <c r="L511" s="758" t="n">
        <v>537.701</v>
      </c>
      <c r="M511" s="758" t="n">
        <v>3.428807515636213</v>
      </c>
      <c r="N511" s="758" t="inlineStr">
        <is>
          <t> </t>
        </is>
      </c>
    </row>
    <row r="512" customFormat="1" s="147">
      <c r="A512" s="758" t="inlineStr">
        <is>
          <t>February 2013</t>
        </is>
      </c>
      <c r="B512" s="758" t="n">
        <v>1544.64</v>
      </c>
      <c r="C512" s="758" t="n">
        <v>4.585597931968481</v>
      </c>
      <c r="D512" s="758" t="n">
        <v>1613.789</v>
      </c>
      <c r="E512" s="758" t="n">
        <v>4.790881694785506</v>
      </c>
      <c r="F512" s="758" t="n">
        <v>1010.528</v>
      </c>
      <c r="G512" s="758" t="n">
        <v>5.613194045546543</v>
      </c>
      <c r="H512" s="758" t="n">
        <v>1065.99</v>
      </c>
      <c r="I512" s="758" t="n">
        <v>5.921269594323125</v>
      </c>
      <c r="J512" s="758" t="n">
        <v>534.1120000000001</v>
      </c>
      <c r="K512" s="758" t="n">
        <v>3.405921208611272</v>
      </c>
      <c r="L512" s="758" t="n">
        <v>547.799</v>
      </c>
      <c r="M512" s="758" t="n">
        <v>3.493200362762952</v>
      </c>
      <c r="N512" s="755" t="inlineStr">
        <is>
          <t>5 week month</t>
        </is>
      </c>
    </row>
    <row r="513" customFormat="1" s="147">
      <c r="A513" s="758" t="inlineStr">
        <is>
          <t>March 2013</t>
        </is>
      </c>
      <c r="B513" s="758" t="n">
        <v>1530.569</v>
      </c>
      <c r="C513" s="758" t="n">
        <v>4.54382512503565</v>
      </c>
      <c r="D513" s="758" t="n">
        <v>1584.468</v>
      </c>
      <c r="E513" s="758" t="n">
        <v>4.703835964412572</v>
      </c>
      <c r="F513" s="758" t="n">
        <v>1000.625</v>
      </c>
      <c r="G513" s="758" t="n">
        <v>5.558185712642313</v>
      </c>
      <c r="H513" s="758" t="n">
        <v>1045.374</v>
      </c>
      <c r="I513" s="758" t="n">
        <v>5.806753610161394</v>
      </c>
      <c r="J513" s="758" t="n">
        <v>529.9440000000001</v>
      </c>
      <c r="K513" s="758" t="n">
        <v>3.379342738931707</v>
      </c>
      <c r="L513" s="758" t="n">
        <v>539.0939999999999</v>
      </c>
      <c r="M513" s="758" t="n">
        <v>3.437690387100615</v>
      </c>
      <c r="N513" s="755" t="inlineStr"/>
      <c r="O513" s="274" t="n"/>
    </row>
    <row r="514" customFormat="1" s="147">
      <c r="A514" s="758" t="inlineStr">
        <is>
          <t>April 2013</t>
        </is>
      </c>
      <c r="B514" s="758" t="n">
        <v>1510.547</v>
      </c>
      <c r="C514" s="758" t="n">
        <v>4.48438548745416</v>
      </c>
      <c r="D514" s="758" t="n">
        <v>1538.576</v>
      </c>
      <c r="E514" s="758" t="n">
        <v>4.567595636378923</v>
      </c>
      <c r="F514" s="758" t="n">
        <v>987.5810000000001</v>
      </c>
      <c r="G514" s="758" t="n">
        <v>5.485730023012626</v>
      </c>
      <c r="H514" s="758" t="n">
        <v>1012.106</v>
      </c>
      <c r="I514" s="758" t="n">
        <v>5.621959384264395</v>
      </c>
      <c r="J514" s="758" t="n">
        <v>522.9659999999999</v>
      </c>
      <c r="K514" s="758" t="n">
        <v>3.334845483311743</v>
      </c>
      <c r="L514" s="758" t="n">
        <v>526.47</v>
      </c>
      <c r="M514" s="758" t="n">
        <v>3.357189763003969</v>
      </c>
      <c r="N514" s="755" t="inlineStr"/>
      <c r="O514" s="274" t="n"/>
    </row>
    <row r="515" customFormat="1" s="147">
      <c r="A515" s="758" t="inlineStr">
        <is>
          <t>May 2013</t>
        </is>
      </c>
      <c r="B515" s="758" t="n">
        <v>1489.778</v>
      </c>
      <c r="C515" s="758" t="n">
        <v>4.422728218803177</v>
      </c>
      <c r="D515" s="758" t="n">
        <v>1495.78</v>
      </c>
      <c r="E515" s="758" t="n">
        <v>4.440546453982686</v>
      </c>
      <c r="F515" s="758" t="n">
        <v>973.9399999999998</v>
      </c>
      <c r="G515" s="758" t="n">
        <v>5.409958169115156</v>
      </c>
      <c r="H515" s="758" t="n">
        <v>983.415</v>
      </c>
      <c r="I515" s="758" t="n">
        <v>5.462589084420378</v>
      </c>
      <c r="J515" s="758" t="n">
        <v>515.838</v>
      </c>
      <c r="K515" s="758" t="n">
        <v>3.289391708869339</v>
      </c>
      <c r="L515" s="758" t="n">
        <v>512.365</v>
      </c>
      <c r="M515" s="758" t="n">
        <v>3.267245109733753</v>
      </c>
      <c r="N515" s="755" t="inlineStr"/>
      <c r="O515" s="274" t="n"/>
    </row>
    <row r="516" customFormat="1" s="147">
      <c r="A516" s="758" t="inlineStr">
        <is>
          <t>June 2013</t>
        </is>
      </c>
      <c r="B516" s="758" t="n">
        <v>1461.946</v>
      </c>
      <c r="C516" s="758" t="n">
        <v>4.340102906987775</v>
      </c>
      <c r="D516" s="758" t="n">
        <v>1439.907</v>
      </c>
      <c r="E516" s="758" t="n">
        <v>4.274675368647025</v>
      </c>
      <c r="F516" s="758" t="n">
        <v>953.6180000000001</v>
      </c>
      <c r="G516" s="758" t="n">
        <v>5.29707527087424</v>
      </c>
      <c r="H516" s="758" t="n">
        <v>940.508</v>
      </c>
      <c r="I516" s="758" t="n">
        <v>5.224252970119472</v>
      </c>
      <c r="J516" s="758" t="n">
        <v>508.328</v>
      </c>
      <c r="K516" s="758" t="n">
        <v>3.241501999825786</v>
      </c>
      <c r="L516" s="758" t="n">
        <v>499.3989999999999</v>
      </c>
      <c r="M516" s="758" t="n">
        <v>3.184563622721939</v>
      </c>
      <c r="N516" s="755" t="inlineStr">
        <is>
          <t>5 week month</t>
        </is>
      </c>
      <c r="O516" s="274" t="n"/>
    </row>
    <row r="517" customFormat="1" s="147">
      <c r="A517" s="758" t="inlineStr">
        <is>
          <t>July 2013</t>
        </is>
      </c>
      <c r="B517" s="758" t="n">
        <v>1428.436</v>
      </c>
      <c r="C517" s="758" t="n">
        <v>4.240621224071195</v>
      </c>
      <c r="D517" s="758" t="n">
        <v>1418.927</v>
      </c>
      <c r="E517" s="758" t="n">
        <v>4.21239170085861</v>
      </c>
      <c r="F517" s="758" t="n">
        <v>929.5410000000001</v>
      </c>
      <c r="G517" s="758" t="n">
        <v>5.163334421501809</v>
      </c>
      <c r="H517" s="758" t="n">
        <v>916.936</v>
      </c>
      <c r="I517" s="758" t="n">
        <v>5.093317251325313</v>
      </c>
      <c r="J517" s="758" t="n">
        <v>498.895</v>
      </c>
      <c r="K517" s="758" t="n">
        <v>3.181349719478536</v>
      </c>
      <c r="L517" s="758" t="n">
        <v>501.991</v>
      </c>
      <c r="M517" s="758" t="n">
        <v>3.201092267973722</v>
      </c>
      <c r="N517" s="755" t="inlineStr"/>
      <c r="O517" s="274" t="n"/>
    </row>
    <row r="518" customFormat="1" s="147">
      <c r="A518" s="758" t="inlineStr">
        <is>
          <t>August 2013</t>
        </is>
      </c>
      <c r="B518" s="758" t="n">
        <v>1392.848</v>
      </c>
      <c r="C518" s="758" t="n">
        <v>4.134970548701598</v>
      </c>
      <c r="D518" s="758" t="n">
        <v>1390.39</v>
      </c>
      <c r="E518" s="758" t="n">
        <v>4.127673444057941</v>
      </c>
      <c r="F518" s="758" t="n">
        <v>903.692</v>
      </c>
      <c r="G518" s="758" t="n">
        <v>5.019750618892349</v>
      </c>
      <c r="H518" s="758" t="n">
        <v>889.0140000000001</v>
      </c>
      <c r="I518" s="758" t="n">
        <v>4.938218526559893</v>
      </c>
      <c r="J518" s="758" t="n">
        <v>489.156</v>
      </c>
      <c r="K518" s="758" t="n">
        <v>3.119246140733507</v>
      </c>
      <c r="L518" s="758" t="n">
        <v>501.376</v>
      </c>
      <c r="M518" s="758" t="n">
        <v>3.197170540801713</v>
      </c>
      <c r="N518" s="755" t="inlineStr"/>
      <c r="O518" s="274" t="n"/>
    </row>
    <row r="519">
      <c r="A519" s="776" t="inlineStr">
        <is>
          <t>September 2013</t>
        </is>
      </c>
      <c r="B519" s="1100" t="n">
        <v>1342.593</v>
      </c>
      <c r="C519" s="1100" t="n">
        <v>3.985777711489642</v>
      </c>
      <c r="D519" s="1100" t="n">
        <v>1326.088</v>
      </c>
      <c r="E519" s="1100" t="n">
        <v>3.93677904910414</v>
      </c>
      <c r="F519" s="1100" t="n">
        <v>868.7080000000001</v>
      </c>
      <c r="G519" s="1100" t="n">
        <v>4.825424503743239</v>
      </c>
      <c r="H519" s="1100" t="n">
        <v>844.9939999999999</v>
      </c>
      <c r="I519" s="1100" t="n">
        <v>4.693700015558753</v>
      </c>
      <c r="J519" s="1100" t="n">
        <v>473.885</v>
      </c>
      <c r="K519" s="1100" t="n">
        <v>3.021866147816848</v>
      </c>
      <c r="L519" s="1100" t="n">
        <v>481.0939999999999</v>
      </c>
      <c r="M519" s="1100" t="n">
        <v>3.067836442423369</v>
      </c>
      <c r="N519" s="755" t="inlineStr">
        <is>
          <t>5 week month</t>
        </is>
      </c>
      <c r="O519" s="275" t="n"/>
    </row>
    <row r="520" customFormat="1" s="147">
      <c r="A520" s="758" t="inlineStr">
        <is>
          <t>October 2013</t>
        </is>
      </c>
      <c r="B520" s="758" t="n">
        <v>1297.665</v>
      </c>
      <c r="C520" s="758" t="n">
        <v>3.852399225960664</v>
      </c>
      <c r="D520" s="758" t="n">
        <v>1270.577</v>
      </c>
      <c r="E520" s="758" t="n">
        <v>3.771982639065878</v>
      </c>
      <c r="F520" s="758" t="n">
        <v>839.248</v>
      </c>
      <c r="G520" s="758" t="n">
        <v>4.661782628820623</v>
      </c>
      <c r="H520" s="758" t="n">
        <v>812.0999999999999</v>
      </c>
      <c r="I520" s="758" t="n">
        <v>4.510983252703881</v>
      </c>
      <c r="J520" s="758" t="n">
        <v>458.417</v>
      </c>
      <c r="K520" s="758" t="n">
        <v>2.923229926846716</v>
      </c>
      <c r="L520" s="758" t="n">
        <v>458.477</v>
      </c>
      <c r="M520" s="758" t="n">
        <v>2.923612534375693</v>
      </c>
      <c r="N520" s="755" t="inlineStr"/>
      <c r="O520" s="274" t="n"/>
    </row>
    <row r="521" customFormat="1" s="147">
      <c r="A521" s="758" t="inlineStr">
        <is>
          <t>November 2013</t>
        </is>
      </c>
      <c r="B521" s="758" t="n">
        <v>1263.816</v>
      </c>
      <c r="C521" s="758" t="n">
        <v>3.751911148221384</v>
      </c>
      <c r="D521" s="758" t="n">
        <v>1225.091</v>
      </c>
      <c r="E521" s="758" t="n">
        <v>3.636947609846438</v>
      </c>
      <c r="F521" s="758" t="n">
        <v>817.6559999999999</v>
      </c>
      <c r="G521" s="758" t="n">
        <v>4.541845243778901</v>
      </c>
      <c r="H521" s="758" t="n">
        <v>788.4870000000001</v>
      </c>
      <c r="I521" s="758" t="n">
        <v>4.379819790635053</v>
      </c>
      <c r="J521" s="758" t="n">
        <v>446.16</v>
      </c>
      <c r="K521" s="758" t="n">
        <v>2.845069585468974</v>
      </c>
      <c r="L521" s="758" t="n">
        <v>436.604</v>
      </c>
      <c r="M521" s="758" t="n">
        <v>2.784132959687323</v>
      </c>
      <c r="N521" s="755" t="inlineStr">
        <is>
          <t>5 week month</t>
        </is>
      </c>
      <c r="O521" s="291" t="n"/>
    </row>
    <row r="522">
      <c r="A522" s="776" t="inlineStr">
        <is>
          <t>December 2013</t>
        </is>
      </c>
      <c r="B522" s="1100" t="n">
        <v>1242.022</v>
      </c>
      <c r="C522" s="1100" t="n">
        <v>3.687210945371969</v>
      </c>
      <c r="D522" s="1100" t="n">
        <v>1203.861</v>
      </c>
      <c r="E522" s="1100" t="n">
        <v>3.573921762985231</v>
      </c>
      <c r="F522" s="1100" t="n">
        <v>802.2080000000002</v>
      </c>
      <c r="G522" s="1100" t="n">
        <v>4.456036021653832</v>
      </c>
      <c r="H522" s="1100" t="n">
        <v>780.808</v>
      </c>
      <c r="I522" s="1100" t="n">
        <v>4.337165141703254</v>
      </c>
      <c r="J522" s="1100" t="n">
        <v>439.814</v>
      </c>
      <c r="K522" s="1100" t="n">
        <v>2.804602462487563</v>
      </c>
      <c r="L522" s="1100" t="n">
        <v>423.053</v>
      </c>
      <c r="M522" s="1100" t="n">
        <v>2.697721049267989</v>
      </c>
      <c r="N522" s="755" t="inlineStr"/>
      <c r="O522" s="274" t="n"/>
    </row>
    <row r="523" customFormat="1" s="147">
      <c r="A523" s="758" t="inlineStr">
        <is>
          <t>January 2014</t>
        </is>
      </c>
      <c r="B523" s="758" t="n">
        <v>1221.395</v>
      </c>
      <c r="C523" s="758" t="n">
        <v>3.542751591648726</v>
      </c>
      <c r="D523" s="758" t="n">
        <v>1245.614</v>
      </c>
      <c r="E523" s="758" t="n">
        <v>3.613000692716063</v>
      </c>
      <c r="F523" s="758" t="n">
        <v>787.763</v>
      </c>
      <c r="G523" s="758" t="n">
        <v>4.309408863893363</v>
      </c>
      <c r="H523" s="758" t="n">
        <v>811.578</v>
      </c>
      <c r="I523" s="758" t="n">
        <v>4.439687351323744</v>
      </c>
      <c r="J523" s="758" t="n">
        <v>433.632</v>
      </c>
      <c r="K523" s="758" t="n">
        <v>2.677432410780192</v>
      </c>
      <c r="L523" s="758" t="n">
        <v>434.036</v>
      </c>
      <c r="M523" s="758" t="n">
        <v>2.679926882345841</v>
      </c>
      <c r="N523" s="755" t="inlineStr"/>
      <c r="O523" s="291" t="n"/>
    </row>
    <row r="524">
      <c r="A524" s="776" t="inlineStr">
        <is>
          <t>February 2014</t>
        </is>
      </c>
      <c r="B524" s="1100" t="n">
        <v>1187.179</v>
      </c>
      <c r="C524" s="1100" t="n">
        <v>3.443505411289502</v>
      </c>
      <c r="D524" s="1100" t="n">
        <v>1247.071</v>
      </c>
      <c r="E524" s="1100" t="n">
        <v>3.617226835011579</v>
      </c>
      <c r="F524" s="1100" t="n">
        <v>765.098</v>
      </c>
      <c r="G524" s="1100" t="n">
        <v>4.185421380474945</v>
      </c>
      <c r="H524" s="1100" t="n">
        <v>813.419</v>
      </c>
      <c r="I524" s="1100" t="n">
        <v>4.449758428181159</v>
      </c>
      <c r="J524" s="1100" t="n">
        <v>422.081</v>
      </c>
      <c r="K524" s="1100" t="n">
        <v>2.606111517080184</v>
      </c>
      <c r="L524" s="1100" t="n">
        <v>433.6519999999999</v>
      </c>
      <c r="M524" s="1100" t="n">
        <v>2.677555899471561</v>
      </c>
      <c r="N524" s="755" t="inlineStr">
        <is>
          <t>5 week month</t>
        </is>
      </c>
      <c r="O524" s="274" t="n"/>
    </row>
    <row r="525" customFormat="1" s="147">
      <c r="A525" s="758" t="inlineStr">
        <is>
          <t>March 2014</t>
        </is>
      </c>
      <c r="B525" s="758" t="n">
        <v>1152.451</v>
      </c>
      <c r="C525" s="758" t="n">
        <v>3.342774134941739</v>
      </c>
      <c r="D525" s="758" t="n">
        <v>1200.132</v>
      </c>
      <c r="E525" s="758" t="n">
        <v>3.481076599452731</v>
      </c>
      <c r="F525" s="758" t="n">
        <v>741.534</v>
      </c>
      <c r="G525" s="758" t="n">
        <v>4.056515973050652</v>
      </c>
      <c r="H525" s="758" t="n">
        <v>781.25</v>
      </c>
      <c r="I525" s="758" t="n">
        <v>4.273779899432557</v>
      </c>
      <c r="J525" s="758" t="n">
        <v>410.9169999999999</v>
      </c>
      <c r="K525" s="758" t="n">
        <v>2.53718012955816</v>
      </c>
      <c r="L525" s="758" t="n">
        <v>418.8820000000001</v>
      </c>
      <c r="M525" s="758" t="n">
        <v>2.586359500895756</v>
      </c>
      <c r="N525" s="755" t="inlineStr"/>
      <c r="O525" s="291" t="n"/>
    </row>
    <row r="526">
      <c r="A526" s="776" t="inlineStr">
        <is>
          <t>April 2014</t>
        </is>
      </c>
      <c r="B526" s="1100" t="n">
        <v>1119.831</v>
      </c>
      <c r="C526" s="1100" t="n">
        <v>3.248157277234297</v>
      </c>
      <c r="D526" s="1100" t="n">
        <v>1146.415</v>
      </c>
      <c r="E526" s="1100" t="n">
        <v>3.325266245514328</v>
      </c>
      <c r="F526" s="1100" t="n">
        <v>719.3360000000001</v>
      </c>
      <c r="G526" s="1100" t="n">
        <v>3.935083184304919</v>
      </c>
      <c r="H526" s="1100" t="n">
        <v>742.482</v>
      </c>
      <c r="I526" s="1100" t="n">
        <v>4.06170194853182</v>
      </c>
      <c r="J526" s="1100" t="n">
        <v>400.4950000000001</v>
      </c>
      <c r="K526" s="1100" t="n">
        <v>2.472830172485917</v>
      </c>
      <c r="L526" s="1100" t="n">
        <v>403.933</v>
      </c>
      <c r="M526" s="1100" t="n">
        <v>2.494057878532201</v>
      </c>
      <c r="N526" s="755" t="inlineStr"/>
      <c r="O526" s="274" t="n"/>
    </row>
    <row r="527" customFormat="1" s="147">
      <c r="A527" s="758" t="inlineStr">
        <is>
          <t>May 2014</t>
        </is>
      </c>
      <c r="B527" s="758" t="n">
        <v>1085.54</v>
      </c>
      <c r="C527" s="758" t="n">
        <v>3.148693553517378</v>
      </c>
      <c r="D527" s="758" t="n">
        <v>1094.137</v>
      </c>
      <c r="E527" s="758" t="n">
        <v>3.173629823465596</v>
      </c>
      <c r="F527" s="758" t="n">
        <v>696.8570000000001</v>
      </c>
      <c r="G527" s="758" t="n">
        <v>3.812113202404958</v>
      </c>
      <c r="H527" s="758" t="n">
        <v>707.1679999999999</v>
      </c>
      <c r="I527" s="758" t="n">
        <v>3.86851889142006</v>
      </c>
      <c r="J527" s="758" t="n">
        <v>388.683</v>
      </c>
      <c r="K527" s="758" t="n">
        <v>2.399897751363547</v>
      </c>
      <c r="L527" s="758" t="n">
        <v>386.9690000000001</v>
      </c>
      <c r="M527" s="758" t="n">
        <v>2.389314770513247</v>
      </c>
      <c r="N527" s="755" t="inlineStr"/>
      <c r="O527" s="274" t="n"/>
    </row>
    <row r="528" customFormat="1" s="147">
      <c r="A528" s="758" t="inlineStr">
        <is>
          <t>June 2014</t>
        </is>
      </c>
      <c r="B528" s="758" t="n">
        <v>1042.078</v>
      </c>
      <c r="C528" s="758" t="n">
        <v>3.022628628021336</v>
      </c>
      <c r="D528" s="758" t="n">
        <v>1024.756</v>
      </c>
      <c r="E528" s="758" t="n">
        <v>2.972384814127765</v>
      </c>
      <c r="F528" s="758" t="n">
        <v>668.088</v>
      </c>
      <c r="G528" s="758" t="n">
        <v>3.654734163778686</v>
      </c>
      <c r="H528" s="758" t="n">
        <v>658.0560000000002</v>
      </c>
      <c r="I528" s="758" t="n">
        <v>3.599854727041269</v>
      </c>
      <c r="J528" s="758" t="n">
        <v>373.9900000000001</v>
      </c>
      <c r="K528" s="758" t="n">
        <v>2.309176784249512</v>
      </c>
      <c r="L528" s="758" t="n">
        <v>366.7</v>
      </c>
      <c r="M528" s="758" t="n">
        <v>2.26416515624561</v>
      </c>
      <c r="N528" s="755" t="inlineStr">
        <is>
          <t>5 week month</t>
        </is>
      </c>
      <c r="O528" s="274" t="n"/>
    </row>
    <row r="529" customFormat="1" s="147">
      <c r="A529" s="758" t="inlineStr">
        <is>
          <t>July 2014</t>
        </is>
      </c>
      <c r="B529" s="758" t="n">
        <v>1008.845</v>
      </c>
      <c r="C529" s="758" t="n">
        <v>2.926233715936989</v>
      </c>
      <c r="D529" s="758" t="n">
        <v>1000.756</v>
      </c>
      <c r="E529" s="758" t="n">
        <v>2.902770939664901</v>
      </c>
      <c r="F529" s="758" t="n">
        <v>647.034</v>
      </c>
      <c r="G529" s="758" t="n">
        <v>3.53955955641529</v>
      </c>
      <c r="H529" s="758" t="n">
        <v>636.3200000000001</v>
      </c>
      <c r="I529" s="758" t="n">
        <v>3.480949280776863</v>
      </c>
      <c r="J529" s="758" t="n">
        <v>361.811</v>
      </c>
      <c r="K529" s="758" t="n">
        <v>2.233978345640525</v>
      </c>
      <c r="L529" s="758" t="n">
        <v>364.436</v>
      </c>
      <c r="M529" s="758" t="n">
        <v>2.250186236382671</v>
      </c>
      <c r="N529" s="755" t="inlineStr"/>
      <c r="O529" s="274" t="n"/>
    </row>
    <row r="530" customFormat="1" s="147">
      <c r="A530" s="758" t="inlineStr">
        <is>
          <t>August 2014</t>
        </is>
      </c>
      <c r="B530" s="758" t="n">
        <v>971.688</v>
      </c>
      <c r="C530" s="758" t="n">
        <v>2.818456935377962</v>
      </c>
      <c r="D530" s="758" t="n">
        <v>968.539</v>
      </c>
      <c r="E530" s="758" t="n">
        <v>2.809323014932814</v>
      </c>
      <c r="F530" s="758" t="n">
        <v>623.203</v>
      </c>
      <c r="G530" s="758" t="n">
        <v>3.409193541972567</v>
      </c>
      <c r="H530" s="758" t="n">
        <v>609.918</v>
      </c>
      <c r="I530" s="758" t="n">
        <v>3.336518769538696</v>
      </c>
      <c r="J530" s="758" t="n">
        <v>348.485</v>
      </c>
      <c r="K530" s="758" t="n">
        <v>2.151697830581542</v>
      </c>
      <c r="L530" s="758" t="n">
        <v>358.621</v>
      </c>
      <c r="M530" s="758" t="n">
        <v>2.214281899367213</v>
      </c>
      <c r="N530" s="755" t="inlineStr">
        <is>
          <t>5 week month</t>
        </is>
      </c>
      <c r="O530" s="274" t="n"/>
    </row>
    <row r="531" customFormat="1" s="147">
      <c r="A531" s="758" t="inlineStr">
        <is>
          <t>September 2014</t>
        </is>
      </c>
      <c r="B531" s="758" t="n">
        <v>947.4139999999999</v>
      </c>
      <c r="C531" s="758" t="n">
        <v>2.74804830251498</v>
      </c>
      <c r="D531" s="758" t="n">
        <v>932.372</v>
      </c>
      <c r="E531" s="758" t="n">
        <v>2.704417806695381</v>
      </c>
      <c r="F531" s="758" t="n">
        <v>608.1419999999999</v>
      </c>
      <c r="G531" s="758" t="n">
        <v>3.326803271168914</v>
      </c>
      <c r="H531" s="758" t="n">
        <v>587.3399999999999</v>
      </c>
      <c r="I531" s="758" t="n">
        <v>3.213007214249878</v>
      </c>
      <c r="J531" s="758" t="n">
        <v>339.2719999999999</v>
      </c>
      <c r="K531" s="758" t="n">
        <v>2.094812764902538</v>
      </c>
      <c r="L531" s="758" t="n">
        <v>345.032</v>
      </c>
      <c r="M531" s="758" t="n">
        <v>2.130377508016732</v>
      </c>
      <c r="N531" s="755" t="inlineStr"/>
      <c r="O531" s="274" t="n"/>
    </row>
    <row r="532" customFormat="1" s="147">
      <c r="A532" s="758" t="inlineStr">
        <is>
          <t>October 2014</t>
        </is>
      </c>
      <c r="B532" s="758" t="n">
        <v>922.4520000000001</v>
      </c>
      <c r="C532" s="758" t="n">
        <v>2.675644071917398</v>
      </c>
      <c r="D532" s="758" t="n">
        <v>898.867</v>
      </c>
      <c r="E532" s="758" t="n">
        <v>2.607233937367121</v>
      </c>
      <c r="F532" s="758" t="n">
        <v>591.8610000000001</v>
      </c>
      <c r="G532" s="758" t="n">
        <v>3.237739065674308</v>
      </c>
      <c r="H532" s="758" t="n">
        <v>568.442</v>
      </c>
      <c r="I532" s="758" t="n">
        <v>3.109626871799349</v>
      </c>
      <c r="J532" s="758" t="n">
        <v>330.591</v>
      </c>
      <c r="K532" s="758" t="n">
        <v>2.041212498413942</v>
      </c>
      <c r="L532" s="758" t="n">
        <v>330.425</v>
      </c>
      <c r="M532" s="758" t="n">
        <v>2.040187542275582</v>
      </c>
      <c r="N532" s="755" t="inlineStr"/>
      <c r="O532" s="274" t="n"/>
    </row>
    <row r="533" customFormat="1" s="147">
      <c r="A533" s="758" t="inlineStr">
        <is>
          <t>November 2014</t>
        </is>
      </c>
      <c r="B533" s="758" t="n">
        <v>897.9440000000001</v>
      </c>
      <c r="C533" s="758" t="n">
        <v>2.604556703778404</v>
      </c>
      <c r="D533" s="758" t="n">
        <v>861.5910000000001</v>
      </c>
      <c r="E533" s="758" t="n">
        <v>2.499111988013884</v>
      </c>
      <c r="F533" s="758" t="n">
        <v>576.1610000000001</v>
      </c>
      <c r="G533" s="758" t="n">
        <v>3.151853184815311</v>
      </c>
      <c r="H533" s="758" t="n">
        <v>549.2670000000001</v>
      </c>
      <c r="I533" s="758" t="n">
        <v>3.004731217947676</v>
      </c>
      <c r="J533" s="758" t="n">
        <v>321.783</v>
      </c>
      <c r="K533" s="758" t="n">
        <v>1.986828078735155</v>
      </c>
      <c r="L533" s="758" t="n">
        <v>312.324</v>
      </c>
      <c r="M533" s="758" t="n">
        <v>1.928424102152315</v>
      </c>
      <c r="N533" s="755" t="inlineStr">
        <is>
          <t>5 week month</t>
        </is>
      </c>
      <c r="O533" s="274" t="n"/>
    </row>
    <row r="534" customFormat="1" s="147">
      <c r="A534" s="758" t="inlineStr">
        <is>
          <t>December 2014</t>
        </is>
      </c>
      <c r="B534" s="758" t="n">
        <v>876.5530000000001</v>
      </c>
      <c r="C534" s="758" t="n">
        <v>2.542510437585274</v>
      </c>
      <c r="D534" s="758" t="n">
        <v>839.2</v>
      </c>
      <c r="E534" s="758" t="n">
        <v>2.434165143718134</v>
      </c>
      <c r="F534" s="758" t="n">
        <v>561.638</v>
      </c>
      <c r="G534" s="758" t="n">
        <v>3.072406009801603</v>
      </c>
      <c r="H534" s="758" t="n">
        <v>539.98</v>
      </c>
      <c r="I534" s="758" t="n">
        <v>2.953927257722358</v>
      </c>
      <c r="J534" s="758" t="n">
        <v>314.915</v>
      </c>
      <c r="K534" s="758" t="n">
        <v>1.944422062119134</v>
      </c>
      <c r="L534" s="758" t="n">
        <v>299.22</v>
      </c>
      <c r="M534" s="758" t="n">
        <v>1.847514311567525</v>
      </c>
      <c r="N534" s="755" t="inlineStr"/>
      <c r="O534" s="274" t="n"/>
    </row>
    <row r="535" customFormat="1" s="147">
      <c r="A535" s="758" t="inlineStr">
        <is>
          <t>January 2015</t>
        </is>
      </c>
      <c r="B535" s="758" t="n">
        <v>855.549</v>
      </c>
      <c r="C535" s="758" t="n">
        <v>2.467124030750457</v>
      </c>
      <c r="D535" s="758" t="n">
        <v>871.3409999999999</v>
      </c>
      <c r="E535" s="758" t="n">
        <v>2.512663003613041</v>
      </c>
      <c r="F535" s="758" t="n">
        <v>547.876</v>
      </c>
      <c r="G535" s="758" t="n">
        <v>2.976077082632262</v>
      </c>
      <c r="H535" s="758" t="n">
        <v>565.188</v>
      </c>
      <c r="I535" s="758" t="n">
        <v>3.070116329568667</v>
      </c>
      <c r="J535" s="758" t="n">
        <v>307.673</v>
      </c>
      <c r="K535" s="758" t="n">
        <v>1.891201324952882</v>
      </c>
      <c r="L535" s="758" t="n">
        <v>306.153</v>
      </c>
      <c r="M535" s="758" t="n">
        <v>1.881858204126782</v>
      </c>
      <c r="N535" s="755" t="inlineStr"/>
      <c r="O535" s="291" t="n"/>
    </row>
    <row r="536" customFormat="1" s="147">
      <c r="A536" s="758" t="inlineStr">
        <is>
          <t>February 2015</t>
        </is>
      </c>
      <c r="B536" s="758" t="n">
        <v>834.7049999999999</v>
      </c>
      <c r="C536" s="758" t="n">
        <v>2.407016739061771</v>
      </c>
      <c r="D536" s="758" t="n">
        <v>883.9019999999999</v>
      </c>
      <c r="E536" s="758" t="n">
        <v>2.548884827202638</v>
      </c>
      <c r="F536" s="758" t="n">
        <v>534.308</v>
      </c>
      <c r="G536" s="758" t="n">
        <v>2.902375343813342</v>
      </c>
      <c r="H536" s="758" t="n">
        <v>574.505</v>
      </c>
      <c r="I536" s="758" t="n">
        <v>3.120726522712526</v>
      </c>
      <c r="J536" s="758" t="n">
        <v>300.397</v>
      </c>
      <c r="K536" s="758" t="n">
        <v>1.84647728078795</v>
      </c>
      <c r="L536" s="758" t="n">
        <v>309.3969999999999</v>
      </c>
      <c r="M536" s="758" t="n">
        <v>1.901798390942483</v>
      </c>
      <c r="N536" s="755" t="inlineStr">
        <is>
          <t>5 week month</t>
        </is>
      </c>
      <c r="O536" s="291" t="n"/>
    </row>
    <row r="537" customFormat="1" s="147">
      <c r="A537" s="758" t="inlineStr">
        <is>
          <t>March 2015</t>
        </is>
      </c>
      <c r="B537" s="758" t="n">
        <v>814.7910000000001</v>
      </c>
      <c r="C537" s="758" t="n">
        <v>2.349591263784068</v>
      </c>
      <c r="D537" s="758" t="n">
        <v>855.799</v>
      </c>
      <c r="E537" s="758" t="n">
        <v>2.467844949140505</v>
      </c>
      <c r="F537" s="758" t="n">
        <v>522.494</v>
      </c>
      <c r="G537" s="758" t="n">
        <v>2.838201379897753</v>
      </c>
      <c r="H537" s="758" t="n">
        <v>556.681</v>
      </c>
      <c r="I537" s="758" t="n">
        <v>3.023906078084841</v>
      </c>
      <c r="J537" s="758" t="n">
        <v>292.297</v>
      </c>
      <c r="K537" s="758" t="n">
        <v>1.796688281648869</v>
      </c>
      <c r="L537" s="758" t="n">
        <v>299.118</v>
      </c>
      <c r="M537" s="758" t="n">
        <v>1.838615536355988</v>
      </c>
      <c r="N537" s="755" t="inlineStr"/>
      <c r="O537" s="291" t="n"/>
    </row>
    <row r="538" customFormat="1" s="147">
      <c r="A538" s="758" t="inlineStr">
        <is>
          <t>April 2015</t>
        </is>
      </c>
      <c r="B538" s="758" t="n">
        <v>804.673</v>
      </c>
      <c r="C538" s="758" t="n">
        <v>2.320414254702024</v>
      </c>
      <c r="D538" s="758" t="n">
        <v>833.0129999999999</v>
      </c>
      <c r="E538" s="758" t="n">
        <v>2.402137563397924</v>
      </c>
      <c r="F538" s="758" t="n">
        <v>518.369</v>
      </c>
      <c r="G538" s="758" t="n">
        <v>2.81579426959203</v>
      </c>
      <c r="H538" s="758" t="n">
        <v>540.64</v>
      </c>
      <c r="I538" s="758" t="n">
        <v>2.936770937135969</v>
      </c>
      <c r="J538" s="758" t="n">
        <v>286.304</v>
      </c>
      <c r="K538" s="758" t="n">
        <v>1.759850569075966</v>
      </c>
      <c r="L538" s="758" t="n">
        <v>292.373</v>
      </c>
      <c r="M538" s="758" t="n">
        <v>1.797155437690174</v>
      </c>
      <c r="N538" s="755" t="inlineStr"/>
      <c r="O538" s="291" t="n"/>
    </row>
    <row r="539" customFormat="1" s="147">
      <c r="A539" s="758" t="inlineStr">
        <is>
          <t>May 2015</t>
        </is>
      </c>
      <c r="B539" s="758" t="n">
        <v>795.756</v>
      </c>
      <c r="C539" s="758" t="n">
        <v>2.294700537565774</v>
      </c>
      <c r="D539" s="758" t="n">
        <v>806.5729999999999</v>
      </c>
      <c r="E539" s="758" t="n">
        <v>2.325893234466393</v>
      </c>
      <c r="F539" s="758" t="n">
        <v>511.697</v>
      </c>
      <c r="G539" s="758" t="n">
        <v>2.779551787177538</v>
      </c>
      <c r="H539" s="758" t="n">
        <v>522.3149999999999</v>
      </c>
      <c r="I539" s="758" t="n">
        <v>2.837229047111153</v>
      </c>
      <c r="J539" s="758" t="n">
        <v>284.059</v>
      </c>
      <c r="K539" s="758" t="n">
        <v>1.746051025487419</v>
      </c>
      <c r="L539" s="758" t="n">
        <v>284.258</v>
      </c>
      <c r="M539" s="758" t="n">
        <v>1.747274236700836</v>
      </c>
      <c r="N539" s="755" t="inlineStr">
        <is>
          <t>5 week month</t>
        </is>
      </c>
      <c r="O539" s="291" t="n"/>
    </row>
    <row r="540" customFormat="1" s="147">
      <c r="A540" s="758" t="inlineStr">
        <is>
          <t>June 2015</t>
        </is>
      </c>
      <c r="B540" s="758" t="n">
        <v>794.683</v>
      </c>
      <c r="C540" s="758" t="n">
        <v>2.291606355835686</v>
      </c>
      <c r="D540" s="758" t="n">
        <v>783.557</v>
      </c>
      <c r="E540" s="758" t="n">
        <v>2.259522603804967</v>
      </c>
      <c r="F540" s="758" t="n">
        <v>511.855</v>
      </c>
      <c r="G540" s="758" t="n">
        <v>2.780410047402581</v>
      </c>
      <c r="H540" s="758" t="n">
        <v>505.6119999999999</v>
      </c>
      <c r="I540" s="758" t="n">
        <v>2.746497904459884</v>
      </c>
      <c r="J540" s="758" t="n">
        <v>282.828</v>
      </c>
      <c r="K540" s="758" t="n">
        <v>1.738484326976282</v>
      </c>
      <c r="L540" s="758" t="n">
        <v>277.9450000000001</v>
      </c>
      <c r="M540" s="758" t="n">
        <v>1.708469551322439</v>
      </c>
      <c r="N540" s="755" t="inlineStr"/>
      <c r="O540" s="291" t="n"/>
    </row>
    <row r="541" customFormat="1" s="147">
      <c r="A541" s="758" t="inlineStr">
        <is>
          <t>July 2015</t>
        </is>
      </c>
      <c r="B541" s="758" t="n">
        <v>790.9290000000001</v>
      </c>
      <c r="C541" s="758" t="n">
        <v>2.280781045290718</v>
      </c>
      <c r="D541" s="758" t="n">
        <v>784.975</v>
      </c>
      <c r="E541" s="758" t="n">
        <v>2.263611652913322</v>
      </c>
      <c r="F541" s="758" t="n">
        <v>510.189</v>
      </c>
      <c r="G541" s="758" t="n">
        <v>2.77136029085244</v>
      </c>
      <c r="H541" s="758" t="n">
        <v>501.611</v>
      </c>
      <c r="I541" s="758" t="n">
        <v>2.724764365470019</v>
      </c>
      <c r="J541" s="758" t="n">
        <v>280.7400000000001</v>
      </c>
      <c r="K541" s="758" t="n">
        <v>1.725649829420431</v>
      </c>
      <c r="L541" s="758" t="n">
        <v>283.364</v>
      </c>
      <c r="M541" s="758" t="n">
        <v>1.741779006425485</v>
      </c>
      <c r="N541" s="755" t="inlineStr"/>
      <c r="O541" s="291" t="n"/>
    </row>
    <row r="542" customFormat="1" s="147">
      <c r="A542" s="758" t="inlineStr">
        <is>
          <t>August 2015</t>
        </is>
      </c>
      <c r="B542" s="758" t="n">
        <v>785.2299999999999</v>
      </c>
      <c r="C542" s="758" t="n">
        <v>2.264346989671171</v>
      </c>
      <c r="D542" s="758" t="n">
        <v>783.6909999999999</v>
      </c>
      <c r="E542" s="758" t="n">
        <v>2.259909016062033</v>
      </c>
      <c r="F542" s="758" t="n">
        <v>506.8679999999999</v>
      </c>
      <c r="G542" s="758" t="n">
        <v>2.753320530046305</v>
      </c>
      <c r="H542" s="758" t="n">
        <v>496.4109999999999</v>
      </c>
      <c r="I542" s="758" t="n">
        <v>2.696517826417955</v>
      </c>
      <c r="J542" s="758" t="n">
        <v>278.362</v>
      </c>
      <c r="K542" s="758" t="n">
        <v>1.711032762759599</v>
      </c>
      <c r="L542" s="758" t="n">
        <v>287.28</v>
      </c>
      <c r="M542" s="758" t="n">
        <v>1.765849836132725</v>
      </c>
      <c r="N542" s="755" t="inlineStr">
        <is>
          <t>5 week month</t>
        </is>
      </c>
      <c r="O542" s="291" t="n"/>
    </row>
    <row r="543" customFormat="1" s="147">
      <c r="A543" s="758" t="inlineStr">
        <is>
          <t>September 2015</t>
        </is>
      </c>
      <c r="B543" s="758" t="n">
        <v>780.6089999999999</v>
      </c>
      <c r="C543" s="758" t="n">
        <v>2.251021534149515</v>
      </c>
      <c r="D543" s="758" t="n">
        <v>768.331</v>
      </c>
      <c r="E543" s="758" t="n">
        <v>2.215615790177452</v>
      </c>
      <c r="F543" s="758" t="n">
        <v>503.615</v>
      </c>
      <c r="G543" s="758" t="n">
        <v>2.735650147058544</v>
      </c>
      <c r="H543" s="758" t="n">
        <v>486.395</v>
      </c>
      <c r="I543" s="758" t="n">
        <v>2.642110646582291</v>
      </c>
      <c r="J543" s="758" t="n">
        <v>276.994</v>
      </c>
      <c r="K543" s="758" t="n">
        <v>1.70262395401611</v>
      </c>
      <c r="L543" s="758" t="n">
        <v>281.936</v>
      </c>
      <c r="M543" s="758" t="n">
        <v>1.733001390280966</v>
      </c>
      <c r="N543" s="755" t="inlineStr"/>
      <c r="O543" s="291" t="n"/>
    </row>
    <row r="544" customFormat="1" s="147">
      <c r="A544" s="758" t="inlineStr">
        <is>
          <t>October 2015</t>
        </is>
      </c>
      <c r="B544" s="758" t="n">
        <v>776.9300000000001</v>
      </c>
      <c r="C544" s="758" t="n">
        <v>2.240412499121561</v>
      </c>
      <c r="D544" s="758" t="n">
        <v>756.5219999999999</v>
      </c>
      <c r="E544" s="758" t="n">
        <v>2.18156248910512</v>
      </c>
      <c r="F544" s="758" t="n">
        <v>500.715</v>
      </c>
      <c r="G544" s="758" t="n">
        <v>2.719897269510279</v>
      </c>
      <c r="H544" s="758" t="n">
        <v>480.439</v>
      </c>
      <c r="I544" s="758" t="n">
        <v>2.609757495314198</v>
      </c>
      <c r="J544" s="758" t="n">
        <v>276.215</v>
      </c>
      <c r="K544" s="758" t="n">
        <v>1.697835604592734</v>
      </c>
      <c r="L544" s="758" t="n">
        <v>276.083</v>
      </c>
      <c r="M544" s="758" t="n">
        <v>1.697024228310467</v>
      </c>
      <c r="N544" s="755" t="inlineStr"/>
      <c r="O544" s="291" t="n"/>
    </row>
    <row r="545" customFormat="1" s="147">
      <c r="A545" s="758" t="inlineStr">
        <is>
          <t>November 2015</t>
        </is>
      </c>
      <c r="B545" s="758" t="n">
        <v>771.5119999999999</v>
      </c>
      <c r="C545" s="758" t="n">
        <v>2.224788755772429</v>
      </c>
      <c r="D545" s="758" t="n">
        <v>737.885</v>
      </c>
      <c r="E545" s="758" t="n">
        <v>2.127819464963784</v>
      </c>
      <c r="F545" s="758" t="n">
        <v>496.76</v>
      </c>
      <c r="G545" s="758" t="n">
        <v>2.698413603750489</v>
      </c>
      <c r="H545" s="758" t="n">
        <v>472.0699999999999</v>
      </c>
      <c r="I545" s="758" t="n">
        <v>2.5642968635206</v>
      </c>
      <c r="J545" s="758" t="n">
        <v>274.752</v>
      </c>
      <c r="K545" s="758" t="n">
        <v>1.688842850797614</v>
      </c>
      <c r="L545" s="758" t="n">
        <v>265.815</v>
      </c>
      <c r="M545" s="758" t="n">
        <v>1.633908988414162</v>
      </c>
      <c r="N545" s="755" t="inlineStr">
        <is>
          <t>5 week month</t>
        </is>
      </c>
      <c r="O545" s="291" t="n"/>
    </row>
    <row r="546" customFormat="1" s="147">
      <c r="A546" s="758" t="inlineStr">
        <is>
          <t>December 2015</t>
        </is>
      </c>
      <c r="B546" s="758" t="n">
        <v>769.6279999999999</v>
      </c>
      <c r="C546" s="758" t="n">
        <v>2.219355914785024</v>
      </c>
      <c r="D546" s="758" t="n">
        <v>733.8309999999999</v>
      </c>
      <c r="E546" s="758" t="n">
        <v>2.116129052350757</v>
      </c>
      <c r="F546" s="758" t="n">
        <v>494.097</v>
      </c>
      <c r="G546" s="758" t="n">
        <v>2.683948116539788</v>
      </c>
      <c r="H546" s="758" t="n">
        <v>472.667</v>
      </c>
      <c r="I546" s="758" t="n">
        <v>2.567539783484846</v>
      </c>
      <c r="J546" s="758" t="n">
        <v>275.531</v>
      </c>
      <c r="K546" s="758" t="n">
        <v>1.693631200220989</v>
      </c>
      <c r="L546" s="758" t="n">
        <v>261.164</v>
      </c>
      <c r="M546" s="758" t="n">
        <v>1.605320268044302</v>
      </c>
      <c r="N546" s="755" t="inlineStr"/>
      <c r="O546" s="291" t="n"/>
    </row>
    <row r="547" customFormat="1" s="147">
      <c r="A547" s="758" t="inlineStr">
        <is>
          <t>January 2016</t>
        </is>
      </c>
      <c r="B547" s="758" t="n">
        <v>764.8309999999999</v>
      </c>
      <c r="C547" s="758" t="n">
        <v>2.164909362530798</v>
      </c>
      <c r="D547" s="758" t="n">
        <v>772.1179999999999</v>
      </c>
      <c r="E547" s="758" t="n">
        <v>2.185535742116304</v>
      </c>
      <c r="F547" s="758" t="n">
        <v>489.523</v>
      </c>
      <c r="G547" s="758" t="n">
        <v>2.629044153997497</v>
      </c>
      <c r="H547" s="758" t="n">
        <v>499.816</v>
      </c>
      <c r="I547" s="758" t="n">
        <v>2.684323990648884</v>
      </c>
      <c r="J547" s="758" t="n">
        <v>275.3079999999999</v>
      </c>
      <c r="K547" s="758" t="n">
        <v>1.647688870798553</v>
      </c>
      <c r="L547" s="758" t="n">
        <v>272.302</v>
      </c>
      <c r="M547" s="758" t="n">
        <v>1.629698283000085</v>
      </c>
      <c r="N547" s="755" t="inlineStr">
        <is>
          <t>5 week month</t>
        </is>
      </c>
      <c r="O547" s="291" t="n"/>
    </row>
    <row r="548" customFormat="1" s="147">
      <c r="A548" s="758" t="inlineStr">
        <is>
          <t>February 2016</t>
        </is>
      </c>
      <c r="B548" s="758" t="n">
        <v>758.4640000000001</v>
      </c>
      <c r="C548" s="758" t="n">
        <v>2.146887109364761</v>
      </c>
      <c r="D548" s="758" t="n">
        <v>799.995</v>
      </c>
      <c r="E548" s="758" t="n">
        <v>2.264443603198388</v>
      </c>
      <c r="F548" s="758" t="n">
        <v>484.9830000000001</v>
      </c>
      <c r="G548" s="758" t="n">
        <v>2.604661519352857</v>
      </c>
      <c r="H548" s="758" t="n">
        <v>518.653</v>
      </c>
      <c r="I548" s="758" t="n">
        <v>2.78549044192666</v>
      </c>
      <c r="J548" s="758" t="n">
        <v>273.481</v>
      </c>
      <c r="K548" s="758" t="n">
        <v>1.636754471627628</v>
      </c>
      <c r="L548" s="758" t="n">
        <v>281.342</v>
      </c>
      <c r="M548" s="758" t="n">
        <v>1.683801714037392</v>
      </c>
      <c r="N548" s="755" t="inlineStr"/>
      <c r="O548" s="291" t="n"/>
    </row>
    <row r="549">
      <c r="A549" s="776" t="inlineStr">
        <is>
          <t>March 2016</t>
        </is>
      </c>
      <c r="B549" s="1100" t="n">
        <v>766.454</v>
      </c>
      <c r="C549" s="1100" t="n">
        <v>2.169503381203404</v>
      </c>
      <c r="D549" s="1100" t="n">
        <v>804.436</v>
      </c>
      <c r="E549" s="1100" t="n">
        <v>2.277014174316712</v>
      </c>
      <c r="F549" s="1100" t="n">
        <v>490.895</v>
      </c>
      <c r="G549" s="1100" t="n">
        <v>2.636412650634601</v>
      </c>
      <c r="H549" s="1100" t="n">
        <v>521.725</v>
      </c>
      <c r="I549" s="1100" t="n">
        <v>2.801988999994576</v>
      </c>
      <c r="J549" s="1100" t="n">
        <v>275.559</v>
      </c>
      <c r="K549" s="1100" t="n">
        <v>1.649191078894832</v>
      </c>
      <c r="L549" s="1100" t="n">
        <v>282.711</v>
      </c>
      <c r="M549" s="1100" t="n">
        <v>1.691995032299569</v>
      </c>
      <c r="N549" s="755" t="inlineStr"/>
      <c r="O549" s="275" t="n"/>
    </row>
    <row r="550">
      <c r="A550" s="776" t="inlineStr">
        <is>
          <t>April 2016</t>
        </is>
      </c>
      <c r="B550" s="1100" t="n">
        <v>765.1480000000001</v>
      </c>
      <c r="C550" s="1100" t="n">
        <v>2.165806653916638</v>
      </c>
      <c r="D550" s="1100" t="n">
        <v>792.798</v>
      </c>
      <c r="E550" s="1100" t="n">
        <v>2.244071975110439</v>
      </c>
      <c r="F550" s="1100" t="n">
        <v>489.7230000000001</v>
      </c>
      <c r="G550" s="1100" t="n">
        <v>2.630118278871711</v>
      </c>
      <c r="H550" s="1100" t="n">
        <v>512.107</v>
      </c>
      <c r="I550" s="1100" t="n">
        <v>2.75033433479366</v>
      </c>
      <c r="J550" s="1100" t="n">
        <v>275.425</v>
      </c>
      <c r="K550" s="1100" t="n">
        <v>1.648389103257775</v>
      </c>
      <c r="L550" s="1100" t="n">
        <v>280.691</v>
      </c>
      <c r="M550" s="1100" t="n">
        <v>1.679905548815569</v>
      </c>
      <c r="N550" s="755" t="inlineStr">
        <is>
          <t>5 week month</t>
        </is>
      </c>
      <c r="O550" s="275" t="n"/>
    </row>
    <row r="551">
      <c r="A551" s="776" t="inlineStr">
        <is>
          <t>May 2016</t>
        </is>
      </c>
      <c r="B551" s="1100" t="n">
        <v>767.2849999999999</v>
      </c>
      <c r="C551" s="1100" t="n">
        <v>2.171855586697511</v>
      </c>
      <c r="D551" s="1100" t="n">
        <v>780.2470000000001</v>
      </c>
      <c r="E551" s="1100" t="n">
        <v>2.208545463490063</v>
      </c>
      <c r="F551" s="1100" t="n">
        <v>492.0719999999999</v>
      </c>
      <c r="G551" s="1100" t="n">
        <v>2.642733875519346</v>
      </c>
      <c r="H551" s="1100" t="n">
        <v>503.266</v>
      </c>
      <c r="I551" s="1100" t="n">
        <v>2.702852644729062</v>
      </c>
      <c r="J551" s="1100" t="n">
        <v>275.213</v>
      </c>
      <c r="K551" s="1100" t="n">
        <v>1.647120305981236</v>
      </c>
      <c r="L551" s="1100" t="n">
        <v>276.9810000000001</v>
      </c>
      <c r="M551" s="1100" t="n">
        <v>1.657701596476143</v>
      </c>
      <c r="N551" s="755" t="inlineStr"/>
      <c r="O551" s="275" t="n"/>
    </row>
    <row r="552">
      <c r="A552" s="776" t="inlineStr">
        <is>
          <t>June 2016</t>
        </is>
      </c>
      <c r="B552" s="1100" t="n">
        <v>772.423</v>
      </c>
      <c r="C552" s="1100" t="n">
        <v>2.186399066635802</v>
      </c>
      <c r="D552" s="1100" t="n">
        <v>767.3819999999999</v>
      </c>
      <c r="E552" s="1100" t="n">
        <v>2.172130152200433</v>
      </c>
      <c r="F552" s="1100" t="n">
        <v>495.144</v>
      </c>
      <c r="G552" s="1100" t="n">
        <v>2.659232433587262</v>
      </c>
      <c r="H552" s="1100" t="n">
        <v>492.997</v>
      </c>
      <c r="I552" s="1100" t="n">
        <v>2.647701703062582</v>
      </c>
      <c r="J552" s="1100" t="n">
        <v>277.279</v>
      </c>
      <c r="K552" s="1100" t="n">
        <v>1.659485094534674</v>
      </c>
      <c r="L552" s="1100" t="n">
        <v>274.385</v>
      </c>
      <c r="M552" s="1100" t="n">
        <v>1.642164814731359</v>
      </c>
      <c r="N552" s="755" t="inlineStr"/>
      <c r="O552" s="275" t="n"/>
    </row>
    <row r="553">
      <c r="A553" s="776" t="inlineStr">
        <is>
          <t>July 2016</t>
        </is>
      </c>
      <c r="B553" s="1100" t="n">
        <v>772.076</v>
      </c>
      <c r="C553" s="1100" t="n">
        <v>2.185416858084111</v>
      </c>
      <c r="D553" s="1100" t="n">
        <v>766.1569999999999</v>
      </c>
      <c r="E553" s="1100" t="n">
        <v>2.168662701261467</v>
      </c>
      <c r="F553" s="1100" t="n">
        <v>494.4160000000001</v>
      </c>
      <c r="G553" s="1100" t="n">
        <v>2.655322619045126</v>
      </c>
      <c r="H553" s="1100" t="n">
        <v>486.859</v>
      </c>
      <c r="I553" s="1100" t="n">
        <v>2.614736810672977</v>
      </c>
      <c r="J553" s="1100" t="n">
        <v>277.66</v>
      </c>
      <c r="K553" s="1100" t="n">
        <v>1.661765338696754</v>
      </c>
      <c r="L553" s="1100" t="n">
        <v>279.2979999999999</v>
      </c>
      <c r="M553" s="1100" t="n">
        <v>1.671568593125859</v>
      </c>
      <c r="N553" s="755" t="inlineStr">
        <is>
          <t>5 week month</t>
        </is>
      </c>
      <c r="O553" s="275" t="n"/>
    </row>
    <row r="554">
      <c r="A554" s="776" t="inlineStr">
        <is>
          <t>August 2016</t>
        </is>
      </c>
      <c r="B554" s="1100" t="n">
        <v>776.7209999999999</v>
      </c>
      <c r="C554" s="1100" t="n">
        <v>2.198564865930231</v>
      </c>
      <c r="D554" s="1100" t="n">
        <v>773.514</v>
      </c>
      <c r="E554" s="1100" t="n">
        <v>2.189487220900628</v>
      </c>
      <c r="F554" s="1100" t="n">
        <v>496.836</v>
      </c>
      <c r="G554" s="1100" t="n">
        <v>2.668319530023106</v>
      </c>
      <c r="H554" s="1100" t="n">
        <v>487.465</v>
      </c>
      <c r="I554" s="1100" t="n">
        <v>2.617991409041843</v>
      </c>
      <c r="J554" s="1100" t="n">
        <v>279.8849999999999</v>
      </c>
      <c r="K554" s="1100" t="n">
        <v>1.675081725207596</v>
      </c>
      <c r="L554" s="1100" t="n">
        <v>286.049</v>
      </c>
      <c r="M554" s="1100" t="n">
        <v>1.711972604512238</v>
      </c>
      <c r="N554" s="755" t="inlineStr"/>
      <c r="O554" s="275" t="n"/>
    </row>
    <row r="555">
      <c r="A555" s="776" t="inlineStr">
        <is>
          <t>September 2016</t>
        </is>
      </c>
      <c r="B555" s="1100" t="n">
        <v>779.633</v>
      </c>
      <c r="C555" s="1100" t="n">
        <v>2.206807492162287</v>
      </c>
      <c r="D555" s="1100" t="n">
        <v>767.261</v>
      </c>
      <c r="E555" s="1100" t="n">
        <v>2.171787652964829</v>
      </c>
      <c r="F555" s="1100" t="n">
        <v>497.668</v>
      </c>
      <c r="G555" s="1100" t="n">
        <v>2.672787889499833</v>
      </c>
      <c r="H555" s="1100" t="n">
        <v>482.323</v>
      </c>
      <c r="I555" s="1100" t="n">
        <v>2.590375658525821</v>
      </c>
      <c r="J555" s="1100" t="n">
        <v>281.965</v>
      </c>
      <c r="K555" s="1100" t="n">
        <v>1.687530302260428</v>
      </c>
      <c r="L555" s="1100" t="n">
        <v>284.938</v>
      </c>
      <c r="M555" s="1100" t="n">
        <v>1.705323388596038</v>
      </c>
      <c r="N555" s="755" t="inlineStr"/>
      <c r="O555" s="275" t="n"/>
    </row>
    <row r="556">
      <c r="A556" s="776" t="inlineStr">
        <is>
          <t>October 2016</t>
        </is>
      </c>
      <c r="B556" s="1100" t="n">
        <v>783.029</v>
      </c>
      <c r="C556" s="1100" t="n">
        <v>2.216420115336759</v>
      </c>
      <c r="D556" s="1100" t="n">
        <v>763.365</v>
      </c>
      <c r="E556" s="1100" t="n">
        <v>2.16075974369282</v>
      </c>
      <c r="F556" s="1100" t="n">
        <v>498.627</v>
      </c>
      <c r="G556" s="1100" t="n">
        <v>2.677938318271686</v>
      </c>
      <c r="H556" s="1100" t="n">
        <v>479.9370000000001</v>
      </c>
      <c r="I556" s="1100" t="n">
        <v>2.577561348776457</v>
      </c>
      <c r="J556" s="1100" t="n">
        <v>284.402</v>
      </c>
      <c r="K556" s="1100" t="n">
        <v>1.702115486047808</v>
      </c>
      <c r="L556" s="1100" t="n">
        <v>283.4279999999999</v>
      </c>
      <c r="M556" s="1100" t="n">
        <v>1.696286200447107</v>
      </c>
      <c r="N556" s="755" t="inlineStr">
        <is>
          <t>5 week month</t>
        </is>
      </c>
      <c r="O556" s="275" t="n"/>
    </row>
    <row r="557">
      <c r="A557" s="776" t="inlineStr">
        <is>
          <t>November 2016</t>
        </is>
      </c>
      <c r="B557" s="1100" t="n">
        <v>787.2470000000001</v>
      </c>
      <c r="C557" s="1100" t="n">
        <v>2.228359468855583</v>
      </c>
      <c r="D557" s="1100" t="n">
        <v>755.5749999999999</v>
      </c>
      <c r="E557" s="1100" t="n">
        <v>2.138709586293191</v>
      </c>
      <c r="F557" s="1100" t="n">
        <v>499.755</v>
      </c>
      <c r="G557" s="1100" t="n">
        <v>2.683996382562249</v>
      </c>
      <c r="H557" s="1100" t="n">
        <v>476.607</v>
      </c>
      <c r="I557" s="1100" t="n">
        <v>2.559677169620805</v>
      </c>
      <c r="J557" s="1100" t="n">
        <v>287.492</v>
      </c>
      <c r="K557" s="1100" t="n">
        <v>1.72060880484264</v>
      </c>
      <c r="L557" s="1100" t="n">
        <v>278.968</v>
      </c>
      <c r="M557" s="1100" t="n">
        <v>1.669593578497285</v>
      </c>
      <c r="N557" s="755" t="inlineStr"/>
      <c r="O557" s="275" t="n"/>
    </row>
    <row r="558">
      <c r="A558" s="776" t="inlineStr">
        <is>
          <t>December 2016</t>
        </is>
      </c>
      <c r="B558" s="1100" t="n">
        <v>780.5020000000002</v>
      </c>
      <c r="C558" s="1100" t="n">
        <v>2.209267259399808</v>
      </c>
      <c r="D558" s="1100" t="n">
        <v>747.5129999999999</v>
      </c>
      <c r="E558" s="1100" t="n">
        <v>2.115889513256503</v>
      </c>
      <c r="F558" s="1100" t="n">
        <v>493.5310000000001</v>
      </c>
      <c r="G558" s="1100" t="n">
        <v>2.650569616476732</v>
      </c>
      <c r="H558" s="1100" t="n">
        <v>473.2669999999999</v>
      </c>
      <c r="I558" s="1100" t="n">
        <v>2.541739284221444</v>
      </c>
      <c r="J558" s="1100" t="n">
        <v>286.971</v>
      </c>
      <c r="K558" s="1100" t="n">
        <v>1.717490675686618</v>
      </c>
      <c r="L558" s="1100" t="n">
        <v>274.246</v>
      </c>
      <c r="M558" s="1100" t="n">
        <v>1.641332914630232</v>
      </c>
      <c r="N558" s="755" t="inlineStr"/>
      <c r="O558" s="275" t="n"/>
    </row>
    <row r="559">
      <c r="A559" s="776" t="inlineStr">
        <is>
          <t>January 2017</t>
        </is>
      </c>
      <c r="B559" s="1100" t="n">
        <v>772.303</v>
      </c>
      <c r="C559" s="1100" t="n">
        <v>2.165929828969893</v>
      </c>
      <c r="D559" s="1100" t="n">
        <v>768.9479999999999</v>
      </c>
      <c r="E559" s="1100" t="n">
        <v>2.156520705120582</v>
      </c>
      <c r="F559" s="1100" t="n">
        <v>487.56</v>
      </c>
      <c r="G559" s="1100" t="n">
        <v>2.593426189083195</v>
      </c>
      <c r="H559" s="1100" t="n">
        <v>489.0959999999999</v>
      </c>
      <c r="I559" s="1100" t="n">
        <v>2.601596470948876</v>
      </c>
      <c r="J559" s="1100" t="n">
        <v>284.743</v>
      </c>
      <c r="K559" s="1100" t="n">
        <v>1.68916379679729</v>
      </c>
      <c r="L559" s="1100" t="n">
        <v>279.852</v>
      </c>
      <c r="M559" s="1100" t="n">
        <v>1.660149211258276</v>
      </c>
      <c r="N559" s="755" t="inlineStr">
        <is>
          <t>5 week month</t>
        </is>
      </c>
      <c r="O559" s="275" t="n"/>
    </row>
    <row r="560">
      <c r="A560" s="776" t="inlineStr">
        <is>
          <t>February 2017</t>
        </is>
      </c>
      <c r="B560" s="1100" t="n">
        <v>768.3300000000002</v>
      </c>
      <c r="C560" s="1100" t="n">
        <v>2.154787519266969</v>
      </c>
      <c r="D560" s="1100" t="n">
        <v>798.2090000000001</v>
      </c>
      <c r="E560" s="1100" t="n">
        <v>2.23858340942898</v>
      </c>
      <c r="F560" s="1100" t="n">
        <v>484.1050000000001</v>
      </c>
      <c r="G560" s="1100" t="n">
        <v>2.575048374079334</v>
      </c>
      <c r="H560" s="1100" t="n">
        <v>508.276</v>
      </c>
      <c r="I560" s="1100" t="n">
        <v>2.703618610391439</v>
      </c>
      <c r="J560" s="1100" t="n">
        <v>284.225</v>
      </c>
      <c r="K560" s="1100" t="n">
        <v>1.686090896509167</v>
      </c>
      <c r="L560" s="1100" t="n">
        <v>289.933</v>
      </c>
      <c r="M560" s="1100" t="n">
        <v>1.719952122077905</v>
      </c>
      <c r="N560" s="755" t="inlineStr"/>
      <c r="O560" s="275" t="n"/>
    </row>
    <row r="561">
      <c r="A561" s="776" t="inlineStr">
        <is>
          <t>March 2017</t>
        </is>
      </c>
      <c r="B561" s="1100" t="n">
        <v>782.8149999999999</v>
      </c>
      <c r="C561" s="1100" t="n">
        <v>2.195410815528448</v>
      </c>
      <c r="D561" s="1100" t="n">
        <v>815.8309999999999</v>
      </c>
      <c r="E561" s="1100" t="n">
        <v>2.288004446827653</v>
      </c>
      <c r="F561" s="1100" t="n">
        <v>492.9589999999999</v>
      </c>
      <c r="G561" s="1100" t="n">
        <v>2.622144517073309</v>
      </c>
      <c r="H561" s="1100" t="n">
        <v>519.702</v>
      </c>
      <c r="I561" s="1100" t="n">
        <v>2.764395720155293</v>
      </c>
      <c r="J561" s="1100" t="n">
        <v>289.856</v>
      </c>
      <c r="K561" s="1100" t="n">
        <v>1.719495339602643</v>
      </c>
      <c r="L561" s="1100" t="n">
        <v>296.129</v>
      </c>
      <c r="M561" s="1100" t="n">
        <v>1.756708280736611</v>
      </c>
      <c r="N561" s="755" t="inlineStr"/>
    </row>
    <row r="562">
      <c r="A562" s="776" t="inlineStr">
        <is>
          <t>April 2017</t>
        </is>
      </c>
      <c r="B562" s="1100" t="n">
        <v>791.7430000000002</v>
      </c>
      <c r="C562" s="1100" t="n">
        <v>2.220449461646673</v>
      </c>
      <c r="D562" s="1100" t="n">
        <v>820.107</v>
      </c>
      <c r="E562" s="1100" t="n">
        <v>2.299996522410261</v>
      </c>
      <c r="F562" s="1100" t="n">
        <v>497.104</v>
      </c>
      <c r="G562" s="1100" t="n">
        <v>2.64419257588402</v>
      </c>
      <c r="H562" s="1100" t="n">
        <v>519.194</v>
      </c>
      <c r="I562" s="1100" t="n">
        <v>2.761693569642424</v>
      </c>
      <c r="J562" s="1100" t="n">
        <v>294.6390000000001</v>
      </c>
      <c r="K562" s="1100" t="n">
        <v>1.747869243228304</v>
      </c>
      <c r="L562" s="1100" t="n">
        <v>300.9130000000001</v>
      </c>
      <c r="M562" s="1100" t="n">
        <v>1.78508811660221</v>
      </c>
      <c r="N562" s="755" t="inlineStr">
        <is>
          <t>5 week month</t>
        </is>
      </c>
    </row>
    <row r="563">
      <c r="A563" s="776" t="inlineStr">
        <is>
          <t>May 2017</t>
        </is>
      </c>
      <c r="B563" s="1100" t="n">
        <v>795.184</v>
      </c>
      <c r="C563" s="1100" t="n">
        <v>2.230099773171405</v>
      </c>
      <c r="D563" s="1100" t="n">
        <v>809.971</v>
      </c>
      <c r="E563" s="1100" t="n">
        <v>2.271570030804714</v>
      </c>
      <c r="F563" s="1100" t="n">
        <v>496.609</v>
      </c>
      <c r="G563" s="1100" t="n">
        <v>2.641559574892149</v>
      </c>
      <c r="H563" s="1100" t="n">
        <v>509.6109999999999</v>
      </c>
      <c r="I563" s="1100" t="n">
        <v>2.710719734278603</v>
      </c>
      <c r="J563" s="1100" t="n">
        <v>298.575</v>
      </c>
      <c r="K563" s="1100" t="n">
        <v>1.771218539626087</v>
      </c>
      <c r="L563" s="1100" t="n">
        <v>300.3600000000001</v>
      </c>
      <c r="M563" s="1100" t="n">
        <v>1.781807587916241</v>
      </c>
      <c r="N563" s="755" t="inlineStr"/>
    </row>
    <row r="564">
      <c r="A564" s="776" t="inlineStr">
        <is>
          <t>June 2017</t>
        </is>
      </c>
      <c r="B564" s="1100" t="n">
        <v>796.9970000000001</v>
      </c>
      <c r="C564" s="1100" t="n">
        <v>2.235184345910243</v>
      </c>
      <c r="D564" s="1100" t="n">
        <v>799.2439999999999</v>
      </c>
      <c r="E564" s="1100" t="n">
        <v>2.241486075057604</v>
      </c>
      <c r="F564" s="1100" t="n">
        <v>497.5600000000001</v>
      </c>
      <c r="G564" s="1100" t="n">
        <v>2.646618128312894</v>
      </c>
      <c r="H564" s="1100" t="n">
        <v>500.739</v>
      </c>
      <c r="I564" s="1100" t="n">
        <v>2.663527845794015</v>
      </c>
      <c r="J564" s="1100" t="n">
        <v>299.437</v>
      </c>
      <c r="K564" s="1100" t="n">
        <v>1.776332130453041</v>
      </c>
      <c r="L564" s="1100" t="n">
        <v>298.505</v>
      </c>
      <c r="M564" s="1100" t="n">
        <v>1.770803282830395</v>
      </c>
      <c r="N564" s="755" t="inlineStr"/>
    </row>
    <row r="565">
      <c r="A565" s="776" t="inlineStr">
        <is>
          <t>July 2017</t>
        </is>
      </c>
      <c r="B565" s="1100" t="n">
        <v>797.325</v>
      </c>
      <c r="C565" s="1100" t="n">
        <v>2.236104224486271</v>
      </c>
      <c r="D565" s="1100" t="n">
        <v>794.9710000000001</v>
      </c>
      <c r="E565" s="1100" t="n">
        <v>2.229502412998558</v>
      </c>
      <c r="F565" s="1100" t="n">
        <v>496.821</v>
      </c>
      <c r="G565" s="1100" t="n">
        <v>2.642687244003818</v>
      </c>
      <c r="H565" s="1100" t="n">
        <v>493.0400000000001</v>
      </c>
      <c r="I565" s="1100" t="n">
        <v>2.62257537178107</v>
      </c>
      <c r="J565" s="1100" t="n">
        <v>300.504</v>
      </c>
      <c r="K565" s="1100" t="n">
        <v>1.782661830467379</v>
      </c>
      <c r="L565" s="1100" t="n">
        <v>301.931</v>
      </c>
      <c r="M565" s="1100" t="n">
        <v>1.791127136859564</v>
      </c>
      <c r="N565" s="755" t="inlineStr">
        <is>
          <t>5 week month</t>
        </is>
      </c>
    </row>
    <row r="566">
      <c r="A566" s="776" t="inlineStr">
        <is>
          <t>August 2017</t>
        </is>
      </c>
      <c r="B566" s="1100" t="n">
        <v>797.694</v>
      </c>
      <c r="C566" s="1100" t="n">
        <v>2.237139087884302</v>
      </c>
      <c r="D566" s="1100" t="n">
        <v>797.5899999999999</v>
      </c>
      <c r="E566" s="1100" t="n">
        <v>2.236847419067512</v>
      </c>
      <c r="F566" s="1100" t="n">
        <v>496.901</v>
      </c>
      <c r="G566" s="1100" t="n">
        <v>2.643112779517656</v>
      </c>
      <c r="H566" s="1100" t="n">
        <v>491.447</v>
      </c>
      <c r="I566" s="1100" t="n">
        <v>2.614101895861779</v>
      </c>
      <c r="J566" s="1100" t="n">
        <v>300.793</v>
      </c>
      <c r="K566" s="1100" t="n">
        <v>1.784376247809594</v>
      </c>
      <c r="L566" s="1100" t="n">
        <v>306.143</v>
      </c>
      <c r="M566" s="1100" t="n">
        <v>1.816113731480363</v>
      </c>
      <c r="N566" s="755" t="inlineStr"/>
    </row>
    <row r="567">
      <c r="A567" s="776" t="inlineStr">
        <is>
          <t>September 2017</t>
        </is>
      </c>
      <c r="B567" s="1100" t="n">
        <v>800.5409999999999</v>
      </c>
      <c r="C567" s="1100" t="n">
        <v>2.24512352174391</v>
      </c>
      <c r="D567" s="1100" t="n">
        <v>790.7460000000001</v>
      </c>
      <c r="E567" s="1100" t="n">
        <v>2.21765336731649</v>
      </c>
      <c r="F567" s="1100" t="n">
        <v>497.7579999999999</v>
      </c>
      <c r="G567" s="1100" t="n">
        <v>2.647671328709642</v>
      </c>
      <c r="H567" s="1100" t="n">
        <v>485.2190000000001</v>
      </c>
      <c r="I567" s="1100" t="n">
        <v>2.580973956109523</v>
      </c>
      <c r="J567" s="1100" t="n">
        <v>302.783</v>
      </c>
      <c r="K567" s="1100" t="n">
        <v>1.796181405287133</v>
      </c>
      <c r="L567" s="1100" t="n">
        <v>305.527</v>
      </c>
      <c r="M567" s="1100" t="n">
        <v>1.81245947167827</v>
      </c>
      <c r="N567" s="755" t="inlineStr">
        <is>
          <t>5 week month</t>
        </is>
      </c>
    </row>
    <row r="568">
      <c r="A568" s="776" t="inlineStr">
        <is>
          <t>October 2017</t>
        </is>
      </c>
      <c r="B568" s="1100" t="n">
        <v>804.0769999999999</v>
      </c>
      <c r="C568" s="1100" t="n">
        <v>2.255040261514748</v>
      </c>
      <c r="D568" s="1100" t="n">
        <v>786.51</v>
      </c>
      <c r="E568" s="1100" t="n">
        <v>2.205773472048031</v>
      </c>
      <c r="F568" s="1100" t="n">
        <v>498.9769999999999</v>
      </c>
      <c r="G568" s="1100" t="n">
        <v>2.654155426101742</v>
      </c>
      <c r="H568" s="1100" t="n">
        <v>481.753</v>
      </c>
      <c r="I568" s="1100" t="n">
        <v>2.562537629972509</v>
      </c>
      <c r="J568" s="1100" t="n">
        <v>305.1</v>
      </c>
      <c r="K568" s="1100" t="n">
        <v>1.809926405224547</v>
      </c>
      <c r="L568" s="1100" t="n">
        <v>304.757</v>
      </c>
      <c r="M568" s="1100" t="n">
        <v>1.807891646925655</v>
      </c>
      <c r="N568" s="755" t="inlineStr"/>
    </row>
    <row r="569">
      <c r="A569" s="776" t="inlineStr">
        <is>
          <t>November 2017</t>
        </is>
      </c>
      <c r="B569" s="1100" t="n">
        <v>811.4640000000001</v>
      </c>
      <c r="C569" s="1100" t="n">
        <v>2.275757161030354</v>
      </c>
      <c r="D569" s="1100" t="n">
        <v>783.8480000000002</v>
      </c>
      <c r="E569" s="1100" t="n">
        <v>2.198307872141366</v>
      </c>
      <c r="F569" s="1100" t="n">
        <v>502.388</v>
      </c>
      <c r="G569" s="1100" t="n">
        <v>2.672299196572992</v>
      </c>
      <c r="H569" s="1100" t="n">
        <v>480.7760000000001</v>
      </c>
      <c r="I569" s="1100" t="n">
        <v>2.557340777509768</v>
      </c>
      <c r="J569" s="1100" t="n">
        <v>309.076</v>
      </c>
      <c r="K569" s="1100" t="n">
        <v>1.83351299121987</v>
      </c>
      <c r="L569" s="1100" t="n">
        <v>303.0720000000001</v>
      </c>
      <c r="M569" s="1100" t="n">
        <v>1.797895822629348</v>
      </c>
      <c r="N569" s="755" t="inlineStr"/>
    </row>
    <row r="570">
      <c r="A570" s="776" t="inlineStr">
        <is>
          <t>December 2017</t>
        </is>
      </c>
      <c r="B570" s="1100" t="n">
        <v>823.9760000000001</v>
      </c>
      <c r="C570" s="1100" t="n">
        <v>2.310847163296396</v>
      </c>
      <c r="D570" s="1100" t="n">
        <v>793.657</v>
      </c>
      <c r="E570" s="1100" t="n">
        <v>2.225817289678738</v>
      </c>
      <c r="F570" s="1100" t="n">
        <v>508.682</v>
      </c>
      <c r="G570" s="1100" t="n">
        <v>2.705778203124165</v>
      </c>
      <c r="H570" s="1100" t="n">
        <v>488.684</v>
      </c>
      <c r="I570" s="1100" t="n">
        <v>2.599404963052613</v>
      </c>
      <c r="J570" s="1100" t="n">
        <v>315.294</v>
      </c>
      <c r="K570" s="1100" t="n">
        <v>1.870399659157223</v>
      </c>
      <c r="L570" s="1100" t="n">
        <v>304.9730000000001</v>
      </c>
      <c r="M570" s="1100" t="n">
        <v>1.809173010752363</v>
      </c>
      <c r="N570" s="755" t="inlineStr">
        <is>
          <t>5 week month</t>
        </is>
      </c>
    </row>
    <row r="571">
      <c r="A571" s="776" t="inlineStr">
        <is>
          <t>January 2018</t>
        </is>
      </c>
      <c r="B571" s="1100" t="n">
        <v>832.857</v>
      </c>
      <c r="C571" s="1100" t="n">
        <v>2.321920172394677</v>
      </c>
      <c r="D571" s="1100" t="n">
        <v>821.558</v>
      </c>
      <c r="E571" s="1100" t="n">
        <v>2.290419715500051</v>
      </c>
      <c r="F571" s="1100" t="n">
        <v>511.926</v>
      </c>
      <c r="G571" s="1100" t="n">
        <v>2.702246746779454</v>
      </c>
      <c r="H571" s="1100" t="n">
        <v>507.2880000000001</v>
      </c>
      <c r="I571" s="1100" t="n">
        <v>2.677764652860483</v>
      </c>
      <c r="J571" s="1100" t="n">
        <v>320.931</v>
      </c>
      <c r="K571" s="1100" t="n">
        <v>1.896210326783738</v>
      </c>
      <c r="L571" s="1100" t="n">
        <v>314.27</v>
      </c>
      <c r="M571" s="1100" t="n">
        <v>1.856854025938053</v>
      </c>
      <c r="N571" s="755" t="inlineStr"/>
    </row>
    <row r="572">
      <c r="A572" s="776" t="inlineStr">
        <is>
          <t>February 2018</t>
        </is>
      </c>
      <c r="B572" s="1100" t="n">
        <v>842.779</v>
      </c>
      <c r="C572" s="1100" t="n">
        <v>2.349581694061061</v>
      </c>
      <c r="D572" s="1100" t="n">
        <v>865.593</v>
      </c>
      <c r="E572" s="1100" t="n">
        <v>2.413184793768469</v>
      </c>
      <c r="F572" s="1100" t="n">
        <v>516.428</v>
      </c>
      <c r="G572" s="1100" t="n">
        <v>2.726010952649054</v>
      </c>
      <c r="H572" s="1100" t="n">
        <v>534.9419999999999</v>
      </c>
      <c r="I572" s="1100" t="n">
        <v>2.823738741958202</v>
      </c>
      <c r="J572" s="1100" t="n">
        <v>326.351</v>
      </c>
      <c r="K572" s="1100" t="n">
        <v>1.928234219680242</v>
      </c>
      <c r="L572" s="1100" t="n">
        <v>330.6510000000001</v>
      </c>
      <c r="M572" s="1100" t="n">
        <v>1.953640629173779</v>
      </c>
      <c r="N572" s="755" t="inlineStr"/>
    </row>
    <row r="573">
      <c r="A573" s="776" t="inlineStr">
        <is>
          <t>March 2018</t>
        </is>
      </c>
      <c r="B573" s="1100" t="n">
        <v>854.6339999999999</v>
      </c>
      <c r="C573" s="1100" t="n">
        <v>2.382632222115384</v>
      </c>
      <c r="D573" s="1100" t="n">
        <v>884.136</v>
      </c>
      <c r="E573" s="1100" t="n">
        <v>2.464880782103458</v>
      </c>
      <c r="F573" s="1100" t="n">
        <v>522.627</v>
      </c>
      <c r="G573" s="1100" t="n">
        <v>2.75873292336999</v>
      </c>
      <c r="H573" s="1100" t="n">
        <v>547.087</v>
      </c>
      <c r="I573" s="1100" t="n">
        <v>2.887847200484701</v>
      </c>
      <c r="J573" s="1100" t="n">
        <v>332.0069999999999</v>
      </c>
      <c r="K573" s="1100" t="n">
        <v>1.961652510865228</v>
      </c>
      <c r="L573" s="1100" t="n">
        <v>337.049</v>
      </c>
      <c r="M573" s="1100" t="n">
        <v>1.991443003113231</v>
      </c>
      <c r="N573" s="755" t="inlineStr"/>
    </row>
    <row r="574">
      <c r="A574" s="776" t="inlineStr">
        <is>
          <t>April 2018</t>
        </is>
      </c>
      <c r="B574" s="1100" t="n">
        <v>866.242</v>
      </c>
      <c r="C574" s="1100" t="n">
        <v>2.414994139420704</v>
      </c>
      <c r="D574" s="1100" t="n">
        <v>917.098</v>
      </c>
      <c r="E574" s="1100" t="n">
        <v>2.556775468373098</v>
      </c>
      <c r="F574" s="1100" t="n">
        <v>528.101</v>
      </c>
      <c r="G574" s="1100" t="n">
        <v>2.78762791735715</v>
      </c>
      <c r="H574" s="1100" t="n">
        <v>561.995</v>
      </c>
      <c r="I574" s="1100" t="n">
        <v>2.966540399308336</v>
      </c>
      <c r="J574" s="1100" t="n">
        <v>338.141</v>
      </c>
      <c r="K574" s="1100" t="n">
        <v>1.997895049431124</v>
      </c>
      <c r="L574" s="1100" t="n">
        <v>355.103</v>
      </c>
      <c r="M574" s="1100" t="n">
        <v>2.098114472182138</v>
      </c>
      <c r="N574" s="755" t="inlineStr">
        <is>
          <t>5 week month</t>
        </is>
      </c>
    </row>
    <row r="575">
      <c r="A575" s="776" t="inlineStr">
        <is>
          <t>May 2018</t>
        </is>
      </c>
      <c r="B575" s="1100" t="n">
        <v>880.1119999999999</v>
      </c>
      <c r="C575" s="1100" t="n">
        <v>2.453662281480042</v>
      </c>
      <c r="D575" s="1100" t="n">
        <v>896.8109999999999</v>
      </c>
      <c r="E575" s="1100" t="n">
        <v>2.500217386328556</v>
      </c>
      <c r="F575" s="1100" t="n">
        <v>535.0939999999999</v>
      </c>
      <c r="G575" s="1100" t="n">
        <v>2.824541087425145</v>
      </c>
      <c r="H575" s="1100" t="n">
        <v>550.497</v>
      </c>
      <c r="I575" s="1100" t="n">
        <v>2.905847187604945</v>
      </c>
      <c r="J575" s="1100" t="n">
        <v>345.018</v>
      </c>
      <c r="K575" s="1100" t="n">
        <v>2.03852757921881</v>
      </c>
      <c r="L575" s="1100" t="n">
        <v>346.314</v>
      </c>
      <c r="M575" s="1100" t="n">
        <v>2.046184952870815</v>
      </c>
      <c r="N575" s="755" t="inlineStr"/>
    </row>
    <row r="576">
      <c r="A576" s="776" t="inlineStr">
        <is>
          <t>June 2018</t>
        </is>
      </c>
      <c r="B576" s="1100" t="n">
        <v>881.4009999999998</v>
      </c>
      <c r="C576" s="1100" t="n">
        <v>2.457255881704591</v>
      </c>
      <c r="D576" s="1100" t="n">
        <v>890.288</v>
      </c>
      <c r="E576" s="1100" t="n">
        <v>2.482031929179814</v>
      </c>
      <c r="F576" s="1100" t="n">
        <v>534.9499999999999</v>
      </c>
      <c r="G576" s="1100" t="n">
        <v>2.823780970666988</v>
      </c>
      <c r="H576" s="1100" t="n">
        <v>542.965</v>
      </c>
      <c r="I576" s="1100" t="n">
        <v>2.866088858282459</v>
      </c>
      <c r="J576" s="1100" t="n">
        <v>346.451</v>
      </c>
      <c r="K576" s="1100" t="n">
        <v>2.046994412894213</v>
      </c>
      <c r="L576" s="1100" t="n">
        <v>347.323</v>
      </c>
      <c r="M576" s="1100" t="n">
        <v>2.05214659640081</v>
      </c>
      <c r="N576" s="755" t="inlineStr">
        <is>
          <t>5 week month</t>
        </is>
      </c>
    </row>
    <row r="577">
      <c r="A577" s="776" t="inlineStr">
        <is>
          <t>July 2018</t>
        </is>
      </c>
      <c r="B577" s="1100" t="n">
        <v>892.1800000000001</v>
      </c>
      <c r="C577" s="1100" t="n">
        <v>2.487306631759213</v>
      </c>
      <c r="D577" s="1100" t="n">
        <v>893.4330000000001</v>
      </c>
      <c r="E577" s="1100" t="n">
        <v>2.490799867664069</v>
      </c>
      <c r="F577" s="1100" t="n">
        <v>539.7510000000001</v>
      </c>
      <c r="G577" s="1100" t="n">
        <v>2.849123474527485</v>
      </c>
      <c r="H577" s="1100" t="n">
        <v>538.9380000000001</v>
      </c>
      <c r="I577" s="1100" t="n">
        <v>2.844831981997058</v>
      </c>
      <c r="J577" s="1100" t="n">
        <v>352.429</v>
      </c>
      <c r="K577" s="1100" t="n">
        <v>2.082315230557553</v>
      </c>
      <c r="L577" s="1100" t="n">
        <v>354.495</v>
      </c>
      <c r="M577" s="1100" t="n">
        <v>2.094522124049099</v>
      </c>
      <c r="N577" s="755" t="inlineStr"/>
    </row>
    <row r="578">
      <c r="A578" s="776" t="inlineStr">
        <is>
          <t>August 2018</t>
        </is>
      </c>
      <c r="B578" s="1100" t="n">
        <v>904.1020000000001</v>
      </c>
      <c r="C578" s="1100" t="n">
        <v>2.520543948964075</v>
      </c>
      <c r="D578" s="1100" t="n">
        <v>907.355</v>
      </c>
      <c r="E578" s="1100" t="n">
        <v>2.529612980407407</v>
      </c>
      <c r="F578" s="1100" t="n">
        <v>544.735</v>
      </c>
      <c r="G578" s="1100" t="n">
        <v>2.875431960101472</v>
      </c>
      <c r="H578" s="1100" t="n">
        <v>542.0940000000001</v>
      </c>
      <c r="I578" s="1100" t="n">
        <v>2.861491207613329</v>
      </c>
      <c r="J578" s="1100" t="n">
        <v>359.367</v>
      </c>
      <c r="K578" s="1100" t="n">
        <v>2.123308176852007</v>
      </c>
      <c r="L578" s="1100" t="n">
        <v>365.261</v>
      </c>
      <c r="M578" s="1100" t="n">
        <v>2.158132683260124</v>
      </c>
      <c r="N578" s="755" t="inlineStr"/>
    </row>
    <row r="579">
      <c r="A579" s="776" t="inlineStr">
        <is>
          <t>September 2018</t>
        </is>
      </c>
      <c r="B579" s="1100" t="n">
        <v>926.432</v>
      </c>
      <c r="C579" s="1100" t="n">
        <v>2.58279770615117</v>
      </c>
      <c r="D579" s="1100" t="n">
        <v>918.2470000000001</v>
      </c>
      <c r="E579" s="1100" t="n">
        <v>2.559978762909954</v>
      </c>
      <c r="F579" s="1100" t="n">
        <v>556.674</v>
      </c>
      <c r="G579" s="1100" t="n">
        <v>2.938453029376718</v>
      </c>
      <c r="H579" s="1100" t="n">
        <v>545.1220000000001</v>
      </c>
      <c r="I579" s="1100" t="n">
        <v>2.877474773889019</v>
      </c>
      <c r="J579" s="1100" t="n">
        <v>369.758</v>
      </c>
      <c r="K579" s="1100" t="n">
        <v>2.184703060816504</v>
      </c>
      <c r="L579" s="1100" t="n">
        <v>373.1249999999999</v>
      </c>
      <c r="M579" s="1100" t="n">
        <v>2.204596870296675</v>
      </c>
      <c r="N579" s="755" t="inlineStr">
        <is>
          <t>5 week month</t>
        </is>
      </c>
    </row>
    <row r="580">
      <c r="A580" s="776" t="inlineStr">
        <is>
          <t>October 2018</t>
        </is>
      </c>
      <c r="B580" s="1100" t="n">
        <v>951.1279999999999</v>
      </c>
      <c r="C580" s="1100" t="n">
        <v>2.651647629460284</v>
      </c>
      <c r="D580" s="1100" t="n">
        <v>931.798</v>
      </c>
      <c r="E580" s="1100" t="n">
        <v>2.597757565580904</v>
      </c>
      <c r="F580" s="1100" t="n">
        <v>569.9069999999999</v>
      </c>
      <c r="G580" s="1100" t="n">
        <v>3.00830459229818</v>
      </c>
      <c r="H580" s="1100" t="n">
        <v>550.9870000000001</v>
      </c>
      <c r="I580" s="1100" t="n">
        <v>2.908433696018118</v>
      </c>
      <c r="J580" s="1100" t="n">
        <v>381.2210000000001</v>
      </c>
      <c r="K580" s="1100" t="n">
        <v>2.252431821752413</v>
      </c>
      <c r="L580" s="1100" t="n">
        <v>380.8109999999999</v>
      </c>
      <c r="M580" s="1100" t="n">
        <v>2.25000935014954</v>
      </c>
      <c r="N580" s="755" t="inlineStr"/>
    </row>
    <row r="581">
      <c r="A581" s="776" t="inlineStr">
        <is>
          <t>November 2018</t>
        </is>
      </c>
      <c r="B581" s="1100" t="n">
        <v>973.298</v>
      </c>
      <c r="C581" s="1100" t="n">
        <v>2.713455323004302</v>
      </c>
      <c r="D581" s="1100" t="n">
        <v>946.3539999999998</v>
      </c>
      <c r="E581" s="1100" t="n">
        <v>2.638338205509939</v>
      </c>
      <c r="F581" s="1100" t="n">
        <v>581.218</v>
      </c>
      <c r="G581" s="1100" t="n">
        <v>3.068010707933687</v>
      </c>
      <c r="H581" s="1100" t="n">
        <v>558.9029999999999</v>
      </c>
      <c r="I581" s="1100" t="n">
        <v>2.950219003362355</v>
      </c>
      <c r="J581" s="1100" t="n">
        <v>392.08</v>
      </c>
      <c r="K581" s="1100" t="n">
        <v>2.316591868424577</v>
      </c>
      <c r="L581" s="1100" t="n">
        <v>387.451</v>
      </c>
      <c r="M581" s="1100" t="n">
        <v>2.289241573181419</v>
      </c>
      <c r="N581" s="755" t="inlineStr"/>
    </row>
    <row r="582">
      <c r="A582" s="776" t="inlineStr">
        <is>
          <t>December 2018</t>
        </is>
      </c>
      <c r="B582" s="1100" t="n">
        <v>1000.478</v>
      </c>
      <c r="C582" s="1100" t="n">
        <v>2.789230384372204</v>
      </c>
      <c r="D582" s="1100" t="n">
        <v>967.9780000000001</v>
      </c>
      <c r="E582" s="1100" t="n">
        <v>2.698623706871954</v>
      </c>
      <c r="F582" s="1100" t="n">
        <v>595.2239999999999</v>
      </c>
      <c r="G582" s="1100" t="n">
        <v>3.141942619841644</v>
      </c>
      <c r="H582" s="1100" t="n">
        <v>572.806</v>
      </c>
      <c r="I582" s="1100" t="n">
        <v>3.023607220644687</v>
      </c>
      <c r="J582" s="1100" t="n">
        <v>405.254</v>
      </c>
      <c r="K582" s="1100" t="n">
        <v>2.394430016951983</v>
      </c>
      <c r="L582" s="1100" t="n">
        <v>395.172</v>
      </c>
      <c r="M582" s="1100" t="n">
        <v>2.334860849390628</v>
      </c>
      <c r="N582" s="755" t="inlineStr">
        <is>
          <t>5 week month</t>
        </is>
      </c>
    </row>
    <row r="583">
      <c r="A583" s="776" t="inlineStr">
        <is>
          <t>January 2019</t>
        </is>
      </c>
      <c r="B583" s="1100" t="n">
        <v>1019.092</v>
      </c>
      <c r="C583" s="1100" t="n">
        <v>2.776712725601847</v>
      </c>
      <c r="D583" s="1100" t="n">
        <v>1004.683</v>
      </c>
      <c r="E583" s="1100" t="n">
        <v>2.73745262576474</v>
      </c>
      <c r="F583" s="1100" t="n">
        <v>602.2750000000001</v>
      </c>
      <c r="G583" s="1100" t="n">
        <v>3.123742418464113</v>
      </c>
      <c r="H583" s="1100" t="n">
        <v>596.471</v>
      </c>
      <c r="I583" s="1100" t="n">
        <v>3.093639556819904</v>
      </c>
      <c r="J583" s="1100" t="n">
        <v>416.8170000000001</v>
      </c>
      <c r="K583" s="1100" t="n">
        <v>2.392636399252045</v>
      </c>
      <c r="L583" s="1100" t="n">
        <v>408.212</v>
      </c>
      <c r="M583" s="1100" t="n">
        <v>2.343241494016501</v>
      </c>
      <c r="N583" s="755" t="inlineStr"/>
    </row>
    <row r="584">
      <c r="A584" s="776" t="inlineStr">
        <is>
          <t>February 2019</t>
        </is>
      </c>
      <c r="B584" s="1100" t="n">
        <v>1039.665</v>
      </c>
      <c r="C584" s="1100" t="n">
        <v>2.832767832406538</v>
      </c>
      <c r="D584" s="1100" t="n">
        <v>1063.673</v>
      </c>
      <c r="E584" s="1100" t="n">
        <v>2.898182259284827</v>
      </c>
      <c r="F584" s="1100" t="n">
        <v>611.15</v>
      </c>
      <c r="G584" s="1100" t="n">
        <v>3.16977324153309</v>
      </c>
      <c r="H584" s="1100" t="n">
        <v>631.463</v>
      </c>
      <c r="I584" s="1100" t="n">
        <v>3.275128070716207</v>
      </c>
      <c r="J584" s="1100" t="n">
        <v>428.515</v>
      </c>
      <c r="K584" s="1100" t="n">
        <v>2.459785917142271</v>
      </c>
      <c r="L584" s="1100" t="n">
        <v>432.21</v>
      </c>
      <c r="M584" s="1100" t="n">
        <v>2.480996164073745</v>
      </c>
      <c r="N584" s="755" t="inlineStr">
        <is>
          <t>5 week month</t>
        </is>
      </c>
    </row>
    <row r="585">
      <c r="A585" s="776" t="inlineStr">
        <is>
          <t>March 2019</t>
        </is>
      </c>
      <c r="B585" s="1100" t="n">
        <v>1059.395</v>
      </c>
      <c r="C585" s="1100" t="n">
        <v>2.886526023105831</v>
      </c>
      <c r="D585" s="1100" t="n">
        <v>1093.132</v>
      </c>
      <c r="E585" s="1100" t="n">
        <v>2.978448987100868</v>
      </c>
      <c r="F585" s="1100" t="n">
        <v>621.5160000000001</v>
      </c>
      <c r="G585" s="1100" t="n">
        <v>3.223537242877657</v>
      </c>
      <c r="H585" s="1100" t="n">
        <v>649.432</v>
      </c>
      <c r="I585" s="1100" t="n">
        <v>3.368325576037499</v>
      </c>
      <c r="J585" s="1100" t="n">
        <v>437.879</v>
      </c>
      <c r="K585" s="1100" t="n">
        <v>2.513537676889585</v>
      </c>
      <c r="L585" s="1100" t="n">
        <v>443.7</v>
      </c>
      <c r="M585" s="1100" t="n">
        <v>2.546951708659033</v>
      </c>
      <c r="N585" s="755" t="inlineStr"/>
    </row>
    <row r="586">
      <c r="A586" s="776" t="inlineStr">
        <is>
          <t>April 2019</t>
        </is>
      </c>
      <c r="B586" s="1100" t="n">
        <v>1079.519</v>
      </c>
      <c r="C586" s="1100" t="n">
        <v>2.941357742803377</v>
      </c>
      <c r="D586" s="1100" t="n">
        <v>1108.334</v>
      </c>
      <c r="E586" s="1100" t="n">
        <v>3.019869768398924</v>
      </c>
      <c r="F586" s="1100" t="n">
        <v>633.653</v>
      </c>
      <c r="G586" s="1100" t="n">
        <v>3.286486662549566</v>
      </c>
      <c r="H586" s="1100" t="n">
        <v>658.3259999999999</v>
      </c>
      <c r="I586" s="1100" t="n">
        <v>3.414454943967132</v>
      </c>
      <c r="J586" s="1100" t="n">
        <v>445.866</v>
      </c>
      <c r="K586" s="1100" t="n">
        <v>2.559385103747957</v>
      </c>
      <c r="L586" s="1100" t="n">
        <v>450.008</v>
      </c>
      <c r="M586" s="1100" t="n">
        <v>2.583161245233793</v>
      </c>
      <c r="N586" s="755" t="inlineStr"/>
    </row>
    <row r="587">
      <c r="A587" s="776" t="inlineStr">
        <is>
          <t>May 2019</t>
        </is>
      </c>
      <c r="B587" s="1100" t="n">
        <v>1097.025</v>
      </c>
      <c r="C587" s="1100" t="n">
        <v>2.989056216517612</v>
      </c>
      <c r="D587" s="1100" t="n">
        <v>1114.479</v>
      </c>
      <c r="E587" s="1100" t="n">
        <v>3.036613006201619</v>
      </c>
      <c r="F587" s="1100" t="n">
        <v>645.0700000000001</v>
      </c>
      <c r="G587" s="1100" t="n">
        <v>3.345701750659823</v>
      </c>
      <c r="H587" s="1100" t="n">
        <v>660.5430000000001</v>
      </c>
      <c r="I587" s="1100" t="n">
        <v>3.425953573234055</v>
      </c>
      <c r="J587" s="1100" t="n">
        <v>451.955</v>
      </c>
      <c r="K587" s="1100" t="n">
        <v>2.594337524198768</v>
      </c>
      <c r="L587" s="1100" t="n">
        <v>453.9359999999999</v>
      </c>
      <c r="M587" s="1100" t="n">
        <v>2.605708971877049</v>
      </c>
      <c r="N587" s="755" t="inlineStr"/>
    </row>
    <row r="588">
      <c r="A588" s="776" t="inlineStr">
        <is>
          <t>June 2019</t>
        </is>
      </c>
      <c r="B588" s="1100" t="n">
        <v>1126.649</v>
      </c>
      <c r="C588" s="1100" t="n">
        <v>3.069772518660332</v>
      </c>
      <c r="D588" s="1100" t="n">
        <v>1136.986</v>
      </c>
      <c r="E588" s="1100" t="n">
        <v>3.097937669053571</v>
      </c>
      <c r="F588" s="1100" t="n">
        <v>663.8530000000001</v>
      </c>
      <c r="G588" s="1100" t="n">
        <v>3.443121125274429</v>
      </c>
      <c r="H588" s="1100" t="n">
        <v>670.1540000000002</v>
      </c>
      <c r="I588" s="1100" t="n">
        <v>3.475801713010501</v>
      </c>
      <c r="J588" s="1100" t="n">
        <v>462.796</v>
      </c>
      <c r="K588" s="1100" t="n">
        <v>2.656567642462398</v>
      </c>
      <c r="L588" s="1100" t="n">
        <v>466.8320000000001</v>
      </c>
      <c r="M588" s="1100" t="n">
        <v>2.679735316783218</v>
      </c>
      <c r="N588" s="755" t="inlineStr">
        <is>
          <t>5 week month</t>
        </is>
      </c>
    </row>
    <row r="589">
      <c r="A589" s="776" t="inlineStr">
        <is>
          <t>July 2019</t>
        </is>
      </c>
      <c r="B589" s="1100" t="n">
        <v>1143.162</v>
      </c>
      <c r="C589" s="1100" t="n">
        <v>3.114765372335822</v>
      </c>
      <c r="D589" s="1100" t="n">
        <v>1147.379</v>
      </c>
      <c r="E589" s="1100" t="n">
        <v>3.126255402248591</v>
      </c>
      <c r="F589" s="1100" t="n">
        <v>673.502</v>
      </c>
      <c r="G589" s="1100" t="n">
        <v>3.493166354772183</v>
      </c>
      <c r="H589" s="1100" t="n">
        <v>674.1210000000001</v>
      </c>
      <c r="I589" s="1100" t="n">
        <v>3.496376842600882</v>
      </c>
      <c r="J589" s="1100" t="n">
        <v>469.66</v>
      </c>
      <c r="K589" s="1100" t="n">
        <v>2.695968761525358</v>
      </c>
      <c r="L589" s="1100" t="n">
        <v>473.258</v>
      </c>
      <c r="M589" s="1100" t="n">
        <v>2.71662220359828</v>
      </c>
      <c r="N589" s="755" t="inlineStr"/>
    </row>
    <row r="590">
      <c r="A590" s="776" t="inlineStr">
        <is>
          <t>August 2019</t>
        </is>
      </c>
      <c r="B590" s="1100" t="n">
        <v>1163.466</v>
      </c>
      <c r="C590" s="1100" t="n">
        <v>3.170087536753383</v>
      </c>
      <c r="D590" s="1100" t="n">
        <v>1165.695</v>
      </c>
      <c r="E590" s="1100" t="n">
        <v>3.176160877202888</v>
      </c>
      <c r="F590" s="1100" t="n">
        <v>684.548</v>
      </c>
      <c r="G590" s="1100" t="n">
        <v>3.550457224813865</v>
      </c>
      <c r="H590" s="1100" t="n">
        <v>681.2130000000001</v>
      </c>
      <c r="I590" s="1100" t="n">
        <v>3.533160008483157</v>
      </c>
      <c r="J590" s="1100" t="n">
        <v>478.918</v>
      </c>
      <c r="K590" s="1100" t="n">
        <v>2.749112054107655</v>
      </c>
      <c r="L590" s="1100" t="n">
        <v>484.482</v>
      </c>
      <c r="M590" s="1100" t="n">
        <v>2.781050840014752</v>
      </c>
      <c r="N590" s="755" t="inlineStr"/>
    </row>
    <row r="591">
      <c r="A591" s="776" t="inlineStr">
        <is>
          <t>September 2019</t>
        </is>
      </c>
      <c r="B591" s="1100" t="n">
        <v>1183.4</v>
      </c>
      <c r="C591" s="1100" t="n">
        <v>3.224401564802025</v>
      </c>
      <c r="D591" s="1100" t="n">
        <v>1166.649</v>
      </c>
      <c r="E591" s="1100" t="n">
        <v>3.17876023421896</v>
      </c>
      <c r="F591" s="1100" t="n">
        <v>695.388</v>
      </c>
      <c r="G591" s="1100" t="n">
        <v>3.606679661103187</v>
      </c>
      <c r="H591" s="1100" t="n">
        <v>678.351</v>
      </c>
      <c r="I591" s="1100" t="n">
        <v>3.518316040525588</v>
      </c>
      <c r="J591" s="1100" t="n">
        <v>488.0119999999999</v>
      </c>
      <c r="K591" s="1100" t="n">
        <v>2.801313944661059</v>
      </c>
      <c r="L591" s="1100" t="n">
        <v>488.2980000000001</v>
      </c>
      <c r="M591" s="1100" t="n">
        <v>2.80295565795535</v>
      </c>
      <c r="N591" s="755" t="inlineStr">
        <is>
          <t>5 week month</t>
        </is>
      </c>
    </row>
    <row r="592">
      <c r="A592" s="776" t="inlineStr">
        <is>
          <t>October 2019</t>
        </is>
      </c>
      <c r="B592" s="1100" t="n">
        <v>1211.356</v>
      </c>
      <c r="C592" s="1100" t="n">
        <v>3.300573079205951</v>
      </c>
      <c r="D592" s="1100" t="n">
        <v>1186.059</v>
      </c>
      <c r="E592" s="1100" t="n">
        <v>3.231646523193785</v>
      </c>
      <c r="F592" s="1100" t="n">
        <v>709.711</v>
      </c>
      <c r="G592" s="1100" t="n">
        <v>3.680966926322001</v>
      </c>
      <c r="H592" s="1100" t="n">
        <v>685.8620000000001</v>
      </c>
      <c r="I592" s="1100" t="n">
        <v>3.557272379913882</v>
      </c>
      <c r="J592" s="1100" t="n">
        <v>501.645</v>
      </c>
      <c r="K592" s="1100" t="n">
        <v>2.879570858440975</v>
      </c>
      <c r="L592" s="1100" t="n">
        <v>500.1969999999999</v>
      </c>
      <c r="M592" s="1100" t="n">
        <v>2.871258967356598</v>
      </c>
      <c r="N592" s="755" t="inlineStr"/>
    </row>
    <row r="593">
      <c r="A593" s="776" t="inlineStr">
        <is>
          <t>November 2019</t>
        </is>
      </c>
      <c r="B593" s="1100" t="n">
        <v>1232.371</v>
      </c>
      <c r="C593" s="1100" t="n">
        <v>3.357832500267564</v>
      </c>
      <c r="D593" s="1100" t="n">
        <v>1198.946</v>
      </c>
      <c r="E593" s="1100" t="n">
        <v>3.266759640453887</v>
      </c>
      <c r="F593" s="1100" t="n">
        <v>721.616</v>
      </c>
      <c r="G593" s="1100" t="n">
        <v>3.7427130613796</v>
      </c>
      <c r="H593" s="1100" t="n">
        <v>695.2140000000001</v>
      </c>
      <c r="I593" s="1100" t="n">
        <v>3.605777197642454</v>
      </c>
      <c r="J593" s="1100" t="n">
        <v>510.7549999999999</v>
      </c>
      <c r="K593" s="1100" t="n">
        <v>2.931864593094758</v>
      </c>
      <c r="L593" s="1100" t="n">
        <v>503.732</v>
      </c>
      <c r="M593" s="1100" t="n">
        <v>2.891550773284274</v>
      </c>
      <c r="N593" s="755" t="inlineStr">
        <is>
          <t>5 week month</t>
        </is>
      </c>
    </row>
    <row r="594">
      <c r="A594" s="776" t="inlineStr">
        <is>
          <t>December 2019</t>
        </is>
      </c>
      <c r="B594" s="1100" t="n">
        <v>1240.315</v>
      </c>
      <c r="C594" s="1100" t="n">
        <v>3.379477460577508</v>
      </c>
      <c r="D594" s="1100" t="n">
        <v>1204.022</v>
      </c>
      <c r="E594" s="1100" t="n">
        <v>3.280590181558276</v>
      </c>
      <c r="F594" s="1100" t="n">
        <v>724.626</v>
      </c>
      <c r="G594" s="1100" t="n">
        <v>3.758324641935952</v>
      </c>
      <c r="H594" s="1100" t="n">
        <v>700.899</v>
      </c>
      <c r="I594" s="1100" t="n">
        <v>3.635262857264668</v>
      </c>
      <c r="J594" s="1100" t="n">
        <v>515.689</v>
      </c>
      <c r="K594" s="1100" t="n">
        <v>2.960187017549398</v>
      </c>
      <c r="L594" s="1100" t="n">
        <v>503.123</v>
      </c>
      <c r="M594" s="1100" t="n">
        <v>2.888054957213565</v>
      </c>
      <c r="N594" s="755" t="inlineStr"/>
    </row>
    <row r="595">
      <c r="A595" s="776" t="inlineStr">
        <is>
          <t>January 2020</t>
        </is>
      </c>
      <c r="B595" s="1100" t="n">
        <v>1229.233</v>
      </c>
      <c r="C595" s="1100" t="n">
        <v>3.257209801447496</v>
      </c>
      <c r="D595" s="1100" t="n">
        <v>1217.057</v>
      </c>
      <c r="E595" s="1100" t="n">
        <v>3.224945953550128</v>
      </c>
      <c r="F595" s="1100" t="n">
        <v>715.8200000000001</v>
      </c>
      <c r="G595" s="1100" t="n">
        <v>3.622548117613027</v>
      </c>
      <c r="H595" s="1100" t="n">
        <v>710.926</v>
      </c>
      <c r="I595" s="1100" t="n">
        <v>3.59778106655606</v>
      </c>
      <c r="J595" s="1100" t="n">
        <v>513.413</v>
      </c>
      <c r="K595" s="1100" t="n">
        <v>2.855672069909354</v>
      </c>
      <c r="L595" s="1100" t="n">
        <v>506.131</v>
      </c>
      <c r="M595" s="1100" t="n">
        <v>2.815168607758844</v>
      </c>
      <c r="N595" s="755" t="inlineStr"/>
    </row>
    <row r="596">
      <c r="A596" s="776" t="inlineStr">
        <is>
          <t>February 2020</t>
        </is>
      </c>
      <c r="B596" s="1100" t="n">
        <v>1227.539</v>
      </c>
      <c r="C596" s="1100" t="n">
        <v>3.252721056511708</v>
      </c>
      <c r="D596" s="1100" t="n">
        <v>1257.257</v>
      </c>
      <c r="E596" s="1100" t="n">
        <v>3.3314675275871</v>
      </c>
      <c r="F596" s="1100" t="n">
        <v>713.9809999999999</v>
      </c>
      <c r="G596" s="1100" t="n">
        <v>3.61324149585296</v>
      </c>
      <c r="H596" s="1100" t="n">
        <v>737.4770000000001</v>
      </c>
      <c r="I596" s="1100" t="n">
        <v>3.732147632271944</v>
      </c>
      <c r="J596" s="1100" t="n">
        <v>513.558</v>
      </c>
      <c r="K596" s="1100" t="n">
        <v>2.856478579386396</v>
      </c>
      <c r="L596" s="1100" t="n">
        <v>519.7800000000001</v>
      </c>
      <c r="M596" s="1100" t="n">
        <v>2.89108617915301</v>
      </c>
      <c r="N596" s="755" t="inlineStr">
        <is>
          <t>5 week month</t>
        </is>
      </c>
    </row>
    <row r="597">
      <c r="A597" s="776" t="inlineStr">
        <is>
          <t>March 2020</t>
        </is>
      </c>
      <c r="B597" s="1100" t="n">
        <v>1229.883</v>
      </c>
      <c r="C597" s="1100" t="n">
        <v>3.2589321652068</v>
      </c>
      <c r="D597" s="1100" t="n">
        <v>1270.214</v>
      </c>
      <c r="E597" s="1100" t="n">
        <v>3.365800861786032</v>
      </c>
      <c r="F597" s="1100" t="n">
        <v>716.63</v>
      </c>
      <c r="G597" s="1100" t="n">
        <v>3.626647282172926</v>
      </c>
      <c r="H597" s="1100" t="n">
        <v>747.5549999999999</v>
      </c>
      <c r="I597" s="1100" t="n">
        <v>3.783149336512261</v>
      </c>
      <c r="J597" s="1100" t="n">
        <v>513.2529999999999</v>
      </c>
      <c r="K597" s="1100" t="n">
        <v>2.854782128417444</v>
      </c>
      <c r="L597" s="1100" t="n">
        <v>522.659</v>
      </c>
      <c r="M597" s="1100" t="n">
        <v>2.907099563873048</v>
      </c>
      <c r="N597" s="755" t="inlineStr"/>
    </row>
    <row r="598">
      <c r="A598" s="776" t="inlineStr">
        <is>
          <t>April 2020</t>
        </is>
      </c>
      <c r="B598" s="1100" t="n">
        <v>2090.334</v>
      </c>
      <c r="C598" s="1100" t="n">
        <v>5.538946963756221</v>
      </c>
      <c r="D598" s="1100" t="n">
        <v>2117.784</v>
      </c>
      <c r="E598" s="1100" t="n">
        <v>5.611683710206838</v>
      </c>
      <c r="F598" s="1100" t="n">
        <v>1245.837</v>
      </c>
      <c r="G598" s="1100" t="n">
        <v>6.304803552852199</v>
      </c>
      <c r="H598" s="1100" t="n">
        <v>1269.981</v>
      </c>
      <c r="I598" s="1100" t="n">
        <v>6.426989020919098</v>
      </c>
      <c r="J598" s="1100" t="n">
        <v>844.4970000000002</v>
      </c>
      <c r="K598" s="1100" t="n">
        <v>4.697205750579437</v>
      </c>
      <c r="L598" s="1100" t="n">
        <v>847.8030000000001</v>
      </c>
      <c r="M598" s="1100" t="n">
        <v>4.715594166656007</v>
      </c>
      <c r="N598" s="755" t="inlineStr"/>
    </row>
    <row r="599">
      <c r="A599" s="776" t="inlineStr">
        <is>
          <t>May 2020</t>
        </is>
      </c>
      <c r="B599" s="1100" t="n">
        <v>2657.189</v>
      </c>
      <c r="C599" s="1100" t="n">
        <v>7.04099390034149</v>
      </c>
      <c r="D599" s="1100" t="n">
        <v>2669.409000000001</v>
      </c>
      <c r="E599" s="1100" t="n">
        <v>7.073374339016411</v>
      </c>
      <c r="F599" s="1100" t="n">
        <v>1617.913</v>
      </c>
      <c r="G599" s="1100" t="n">
        <v>8.187767445184049</v>
      </c>
      <c r="H599" s="1100" t="n">
        <v>1630.959</v>
      </c>
      <c r="I599" s="1100" t="n">
        <v>8.253789298083353</v>
      </c>
      <c r="J599" s="1100" t="n">
        <v>1039.276</v>
      </c>
      <c r="K599" s="1100" t="n">
        <v>5.780592712157881</v>
      </c>
      <c r="L599" s="1100" t="n">
        <v>1038.45</v>
      </c>
      <c r="M599" s="1100" t="n">
        <v>5.7759983892059</v>
      </c>
      <c r="N599" s="755" t="inlineStr">
        <is>
          <t>5 week month</t>
        </is>
      </c>
    </row>
    <row r="600">
      <c r="A600" s="776" t="inlineStr">
        <is>
          <t>June 2020</t>
        </is>
      </c>
      <c r="B600" s="1100" t="n">
        <v>2592.045</v>
      </c>
      <c r="C600" s="1100" t="n">
        <v>6.868375954593615</v>
      </c>
      <c r="D600" s="1100" t="n">
        <v>2597.55</v>
      </c>
      <c r="E600" s="1100" t="n">
        <v>6.882963050739724</v>
      </c>
      <c r="F600" s="1100" t="n">
        <v>1567.827</v>
      </c>
      <c r="G600" s="1100" t="n">
        <v>7.934297375866669</v>
      </c>
      <c r="H600" s="1100" t="n">
        <v>1571.369</v>
      </c>
      <c r="I600" s="1100" t="n">
        <v>7.9522223645965</v>
      </c>
      <c r="J600" s="1100" t="n">
        <v>1024.218</v>
      </c>
      <c r="K600" s="1100" t="n">
        <v>5.696838093500591</v>
      </c>
      <c r="L600" s="1100" t="n">
        <v>1026.181</v>
      </c>
      <c r="M600" s="1100" t="n">
        <v>5.707756563179448</v>
      </c>
      <c r="N600" s="755" t="inlineStr"/>
    </row>
    <row r="601">
      <c r="A601" s="776" t="inlineStr">
        <is>
          <t>July 2020</t>
        </is>
      </c>
      <c r="B601" s="1100" t="n">
        <v>2652.361</v>
      </c>
      <c r="C601" s="1100" t="n">
        <v>7.028200712295457</v>
      </c>
      <c r="D601" s="1100" t="n">
        <v>2650.846</v>
      </c>
      <c r="E601" s="1100" t="n">
        <v>7.024186279841077</v>
      </c>
      <c r="F601" s="1100" t="n">
        <v>1596.641</v>
      </c>
      <c r="G601" s="1100" t="n">
        <v>8.080116298865329</v>
      </c>
      <c r="H601" s="1100" t="n">
        <v>1594.714</v>
      </c>
      <c r="I601" s="1100" t="n">
        <v>8.07036433577036</v>
      </c>
      <c r="J601" s="1100" t="n">
        <v>1055.72</v>
      </c>
      <c r="K601" s="1100" t="n">
        <v>5.872056448988833</v>
      </c>
      <c r="L601" s="1100" t="n">
        <v>1056.132</v>
      </c>
      <c r="M601" s="1100" t="n">
        <v>5.874348048330496</v>
      </c>
      <c r="N601" s="755" t="inlineStr"/>
    </row>
    <row r="602">
      <c r="A602" s="776" t="inlineStr">
        <is>
          <t>August 2020</t>
        </is>
      </c>
      <c r="B602" s="1100" t="n">
        <v>2698.58</v>
      </c>
      <c r="C602" s="1100" t="n">
        <v>7.150671374743586</v>
      </c>
      <c r="D602" s="1100" t="n">
        <v>2696.818</v>
      </c>
      <c r="E602" s="1100" t="n">
        <v>7.146002444060671</v>
      </c>
      <c r="F602" s="1100" t="n">
        <v>1620.348</v>
      </c>
      <c r="G602" s="1100" t="n">
        <v>8.200090242348681</v>
      </c>
      <c r="H602" s="1100" t="n">
        <v>1615.466</v>
      </c>
      <c r="I602" s="1100" t="n">
        <v>8.175383919655564</v>
      </c>
      <c r="J602" s="1100" t="n">
        <v>1078.232</v>
      </c>
      <c r="K602" s="1100" t="n">
        <v>5.997271216900435</v>
      </c>
      <c r="L602" s="1100" t="n">
        <v>1081.352</v>
      </c>
      <c r="M602" s="1100" t="n">
        <v>6.01462507599266</v>
      </c>
      <c r="N602" s="755" t="inlineStr">
        <is>
          <t>5 week month</t>
        </is>
      </c>
    </row>
    <row r="603">
      <c r="A603" s="776" t="inlineStr">
        <is>
          <t>September 2020</t>
        </is>
      </c>
      <c r="B603" s="1100" t="n">
        <v>2681.122</v>
      </c>
      <c r="C603" s="1100" t="n">
        <v>7.104411333959074</v>
      </c>
      <c r="D603" s="1100" t="n">
        <v>2661.18</v>
      </c>
      <c r="E603" s="1100" t="n">
        <v>7.051569213823619</v>
      </c>
      <c r="F603" s="1100" t="n">
        <v>1604.267</v>
      </c>
      <c r="G603" s="1100" t="n">
        <v>8.118709174092228</v>
      </c>
      <c r="H603" s="1100" t="n">
        <v>1586.159</v>
      </c>
      <c r="I603" s="1100" t="n">
        <v>8.027070073042051</v>
      </c>
      <c r="J603" s="1100" t="n">
        <v>1076.855</v>
      </c>
      <c r="K603" s="1100" t="n">
        <v>5.989612157935692</v>
      </c>
      <c r="L603" s="1100" t="n">
        <v>1075.021</v>
      </c>
      <c r="M603" s="1100" t="n">
        <v>5.979411203584686</v>
      </c>
      <c r="N603" s="755" t="inlineStr"/>
    </row>
    <row r="604">
      <c r="A604" s="776" t="inlineStr">
        <is>
          <t>October 2020</t>
        </is>
      </c>
      <c r="B604" s="1100" t="n">
        <v>2597.797</v>
      </c>
      <c r="C604" s="1100" t="n">
        <v>6.883617548968259</v>
      </c>
      <c r="D604" s="1100" t="n">
        <v>2570.473</v>
      </c>
      <c r="E604" s="1100" t="n">
        <v>6.811214676107906</v>
      </c>
      <c r="F604" s="1100" t="n">
        <v>1549.294</v>
      </c>
      <c r="G604" s="1100" t="n">
        <v>7.840507478596794</v>
      </c>
      <c r="H604" s="1100" t="n">
        <v>1524.288</v>
      </c>
      <c r="I604" s="1100" t="n">
        <v>7.713959689726645</v>
      </c>
      <c r="J604" s="1100" t="n">
        <v>1048.503</v>
      </c>
      <c r="K604" s="1100" t="n">
        <v>5.83191452556941</v>
      </c>
      <c r="L604" s="1100" t="n">
        <v>1046.185</v>
      </c>
      <c r="M604" s="1100" t="n">
        <v>5.819021498205379</v>
      </c>
      <c r="N604" s="755" t="inlineStr"/>
    </row>
    <row r="605">
      <c r="A605" s="776" t="inlineStr">
        <is>
          <t>November 2020</t>
        </is>
      </c>
      <c r="B605" s="1100" t="n">
        <v>2639.511</v>
      </c>
      <c r="C605" s="1100" t="n">
        <v>6.994150905669212</v>
      </c>
      <c r="D605" s="1100" t="n">
        <v>2609.666</v>
      </c>
      <c r="E605" s="1100" t="n">
        <v>6.915067911213153</v>
      </c>
      <c r="F605" s="1100" t="n">
        <v>1567.488</v>
      </c>
      <c r="G605" s="1100" t="n">
        <v>7.932581799587897</v>
      </c>
      <c r="H605" s="1100" t="n">
        <v>1542.579</v>
      </c>
      <c r="I605" s="1100" t="n">
        <v>7.806524898325535</v>
      </c>
      <c r="J605" s="1100" t="n">
        <v>1072.023</v>
      </c>
      <c r="K605" s="1100" t="n">
        <v>5.96273592488004</v>
      </c>
      <c r="L605" s="1100" t="n">
        <v>1067.087</v>
      </c>
      <c r="M605" s="1100" t="n">
        <v>5.935281229854645</v>
      </c>
      <c r="N605" s="755" t="inlineStr">
        <is>
          <t>5 week month</t>
        </is>
      </c>
    </row>
    <row r="606">
      <c r="A606" s="776" t="inlineStr">
        <is>
          <t>December 2020</t>
        </is>
      </c>
      <c r="B606" s="1100" t="n">
        <v>2622.041999999999</v>
      </c>
      <c r="C606" s="1100" t="n">
        <v>6.947861717190307</v>
      </c>
      <c r="D606" s="1100" t="n">
        <v>2594.49</v>
      </c>
      <c r="E606" s="1100" t="n">
        <v>6.874854692118999</v>
      </c>
      <c r="F606" s="1100" t="n">
        <v>1555.208</v>
      </c>
      <c r="G606" s="1100" t="n">
        <v>7.87043644058104</v>
      </c>
      <c r="H606" s="1100" t="n">
        <v>1535.992</v>
      </c>
      <c r="I606" s="1100" t="n">
        <v>7.773190087268682</v>
      </c>
      <c r="J606" s="1100" t="n">
        <v>1066.834</v>
      </c>
      <c r="K606" s="1100" t="n">
        <v>5.933874009870562</v>
      </c>
      <c r="L606" s="1100" t="n">
        <v>1058.498</v>
      </c>
      <c r="M606" s="1100" t="n">
        <v>5.887508058142102</v>
      </c>
      <c r="N606" s="755" t="inlineStr"/>
    </row>
    <row r="607">
      <c r="A607" s="776" t="inlineStr">
        <is>
          <t>January 2021</t>
        </is>
      </c>
      <c r="B607" s="1100" t="n">
        <v>2572.662</v>
      </c>
      <c r="C607" s="1100" t="n">
        <v>6.881134121375296</v>
      </c>
      <c r="D607" s="1100" t="n">
        <v>2558.553</v>
      </c>
      <c r="E607" s="1100" t="n">
        <v>6.843396586744441</v>
      </c>
      <c r="F607" s="1100" t="n">
        <v>1520.482</v>
      </c>
      <c r="G607" s="1100" t="n">
        <v>7.813738014210945</v>
      </c>
      <c r="H607" s="1100" t="n">
        <v>1514.777</v>
      </c>
      <c r="I607" s="1100" t="n">
        <v>7.784420090440013</v>
      </c>
      <c r="J607" s="1100" t="n">
        <v>1052.18</v>
      </c>
      <c r="K607" s="1100" t="n">
        <v>5.868889353212896</v>
      </c>
      <c r="L607" s="1100" t="n">
        <v>1043.776</v>
      </c>
      <c r="M607" s="1100" t="n">
        <v>5.822013204526929</v>
      </c>
      <c r="N607" s="755" t="inlineStr">
        <is>
          <t>5 week month</t>
        </is>
      </c>
    </row>
    <row r="608">
      <c r="A608" s="776" t="inlineStr">
        <is>
          <t>February 2021</t>
        </is>
      </c>
      <c r="B608" s="1100" t="n">
        <v>2650.448</v>
      </c>
      <c r="C608" s="1100" t="n">
        <v>7.089189395937326</v>
      </c>
      <c r="D608" s="1100" t="n">
        <v>2678.286999999999</v>
      </c>
      <c r="E608" s="1100" t="n">
        <v>7.163650748732586</v>
      </c>
      <c r="F608" s="1100" t="n">
        <v>1565.364</v>
      </c>
      <c r="G608" s="1100" t="n">
        <v>8.044386051842311</v>
      </c>
      <c r="H608" s="1100" t="n">
        <v>1588.103</v>
      </c>
      <c r="I608" s="1100" t="n">
        <v>8.16124148893735</v>
      </c>
      <c r="J608" s="1100" t="n">
        <v>1085.084</v>
      </c>
      <c r="K608" s="1100" t="n">
        <v>6.052422527458859</v>
      </c>
      <c r="L608" s="1100" t="n">
        <v>1090.184</v>
      </c>
      <c r="M608" s="1100" t="n">
        <v>6.080869500126449</v>
      </c>
      <c r="N608" s="755" t="inlineStr"/>
    </row>
    <row r="609">
      <c r="A609" s="776" t="inlineStr">
        <is>
          <t>March 2021</t>
        </is>
      </c>
      <c r="B609" s="1100" t="n">
        <v>2632.935</v>
      </c>
      <c r="C609" s="1100" t="n">
        <v>7.042347136103874</v>
      </c>
      <c r="D609" s="1100" t="n">
        <v>2675.318</v>
      </c>
      <c r="E609" s="1100" t="n">
        <v>7.155709523959816</v>
      </c>
      <c r="F609" s="1100" t="n">
        <v>1552.878</v>
      </c>
      <c r="G609" s="1100" t="n">
        <v>7.980220653734713</v>
      </c>
      <c r="H609" s="1100" t="n">
        <v>1584.261</v>
      </c>
      <c r="I609" s="1100" t="n">
        <v>8.141497498906165</v>
      </c>
      <c r="J609" s="1100" t="n">
        <v>1080.057</v>
      </c>
      <c r="K609" s="1100" t="n">
        <v>6.02438273694906</v>
      </c>
      <c r="L609" s="1100" t="n">
        <v>1091.057</v>
      </c>
      <c r="M609" s="1100" t="n">
        <v>6.085738952506608</v>
      </c>
      <c r="N609" s="755" t="inlineStr"/>
    </row>
    <row r="610">
      <c r="A610" s="776" t="inlineStr">
        <is>
          <t>April 2021</t>
        </is>
      </c>
      <c r="B610" s="1100" t="n">
        <v>2598.141</v>
      </c>
      <c r="C610" s="1100" t="n">
        <v>6.949283149999544</v>
      </c>
      <c r="D610" s="1100" t="n">
        <v>2629.477</v>
      </c>
      <c r="E610" s="1100" t="n">
        <v>7.03309797636516</v>
      </c>
      <c r="F610" s="1100" t="n">
        <v>1529.358</v>
      </c>
      <c r="G610" s="1100" t="n">
        <v>7.85935166739075</v>
      </c>
      <c r="H610" s="1100" t="n">
        <v>1555.673</v>
      </c>
      <c r="I610" s="1100" t="n">
        <v>7.994584123838087</v>
      </c>
      <c r="J610" s="1100" t="n">
        <v>1068.783</v>
      </c>
      <c r="K610" s="1100" t="n">
        <v>5.961498193840349</v>
      </c>
      <c r="L610" s="1100" t="n">
        <v>1073.804</v>
      </c>
      <c r="M610" s="1100" t="n">
        <v>5.989504517323481</v>
      </c>
      <c r="N610" s="755" t="inlineStr"/>
    </row>
    <row r="611">
      <c r="A611" s="776" t="inlineStr">
        <is>
          <t>May 2021</t>
        </is>
      </c>
      <c r="B611" s="1100" t="n">
        <v>2451.592000000001</v>
      </c>
      <c r="C611" s="1100" t="n">
        <v>6.557306541975085</v>
      </c>
      <c r="D611" s="1100" t="n">
        <v>2462.888</v>
      </c>
      <c r="E611" s="1100" t="n">
        <v>6.587520107159726</v>
      </c>
      <c r="F611" s="1100" t="n">
        <v>1446.49</v>
      </c>
      <c r="G611" s="1100" t="n">
        <v>7.433494050028868</v>
      </c>
      <c r="H611" s="1100" t="n">
        <v>1458.427</v>
      </c>
      <c r="I611" s="1100" t="n">
        <v>7.494838143990937</v>
      </c>
      <c r="J611" s="1100" t="n">
        <v>1005.102</v>
      </c>
      <c r="K611" s="1100" t="n">
        <v>5.606295906302143</v>
      </c>
      <c r="L611" s="1100" t="n">
        <v>1004.461</v>
      </c>
      <c r="M611" s="1100" t="n">
        <v>5.602720512286471</v>
      </c>
      <c r="N611" s="755" t="inlineStr">
        <is>
          <t>5 week month</t>
        </is>
      </c>
    </row>
    <row r="612">
      <c r="A612" s="776" t="inlineStr">
        <is>
          <t>June 2021</t>
        </is>
      </c>
      <c r="B612" s="1100" t="n">
        <v>2279.815</v>
      </c>
      <c r="C612" s="1100" t="n">
        <v>6.097852258447948</v>
      </c>
      <c r="D612" s="1100" t="n">
        <v>2286.001</v>
      </c>
      <c r="E612" s="1100" t="n">
        <v>6.114398036974172</v>
      </c>
      <c r="F612" s="1100" t="n">
        <v>1351.738</v>
      </c>
      <c r="G612" s="1100" t="n">
        <v>6.946564705043186</v>
      </c>
      <c r="H612" s="1100" t="n">
        <v>1356.04</v>
      </c>
      <c r="I612" s="1100" t="n">
        <v>6.968672629331102</v>
      </c>
      <c r="J612" s="1100" t="n">
        <v>928.0769999999999</v>
      </c>
      <c r="K612" s="1100" t="n">
        <v>5.17666295145485</v>
      </c>
      <c r="L612" s="1100" t="n">
        <v>929.961</v>
      </c>
      <c r="M612" s="1100" t="n">
        <v>5.187171597828526</v>
      </c>
      <c r="N612" s="755" t="inlineStr"/>
    </row>
    <row r="613">
      <c r="A613" s="776" t="inlineStr">
        <is>
          <t>July 2021</t>
        </is>
      </c>
      <c r="B613" s="1100" t="n">
        <v>2232.824999999999</v>
      </c>
      <c r="C613" s="1100" t="n">
        <v>5.97216746489037</v>
      </c>
      <c r="D613" s="1100" t="n">
        <v>2232.763</v>
      </c>
      <c r="E613" s="1100" t="n">
        <v>5.972001632645202</v>
      </c>
      <c r="F613" s="1100" t="n">
        <v>1322.449</v>
      </c>
      <c r="G613" s="1100" t="n">
        <v>6.796048899727354</v>
      </c>
      <c r="H613" s="1100" t="n">
        <v>1321.044</v>
      </c>
      <c r="I613" s="1100" t="n">
        <v>6.788828622269309</v>
      </c>
      <c r="J613" s="1100" t="n">
        <v>910.3759999999999</v>
      </c>
      <c r="K613" s="1100" t="n">
        <v>5.077929644947198</v>
      </c>
      <c r="L613" s="1100" t="n">
        <v>911.7190000000002</v>
      </c>
      <c r="M613" s="1100" t="n">
        <v>5.085420681082998</v>
      </c>
      <c r="N613" s="755" t="inlineStr"/>
    </row>
    <row r="614">
      <c r="A614" s="776" t="inlineStr">
        <is>
          <t>August 2021</t>
        </is>
      </c>
      <c r="B614" s="1100" t="n">
        <v>2146.757</v>
      </c>
      <c r="C614" s="1100" t="n">
        <v>5.741960212029899</v>
      </c>
      <c r="D614" s="1100" t="n">
        <v>2144.347</v>
      </c>
      <c r="E614" s="1100" t="n">
        <v>5.735514152177296</v>
      </c>
      <c r="F614" s="1100" t="n">
        <v>1267.259</v>
      </c>
      <c r="G614" s="1100" t="n">
        <v>6.512428178795243</v>
      </c>
      <c r="H614" s="1100" t="n">
        <v>1261.863</v>
      </c>
      <c r="I614" s="1100" t="n">
        <v>6.48469820216633</v>
      </c>
      <c r="J614" s="1100" t="n">
        <v>879.498</v>
      </c>
      <c r="K614" s="1100" t="n">
        <v>4.90569717003938</v>
      </c>
      <c r="L614" s="1100" t="n">
        <v>882.4839999999999</v>
      </c>
      <c r="M614" s="1100" t="n">
        <v>4.922352593644366</v>
      </c>
      <c r="N614" s="755" t="inlineStr">
        <is>
          <t>5 week month</t>
        </is>
      </c>
    </row>
    <row r="615">
      <c r="A615" s="776" t="inlineStr">
        <is>
          <t>September 2021</t>
        </is>
      </c>
      <c r="B615" s="1100" t="n">
        <v>2053.446</v>
      </c>
      <c r="C615" s="1100" t="n">
        <v>5.492380008334408</v>
      </c>
      <c r="D615" s="1100" t="n">
        <v>2032.688</v>
      </c>
      <c r="E615" s="1100" t="n">
        <v>5.436858302765813</v>
      </c>
      <c r="F615" s="1100" t="n">
        <v>1207.798</v>
      </c>
      <c r="G615" s="1100" t="n">
        <v>6.206858842188169</v>
      </c>
      <c r="H615" s="1100" t="n">
        <v>1189.692</v>
      </c>
      <c r="I615" s="1100" t="n">
        <v>6.11381233424838</v>
      </c>
      <c r="J615" s="1100" t="n">
        <v>845.6480000000001</v>
      </c>
      <c r="K615" s="1100" t="n">
        <v>4.71688736125547</v>
      </c>
      <c r="L615" s="1100" t="n">
        <v>842.996</v>
      </c>
      <c r="M615" s="1100" t="n">
        <v>4.702094935468321</v>
      </c>
      <c r="N615" s="755" t="inlineStr"/>
    </row>
    <row r="616">
      <c r="A616" s="776" t="inlineStr">
        <is>
          <t>October 2021</t>
        </is>
      </c>
      <c r="B616" s="1100" t="n">
        <v>1985.881</v>
      </c>
      <c r="C616" s="1100" t="n">
        <v>5.311662981802852</v>
      </c>
      <c r="D616" s="1100" t="n">
        <v>1957.76</v>
      </c>
      <c r="E616" s="1100" t="n">
        <v>5.236447359763427</v>
      </c>
      <c r="F616" s="1100" t="n">
        <v>1168.132</v>
      </c>
      <c r="G616" s="1100" t="n">
        <v>6.003015763433081</v>
      </c>
      <c r="H616" s="1100" t="n">
        <v>1143.884</v>
      </c>
      <c r="I616" s="1100" t="n">
        <v>5.878405594178473</v>
      </c>
      <c r="J616" s="1100" t="n">
        <v>817.749</v>
      </c>
      <c r="K616" s="1100" t="n">
        <v>4.56127126508819</v>
      </c>
      <c r="L616" s="1100" t="n">
        <v>813.876</v>
      </c>
      <c r="M616" s="1100" t="n">
        <v>4.539668299374156</v>
      </c>
      <c r="N616" s="755" t="inlineStr">
        <is>
          <t>5 week month</t>
        </is>
      </c>
    </row>
    <row r="617">
      <c r="A617" s="776" t="inlineStr">
        <is>
          <t>November 2021</t>
        </is>
      </c>
      <c r="B617" s="1100" t="n">
        <v>1909.51</v>
      </c>
      <c r="C617" s="1100" t="n">
        <v>5.107392427029799</v>
      </c>
      <c r="D617" s="1100" t="n">
        <v>1881.742</v>
      </c>
      <c r="E617" s="1100" t="n">
        <v>5.033120978902393</v>
      </c>
      <c r="F617" s="1100" t="n">
        <v>1124.037</v>
      </c>
      <c r="G617" s="1100" t="n">
        <v>5.776412108975724</v>
      </c>
      <c r="H617" s="1100" t="n">
        <v>1101.182</v>
      </c>
      <c r="I617" s="1100" t="n">
        <v>5.658960549328987</v>
      </c>
      <c r="J617" s="1100" t="n">
        <v>785.473</v>
      </c>
      <c r="K617" s="1100" t="n">
        <v>4.381240972966786</v>
      </c>
      <c r="L617" s="1100" t="n">
        <v>780.5599999999998</v>
      </c>
      <c r="M617" s="1100" t="n">
        <v>4.353837055963672</v>
      </c>
      <c r="N617" s="755" t="inlineStr"/>
    </row>
    <row r="618">
      <c r="A618" s="776" t="inlineStr">
        <is>
          <t>December 2021</t>
        </is>
      </c>
      <c r="B618" s="1100" t="n">
        <v>1840.327</v>
      </c>
      <c r="C618" s="1100" t="n">
        <v>4.922347713842017</v>
      </c>
      <c r="D618" s="1100" t="n">
        <v>1815.338</v>
      </c>
      <c r="E618" s="1100" t="n">
        <v>4.855509294897342</v>
      </c>
      <c r="F618" s="1100" t="n">
        <v>1083.293</v>
      </c>
      <c r="G618" s="1100" t="n">
        <v>5.567029201679873</v>
      </c>
      <c r="H618" s="1100" t="n">
        <v>1065.487</v>
      </c>
      <c r="I618" s="1100" t="n">
        <v>5.475524389994472</v>
      </c>
      <c r="J618" s="1100" t="n">
        <v>757.034</v>
      </c>
      <c r="K618" s="1100" t="n">
        <v>4.22261284439941</v>
      </c>
      <c r="L618" s="1100" t="n">
        <v>749.8510000000001</v>
      </c>
      <c r="M618" s="1100" t="n">
        <v>4.182547235640331</v>
      </c>
      <c r="N618" s="755" t="inlineStr"/>
    </row>
    <row r="619">
      <c r="A619" s="776" t="inlineStr">
        <is>
          <t>January 2022</t>
        </is>
      </c>
      <c r="B619" s="1100" t="n">
        <v>1797.343</v>
      </c>
      <c r="C619" s="1100" t="n">
        <v>4.792031399439121</v>
      </c>
      <c r="D619" s="1100" t="n">
        <v>1777.484</v>
      </c>
      <c r="E619" s="1100" t="n">
        <v>4.739083825402635</v>
      </c>
      <c r="F619" s="1100" t="n">
        <v>1053.361</v>
      </c>
      <c r="G619" s="1100" t="n">
        <v>5.408014199566295</v>
      </c>
      <c r="H619" s="1100" t="n">
        <v>1045.348</v>
      </c>
      <c r="I619" s="1100" t="n">
        <v>5.366875010075585</v>
      </c>
      <c r="J619" s="1100" t="n">
        <v>743.9820000000001</v>
      </c>
      <c r="K619" s="1100" t="n">
        <v>4.126554275984637</v>
      </c>
      <c r="L619" s="1100" t="n">
        <v>732.1360000000001</v>
      </c>
      <c r="M619" s="1100" t="n">
        <v>4.06084951168481</v>
      </c>
      <c r="N619" s="755" t="inlineStr">
        <is>
          <t>5 week month</t>
        </is>
      </c>
    </row>
    <row r="620">
      <c r="A620" s="776" t="inlineStr">
        <is>
          <t>February 2022</t>
        </is>
      </c>
      <c r="B620" s="1100" t="n">
        <v>1743.508</v>
      </c>
      <c r="C620" s="1100" t="n">
        <v>4.648497855541934</v>
      </c>
      <c r="D620" s="1100" t="n">
        <v>1776.879</v>
      </c>
      <c r="E620" s="1100" t="n">
        <v>4.737470789384101</v>
      </c>
      <c r="F620" s="1100" t="n">
        <v>1021.356</v>
      </c>
      <c r="G620" s="1100" t="n">
        <v>5.243698742228195</v>
      </c>
      <c r="H620" s="1100" t="n">
        <v>1044.735</v>
      </c>
      <c r="I620" s="1100" t="n">
        <v>5.363727833842239</v>
      </c>
      <c r="J620" s="1100" t="n">
        <v>722.1520000000002</v>
      </c>
      <c r="K620" s="1100" t="n">
        <v>4.005472475827181</v>
      </c>
      <c r="L620" s="1100" t="n">
        <v>732.144</v>
      </c>
      <c r="M620" s="1100" t="n">
        <v>4.060893884309696</v>
      </c>
      <c r="N620" s="755" t="inlineStr"/>
    </row>
    <row r="621">
      <c r="A621" s="776" t="inlineStr">
        <is>
          <t>March 2022</t>
        </is>
      </c>
      <c r="B621" s="1100" t="n">
        <v>1673.987</v>
      </c>
      <c r="C621" s="1100" t="n">
        <v>4.463142686873288</v>
      </c>
      <c r="D621" s="1100" t="n">
        <v>1717.671</v>
      </c>
      <c r="E621" s="1100" t="n">
        <v>4.579611885937183</v>
      </c>
      <c r="F621" s="1100" t="n">
        <v>978.524</v>
      </c>
      <c r="G621" s="1100" t="n">
        <v>5.023796862249894</v>
      </c>
      <c r="H621" s="1100" t="n">
        <v>1008.082</v>
      </c>
      <c r="I621" s="1100" t="n">
        <v>5.175549284933835</v>
      </c>
      <c r="J621" s="1100" t="n">
        <v>695.463</v>
      </c>
      <c r="K621" s="1100" t="n">
        <v>3.857439852629638</v>
      </c>
      <c r="L621" s="1100" t="n">
        <v>709.5889999999999</v>
      </c>
      <c r="M621" s="1100" t="n">
        <v>3.935790815021953</v>
      </c>
      <c r="N621" s="755" t="inlineStr"/>
    </row>
    <row r="622">
      <c r="A622" s="776" t="inlineStr">
        <is>
          <t>April 2022</t>
        </is>
      </c>
      <c r="B622" s="1100" t="n">
        <v>1596.661</v>
      </c>
      <c r="C622" s="1100" t="n">
        <v>4.256978020477932</v>
      </c>
      <c r="D622" s="1100" t="n">
        <v>1632.185</v>
      </c>
      <c r="E622" s="1100" t="n">
        <v>4.351691229605892</v>
      </c>
      <c r="F622" s="1100" t="n">
        <v>937.2579999999999</v>
      </c>
      <c r="G622" s="1100" t="n">
        <v>4.811934913725785</v>
      </c>
      <c r="H622" s="1100" t="n">
        <v>962.7420000000001</v>
      </c>
      <c r="I622" s="1100" t="n">
        <v>4.942771192894796</v>
      </c>
      <c r="J622" s="1100" t="n">
        <v>659.403</v>
      </c>
      <c r="K622" s="1100" t="n">
        <v>3.65743024595635</v>
      </c>
      <c r="L622" s="1100" t="n">
        <v>669.443</v>
      </c>
      <c r="M622" s="1100" t="n">
        <v>3.713117890188181</v>
      </c>
      <c r="N622" s="755" t="inlineStr">
        <is>
          <t>5 week month</t>
        </is>
      </c>
    </row>
    <row r="623">
      <c r="A623" s="776" t="inlineStr">
        <is>
          <t>May 2022</t>
        </is>
      </c>
      <c r="B623" s="1100" t="n">
        <v>1576.823</v>
      </c>
      <c r="C623" s="1100" t="n">
        <v>4.204086436121427</v>
      </c>
      <c r="D623" s="1100" t="n">
        <v>1582.219</v>
      </c>
      <c r="E623" s="1100" t="n">
        <v>4.218473117701612</v>
      </c>
      <c r="F623" s="1100" t="n">
        <v>924.1629999999999</v>
      </c>
      <c r="G623" s="1100" t="n">
        <v>4.744704452427786</v>
      </c>
      <c r="H623" s="1100" t="n">
        <v>933.341</v>
      </c>
      <c r="I623" s="1100" t="n">
        <v>4.79182481697861</v>
      </c>
      <c r="J623" s="1100" t="n">
        <v>652.66</v>
      </c>
      <c r="K623" s="1100" t="n">
        <v>3.62002966975563</v>
      </c>
      <c r="L623" s="1100" t="n">
        <v>648.878</v>
      </c>
      <c r="M623" s="1100" t="n">
        <v>3.599052511340811</v>
      </c>
      <c r="N623" s="755" t="inlineStr"/>
    </row>
    <row r="624">
      <c r="A624" s="776" t="inlineStr">
        <is>
          <t>June 2022</t>
        </is>
      </c>
      <c r="B624" s="1100" t="n">
        <v>1554.067</v>
      </c>
      <c r="C624" s="1100" t="n">
        <v>4.143414952422636</v>
      </c>
      <c r="D624" s="1100" t="n">
        <v>1548.514</v>
      </c>
      <c r="E624" s="1100" t="n">
        <v>4.128609681330205</v>
      </c>
      <c r="F624" s="1100" t="n">
        <v>911.823</v>
      </c>
      <c r="G624" s="1100" t="n">
        <v>4.681350203293209</v>
      </c>
      <c r="H624" s="1100" t="n">
        <v>910.8550000000001</v>
      </c>
      <c r="I624" s="1100" t="n">
        <v>4.67638043723468</v>
      </c>
      <c r="J624" s="1100" t="n">
        <v>642.2439999999999</v>
      </c>
      <c r="K624" s="1100" t="n">
        <v>3.562256512154161</v>
      </c>
      <c r="L624" s="1100" t="n">
        <v>637.6589999999999</v>
      </c>
      <c r="M624" s="1100" t="n">
        <v>3.536825451516417</v>
      </c>
      <c r="N624" s="755" t="inlineStr"/>
    </row>
    <row r="625">
      <c r="A625" s="776" t="inlineStr">
        <is>
          <t>July 2022</t>
        </is>
      </c>
      <c r="B625" s="1100" t="n">
        <v>1525.01</v>
      </c>
      <c r="C625" s="1100" t="n">
        <v>4.065943898553951</v>
      </c>
      <c r="D625" s="1100" t="n">
        <v>1523.343</v>
      </c>
      <c r="E625" s="1100" t="n">
        <v>4.061499384433461</v>
      </c>
      <c r="F625" s="1100" t="n">
        <v>894.2439999999999</v>
      </c>
      <c r="G625" s="1100" t="n">
        <v>4.591098635583586</v>
      </c>
      <c r="H625" s="1100" t="n">
        <v>892.123</v>
      </c>
      <c r="I625" s="1100" t="n">
        <v>4.580209303135091</v>
      </c>
      <c r="J625" s="1100" t="n">
        <v>630.766</v>
      </c>
      <c r="K625" s="1100" t="n">
        <v>3.498592888599086</v>
      </c>
      <c r="L625" s="1100" t="n">
        <v>631.22</v>
      </c>
      <c r="M625" s="1100" t="n">
        <v>3.501111035061363</v>
      </c>
      <c r="N625" s="755" t="inlineStr">
        <is>
          <t>5 week month</t>
        </is>
      </c>
    </row>
    <row r="626">
      <c r="A626" s="776" t="inlineStr">
        <is>
          <t>August 2022</t>
        </is>
      </c>
      <c r="B626" s="1100" t="n">
        <v>1521.215</v>
      </c>
      <c r="C626" s="1100" t="n">
        <v>4.0558257635286</v>
      </c>
      <c r="D626" s="1100" t="n">
        <v>1520.044</v>
      </c>
      <c r="E626" s="1100" t="n">
        <v>4.052703672325783</v>
      </c>
      <c r="F626" s="1100" t="n">
        <v>890.2349999999999</v>
      </c>
      <c r="G626" s="1100" t="n">
        <v>4.570516205698617</v>
      </c>
      <c r="H626" s="1100" t="n">
        <v>886.1610000000001</v>
      </c>
      <c r="I626" s="1100" t="n">
        <v>4.549600062183684</v>
      </c>
      <c r="J626" s="1100" t="n">
        <v>630.98</v>
      </c>
      <c r="K626" s="1100" t="n">
        <v>3.499779856314785</v>
      </c>
      <c r="L626" s="1100" t="n">
        <v>633.8829999999999</v>
      </c>
      <c r="M626" s="1100" t="n">
        <v>3.515881572570263</v>
      </c>
      <c r="N626" s="755" t="inlineStr"/>
    </row>
    <row r="627">
      <c r="A627" s="776" t="inlineStr">
        <is>
          <t>September 2022</t>
        </is>
      </c>
      <c r="B627" s="1100" t="n">
        <v>1520.874</v>
      </c>
      <c r="C627" s="1100" t="n">
        <v>4.054916597772698</v>
      </c>
      <c r="D627" s="1100" t="n">
        <v>1509.889</v>
      </c>
      <c r="E627" s="1100" t="n">
        <v>4.025628662791542</v>
      </c>
      <c r="F627" s="1100" t="n">
        <v>888.8819999999999</v>
      </c>
      <c r="G627" s="1100" t="n">
        <v>4.563569828139534</v>
      </c>
      <c r="H627" s="1100" t="n">
        <v>877.307</v>
      </c>
      <c r="I627" s="1100" t="n">
        <v>4.504143131726832</v>
      </c>
      <c r="J627" s="1100" t="n">
        <v>631.992</v>
      </c>
      <c r="K627" s="1100" t="n">
        <v>3.505392993362854</v>
      </c>
      <c r="L627" s="1100" t="n">
        <v>632.582</v>
      </c>
      <c r="M627" s="1100" t="n">
        <v>3.50866547444819</v>
      </c>
      <c r="N627" s="755" t="inlineStr"/>
    </row>
    <row r="628">
      <c r="A628" s="776" t="inlineStr">
        <is>
          <t>October 2022</t>
        </is>
      </c>
      <c r="B628" s="1100" t="n">
        <v>1509.927</v>
      </c>
      <c r="C628" s="1100" t="n">
        <v>4.025729977450556</v>
      </c>
      <c r="D628" s="1100" t="n">
        <v>1489.347</v>
      </c>
      <c r="E628" s="1100" t="n">
        <v>3.970860091068014</v>
      </c>
      <c r="F628" s="1100" t="n">
        <v>881.2299999999999</v>
      </c>
      <c r="G628" s="1100" t="n">
        <v>4.524284032809081</v>
      </c>
      <c r="H628" s="1100" t="n">
        <v>863.505</v>
      </c>
      <c r="I628" s="1100" t="n">
        <v>4.433282892946002</v>
      </c>
      <c r="J628" s="1100" t="n">
        <v>628.697</v>
      </c>
      <c r="K628" s="1100" t="n">
        <v>3.487117018487965</v>
      </c>
      <c r="L628" s="1100" t="n">
        <v>625.8419999999999</v>
      </c>
      <c r="M628" s="1100" t="n">
        <v>3.471281537981801</v>
      </c>
      <c r="N628" s="755" t="inlineStr">
        <is>
          <t>5 week month</t>
        </is>
      </c>
    </row>
    <row r="629">
      <c r="A629" s="776" t="inlineStr">
        <is>
          <t>November 2022</t>
        </is>
      </c>
      <c r="B629" s="1100" t="n">
        <v>1522.423</v>
      </c>
      <c r="C629" s="1100" t="n">
        <v>4.059046503215194</v>
      </c>
      <c r="D629" s="1100" t="n">
        <v>1504.023</v>
      </c>
      <c r="E629" s="1100" t="n">
        <v>4.009988878849851</v>
      </c>
      <c r="F629" s="1100" t="n">
        <v>881.6360000000001</v>
      </c>
      <c r="G629" s="1100" t="n">
        <v>4.526368459482391</v>
      </c>
      <c r="H629" s="1100" t="n">
        <v>865.658</v>
      </c>
      <c r="I629" s="1100" t="n">
        <v>4.444336515181558</v>
      </c>
      <c r="J629" s="1100" t="n">
        <v>640.7869999999999</v>
      </c>
      <c r="K629" s="1100" t="n">
        <v>3.554175147846812</v>
      </c>
      <c r="L629" s="1100" t="n">
        <v>638.365</v>
      </c>
      <c r="M629" s="1100" t="n">
        <v>3.540741335662601</v>
      </c>
      <c r="N629" s="755" t="inlineStr"/>
    </row>
    <row r="630">
      <c r="A630" s="776" t="inlineStr">
        <is>
          <t>December 2022</t>
        </is>
      </c>
      <c r="B630" s="1100" t="n">
        <v>1536.61</v>
      </c>
      <c r="C630" s="1100" t="n">
        <v>4.096871531306017</v>
      </c>
      <c r="D630" s="1100" t="n">
        <v>1515.229</v>
      </c>
      <c r="E630" s="1100" t="n">
        <v>4.039866038558439</v>
      </c>
      <c r="F630" s="1100" t="n">
        <v>882.5950000000001</v>
      </c>
      <c r="G630" s="1100" t="n">
        <v>4.531292019038312</v>
      </c>
      <c r="H630" s="1100" t="n">
        <v>868.5069999999999</v>
      </c>
      <c r="I630" s="1100" t="n">
        <v>4.458963440285642</v>
      </c>
      <c r="J630" s="1100" t="n">
        <v>654.0149999999999</v>
      </c>
      <c r="K630" s="1100" t="n">
        <v>3.627545283095682</v>
      </c>
      <c r="L630" s="1100" t="n">
        <v>646.7219999999999</v>
      </c>
      <c r="M630" s="1100" t="n">
        <v>3.587094088934055</v>
      </c>
      <c r="N630" s="755" t="inlineStr"/>
    </row>
    <row r="631">
      <c r="A631" s="776" t="inlineStr">
        <is>
          <t>January 2023</t>
        </is>
      </c>
      <c r="B631" s="1100" t="n">
        <v>1520.828</v>
      </c>
      <c r="C631" s="1100" t="n">
        <v>4.01473153376288</v>
      </c>
      <c r="D631" s="1100" t="n">
        <v>1502.838</v>
      </c>
      <c r="E631" s="1100" t="n">
        <v>3.967240942918685</v>
      </c>
      <c r="F631" s="1100" t="n">
        <v>874.8120000000001</v>
      </c>
      <c r="G631" s="1100" t="n">
        <v>4.481724926071509</v>
      </c>
      <c r="H631" s="1100" t="n">
        <v>868.068</v>
      </c>
      <c r="I631" s="1100" t="n">
        <v>4.447174928013153</v>
      </c>
      <c r="J631" s="1100" t="n">
        <v>646.0160000000001</v>
      </c>
      <c r="K631" s="1100" t="n">
        <v>3.518289478342088</v>
      </c>
      <c r="L631" s="1100" t="n">
        <v>634.7699999999999</v>
      </c>
      <c r="M631" s="1100" t="n">
        <v>3.457042259274084</v>
      </c>
      <c r="N631" s="755" t="inlineStr">
        <is>
          <t>5 week month</t>
        </is>
      </c>
    </row>
    <row r="632">
      <c r="A632" s="776" t="inlineStr">
        <is>
          <t>February 2023</t>
        </is>
      </c>
      <c r="B632" s="1100" t="n">
        <v>1503.932</v>
      </c>
      <c r="C632" s="1100" t="n">
        <v>3.970128919927221</v>
      </c>
      <c r="D632" s="1100" t="n">
        <v>1526.542</v>
      </c>
      <c r="E632" s="1100" t="n">
        <v>4.029815537992103</v>
      </c>
      <c r="F632" s="1100" t="n">
        <v>867.2139999999998</v>
      </c>
      <c r="G632" s="1100" t="n">
        <v>4.442799824463058</v>
      </c>
      <c r="H632" s="1100" t="n">
        <v>884.0459999999999</v>
      </c>
      <c r="I632" s="1100" t="n">
        <v>4.529031373590911</v>
      </c>
      <c r="J632" s="1100" t="n">
        <v>636.718</v>
      </c>
      <c r="K632" s="1100" t="n">
        <v>3.467651327631231</v>
      </c>
      <c r="L632" s="1100" t="n">
        <v>642.496</v>
      </c>
      <c r="M632" s="1100" t="n">
        <v>3.499119087881536</v>
      </c>
      <c r="N632" s="755" t="inlineStr"/>
    </row>
    <row r="633">
      <c r="A633" s="776" t="inlineStr">
        <is>
          <t>March 2023</t>
        </is>
      </c>
      <c r="B633" s="1100" t="n">
        <v>1524.754</v>
      </c>
      <c r="C633" s="1100" t="n">
        <v>4.025095517067733</v>
      </c>
      <c r="D633" s="1100" t="n">
        <v>1557.919</v>
      </c>
      <c r="E633" s="1100" t="n">
        <v>4.112645569616243</v>
      </c>
      <c r="F633" s="1100" t="n">
        <v>869.105</v>
      </c>
      <c r="G633" s="1100" t="n">
        <v>4.452487553752553</v>
      </c>
      <c r="H633" s="1100" t="n">
        <v>892.0369999999999</v>
      </c>
      <c r="I633" s="1100" t="n">
        <v>4.569969842523936</v>
      </c>
      <c r="J633" s="1100" t="n">
        <v>655.649</v>
      </c>
      <c r="K633" s="1100" t="n">
        <v>3.570752083826889</v>
      </c>
      <c r="L633" s="1100" t="n">
        <v>665.8819999999999</v>
      </c>
      <c r="M633" s="1100" t="n">
        <v>3.62648236950383</v>
      </c>
      <c r="N633" s="755" t="inlineStr"/>
    </row>
    <row r="634">
      <c r="A634" s="776" t="inlineStr">
        <is>
          <t>April 2023</t>
        </is>
      </c>
      <c r="B634" s="1100" t="n">
        <v>1556.516</v>
      </c>
      <c r="C634" s="1100" t="n">
        <v>4.108941884293596</v>
      </c>
      <c r="D634" s="1100" t="n">
        <v>1584.457</v>
      </c>
      <c r="E634" s="1100" t="n">
        <v>4.182701450651441</v>
      </c>
      <c r="F634" s="1100" t="n">
        <v>875.2749999999999</v>
      </c>
      <c r="G634" s="1100" t="n">
        <v>4.484096908441173</v>
      </c>
      <c r="H634" s="1100" t="n">
        <v>895.545</v>
      </c>
      <c r="I634" s="1100" t="n">
        <v>4.587941579355003</v>
      </c>
      <c r="J634" s="1100" t="n">
        <v>681.2409999999999</v>
      </c>
      <c r="K634" s="1100" t="n">
        <v>3.710129536288949</v>
      </c>
      <c r="L634" s="1100" t="n">
        <v>688.912</v>
      </c>
      <c r="M634" s="1100" t="n">
        <v>3.751906827545455</v>
      </c>
      <c r="N634" s="755" t="inlineStr">
        <is>
          <t>5 week month</t>
        </is>
      </c>
    </row>
    <row r="635">
      <c r="A635" s="776" t="inlineStr">
        <is>
          <t>May 2023</t>
        </is>
      </c>
      <c r="B635" s="1100" t="n">
        <v>1527.66</v>
      </c>
      <c r="C635" s="1100" t="n">
        <v>4.032766870986201</v>
      </c>
      <c r="D635" s="1100" t="n">
        <v>1529.096</v>
      </c>
      <c r="E635" s="1100" t="n">
        <v>4.036557670788994</v>
      </c>
      <c r="F635" s="1100" t="n">
        <v>866.1130000000001</v>
      </c>
      <c r="G635" s="1100" t="n">
        <v>4.437159322111005</v>
      </c>
      <c r="H635" s="1100" t="n">
        <v>873.0169999999999</v>
      </c>
      <c r="I635" s="1100" t="n">
        <v>4.472529011700994</v>
      </c>
      <c r="J635" s="1100" t="n">
        <v>661.547</v>
      </c>
      <c r="K635" s="1100" t="n">
        <v>3.602873380115621</v>
      </c>
      <c r="L635" s="1100" t="n">
        <v>656.079</v>
      </c>
      <c r="M635" s="1100" t="n">
        <v>3.573093921297923</v>
      </c>
      <c r="N635" s="755" t="inlineStr"/>
    </row>
    <row r="636">
      <c r="A636" s="776" t="inlineStr">
        <is>
          <t>June 2023</t>
        </is>
      </c>
      <c r="B636" s="1100" t="n">
        <v>1542.051</v>
      </c>
      <c r="C636" s="1100" t="n">
        <v>4.070756703828824</v>
      </c>
      <c r="D636" s="1100" t="n">
        <v>1536.465</v>
      </c>
      <c r="E636" s="1100" t="n">
        <v>4.056010598189266</v>
      </c>
      <c r="F636" s="1100" t="n">
        <v>876.313</v>
      </c>
      <c r="G636" s="1100" t="n">
        <v>4.489414657252646</v>
      </c>
      <c r="H636" s="1100" t="n">
        <v>874.6730000000001</v>
      </c>
      <c r="I636" s="1100" t="n">
        <v>4.481012819053403</v>
      </c>
      <c r="J636" s="1100" t="n">
        <v>665.7379999999999</v>
      </c>
      <c r="K636" s="1100" t="n">
        <v>3.625698126257716</v>
      </c>
      <c r="L636" s="1100" t="n">
        <v>661.792</v>
      </c>
      <c r="M636" s="1100" t="n">
        <v>3.604207682860745</v>
      </c>
      <c r="N636" s="755" t="inlineStr"/>
    </row>
    <row r="637">
      <c r="A637" s="776" t="inlineStr">
        <is>
          <t>July 2023</t>
        </is>
      </c>
      <c r="B637" s="1100" t="n">
        <v>1541.509</v>
      </c>
      <c r="C637" s="1100" t="n">
        <v>4.069325914488215</v>
      </c>
      <c r="D637" s="1100" t="n">
        <v>1545.735</v>
      </c>
      <c r="E637" s="1100" t="n">
        <v>4.080481847612594</v>
      </c>
      <c r="F637" s="1100" t="n">
        <v>870.8339999999998</v>
      </c>
      <c r="G637" s="1100" t="n">
        <v>4.461345345366268</v>
      </c>
      <c r="H637" s="1100" t="n">
        <v>871.0089999999999</v>
      </c>
      <c r="I637" s="1100" t="n">
        <v>4.462241882978992</v>
      </c>
      <c r="J637" s="1100" t="n">
        <v>670.6750000000001</v>
      </c>
      <c r="K637" s="1100" t="n">
        <v>3.652585688105372</v>
      </c>
      <c r="L637" s="1100" t="n">
        <v>674.7260000000001</v>
      </c>
      <c r="M637" s="1100" t="n">
        <v>3.674647975535968</v>
      </c>
      <c r="N637" s="755" t="inlineStr">
        <is>
          <t>5 week month</t>
        </is>
      </c>
    </row>
    <row r="638">
      <c r="A638" s="776" t="inlineStr">
        <is>
          <t>August 2023</t>
        </is>
      </c>
      <c r="B638" s="1100" t="n">
        <v>1527.54</v>
      </c>
      <c r="C638" s="1100" t="n">
        <v>4.03245009105839</v>
      </c>
      <c r="D638" s="1100" t="n">
        <v>1529.754</v>
      </c>
      <c r="E638" s="1100" t="n">
        <v>4.038294680726487</v>
      </c>
      <c r="F638" s="1100" t="n">
        <v>864.6220000000001</v>
      </c>
      <c r="G638" s="1100" t="n">
        <v>4.429520821650595</v>
      </c>
      <c r="H638" s="1100" t="n">
        <v>861.9170000000001</v>
      </c>
      <c r="I638" s="1100" t="n">
        <v>4.415662911693915</v>
      </c>
      <c r="J638" s="1100" t="n">
        <v>662.918</v>
      </c>
      <c r="K638" s="1100" t="n">
        <v>3.61034002935466</v>
      </c>
      <c r="L638" s="1100" t="n">
        <v>667.837</v>
      </c>
      <c r="M638" s="1100" t="n">
        <v>3.637129560796552</v>
      </c>
      <c r="N638" s="755" t="inlineStr"/>
    </row>
    <row r="639">
      <c r="A639" s="776" t="inlineStr">
        <is>
          <t>September 2023</t>
        </is>
      </c>
      <c r="B639" s="1100" t="n">
        <v>1529.064</v>
      </c>
      <c r="C639" s="1100" t="n">
        <v>4.036473196141578</v>
      </c>
      <c r="D639" s="1100" t="n">
        <v>1523.974</v>
      </c>
      <c r="E639" s="1100" t="n">
        <v>4.023036447536968</v>
      </c>
      <c r="F639" s="1100" t="n">
        <v>864.4599999999998</v>
      </c>
      <c r="G639" s="1100" t="n">
        <v>4.428690883974814</v>
      </c>
      <c r="H639" s="1100" t="n">
        <v>855.482</v>
      </c>
      <c r="I639" s="1100" t="n">
        <v>4.382695942906026</v>
      </c>
      <c r="J639" s="1100" t="n">
        <v>664.604</v>
      </c>
      <c r="K639" s="1100" t="n">
        <v>3.619522210694573</v>
      </c>
      <c r="L639" s="1100" t="n">
        <v>668.4920000000001</v>
      </c>
      <c r="M639" s="1100" t="n">
        <v>3.640696778339638</v>
      </c>
      <c r="N639" s="755" t="inlineStr">
        <is>
          <t>5 week month</t>
        </is>
      </c>
    </row>
    <row r="640">
      <c r="A640" s="776" t="inlineStr">
        <is>
          <t>October 2023</t>
        </is>
      </c>
      <c r="B640" s="1100" t="n">
        <v>1539.098</v>
      </c>
      <c r="C640" s="1100" t="n">
        <v>4.062961277771964</v>
      </c>
      <c r="D640" s="1100" t="n">
        <v>1524.926</v>
      </c>
      <c r="E640" s="1100" t="n">
        <v>4.025549568297595</v>
      </c>
      <c r="F640" s="1100" t="n">
        <v>870.1990000000001</v>
      </c>
      <c r="G640" s="1100" t="n">
        <v>4.458092194600098</v>
      </c>
      <c r="H640" s="1100" t="n">
        <v>856.4380000000001</v>
      </c>
      <c r="I640" s="1100" t="n">
        <v>4.387593599807537</v>
      </c>
      <c r="J640" s="1100" t="n">
        <v>668.899</v>
      </c>
      <c r="K640" s="1100" t="n">
        <v>3.642913354736638</v>
      </c>
      <c r="L640" s="1100" t="n">
        <v>668.4880000000001</v>
      </c>
      <c r="M640" s="1100" t="n">
        <v>3.640674993805023</v>
      </c>
      <c r="N640" s="755" t="inlineStr"/>
    </row>
    <row r="641">
      <c r="A641" s="776" t="inlineStr">
        <is>
          <t>November 2023</t>
        </is>
      </c>
      <c r="B641" s="1100" t="n">
        <v>1551.91</v>
      </c>
      <c r="C641" s="1100" t="n">
        <v>4.096782814731153</v>
      </c>
      <c r="D641" s="1100" t="n">
        <v>1535.899</v>
      </c>
      <c r="E641" s="1100" t="n">
        <v>4.054516452863094</v>
      </c>
      <c r="F641" s="1100" t="n">
        <v>875.8209999999999</v>
      </c>
      <c r="G641" s="1100" t="n">
        <v>4.486894105792872</v>
      </c>
      <c r="H641" s="1100" t="n">
        <v>862.0719999999999</v>
      </c>
      <c r="I641" s="1100" t="n">
        <v>4.416456987865184</v>
      </c>
      <c r="J641" s="1100" t="n">
        <v>676.0889999999999</v>
      </c>
      <c r="K641" s="1100" t="n">
        <v>3.682071055705778</v>
      </c>
      <c r="L641" s="1100" t="n">
        <v>673.827</v>
      </c>
      <c r="M641" s="1100" t="n">
        <v>3.669751901381412</v>
      </c>
      <c r="N641" s="755" t="inlineStr"/>
      <c r="O641" s="275" t="n"/>
    </row>
    <row r="642">
      <c r="A642" s="776" t="inlineStr">
        <is>
          <t>December 2023</t>
        </is>
      </c>
      <c r="B642" s="1100" t="n">
        <v>1565.313</v>
      </c>
      <c r="C642" s="1100" t="n">
        <v>4.132164492834808</v>
      </c>
      <c r="D642" s="1100" t="n">
        <v>1543.463</v>
      </c>
      <c r="E642" s="1100" t="n">
        <v>4.074484147646056</v>
      </c>
      <c r="F642" s="1100" t="n">
        <v>880.5650000000001</v>
      </c>
      <c r="G642" s="1100" t="n">
        <v>4.511197959705808</v>
      </c>
      <c r="H642" s="1100" t="n">
        <v>866.663</v>
      </c>
      <c r="I642" s="1100" t="n">
        <v>4.439977011750996</v>
      </c>
      <c r="J642" s="1100" t="n">
        <v>684.7479999999999</v>
      </c>
      <c r="K642" s="1100" t="n">
        <v>3.729229127012005</v>
      </c>
      <c r="L642" s="1100" t="n">
        <v>676.8000000000001</v>
      </c>
      <c r="M642" s="1100" t="n">
        <v>3.685943256733464</v>
      </c>
      <c r="N642" s="755" t="inlineStr">
        <is>
          <t>5 week month</t>
        </is>
      </c>
      <c r="O642" s="275" t="n"/>
    </row>
    <row r="643">
      <c r="A643" s="776" t="inlineStr">
        <is>
          <t>January 2024</t>
        </is>
      </c>
      <c r="B643" s="1100" t="n">
        <v>1569.217</v>
      </c>
      <c r="C643" s="1100" t="n">
        <v>4.091271705835849</v>
      </c>
      <c r="D643" s="1100" t="n">
        <v>1551.986</v>
      </c>
      <c r="E643" s="1100" t="n">
        <v>4.046346942235112</v>
      </c>
      <c r="F643" s="1100" t="n">
        <v>885.5129999999999</v>
      </c>
      <c r="G643" s="1100" t="n">
        <v>4.483101890373034</v>
      </c>
      <c r="H643" s="1100" t="n">
        <v>879.9299999999999</v>
      </c>
      <c r="I643" s="1100" t="n">
        <v>4.454836740280431</v>
      </c>
      <c r="J643" s="1100" t="n">
        <v>683.7040000000001</v>
      </c>
      <c r="K643" s="1100" t="n">
        <v>3.675235374683405</v>
      </c>
      <c r="L643" s="1100" t="n">
        <v>672.0559999999998</v>
      </c>
      <c r="M643" s="1100" t="n">
        <v>3.612621814364446</v>
      </c>
      <c r="N643" s="755" t="inlineStr"/>
      <c r="O643" s="275" t="n"/>
    </row>
    <row r="644">
      <c r="A644" s="776" t="inlineStr">
        <is>
          <t>February 2024</t>
        </is>
      </c>
      <c r="B644" s="1100" t="n">
        <v>1572.261</v>
      </c>
      <c r="C644" s="1100" t="n">
        <v>4.099208040372478</v>
      </c>
      <c r="D644" s="1100" t="n">
        <v>1595.354</v>
      </c>
      <c r="E644" s="1100" t="n">
        <v>4.159416244529625</v>
      </c>
      <c r="F644" s="1100" t="n">
        <v>889.1369999999998</v>
      </c>
      <c r="G644" s="1100" t="n">
        <v>4.501449177483119</v>
      </c>
      <c r="H644" s="1100" t="n">
        <v>907.4549999999999</v>
      </c>
      <c r="I644" s="1100" t="n">
        <v>4.594188031037898</v>
      </c>
      <c r="J644" s="1100" t="n">
        <v>683.124</v>
      </c>
      <c r="K644" s="1100" t="n">
        <v>3.672117597813127</v>
      </c>
      <c r="L644" s="1100" t="n">
        <v>687.899</v>
      </c>
      <c r="M644" s="1100" t="n">
        <v>3.697785502219292</v>
      </c>
      <c r="N644" s="755" t="inlineStr"/>
      <c r="O644" s="275" t="n"/>
    </row>
    <row r="645">
      <c r="A645" s="776" t="inlineStr">
        <is>
          <t>March 2024</t>
        </is>
      </c>
      <c r="B645" s="1100" t="n">
        <v>1584.847</v>
      </c>
      <c r="C645" s="1100" t="n">
        <v>4.132022332907958</v>
      </c>
      <c r="D645" s="1100" t="n">
        <v>1608.348</v>
      </c>
      <c r="E645" s="1100" t="n">
        <v>4.193294277042421</v>
      </c>
      <c r="F645" s="1100" t="n">
        <v>897.6019999999999</v>
      </c>
      <c r="G645" s="1100" t="n">
        <v>4.544305078528059</v>
      </c>
      <c r="H645" s="1100" t="n">
        <v>916.241</v>
      </c>
      <c r="I645" s="1100" t="n">
        <v>4.638669064302027</v>
      </c>
      <c r="J645" s="1100" t="n">
        <v>687.2449999999999</v>
      </c>
      <c r="K645" s="1100" t="n">
        <v>3.694269940024185</v>
      </c>
      <c r="L645" s="1100" t="n">
        <v>692.107</v>
      </c>
      <c r="M645" s="1100" t="n">
        <v>3.720405510960894</v>
      </c>
      <c r="N645" s="755" t="inlineStr">
        <is>
          <t>5 week month</t>
        </is>
      </c>
      <c r="O645" s="275" t="n"/>
    </row>
    <row r="646">
      <c r="A646" s="776" t="inlineStr">
        <is>
          <t>April 2024</t>
        </is>
      </c>
      <c r="B646" s="1100" t="n">
        <v>1582.97</v>
      </c>
      <c r="C646" s="1100" t="n">
        <v>4.127128607571148</v>
      </c>
      <c r="D646" s="1100" t="n">
        <v>1594.019</v>
      </c>
      <c r="E646" s="1100" t="n">
        <v>4.155935624750914</v>
      </c>
      <c r="F646" s="1100" t="n">
        <v>897.289</v>
      </c>
      <c r="G646" s="1100" t="n">
        <v>4.542720448046421</v>
      </c>
      <c r="H646" s="1100" t="n">
        <v>909.3060000000002</v>
      </c>
      <c r="I646" s="1100" t="n">
        <v>4.603559120563498</v>
      </c>
      <c r="J646" s="1100" t="n">
        <v>685.6809999999999</v>
      </c>
      <c r="K646" s="1100" t="n">
        <v>3.685862693429161</v>
      </c>
      <c r="L646" s="1100" t="n">
        <v>684.713</v>
      </c>
      <c r="M646" s="1100" t="n">
        <v>3.680659231342216</v>
      </c>
      <c r="N646" s="755" t="inlineStr"/>
      <c r="O646" s="275" t="n"/>
    </row>
    <row r="647">
      <c r="A647" s="776" t="inlineStr">
        <is>
          <t>May 2024</t>
        </is>
      </c>
      <c r="B647" s="1100" t="n">
        <v>1615.704</v>
      </c>
      <c r="C647" s="1100" t="n">
        <v>4.212472883103997</v>
      </c>
      <c r="D647" s="1100" t="n">
        <v>1605.301</v>
      </c>
      <c r="E647" s="1100" t="n">
        <v>4.185350120888312</v>
      </c>
      <c r="F647" s="1100" t="n">
        <v>912.004</v>
      </c>
      <c r="G647" s="1100" t="n">
        <v>4.617218331552185</v>
      </c>
      <c r="H647" s="1100" t="n">
        <v>912.35</v>
      </c>
      <c r="I647" s="1100" t="n">
        <v>4.618970031701216</v>
      </c>
      <c r="J647" s="1100" t="n">
        <v>703.6999999999999</v>
      </c>
      <c r="K647" s="1100" t="n">
        <v>3.78272342002491</v>
      </c>
      <c r="L647" s="1100" t="n">
        <v>692.951</v>
      </c>
      <c r="M647" s="1100" t="n">
        <v>3.724942413854884</v>
      </c>
      <c r="N647" s="755" t="inlineStr"/>
      <c r="O647" s="275" t="n"/>
    </row>
    <row r="648">
      <c r="A648" s="776" t="inlineStr">
        <is>
          <t>June 2024</t>
        </is>
      </c>
      <c r="B648" s="1100" t="n">
        <v>1645.122</v>
      </c>
      <c r="C648" s="1100" t="n">
        <v>4.289171664115341</v>
      </c>
      <c r="D648" s="1100" t="n">
        <v>1640.16</v>
      </c>
      <c r="E648" s="1100" t="n">
        <v>4.276234708803007</v>
      </c>
      <c r="F648" s="1100" t="n">
        <v>922.9290000000001</v>
      </c>
      <c r="G648" s="1100" t="n">
        <v>4.672528516893705</v>
      </c>
      <c r="H648" s="1100" t="n">
        <v>920.7330000000002</v>
      </c>
      <c r="I648" s="1100" t="n">
        <v>4.661410789936271</v>
      </c>
      <c r="J648" s="1100" t="n">
        <v>722.1929999999999</v>
      </c>
      <c r="K648" s="1100" t="n">
        <v>3.882132122890507</v>
      </c>
      <c r="L648" s="1100" t="n">
        <v>719.4270000000001</v>
      </c>
      <c r="M648" s="1100" t="n">
        <v>3.867263552505702</v>
      </c>
      <c r="N648" s="755" t="inlineStr">
        <is>
          <t>5 week month</t>
        </is>
      </c>
      <c r="O648" s="275" t="n"/>
    </row>
    <row r="649">
      <c r="A649" s="776" t="inlineStr">
        <is>
          <t>July 2024</t>
        </is>
      </c>
      <c r="B649" s="1100" t="n">
        <v>1766.837</v>
      </c>
      <c r="C649" s="1100" t="n">
        <v>4.606507721318272</v>
      </c>
      <c r="D649" s="1100" t="n">
        <v>1777.627</v>
      </c>
      <c r="E649" s="1100" t="n">
        <v>4.634639472188909</v>
      </c>
      <c r="F649" s="1100" t="n">
        <v>959.3979999999998</v>
      </c>
      <c r="G649" s="1100" t="n">
        <v>4.857160750231909</v>
      </c>
      <c r="H649" s="1100" t="n">
        <v>961.5799999999999</v>
      </c>
      <c r="I649" s="1100" t="n">
        <v>4.868207599148633</v>
      </c>
      <c r="J649" s="1100" t="n">
        <v>807.4390000000001</v>
      </c>
      <c r="K649" s="1100" t="n">
        <v>4.340370066138261</v>
      </c>
      <c r="L649" s="1100" t="n">
        <v>816.0469999999999</v>
      </c>
      <c r="M649" s="1100" t="n">
        <v>4.386642175275072</v>
      </c>
      <c r="N649" s="755" t="inlineStr"/>
      <c r="O649" s="275" t="n"/>
    </row>
    <row r="650">
      <c r="A650" s="776" t="inlineStr">
        <is>
          <t>August 2024</t>
        </is>
      </c>
      <c r="B650" s="1100" t="n">
        <v>1762.653</v>
      </c>
      <c r="C650" s="1100" t="n">
        <v>4.595599172139148</v>
      </c>
      <c r="D650" s="1100" t="n">
        <v>1772.569</v>
      </c>
      <c r="E650" s="1100" t="n">
        <v>4.621452225117205</v>
      </c>
      <c r="F650" s="1100" t="n">
        <v>953.087</v>
      </c>
      <c r="G650" s="1100" t="n">
        <v>4.825209942022269</v>
      </c>
      <c r="H650" s="1100" t="n">
        <v>953.0710000000001</v>
      </c>
      <c r="I650" s="1100" t="n">
        <v>4.82512893854717</v>
      </c>
      <c r="J650" s="1100" t="n">
        <v>809.566</v>
      </c>
      <c r="K650" s="1100" t="n">
        <v>4.351803706488401</v>
      </c>
      <c r="L650" s="1100" t="n">
        <v>819.4979999999998</v>
      </c>
      <c r="M650" s="1100" t="n">
        <v>4.405192947653224</v>
      </c>
      <c r="N650" s="755" t="inlineStr"/>
      <c r="O650" s="275" t="n"/>
    </row>
    <row r="651" ht="29.25" customHeight="1" s="828">
      <c r="A651" s="776" t="inlineStr">
        <is>
          <t>September 2024</t>
        </is>
      </c>
      <c r="B651" s="1100" t="n">
        <v>1765.335</v>
      </c>
      <c r="C651" s="1100" t="n">
        <v>4.602591698166493</v>
      </c>
      <c r="D651" s="1100" t="n">
        <v>1769.68</v>
      </c>
      <c r="E651" s="1100" t="n">
        <v>4.613920007483724</v>
      </c>
      <c r="F651" s="1100" t="n">
        <v>956.0870000000001</v>
      </c>
      <c r="G651" s="1100" t="n">
        <v>4.840398093603465</v>
      </c>
      <c r="H651" s="1100" t="n">
        <v>950.067</v>
      </c>
      <c r="I651" s="1100" t="n">
        <v>4.809920536097199</v>
      </c>
      <c r="J651" s="1100" t="n">
        <v>809.2479999999999</v>
      </c>
      <c r="K651" s="1100" t="n">
        <v>4.350094304687109</v>
      </c>
      <c r="L651" s="1100" t="n">
        <v>819.6130000000001</v>
      </c>
      <c r="M651" s="1100" t="n">
        <v>4.405811127549918</v>
      </c>
      <c r="N651" s="755" t="inlineStr">
        <is>
          <t>5 week month</t>
        </is>
      </c>
      <c r="O651" s="275" t="n"/>
    </row>
    <row r="652">
      <c r="A652" s="776" t="inlineStr">
        <is>
          <t>October 2024</t>
        </is>
      </c>
      <c r="B652" s="1100" t="n">
        <v>1760.353</v>
      </c>
      <c r="C652" s="1100" t="n">
        <v>4.589602598737621</v>
      </c>
      <c r="D652" s="1100" t="n">
        <v>1754.341</v>
      </c>
      <c r="E652" s="1100" t="n">
        <v>4.573928077307199</v>
      </c>
      <c r="F652" s="1100" t="n">
        <v>957.4079999999999</v>
      </c>
      <c r="G652" s="1100" t="n">
        <v>4.847085943016383</v>
      </c>
      <c r="H652" s="1100" t="n">
        <v>946.8309999999999</v>
      </c>
      <c r="I652" s="1100" t="n">
        <v>4.793537583258282</v>
      </c>
      <c r="J652" s="1100" t="n">
        <v>802.9449999999999</v>
      </c>
      <c r="K652" s="1100" t="n">
        <v>4.31621267087097</v>
      </c>
      <c r="L652" s="1100" t="n">
        <v>807.51</v>
      </c>
      <c r="M652" s="1100" t="n">
        <v>4.340751725031001</v>
      </c>
      <c r="N652" s="755" t="inlineStr"/>
      <c r="O652" s="275" t="n"/>
    </row>
    <row r="653" ht="29.25" customHeight="1" s="828">
      <c r="A653" s="776" t="inlineStr">
        <is>
          <t>November 2024</t>
        </is>
      </c>
      <c r="B653" s="1100" t="n">
        <v>1738.641</v>
      </c>
      <c r="C653" s="1100" t="n">
        <v>4.532994945827216</v>
      </c>
      <c r="D653" s="1100" t="n">
        <v>1726.343</v>
      </c>
      <c r="E653" s="1100" t="n">
        <v>4.500931528569839</v>
      </c>
      <c r="F653" s="1100" t="n">
        <v>952.7410000000001</v>
      </c>
      <c r="G653" s="1100" t="n">
        <v>4.823458241873238</v>
      </c>
      <c r="H653" s="1100" t="n">
        <v>941.2429999999999</v>
      </c>
      <c r="I653" s="1100" t="n">
        <v>4.765247119579709</v>
      </c>
      <c r="J653" s="1100" t="n">
        <v>785.9000000000001</v>
      </c>
      <c r="K653" s="1100" t="n">
        <v>4.224587659226343</v>
      </c>
      <c r="L653" s="1100" t="n">
        <v>785.1</v>
      </c>
      <c r="M653" s="1100" t="n">
        <v>4.220287277336305</v>
      </c>
      <c r="N653" s="755" t="inlineStr">
        <is>
          <t>5 week month</t>
        </is>
      </c>
      <c r="O653" s="275" t="n"/>
    </row>
    <row r="654">
      <c r="A654" s="776" t="inlineStr">
        <is>
          <t>December 2024</t>
        </is>
      </c>
      <c r="B654" s="1100" t="n">
        <v>1720.631</v>
      </c>
      <c r="C654" s="1100" t="n">
        <v>4.486039168887441</v>
      </c>
      <c r="D654" s="1100" t="n">
        <v>1700.398</v>
      </c>
      <c r="E654" s="1100" t="n">
        <v>4.4332875733948</v>
      </c>
      <c r="F654" s="1100" t="n">
        <v>949.62</v>
      </c>
      <c r="G654" s="1100" t="n">
        <v>4.807657501511601</v>
      </c>
      <c r="H654" s="1100" t="n">
        <v>936.682</v>
      </c>
      <c r="I654" s="1100" t="n">
        <v>4.742156066459099</v>
      </c>
      <c r="J654" s="1100" t="n">
        <v>771.0110000000001</v>
      </c>
      <c r="K654" s="1100" t="n">
        <v>4.144552176775369</v>
      </c>
      <c r="L654" s="1100" t="n">
        <v>763.716</v>
      </c>
      <c r="M654" s="1100" t="n">
        <v>4.105338069415581</v>
      </c>
      <c r="N654" s="755" t="inlineStr"/>
      <c r="O654" s="275" t="n"/>
    </row>
    <row r="655">
      <c r="A655" s="776" t="inlineStr">
        <is>
          <t>January 2025</t>
        </is>
      </c>
      <c r="B655" s="1100" t="n">
        <v>1720.611</v>
      </c>
      <c r="C655" s="1100" t="n">
        <v>4.485987024770906</v>
      </c>
      <c r="D655" s="1100" t="n">
        <v>1697.381</v>
      </c>
      <c r="E655" s="1100" t="n">
        <v>4.425421633415493</v>
      </c>
      <c r="F655" s="1100" t="n">
        <v>948.521</v>
      </c>
      <c r="G655" s="1100" t="n">
        <v>4.802093575315689</v>
      </c>
      <c r="H655" s="1100" t="n">
        <v>940.7190000000001</v>
      </c>
      <c r="I655" s="1100" t="n">
        <v>4.762594255770193</v>
      </c>
      <c r="J655" s="1100" t="n">
        <v>772.0899999999998</v>
      </c>
      <c r="K655" s="1100" t="n">
        <v>4.150352316849556</v>
      </c>
      <c r="L655" s="1100" t="n">
        <v>756.6619999999999</v>
      </c>
      <c r="M655" s="1100" t="n">
        <v>4.067419452100169</v>
      </c>
      <c r="N655" s="755" t="inlineStr"/>
      <c r="O655" s="275" t="n"/>
    </row>
    <row r="656">
      <c r="A656" s="776" t="inlineStr">
        <is>
          <t>February 2025</t>
        </is>
      </c>
      <c r="B656" s="1100" t="n">
        <v>1729.321</v>
      </c>
      <c r="C656" s="1100" t="n">
        <v>4.508695787521903</v>
      </c>
      <c r="D656" s="1100" t="n">
        <v>1750.629</v>
      </c>
      <c r="E656" s="1100" t="n">
        <v>4.5642501292783</v>
      </c>
      <c r="F656" s="1100" t="n">
        <v>954.749</v>
      </c>
      <c r="G656" s="1100" t="n">
        <v>4.833624177998251</v>
      </c>
      <c r="H656" s="1100" t="n">
        <v>973.112</v>
      </c>
      <c r="I656" s="1100" t="n">
        <v>4.926590853826748</v>
      </c>
      <c r="J656" s="1100" t="n">
        <v>774.5720000000001</v>
      </c>
      <c r="K656" s="1100" t="n">
        <v>4.163694251663402</v>
      </c>
      <c r="L656" s="1100" t="n">
        <v>777.5169999999998</v>
      </c>
      <c r="M656" s="1100" t="n">
        <v>4.179525032496103</v>
      </c>
      <c r="N656" s="755" t="inlineStr">
        <is>
          <t>5 week month</t>
        </is>
      </c>
      <c r="O656" s="274" t="n"/>
    </row>
    <row r="657">
      <c r="A657" s="776" t="inlineStr">
        <is>
          <t>March 2025</t>
        </is>
      </c>
      <c r="B657" s="1100" t="n">
        <v>1723.899</v>
      </c>
      <c r="C657" s="1100" t="n">
        <v>4.494559517529262</v>
      </c>
      <c r="D657" s="1100" t="n">
        <v>1742.422</v>
      </c>
      <c r="E657" s="1100" t="n">
        <v>4.54285279105816</v>
      </c>
      <c r="F657" s="1100" t="n">
        <v>953.099</v>
      </c>
      <c r="G657" s="1100" t="n">
        <v>4.825270694628593</v>
      </c>
      <c r="H657" s="1100" t="n">
        <v>969.7750000000001</v>
      </c>
      <c r="I657" s="1100" t="n">
        <v>4.909696566551266</v>
      </c>
      <c r="J657" s="1100" t="n">
        <v>770.8</v>
      </c>
      <c r="K657" s="1100" t="n">
        <v>4.14341795105187</v>
      </c>
      <c r="L657" s="1100" t="n">
        <v>772.6469999999999</v>
      </c>
      <c r="M657" s="1100" t="n">
        <v>4.153346457740495</v>
      </c>
      <c r="N657" s="755" t="inlineStr"/>
      <c r="O657" s="275" t="n"/>
    </row>
    <row r="658">
      <c r="A658" s="776" t="inlineStr">
        <is>
          <t>April 2025</t>
        </is>
      </c>
      <c r="B658" s="1100" t="n">
        <v>1701.822</v>
      </c>
      <c r="C658" s="1100" t="n">
        <v>4.437000234492093</v>
      </c>
      <c r="D658" s="1100" t="n">
        <v>1708.429</v>
      </c>
      <c r="E658" s="1100" t="n">
        <v>4.454226043389433</v>
      </c>
      <c r="F658" s="1100" t="n">
        <v>944.4880000000001</v>
      </c>
      <c r="G658" s="1100" t="n">
        <v>4.781675636873369</v>
      </c>
      <c r="H658" s="1100" t="n">
        <v>954.6299999999999</v>
      </c>
      <c r="I658" s="1100" t="n">
        <v>4.833021714652197</v>
      </c>
      <c r="J658" s="1100" t="n">
        <v>757.3340000000002</v>
      </c>
      <c r="K658" s="1100" t="n">
        <v>4.071031772887802</v>
      </c>
      <c r="L658" s="1100" t="n">
        <v>753.7990000000001</v>
      </c>
      <c r="M658" s="1100" t="n">
        <v>4.052029460411195</v>
      </c>
      <c r="N658" s="755" t="inlineStr"/>
      <c r="O658" s="275" t="n"/>
    </row>
    <row r="659">
      <c r="A659" s="776" t="inlineStr">
        <is>
          <t>May 2025</t>
        </is>
      </c>
      <c r="B659" s="1100" t="n">
        <v>1717.074</v>
      </c>
      <c r="C659" s="1100" t="n">
        <v>4.47676533776169</v>
      </c>
      <c r="D659" s="1100" t="n">
        <v>1691.221</v>
      </c>
      <c r="E659" s="1100" t="n">
        <v>4.40936124552271</v>
      </c>
      <c r="F659" s="1100" t="n">
        <v>951.6510000000001</v>
      </c>
      <c r="G659" s="1100" t="n">
        <v>4.817939880132071</v>
      </c>
      <c r="H659" s="1100" t="n">
        <v>943.5409999999999</v>
      </c>
      <c r="I659" s="1100" t="n">
        <v>4.776881243690904</v>
      </c>
      <c r="J659" s="1100" t="n">
        <v>765.423</v>
      </c>
      <c r="K659" s="1100" t="n">
        <v>4.114514009273451</v>
      </c>
      <c r="L659" s="1100" t="n">
        <v>747.6799999999999</v>
      </c>
      <c r="M659" s="1100" t="n">
        <v>4.019136914429764</v>
      </c>
      <c r="N659" s="755" t="inlineStr"/>
      <c r="O659" s="275" t="n"/>
    </row>
    <row r="660">
      <c r="A660" s="776" t="inlineStr">
        <is>
          <t>June 2025</t>
        </is>
      </c>
      <c r="B660" s="1100" t="n">
        <v>1701.599</v>
      </c>
      <c r="C660" s="1100" t="n">
        <v>4.436418827592727</v>
      </c>
      <c r="D660" s="1100" t="n">
        <v>1697.428</v>
      </c>
      <c r="E660" s="1100" t="n">
        <v>4.42554417208935</v>
      </c>
      <c r="F660" s="1100" t="n">
        <v>947.0910000000001</v>
      </c>
      <c r="G660" s="1100" t="n">
        <v>4.794853889728653</v>
      </c>
      <c r="H660" s="1100" t="n">
        <v>943.6339999999999</v>
      </c>
      <c r="I660" s="1100" t="n">
        <v>4.777352076389922</v>
      </c>
      <c r="J660" s="1100" t="n">
        <v>754.508</v>
      </c>
      <c r="K660" s="1100" t="n">
        <v>4.055840673861241</v>
      </c>
      <c r="L660" s="1100" t="n">
        <v>753.794</v>
      </c>
      <c r="M660" s="1100" t="n">
        <v>4.052002583024382</v>
      </c>
      <c r="N660" s="755" t="inlineStr">
        <is>
          <t>5 week month</t>
        </is>
      </c>
      <c r="O660" s="275" t="n"/>
    </row>
    <row r="661">
      <c r="A661" s="776" t="inlineStr">
        <is>
          <t>July 2025</t>
        </is>
      </c>
      <c r="B661" s="1100" t="n">
        <v>1668.255</v>
      </c>
      <c r="C661" s="1100" t="n">
        <v>4.34948415650556</v>
      </c>
      <c r="D661" s="1100" t="n">
        <v>1668.609</v>
      </c>
      <c r="E661" s="1100" t="n">
        <v>4.35040710736823</v>
      </c>
      <c r="F661" s="1100" t="n">
        <v>933.2429999999999</v>
      </c>
      <c r="G661" s="1100" t="n">
        <v>4.724745382029854</v>
      </c>
      <c r="H661" s="1100" t="n">
        <v>930.0870000000002</v>
      </c>
      <c r="I661" s="1100" t="n">
        <v>4.708767446566439</v>
      </c>
      <c r="J661" s="1100" t="n">
        <v>735.0120000000001</v>
      </c>
      <c r="K661" s="1100" t="n">
        <v>3.951040367201009</v>
      </c>
      <c r="L661" s="1100" t="n">
        <v>738.5219999999999</v>
      </c>
      <c r="M661" s="1100" t="n">
        <v>3.969908292743551</v>
      </c>
      <c r="N661" s="755" t="inlineStr"/>
      <c r="O661" s="274" t="n"/>
    </row>
    <row r="662">
      <c r="A662" s="776" t="inlineStr">
        <is>
          <t>August 2025</t>
        </is>
      </c>
      <c r="B662" s="1100" t="n">
        <v>1666.274</v>
      </c>
      <c r="C662" s="1100" t="n">
        <v>4.344319281762767</v>
      </c>
      <c r="D662" s="1100" t="n">
        <v>1663.596</v>
      </c>
      <c r="E662" s="1100" t="n">
        <v>4.33733718455873</v>
      </c>
      <c r="F662" s="1100" t="n">
        <v>930.813</v>
      </c>
      <c r="G662" s="1100" t="n">
        <v>4.712442979249087</v>
      </c>
      <c r="H662" s="1100" t="n">
        <v>924.4599999999999</v>
      </c>
      <c r="I662" s="1100" t="n">
        <v>4.680279536917308</v>
      </c>
      <c r="J662" s="1100" t="n">
        <v>735.4609999999999</v>
      </c>
      <c r="K662" s="1100" t="n">
        <v>3.953453956536792</v>
      </c>
      <c r="L662" s="1100" t="n">
        <v>739.1360000000001</v>
      </c>
      <c r="M662" s="1100" t="n">
        <v>3.973208835844157</v>
      </c>
      <c r="N662" s="755" t="inlineStr">
        <is>
          <t>5 week month</t>
        </is>
      </c>
      <c r="O662" s="274" t="n"/>
    </row>
    <row r="663">
      <c r="A663" s="776" t="inlineStr">
        <is>
          <t>September 2025</t>
        </is>
      </c>
      <c r="B663" s="1100" t="n">
        <v>1666.71</v>
      </c>
      <c r="C663" s="1100" t="n">
        <v>4.34545602350323</v>
      </c>
      <c r="D663" s="1100" t="n">
        <v>1657.12</v>
      </c>
      <c r="E663" s="1100" t="n">
        <v>4.320452919624694</v>
      </c>
      <c r="F663" s="1100" t="n">
        <v>930.408</v>
      </c>
      <c r="G663" s="1100" t="n">
        <v>4.710392578785625</v>
      </c>
      <c r="H663" s="1100" t="n">
        <v>917.242</v>
      </c>
      <c r="I663" s="1100" t="n">
        <v>4.643736844212952</v>
      </c>
      <c r="J663" s="1100" t="n">
        <v>736.302</v>
      </c>
      <c r="K663" s="1100" t="n">
        <v>3.957974732998695</v>
      </c>
      <c r="L663" s="1100" t="n">
        <v>739.8779999999999</v>
      </c>
      <c r="M663" s="1100" t="n">
        <v>3.977197440047166</v>
      </c>
      <c r="N663" s="755" t="inlineStr"/>
      <c r="O663" s="274" t="n"/>
    </row>
    <row r="664">
      <c r="A664" s="776" t="inlineStr">
        <is>
          <t>October 2025 [r]</t>
        </is>
      </c>
      <c r="B664" s="1100" t="n">
        <v>1662.796</v>
      </c>
      <c r="C664" s="1100" t="n">
        <v>4.335251419897329</v>
      </c>
      <c r="D664" s="1100" t="n">
        <v>1650.224</v>
      </c>
      <c r="E664" s="1100" t="n">
        <v>4.302473628243423</v>
      </c>
      <c r="F664" s="1100" t="n">
        <v>928.867</v>
      </c>
      <c r="G664" s="1100" t="n">
        <v>4.702590931590085</v>
      </c>
      <c r="H664" s="1100" t="n">
        <v>913.1980000000001</v>
      </c>
      <c r="I664" s="1100" t="n">
        <v>4.623263215881501</v>
      </c>
      <c r="J664" s="1100" t="n">
        <v>733.9290000000001</v>
      </c>
      <c r="K664" s="1100" t="n">
        <v>3.94521872521737</v>
      </c>
      <c r="L664" s="1100" t="n">
        <v>737.0260000000002</v>
      </c>
      <c r="M664" s="1100" t="n">
        <v>3.961866578609182</v>
      </c>
      <c r="N664" s="755" t="inlineStr"/>
      <c r="O664" s="274" t="n"/>
    </row>
    <row r="665">
      <c r="A665" s="776" t="inlineStr">
        <is>
          <t>November 2025 [p]</t>
        </is>
      </c>
      <c r="B665" s="1100" t="n">
        <v>1682.87</v>
      </c>
      <c r="C665" s="1100" t="n">
        <v>4.387588469663518</v>
      </c>
      <c r="D665" s="1100" t="n">
        <v>1667.669</v>
      </c>
      <c r="E665" s="1100" t="n">
        <v>4.347956333891084</v>
      </c>
      <c r="F665" s="1100" t="n">
        <v>942.2739999999999</v>
      </c>
      <c r="G665" s="1100" t="n">
        <v>4.770466781006447</v>
      </c>
      <c r="H665" s="1100" t="n">
        <v>929.064</v>
      </c>
      <c r="I665" s="1100" t="n">
        <v>4.70358828687725</v>
      </c>
      <c r="J665" s="1100" t="n">
        <v>740.5960000000001</v>
      </c>
      <c r="K665" s="1100" t="n">
        <v>3.981057032793477</v>
      </c>
      <c r="L665" s="1100" t="n">
        <v>738.6049999999999</v>
      </c>
      <c r="M665" s="1100" t="n">
        <v>3.970354457364642</v>
      </c>
      <c r="N665" s="755" t="inlineStr">
        <is>
          <t>5 week month</t>
        </is>
      </c>
    </row>
    <row r="666">
      <c r="A666" s="761" t="inlineStr">
        <is>
          <t xml:space="preserve">Change on month </t>
        </is>
      </c>
      <c r="B666" s="1101" t="n">
        <v>20.07399999999984</v>
      </c>
      <c r="C666" s="1101" t="n">
        <v>0.05233704976618903</v>
      </c>
      <c r="D666" s="1101" t="n">
        <v>17.44499999999971</v>
      </c>
      <c r="E666" s="1101" t="n">
        <v>0.0454827056476601</v>
      </c>
      <c r="F666" s="1101" t="n">
        <v>13.40699999999993</v>
      </c>
      <c r="G666" s="1101" t="n">
        <v>0.06787584941636204</v>
      </c>
      <c r="H666" s="1101" t="n">
        <v>15.86599999999987</v>
      </c>
      <c r="I666" s="1101" t="n">
        <v>0.08032507099574904</v>
      </c>
      <c r="J666" s="1101" t="n">
        <v>6.66700000000003</v>
      </c>
      <c r="K666" s="1101" t="n">
        <v>0.03583830757610684</v>
      </c>
      <c r="L666" s="1101" t="n">
        <v>1.578999999999724</v>
      </c>
      <c r="M666" s="1101" t="n">
        <v>0.008487878755460532</v>
      </c>
      <c r="N666" s="752" t="n"/>
    </row>
    <row r="667">
      <c r="A667" s="761" t="inlineStr">
        <is>
          <t xml:space="preserve">% change on month </t>
        </is>
      </c>
      <c r="B667" s="1101" t="n">
        <v>1.207243702775316</v>
      </c>
      <c r="C667" s="1101" t="inlineStr">
        <is>
          <t>[z]</t>
        </is>
      </c>
      <c r="D667" s="1101" t="n">
        <v>1.057129213973358</v>
      </c>
      <c r="E667" s="1101" t="inlineStr">
        <is>
          <t>[z]</t>
        </is>
      </c>
      <c r="F667" s="1101" t="n">
        <v>1.443371333032601</v>
      </c>
      <c r="G667" s="1101" t="inlineStr">
        <is>
          <t>[z]</t>
        </is>
      </c>
      <c r="H667" s="1101" t="n">
        <v>1.737410725822863</v>
      </c>
      <c r="I667" s="1101" t="inlineStr">
        <is>
          <t>[z]</t>
        </is>
      </c>
      <c r="J667" s="1101" t="n">
        <v>0.9083984963123176</v>
      </c>
      <c r="K667" s="1101" t="inlineStr">
        <is>
          <t>[z]</t>
        </is>
      </c>
      <c r="L667" s="1101" t="n">
        <v>0.2142393891124225</v>
      </c>
      <c r="M667" s="1101" t="inlineStr">
        <is>
          <t>[z]</t>
        </is>
      </c>
      <c r="N667" s="752" t="n"/>
    </row>
    <row r="668">
      <c r="A668" s="761" t="inlineStr">
        <is>
          <t xml:space="preserve">Change on year </t>
        </is>
      </c>
      <c r="B668" s="1101" t="n">
        <v>-55.77100000000019</v>
      </c>
      <c r="C668" s="1101" t="n">
        <v>-0.1454064761636982</v>
      </c>
      <c r="D668" s="1101" t="n">
        <v>-58.67399999999998</v>
      </c>
      <c r="E668" s="1101" t="n">
        <v>-0.1529751946787554</v>
      </c>
      <c r="F668" s="1101" t="n">
        <v>-10.46700000000021</v>
      </c>
      <c r="G668" s="1101" t="n">
        <v>-0.05299146086679141</v>
      </c>
      <c r="H668" s="1101" t="n">
        <v>-12.17899999999997</v>
      </c>
      <c r="I668" s="1101" t="n">
        <v>-0.06165883270245942</v>
      </c>
      <c r="J668" s="1101" t="n">
        <v>-45.30399999999997</v>
      </c>
      <c r="K668" s="1101" t="n">
        <v>-0.2435306264328667</v>
      </c>
      <c r="L668" s="1101" t="n">
        <v>-46.49500000000012</v>
      </c>
      <c r="M668" s="1101" t="n">
        <v>-0.2499328199716628</v>
      </c>
      <c r="N668" s="752" t="n"/>
    </row>
    <row r="669">
      <c r="A669" s="761" t="inlineStr">
        <is>
          <t xml:space="preserve">% change on year </t>
        </is>
      </c>
      <c r="B669" s="1101" t="n">
        <v>-3.207735236889052</v>
      </c>
      <c r="C669" s="1101" t="inlineStr">
        <is>
          <t>[z]</t>
        </is>
      </c>
      <c r="D669" s="1101" t="n">
        <v>-3.398745208802653</v>
      </c>
      <c r="E669" s="1101" t="inlineStr">
        <is>
          <t>[z]</t>
        </is>
      </c>
      <c r="F669" s="1101" t="n">
        <v>-1.098619666834975</v>
      </c>
      <c r="G669" s="1101" t="inlineStr">
        <is>
          <t>[z]</t>
        </is>
      </c>
      <c r="H669" s="1101" t="n">
        <v>-1.293927285515002</v>
      </c>
      <c r="I669" s="1101" t="inlineStr">
        <is>
          <t>[z]</t>
        </is>
      </c>
      <c r="J669" s="1101" t="n">
        <v>-5.764601094286801</v>
      </c>
      <c r="K669" s="1101" t="inlineStr">
        <is>
          <t>[z]</t>
        </is>
      </c>
      <c r="L669" s="1101" t="n">
        <v>-5.922175519042175</v>
      </c>
      <c r="M669" s="1101" t="inlineStr">
        <is>
          <t>[z]</t>
        </is>
      </c>
      <c r="N669" s="752" t="n"/>
    </row>
    <row r="1056" customFormat="1" s="147"/>
    <row r="1057" customFormat="1" s="147"/>
    <row r="1058" customFormat="1" s="147"/>
    <row r="1059" customFormat="1" s="147"/>
    <row r="1060">
      <c r="A1060" s="274" t="n"/>
      <c r="B1060" s="274" t="n"/>
      <c r="C1060" s="274" t="n"/>
      <c r="D1060" s="274" t="n"/>
    </row>
    <row r="1061">
      <c r="A1061" s="274" t="n"/>
      <c r="B1061" s="274" t="n"/>
      <c r="C1061" s="274" t="n"/>
      <c r="D1061" s="274" t="n"/>
    </row>
    <row r="1062">
      <c r="A1062" s="274" t="n"/>
      <c r="B1062" s="274" t="n"/>
      <c r="C1062" s="274" t="n"/>
      <c r="D1062" s="274" t="n"/>
    </row>
    <row r="1063">
      <c r="A1063" s="274" t="n"/>
      <c r="B1063" s="274" t="n"/>
      <c r="C1063" s="274" t="n"/>
      <c r="D1063" s="274" t="n"/>
    </row>
    <row r="1064" customFormat="1" s="147"/>
    <row r="1065" customFormat="1" s="147"/>
    <row r="1066" customFormat="1" s="147"/>
    <row r="1067" customFormat="1" s="147"/>
    <row r="1068" customFormat="1" s="147">
      <c r="A1068" s="274" t="n"/>
      <c r="B1068" s="274" t="n"/>
      <c r="C1068" s="274" t="n"/>
      <c r="D1068" s="274" t="n"/>
    </row>
    <row r="1069" customFormat="1" s="147">
      <c r="A1069" s="274" t="n"/>
      <c r="B1069" s="274" t="n"/>
      <c r="C1069" s="274" t="n"/>
      <c r="D1069" s="274" t="n"/>
    </row>
    <row r="1070">
      <c r="A1070" s="274" t="n"/>
      <c r="B1070" s="274" t="n"/>
      <c r="C1070" s="274" t="n"/>
      <c r="D1070" s="274" t="n"/>
    </row>
    <row r="1071">
      <c r="A1071" s="274" t="n"/>
      <c r="B1071" s="274" t="n"/>
      <c r="C1071" s="274" t="n"/>
      <c r="D1071" s="274" t="n"/>
    </row>
    <row r="1072">
      <c r="A1072" s="274" t="n"/>
      <c r="B1072" s="274" t="n"/>
      <c r="C1072" s="274" t="n"/>
      <c r="D1072" s="274" t="n"/>
    </row>
    <row r="1073">
      <c r="A1073" s="274" t="n"/>
      <c r="B1073" s="274" t="n"/>
      <c r="C1073" s="274" t="n"/>
      <c r="D1073" s="274" t="n"/>
    </row>
    <row r="1074">
      <c r="A1074" s="274" t="n"/>
      <c r="B1074" s="274" t="n"/>
      <c r="C1074" s="274" t="n"/>
      <c r="D1074" s="274" t="n"/>
    </row>
    <row r="1075">
      <c r="A1075" s="274" t="n"/>
      <c r="B1075" s="274" t="n"/>
      <c r="C1075" s="274" t="n"/>
      <c r="D1075" s="274" t="n"/>
    </row>
    <row r="1076">
      <c r="A1076" s="274" t="n"/>
      <c r="B1076" s="274" t="n"/>
      <c r="C1076" s="274" t="n"/>
      <c r="D1076" s="274" t="n"/>
    </row>
    <row r="1077">
      <c r="A1077" s="274" t="n"/>
      <c r="B1077" s="274" t="n"/>
      <c r="C1077" s="274" t="n"/>
      <c r="D1077" s="274" t="n"/>
    </row>
    <row r="1078">
      <c r="A1078" s="299" t="n"/>
      <c r="B1078" s="274" t="n"/>
      <c r="C1078" s="1102" t="n"/>
      <c r="D1078" s="1102" t="n"/>
    </row>
    <row r="1079">
      <c r="A1079" s="298" t="n"/>
      <c r="B1079" s="275" t="n"/>
      <c r="C1079" s="1103" t="n"/>
      <c r="D1079" s="1103" t="n"/>
    </row>
    <row r="1499" customFormat="1" s="1104"/>
    <row r="1500" customFormat="1" s="1104"/>
    <row r="1501" customFormat="1" s="1104"/>
    <row r="1502" customFormat="1" s="1104"/>
    <row r="1503" customFormat="1" s="1104"/>
    <row r="1504" customFormat="1" s="1104"/>
    <row r="1505" customFormat="1" s="147"/>
    <row r="1506" customFormat="1" s="147"/>
    <row r="1507" customFormat="1" s="147"/>
    <row r="1508" customFormat="1" s="147"/>
    <row r="1513" customFormat="1" s="147"/>
    <row r="1514" customFormat="1" s="147"/>
    <row r="1516" customFormat="1" s="147"/>
    <row r="1517" customFormat="1" s="147"/>
    <row r="1518" customFormat="1" s="147">
      <c r="A1518" s="149" t="n"/>
      <c r="B1518" s="149" t="n"/>
      <c r="C1518" s="1105" t="n"/>
      <c r="D1518" s="1105" t="n"/>
    </row>
    <row r="1519">
      <c r="B1519" s="147" t="n"/>
      <c r="C1519" s="146" t="n"/>
      <c r="D1519" s="146" t="n"/>
    </row>
    <row r="1521">
      <c r="A1521" s="274" t="n"/>
      <c r="B1521" s="274" t="n"/>
      <c r="C1521" s="274" t="n"/>
      <c r="D1521" s="274" t="n"/>
    </row>
    <row r="1522">
      <c r="A1522" s="274" t="n"/>
      <c r="B1522" s="274" t="n"/>
      <c r="C1522" s="274" t="n"/>
      <c r="D1522" s="274" t="n"/>
    </row>
    <row r="1523">
      <c r="A1523" s="274" t="n"/>
      <c r="B1523" s="274" t="n"/>
      <c r="C1523" s="274" t="n"/>
      <c r="D1523" s="274" t="n"/>
    </row>
    <row r="1524">
      <c r="A1524" s="274" t="n"/>
      <c r="B1524" s="274" t="n"/>
      <c r="C1524" s="274" t="n"/>
      <c r="D1524" s="274" t="n"/>
    </row>
    <row r="1525">
      <c r="A1525" s="274" t="n"/>
      <c r="B1525" s="274" t="n"/>
      <c r="C1525" s="274" t="n"/>
      <c r="D1525" s="274" t="n"/>
    </row>
    <row r="1526">
      <c r="A1526" s="274" t="n"/>
      <c r="B1526" s="274" t="n"/>
      <c r="C1526" s="274" t="n"/>
      <c r="D1526" s="274" t="n"/>
    </row>
    <row r="1527">
      <c r="A1527" s="299" t="n"/>
      <c r="B1527" s="299" t="n"/>
      <c r="C1527" s="1102" t="n"/>
      <c r="D1527" s="1102" t="n"/>
    </row>
    <row r="1528">
      <c r="A1528" s="275" t="n"/>
      <c r="B1528" s="274" t="n"/>
      <c r="C1528" s="302" t="n"/>
      <c r="D1528" s="302" t="n"/>
    </row>
  </sheetData>
  <conditionalFormatting sqref="B319:B322">
    <cfRule type="cellIs" priority="11" operator="equal" dxfId="7" stopIfTrue="1">
      <formula>#REF!</formula>
    </cfRule>
    <cfRule type="cellIs" priority="12" operator="equal" dxfId="6" stopIfTrue="1">
      <formula>#REF!</formula>
    </cfRule>
  </conditionalFormatting>
  <conditionalFormatting sqref="D319:D322">
    <cfRule type="cellIs" priority="9" operator="equal" dxfId="7" stopIfTrue="1">
      <formula>#REF!</formula>
    </cfRule>
    <cfRule type="cellIs" priority="10" operator="equal" dxfId="6" stopIfTrue="1">
      <formula>#REF!</formula>
    </cfRule>
  </conditionalFormatting>
  <conditionalFormatting sqref="F319:F322">
    <cfRule type="cellIs" priority="7" operator="equal" dxfId="7" stopIfTrue="1">
      <formula>#REF!</formula>
    </cfRule>
    <cfRule type="cellIs" priority="8" operator="equal" dxfId="6" stopIfTrue="1">
      <formula>#REF!</formula>
    </cfRule>
  </conditionalFormatting>
  <conditionalFormatting sqref="H319:H322">
    <cfRule type="cellIs" priority="5" operator="equal" dxfId="7" stopIfTrue="1">
      <formula>#REF!</formula>
    </cfRule>
    <cfRule type="cellIs" priority="6" operator="equal" dxfId="6" stopIfTrue="1">
      <formula>#REF!</formula>
    </cfRule>
  </conditionalFormatting>
  <conditionalFormatting sqref="J319:J322">
    <cfRule type="cellIs" priority="3" operator="equal" dxfId="7" stopIfTrue="1">
      <formula>#REF!</formula>
    </cfRule>
    <cfRule type="cellIs" priority="4" operator="equal" dxfId="6" stopIfTrue="1">
      <formula>#REF!</formula>
    </cfRule>
  </conditionalFormatting>
  <conditionalFormatting sqref="L319:L322">
    <cfRule type="cellIs" priority="1" operator="equal" dxfId="7" stopIfTrue="1">
      <formula>#REF!</formula>
    </cfRule>
    <cfRule type="cellIs" priority="2" operator="equal" dxfId="6" stopIfTrue="1">
      <formula>#REF!</formula>
    </cfRule>
  </conditionalFormatting>
  <pageMargins left="0.27" right="0.17" top="0.52" bottom="0.5" header="0.5118110236220472" footer="0.5118110236220472"/>
  <pageSetup orientation="landscape" paperSize="9" scale="10"/>
</worksheet>
</file>

<file path=xl/worksheets/sheet16.xml><?xml version="1.0" encoding="utf-8"?>
<worksheet xmlns="http://schemas.openxmlformats.org/spreadsheetml/2006/main">
  <sheetPr>
    <tabColor rgb="FF00B0F0"/>
    <outlinePr summaryBelow="1" summaryRight="1"/>
    <pageSetUpPr/>
  </sheetPr>
  <dimension ref="A1:P329"/>
  <sheetViews>
    <sheetView topLeftCell="A312" workbookViewId="0">
      <selection activeCell="A1" sqref="A1"/>
    </sheetView>
  </sheetViews>
  <sheetFormatPr baseColWidth="8" defaultColWidth="9.1796875" defaultRowHeight="14.5"/>
  <cols>
    <col width="20.54296875" customWidth="1" style="72" min="1" max="1"/>
    <col width="16" customWidth="1" style="72" min="2" max="2"/>
    <col width="17.1796875" customWidth="1" style="248" min="3" max="3"/>
    <col width="16.26953125" customWidth="1" style="248" min="4" max="4"/>
    <col width="15.54296875" customWidth="1" style="248" min="5" max="5"/>
    <col width="11.1796875" customWidth="1" style="1106" min="6" max="6"/>
    <col width="11.1796875" customWidth="1" style="248" min="7" max="7"/>
    <col width="9.1796875" customWidth="1" style="248" min="8" max="9"/>
    <col width="9.1796875" customWidth="1" style="72" min="10" max="257"/>
    <col width="11.1796875" customWidth="1" style="72" min="258" max="259"/>
    <col width="9.1796875" customWidth="1" style="72" min="260" max="261"/>
    <col width="11.1796875" customWidth="1" style="72" min="262" max="263"/>
    <col width="9.1796875" customWidth="1" style="72" min="264" max="513"/>
    <col width="11.1796875" customWidth="1" style="72" min="514" max="515"/>
    <col width="9.1796875" customWidth="1" style="72" min="516" max="517"/>
    <col width="11.1796875" customWidth="1" style="72" min="518" max="519"/>
    <col width="9.1796875" customWidth="1" style="72" min="520" max="769"/>
    <col width="11.1796875" customWidth="1" style="72" min="770" max="771"/>
    <col width="9.1796875" customWidth="1" style="72" min="772" max="773"/>
    <col width="11.1796875" customWidth="1" style="72" min="774" max="775"/>
    <col width="9.1796875" customWidth="1" style="72" min="776" max="1025"/>
    <col width="11.1796875" customWidth="1" style="72" min="1026" max="1027"/>
    <col width="9.1796875" customWidth="1" style="72" min="1028" max="1029"/>
    <col width="11.1796875" customWidth="1" style="72" min="1030" max="1031"/>
    <col width="9.1796875" customWidth="1" style="72" min="1032" max="1281"/>
    <col width="11.1796875" customWidth="1" style="72" min="1282" max="1283"/>
    <col width="9.1796875" customWidth="1" style="72" min="1284" max="1285"/>
    <col width="11.1796875" customWidth="1" style="72" min="1286" max="1287"/>
    <col width="9.1796875" customWidth="1" style="72" min="1288" max="1537"/>
    <col width="11.1796875" customWidth="1" style="72" min="1538" max="1539"/>
    <col width="9.1796875" customWidth="1" style="72" min="1540" max="1541"/>
    <col width="11.1796875" customWidth="1" style="72" min="1542" max="1543"/>
    <col width="9.1796875" customWidth="1" style="72" min="1544" max="1793"/>
    <col width="11.1796875" customWidth="1" style="72" min="1794" max="1795"/>
    <col width="9.1796875" customWidth="1" style="72" min="1796" max="1797"/>
    <col width="11.1796875" customWidth="1" style="72" min="1798" max="1799"/>
    <col width="9.1796875" customWidth="1" style="72" min="1800" max="2049"/>
    <col width="11.1796875" customWidth="1" style="72" min="2050" max="2051"/>
    <col width="9.1796875" customWidth="1" style="72" min="2052" max="2053"/>
    <col width="11.1796875" customWidth="1" style="72" min="2054" max="2055"/>
    <col width="9.1796875" customWidth="1" style="72" min="2056" max="2305"/>
    <col width="11.1796875" customWidth="1" style="72" min="2306" max="2307"/>
    <col width="9.1796875" customWidth="1" style="72" min="2308" max="2309"/>
    <col width="11.1796875" customWidth="1" style="72" min="2310" max="2311"/>
    <col width="9.1796875" customWidth="1" style="72" min="2312" max="2561"/>
    <col width="11.1796875" customWidth="1" style="72" min="2562" max="2563"/>
    <col width="9.1796875" customWidth="1" style="72" min="2564" max="2565"/>
    <col width="11.1796875" customWidth="1" style="72" min="2566" max="2567"/>
    <col width="9.1796875" customWidth="1" style="72" min="2568" max="2817"/>
    <col width="11.1796875" customWidth="1" style="72" min="2818" max="2819"/>
    <col width="9.1796875" customWidth="1" style="72" min="2820" max="2821"/>
    <col width="11.1796875" customWidth="1" style="72" min="2822" max="2823"/>
    <col width="9.1796875" customWidth="1" style="72" min="2824" max="3073"/>
    <col width="11.1796875" customWidth="1" style="72" min="3074" max="3075"/>
    <col width="9.1796875" customWidth="1" style="72" min="3076" max="3077"/>
    <col width="11.1796875" customWidth="1" style="72" min="3078" max="3079"/>
    <col width="9.1796875" customWidth="1" style="72" min="3080" max="3329"/>
    <col width="11.1796875" customWidth="1" style="72" min="3330" max="3331"/>
    <col width="9.1796875" customWidth="1" style="72" min="3332" max="3333"/>
    <col width="11.1796875" customWidth="1" style="72" min="3334" max="3335"/>
    <col width="9.1796875" customWidth="1" style="72" min="3336" max="3585"/>
    <col width="11.1796875" customWidth="1" style="72" min="3586" max="3587"/>
    <col width="9.1796875" customWidth="1" style="72" min="3588" max="3589"/>
    <col width="11.1796875" customWidth="1" style="72" min="3590" max="3591"/>
    <col width="9.1796875" customWidth="1" style="72" min="3592" max="3841"/>
    <col width="11.1796875" customWidth="1" style="72" min="3842" max="3843"/>
    <col width="9.1796875" customWidth="1" style="72" min="3844" max="3845"/>
    <col width="11.1796875" customWidth="1" style="72" min="3846" max="3847"/>
    <col width="9.1796875" customWidth="1" style="72" min="3848" max="4097"/>
    <col width="11.1796875" customWidth="1" style="72" min="4098" max="4099"/>
    <col width="9.1796875" customWidth="1" style="72" min="4100" max="4101"/>
    <col width="11.1796875" customWidth="1" style="72" min="4102" max="4103"/>
    <col width="9.1796875" customWidth="1" style="72" min="4104" max="4353"/>
    <col width="11.1796875" customWidth="1" style="72" min="4354" max="4355"/>
    <col width="9.1796875" customWidth="1" style="72" min="4356" max="4357"/>
    <col width="11.1796875" customWidth="1" style="72" min="4358" max="4359"/>
    <col width="9.1796875" customWidth="1" style="72" min="4360" max="4609"/>
    <col width="11.1796875" customWidth="1" style="72" min="4610" max="4611"/>
    <col width="9.1796875" customWidth="1" style="72" min="4612" max="4613"/>
    <col width="11.1796875" customWidth="1" style="72" min="4614" max="4615"/>
    <col width="9.1796875" customWidth="1" style="72" min="4616" max="4865"/>
    <col width="11.1796875" customWidth="1" style="72" min="4866" max="4867"/>
    <col width="9.1796875" customWidth="1" style="72" min="4868" max="4869"/>
    <col width="11.1796875" customWidth="1" style="72" min="4870" max="4871"/>
    <col width="9.1796875" customWidth="1" style="72" min="4872" max="5121"/>
    <col width="11.1796875" customWidth="1" style="72" min="5122" max="5123"/>
    <col width="9.1796875" customWidth="1" style="72" min="5124" max="5125"/>
    <col width="11.1796875" customWidth="1" style="72" min="5126" max="5127"/>
    <col width="9.1796875" customWidth="1" style="72" min="5128" max="5377"/>
    <col width="11.1796875" customWidth="1" style="72" min="5378" max="5379"/>
    <col width="9.1796875" customWidth="1" style="72" min="5380" max="5381"/>
    <col width="11.1796875" customWidth="1" style="72" min="5382" max="5383"/>
    <col width="9.1796875" customWidth="1" style="72" min="5384" max="5633"/>
    <col width="11.1796875" customWidth="1" style="72" min="5634" max="5635"/>
    <col width="9.1796875" customWidth="1" style="72" min="5636" max="5637"/>
    <col width="11.1796875" customWidth="1" style="72" min="5638" max="5639"/>
    <col width="9.1796875" customWidth="1" style="72" min="5640" max="5889"/>
    <col width="11.1796875" customWidth="1" style="72" min="5890" max="5891"/>
    <col width="9.1796875" customWidth="1" style="72" min="5892" max="5893"/>
    <col width="11.1796875" customWidth="1" style="72" min="5894" max="5895"/>
    <col width="9.1796875" customWidth="1" style="72" min="5896" max="6145"/>
    <col width="11.1796875" customWidth="1" style="72" min="6146" max="6147"/>
    <col width="9.1796875" customWidth="1" style="72" min="6148" max="6149"/>
    <col width="11.1796875" customWidth="1" style="72" min="6150" max="6151"/>
    <col width="9.1796875" customWidth="1" style="72" min="6152" max="6401"/>
    <col width="11.1796875" customWidth="1" style="72" min="6402" max="6403"/>
    <col width="9.1796875" customWidth="1" style="72" min="6404" max="6405"/>
    <col width="11.1796875" customWidth="1" style="72" min="6406" max="6407"/>
    <col width="9.1796875" customWidth="1" style="72" min="6408" max="6657"/>
    <col width="11.1796875" customWidth="1" style="72" min="6658" max="6659"/>
    <col width="9.1796875" customWidth="1" style="72" min="6660" max="6661"/>
    <col width="11.1796875" customWidth="1" style="72" min="6662" max="6663"/>
    <col width="9.1796875" customWidth="1" style="72" min="6664" max="6913"/>
    <col width="11.1796875" customWidth="1" style="72" min="6914" max="6915"/>
    <col width="9.1796875" customWidth="1" style="72" min="6916" max="6917"/>
    <col width="11.1796875" customWidth="1" style="72" min="6918" max="6919"/>
    <col width="9.1796875" customWidth="1" style="72" min="6920" max="7169"/>
    <col width="11.1796875" customWidth="1" style="72" min="7170" max="7171"/>
    <col width="9.1796875" customWidth="1" style="72" min="7172" max="7173"/>
    <col width="11.1796875" customWidth="1" style="72" min="7174" max="7175"/>
    <col width="9.1796875" customWidth="1" style="72" min="7176" max="7425"/>
    <col width="11.1796875" customWidth="1" style="72" min="7426" max="7427"/>
    <col width="9.1796875" customWidth="1" style="72" min="7428" max="7429"/>
    <col width="11.1796875" customWidth="1" style="72" min="7430" max="7431"/>
    <col width="9.1796875" customWidth="1" style="72" min="7432" max="7681"/>
    <col width="11.1796875" customWidth="1" style="72" min="7682" max="7683"/>
    <col width="9.1796875" customWidth="1" style="72" min="7684" max="7685"/>
    <col width="11.1796875" customWidth="1" style="72" min="7686" max="7687"/>
    <col width="9.1796875" customWidth="1" style="72" min="7688" max="7937"/>
    <col width="11.1796875" customWidth="1" style="72" min="7938" max="7939"/>
    <col width="9.1796875" customWidth="1" style="72" min="7940" max="7941"/>
    <col width="11.1796875" customWidth="1" style="72" min="7942" max="7943"/>
    <col width="9.1796875" customWidth="1" style="72" min="7944" max="8193"/>
    <col width="11.1796875" customWidth="1" style="72" min="8194" max="8195"/>
    <col width="9.1796875" customWidth="1" style="72" min="8196" max="8197"/>
    <col width="11.1796875" customWidth="1" style="72" min="8198" max="8199"/>
    <col width="9.1796875" customWidth="1" style="72" min="8200" max="8449"/>
    <col width="11.1796875" customWidth="1" style="72" min="8450" max="8451"/>
    <col width="9.1796875" customWidth="1" style="72" min="8452" max="8453"/>
    <col width="11.1796875" customWidth="1" style="72" min="8454" max="8455"/>
    <col width="9.1796875" customWidth="1" style="72" min="8456" max="8705"/>
    <col width="11.1796875" customWidth="1" style="72" min="8706" max="8707"/>
    <col width="9.1796875" customWidth="1" style="72" min="8708" max="8709"/>
    <col width="11.1796875" customWidth="1" style="72" min="8710" max="8711"/>
    <col width="9.1796875" customWidth="1" style="72" min="8712" max="8961"/>
    <col width="11.1796875" customWidth="1" style="72" min="8962" max="8963"/>
    <col width="9.1796875" customWidth="1" style="72" min="8964" max="8965"/>
    <col width="11.1796875" customWidth="1" style="72" min="8966" max="8967"/>
    <col width="9.1796875" customWidth="1" style="72" min="8968" max="9217"/>
    <col width="11.1796875" customWidth="1" style="72" min="9218" max="9219"/>
    <col width="9.1796875" customWidth="1" style="72" min="9220" max="9221"/>
    <col width="11.1796875" customWidth="1" style="72" min="9222" max="9223"/>
    <col width="9.1796875" customWidth="1" style="72" min="9224" max="9473"/>
    <col width="11.1796875" customWidth="1" style="72" min="9474" max="9475"/>
    <col width="9.1796875" customWidth="1" style="72" min="9476" max="9477"/>
    <col width="11.1796875" customWidth="1" style="72" min="9478" max="9479"/>
    <col width="9.1796875" customWidth="1" style="72" min="9480" max="9729"/>
    <col width="11.1796875" customWidth="1" style="72" min="9730" max="9731"/>
    <col width="9.1796875" customWidth="1" style="72" min="9732" max="9733"/>
    <col width="11.1796875" customWidth="1" style="72" min="9734" max="9735"/>
    <col width="9.1796875" customWidth="1" style="72" min="9736" max="9985"/>
    <col width="11.1796875" customWidth="1" style="72" min="9986" max="9987"/>
    <col width="9.1796875" customWidth="1" style="72" min="9988" max="9989"/>
    <col width="11.1796875" customWidth="1" style="72" min="9990" max="9991"/>
    <col width="9.1796875" customWidth="1" style="72" min="9992" max="10241"/>
    <col width="11.1796875" customWidth="1" style="72" min="10242" max="10243"/>
    <col width="9.1796875" customWidth="1" style="72" min="10244" max="10245"/>
    <col width="11.1796875" customWidth="1" style="72" min="10246" max="10247"/>
    <col width="9.1796875" customWidth="1" style="72" min="10248" max="10497"/>
    <col width="11.1796875" customWidth="1" style="72" min="10498" max="10499"/>
    <col width="9.1796875" customWidth="1" style="72" min="10500" max="10501"/>
    <col width="11.1796875" customWidth="1" style="72" min="10502" max="10503"/>
    <col width="9.1796875" customWidth="1" style="72" min="10504" max="10753"/>
    <col width="11.1796875" customWidth="1" style="72" min="10754" max="10755"/>
    <col width="9.1796875" customWidth="1" style="72" min="10756" max="10757"/>
    <col width="11.1796875" customWidth="1" style="72" min="10758" max="10759"/>
    <col width="9.1796875" customWidth="1" style="72" min="10760" max="11009"/>
    <col width="11.1796875" customWidth="1" style="72" min="11010" max="11011"/>
    <col width="9.1796875" customWidth="1" style="72" min="11012" max="11013"/>
    <col width="11.1796875" customWidth="1" style="72" min="11014" max="11015"/>
    <col width="9.1796875" customWidth="1" style="72" min="11016" max="11265"/>
    <col width="11.1796875" customWidth="1" style="72" min="11266" max="11267"/>
    <col width="9.1796875" customWidth="1" style="72" min="11268" max="11269"/>
    <col width="11.1796875" customWidth="1" style="72" min="11270" max="11271"/>
    <col width="9.1796875" customWidth="1" style="72" min="11272" max="11521"/>
    <col width="11.1796875" customWidth="1" style="72" min="11522" max="11523"/>
    <col width="9.1796875" customWidth="1" style="72" min="11524" max="11525"/>
    <col width="11.1796875" customWidth="1" style="72" min="11526" max="11527"/>
    <col width="9.1796875" customWidth="1" style="72" min="11528" max="11777"/>
    <col width="11.1796875" customWidth="1" style="72" min="11778" max="11779"/>
    <col width="9.1796875" customWidth="1" style="72" min="11780" max="11781"/>
    <col width="11.1796875" customWidth="1" style="72" min="11782" max="11783"/>
    <col width="9.1796875" customWidth="1" style="72" min="11784" max="12033"/>
    <col width="11.1796875" customWidth="1" style="72" min="12034" max="12035"/>
    <col width="9.1796875" customWidth="1" style="72" min="12036" max="12037"/>
    <col width="11.1796875" customWidth="1" style="72" min="12038" max="12039"/>
    <col width="9.1796875" customWidth="1" style="72" min="12040" max="12289"/>
    <col width="11.1796875" customWidth="1" style="72" min="12290" max="12291"/>
    <col width="9.1796875" customWidth="1" style="72" min="12292" max="12293"/>
    <col width="11.1796875" customWidth="1" style="72" min="12294" max="12295"/>
    <col width="9.1796875" customWidth="1" style="72" min="12296" max="12545"/>
    <col width="11.1796875" customWidth="1" style="72" min="12546" max="12547"/>
    <col width="9.1796875" customWidth="1" style="72" min="12548" max="12549"/>
    <col width="11.1796875" customWidth="1" style="72" min="12550" max="12551"/>
    <col width="9.1796875" customWidth="1" style="72" min="12552" max="12801"/>
    <col width="11.1796875" customWidth="1" style="72" min="12802" max="12803"/>
    <col width="9.1796875" customWidth="1" style="72" min="12804" max="12805"/>
    <col width="11.1796875" customWidth="1" style="72" min="12806" max="12807"/>
    <col width="9.1796875" customWidth="1" style="72" min="12808" max="13057"/>
    <col width="11.1796875" customWidth="1" style="72" min="13058" max="13059"/>
    <col width="9.1796875" customWidth="1" style="72" min="13060" max="13061"/>
    <col width="11.1796875" customWidth="1" style="72" min="13062" max="13063"/>
    <col width="9.1796875" customWidth="1" style="72" min="13064" max="13313"/>
    <col width="11.1796875" customWidth="1" style="72" min="13314" max="13315"/>
    <col width="9.1796875" customWidth="1" style="72" min="13316" max="13317"/>
    <col width="11.1796875" customWidth="1" style="72" min="13318" max="13319"/>
    <col width="9.1796875" customWidth="1" style="72" min="13320" max="13569"/>
    <col width="11.1796875" customWidth="1" style="72" min="13570" max="13571"/>
    <col width="9.1796875" customWidth="1" style="72" min="13572" max="13573"/>
    <col width="11.1796875" customWidth="1" style="72" min="13574" max="13575"/>
    <col width="9.1796875" customWidth="1" style="72" min="13576" max="13825"/>
    <col width="11.1796875" customWidth="1" style="72" min="13826" max="13827"/>
    <col width="9.1796875" customWidth="1" style="72" min="13828" max="13829"/>
    <col width="11.1796875" customWidth="1" style="72" min="13830" max="13831"/>
    <col width="9.1796875" customWidth="1" style="72" min="13832" max="14081"/>
    <col width="11.1796875" customWidth="1" style="72" min="14082" max="14083"/>
    <col width="9.1796875" customWidth="1" style="72" min="14084" max="14085"/>
    <col width="11.1796875" customWidth="1" style="72" min="14086" max="14087"/>
    <col width="9.1796875" customWidth="1" style="72" min="14088" max="14337"/>
    <col width="11.1796875" customWidth="1" style="72" min="14338" max="14339"/>
    <col width="9.1796875" customWidth="1" style="72" min="14340" max="14341"/>
    <col width="11.1796875" customWidth="1" style="72" min="14342" max="14343"/>
    <col width="9.1796875" customWidth="1" style="72" min="14344" max="14593"/>
    <col width="11.1796875" customWidth="1" style="72" min="14594" max="14595"/>
    <col width="9.1796875" customWidth="1" style="72" min="14596" max="14597"/>
    <col width="11.1796875" customWidth="1" style="72" min="14598" max="14599"/>
    <col width="9.1796875" customWidth="1" style="72" min="14600" max="14849"/>
    <col width="11.1796875" customWidth="1" style="72" min="14850" max="14851"/>
    <col width="9.1796875" customWidth="1" style="72" min="14852" max="14853"/>
    <col width="11.1796875" customWidth="1" style="72" min="14854" max="14855"/>
    <col width="9.1796875" customWidth="1" style="72" min="14856" max="15105"/>
    <col width="11.1796875" customWidth="1" style="72" min="15106" max="15107"/>
    <col width="9.1796875" customWidth="1" style="72" min="15108" max="15109"/>
    <col width="11.1796875" customWidth="1" style="72" min="15110" max="15111"/>
    <col width="9.1796875" customWidth="1" style="72" min="15112" max="15361"/>
    <col width="11.1796875" customWidth="1" style="72" min="15362" max="15363"/>
    <col width="9.1796875" customWidth="1" style="72" min="15364" max="15365"/>
    <col width="11.1796875" customWidth="1" style="72" min="15366" max="15367"/>
    <col width="9.1796875" customWidth="1" style="72" min="15368" max="15617"/>
    <col width="11.1796875" customWidth="1" style="72" min="15618" max="15619"/>
    <col width="9.1796875" customWidth="1" style="72" min="15620" max="15621"/>
    <col width="11.1796875" customWidth="1" style="72" min="15622" max="15623"/>
    <col width="9.1796875" customWidth="1" style="72" min="15624" max="15873"/>
    <col width="11.1796875" customWidth="1" style="72" min="15874" max="15875"/>
    <col width="9.1796875" customWidth="1" style="72" min="15876" max="15877"/>
    <col width="11.1796875" customWidth="1" style="72" min="15878" max="15879"/>
    <col width="9.1796875" customWidth="1" style="72" min="15880" max="16129"/>
    <col width="11.1796875" customWidth="1" style="72" min="16130" max="16131"/>
    <col width="9.1796875" customWidth="1" style="72" min="16132" max="16133"/>
    <col width="11.1796875" customWidth="1" style="72" min="16134" max="16135"/>
    <col width="9.1796875" customWidth="1" style="72" min="16136" max="16384"/>
  </cols>
  <sheetData>
    <row r="1" ht="26.5" customHeight="1" s="828">
      <c r="B1" s="419" t="inlineStr">
        <is>
          <t>Total Pay Real AWE (2015 £)</t>
        </is>
      </c>
      <c r="C1" s="434" t="inlineStr">
        <is>
          <t>Total Pay Real AWE (%)</t>
        </is>
      </c>
      <c r="D1" s="419" t="inlineStr">
        <is>
          <t>Regular Pay Real AWE (2015 £)</t>
        </is>
      </c>
      <c r="E1" s="434" t="inlineStr">
        <is>
          <t>Regular Pay Real AWE (%)</t>
        </is>
      </c>
      <c r="F1" s="248" t="n"/>
      <c r="G1" s="1106" t="n"/>
      <c r="J1" s="248" t="n"/>
    </row>
    <row r="2">
      <c r="A2" s="419" t="inlineStr">
        <is>
          <t>Current  (3mo avg)</t>
        </is>
      </c>
      <c r="B2" s="1107">
        <f>AVERAGE(OFFSET(INDEX(B$17:B$1048576,COUNTA(B$17:B$1048576)),-2,0,3,1))</f>
        <v/>
      </c>
      <c r="C2" s="1108" t="n"/>
      <c r="D2" s="1109">
        <f>AVERAGE(OFFSET(INDEX(F$17:F$1048576,COUNTA(F$17:F$1048576)),-2,0,3,1))</f>
        <v/>
      </c>
      <c r="E2" s="1108" t="n"/>
      <c r="F2" s="248" t="n"/>
      <c r="G2" s="1106" t="n"/>
      <c r="J2" s="248" t="n"/>
    </row>
    <row r="3" ht="27" customHeight="1" s="828" thickBot="1">
      <c r="A3" s="419" t="inlineStr">
        <is>
          <t>Change on quarter  (3mo avg)</t>
        </is>
      </c>
      <c r="B3" s="1110">
        <f>(AVERAGE(OFFSET(INDEX(B$17:B$1048576,COUNTA(B$17:B$1048576)),-2,0,3,1))-AVERAGE(OFFSET(INDEX(B$17:B$1048576,COUNTA(B$17:B$1048576)),-5,0,3,1)))*52</f>
        <v/>
      </c>
      <c r="C3" s="1111" t="n"/>
      <c r="D3" s="1110">
        <f>(AVERAGE(OFFSET(INDEX(F$17:F$1048576,COUNTA(F$17:F$1048576)),-2,0,3,1))-AVERAGE(OFFSET(INDEX(F$17:F$1048576,COUNTA(F$17:F$1048576)),-5,0,3,1)))*52</f>
        <v/>
      </c>
      <c r="E3" s="1111" t="n"/>
      <c r="F3" s="248" t="n"/>
      <c r="G3" s="1106" t="n"/>
      <c r="J3" s="248" t="n"/>
    </row>
    <row r="4" ht="27" customHeight="1" s="828" thickBot="1">
      <c r="A4" s="419" t="inlineStr">
        <is>
          <t>Change year on year (3mo avg)</t>
        </is>
      </c>
      <c r="B4" s="1112">
        <f>(AVERAGE(OFFSET(INDEX(B$17:B$1048576,COUNTA(B$17:B$1048576)),-2,0,3,1))-AVERAGE(OFFSET(INDEX(B$17:B$1048576,COUNTA(B$17:B$1048576)),-14,0,3,1)))*52</f>
        <v/>
      </c>
      <c r="C4" s="1113">
        <f t="array" ref="C4">INDEX(E$31:E$1048576,COUNTA(E$31:E$1048576))</f>
        <v/>
      </c>
      <c r="D4" s="1114">
        <f>(AVERAGE(OFFSET(INDEX(F$17:F$1048576,COUNTA(F$17:F$1048576)),-2,0,3,1))-AVERAGE(OFFSET(INDEX(F$17:F$1048576,COUNTA(F$17:F$1048576)),-14,0,3,1)))*52</f>
        <v/>
      </c>
      <c r="E4" s="1113">
        <f t="array" ref="E4">INDEX(I$31:I$1048576,COUNTA(I$31:I$1048576))</f>
        <v/>
      </c>
      <c r="F4" s="248" t="n"/>
      <c r="G4" s="1106" t="n"/>
      <c r="J4" s="248" t="n"/>
    </row>
    <row r="5" ht="27" customHeight="1" s="828" thickBot="1">
      <c r="A5" s="419" t="inlineStr">
        <is>
          <t>Change since Covid-19 (2019 average)</t>
        </is>
      </c>
      <c r="B5" s="1112">
        <f>(AVERAGE(OFFSET(INDEX($B$17:$B$1048576,COUNTA($B$17:$B$1048576)),-2,0,3,1))-AVERAGE($B$256:$B$258))*52</f>
        <v/>
      </c>
      <c r="C5" s="1115">
        <f>(AVERAGE(OFFSET(INDEX($B$17:$B$1048576,COUNTA($B$17:$B$1048576)),-2,0,3,1))/AVERAGE($B$256:$B$258))-1</f>
        <v/>
      </c>
      <c r="D5" s="1116">
        <f>(AVERAGE(OFFSET(INDEX(F$17:F$1048576,COUNTA(F$17:F$1048576)),-2,0,3,1))-AVERAGE($F$256:$F$258))*52</f>
        <v/>
      </c>
      <c r="E5" s="1117">
        <f>(AVERAGE(OFFSET(INDEX(F$17:F$1048576,COUNTA(F$17:F$1048576)),-2,0,3,1))/AVERAGE($F$256:$F$258))-1</f>
        <v/>
      </c>
      <c r="F5" s="248" t="n"/>
      <c r="G5" s="1106" t="n"/>
      <c r="J5" s="248" t="n"/>
    </row>
    <row r="6" ht="15" customHeight="1" s="828" thickBot="1">
      <c r="A6" s="419" t="inlineStr">
        <is>
          <t>Change since 2010</t>
        </is>
      </c>
      <c r="B6" s="1110">
        <f>(AVERAGE(OFFSET(INDEX($B$17:$B$1048576,COUNTA($B$17:$B$1048576)),-2,0,3,1))-AVERAGE($B$138:$B$140))*52</f>
        <v/>
      </c>
      <c r="C6" s="1118">
        <f>(AVERAGE(OFFSET(INDEX($B$17:$B$1048576,COUNTA($B$17:$B$1048576)),-2,0,3,1))/AVERAGE($B$138:$B$140))-1</f>
        <v/>
      </c>
      <c r="D6" s="1110">
        <f>(AVERAGE(OFFSET(INDEX(F$17:F$1048576,COUNTA(F$17:F$1048576)),-2,0,3,1))-AVERAGE($F$138:$F$140))*52</f>
        <v/>
      </c>
      <c r="E6" s="1117">
        <f>(AVERAGE(OFFSET(INDEX(F$17:F$1048576,COUNTA(F$17:F$1048576)),-2,0,3,1))/AVERAGE($F$138:$F$140))-1</f>
        <v/>
      </c>
      <c r="F6" s="248" t="n"/>
      <c r="G6" s="1106" t="n"/>
      <c r="J6" s="248" t="n"/>
    </row>
    <row r="7" ht="27" customHeight="1" s="828" thickBot="1">
      <c r="A7" s="419" t="inlineStr">
        <is>
          <t>Change since financial crisis</t>
        </is>
      </c>
      <c r="B7" s="1112">
        <f>(AVERAGE(OFFSET(INDEX($B$17:$B$1048576,COUNTA($B$17:$B$1048576)),-2,0,3,1))-AVERAGE($B$110:$B$112))*52</f>
        <v/>
      </c>
      <c r="C7" s="1115">
        <f>(AVERAGE(OFFSET(INDEX($B$17:$B$1048576,COUNTA($B$17:$B$1048576)),-2,0,3,1))/AVERAGE($B$110:$B$112))-1</f>
        <v/>
      </c>
      <c r="D7" s="1116">
        <f>(AVERAGE(OFFSET(INDEX(F$17:F$1048576,COUNTA(F$17:F$1048576)),-2,0,3,1))-AVERAGE($F$110:$F$112))*52</f>
        <v/>
      </c>
      <c r="E7" s="1117">
        <f>(AVERAGE(OFFSET(INDEX(F$17:F$1048576,COUNTA(F$17:F$1048576)),-2,0,3,1))/AVERAGE($F$110:$F$112))-1</f>
        <v/>
      </c>
      <c r="F7" s="248" t="n"/>
      <c r="G7" s="1106" t="n"/>
      <c r="J7" s="248" t="n"/>
    </row>
    <row r="8">
      <c r="A8" s="194" t="n"/>
      <c r="B8" s="194" t="n"/>
      <c r="C8" s="194" t="n"/>
      <c r="D8" s="194" t="n"/>
      <c r="E8" s="194" t="n"/>
      <c r="F8" s="194" t="n"/>
      <c r="G8" s="194" t="n"/>
      <c r="H8" s="1119" t="n"/>
      <c r="I8" s="1119" t="n"/>
    </row>
    <row r="9" ht="18" customHeight="1" s="828">
      <c r="A9" s="365" t="inlineStr">
        <is>
          <t>Real Average Weekly Earnings using CPI (seasonally adjusted)</t>
        </is>
      </c>
      <c r="B9" s="325" t="n"/>
      <c r="C9" s="1120" t="n"/>
      <c r="D9" s="1120" t="n"/>
      <c r="E9" s="326" t="n"/>
      <c r="F9" s="1121" t="n"/>
      <c r="G9" s="326" t="n"/>
      <c r="H9" s="1120" t="n"/>
      <c r="I9" s="72" t="n"/>
      <c r="K9" s="1122" t="inlineStr">
        <is>
          <t>Source: Monthly Wages and Salaries Survey</t>
        </is>
      </c>
    </row>
    <row r="10" ht="15.5" customFormat="1" customHeight="1" s="1123">
      <c r="A10" s="321" t="inlineStr">
        <is>
          <t>Date of this publication: 12 August 2025</t>
        </is>
      </c>
      <c r="B10" s="1124" t="n"/>
      <c r="C10" s="1125" t="n"/>
      <c r="D10" s="320" t="n"/>
      <c r="E10" s="1126" t="n"/>
      <c r="F10" s="1126" t="n"/>
      <c r="G10" s="321" t="inlineStr">
        <is>
          <t>Date of next publication: 16 September 2025</t>
        </is>
      </c>
      <c r="H10" s="1124" t="n"/>
      <c r="I10" s="1125" t="n"/>
      <c r="J10" s="289" t="n"/>
      <c r="K10" s="922" t="n"/>
      <c r="L10" s="922" t="n"/>
      <c r="M10" s="922" t="n"/>
      <c r="N10" s="922" t="n"/>
      <c r="O10" s="922" t="n"/>
      <c r="P10" s="922" t="n"/>
    </row>
    <row r="11" ht="15.5" customHeight="1" s="828">
      <c r="A11" s="11" t="inlineStr">
        <is>
          <t xml:space="preserve">Inquiries: Email: </t>
        </is>
      </c>
      <c r="B11" s="315" t="n"/>
      <c r="C11" s="317" t="inlineStr">
        <is>
          <t xml:space="preserve">earnings@ons.gov.uk </t>
        </is>
      </c>
      <c r="D11" s="313" t="n"/>
      <c r="E11" s="1126" t="n"/>
      <c r="F11" s="1127" t="n"/>
      <c r="G11" s="319" t="inlineStr">
        <is>
          <t>Tel: 01633 456120</t>
        </is>
      </c>
      <c r="H11" s="1128" t="n"/>
      <c r="I11" s="1126" t="n"/>
    </row>
    <row r="12" ht="15.5" customHeight="1" s="828">
      <c r="A12" s="11" t="n"/>
      <c r="B12" s="315" t="n"/>
      <c r="C12" s="361" t="n"/>
      <c r="D12" s="313" t="n"/>
      <c r="E12" s="1126" t="n"/>
      <c r="F12" s="313" t="n"/>
      <c r="G12" s="1128" t="n"/>
      <c r="H12" s="1128" t="n"/>
      <c r="I12" s="1126" t="n"/>
    </row>
    <row r="13" ht="15" customHeight="1" s="828" thickBot="1">
      <c r="A13" s="308" t="n"/>
      <c r="B13" s="869" t="inlineStr">
        <is>
          <t>Total pay, seasonally adjusted</t>
        </is>
      </c>
      <c r="C13" s="956" t="n"/>
      <c r="D13" s="956" t="n"/>
      <c r="E13" s="956" t="n"/>
      <c r="F13" s="869" t="inlineStr">
        <is>
          <t>Regular Pay, seasonally adjusted</t>
        </is>
      </c>
      <c r="G13" s="956" t="n"/>
      <c r="H13" s="956" t="n"/>
      <c r="I13" s="956" t="n"/>
    </row>
    <row r="14" ht="58" customHeight="1" s="828">
      <c r="A14" s="871" t="n"/>
      <c r="B14" s="362" t="inlineStr">
        <is>
          <t>Real AWE
(2015 £)</t>
        </is>
      </c>
      <c r="C14" s="362" t="inlineStr">
        <is>
          <t>Real AWE (Index numbers 2015=100)</t>
        </is>
      </c>
      <c r="D14" s="870" t="inlineStr">
        <is>
          <t>% changes year on year</t>
        </is>
      </c>
      <c r="F14" s="362" t="inlineStr">
        <is>
          <t>Real AWE
(2015 £)</t>
        </is>
      </c>
      <c r="G14" s="362" t="inlineStr">
        <is>
          <t>Real AWE (Index numbers 2015=100)</t>
        </is>
      </c>
      <c r="H14" s="870" t="inlineStr">
        <is>
          <t>% changes year on year</t>
        </is>
      </c>
    </row>
    <row r="15" ht="29" customFormat="1" customHeight="1" s="871">
      <c r="D15" s="363" t="inlineStr">
        <is>
          <t>Single month</t>
        </is>
      </c>
      <c r="E15" s="363" t="inlineStr">
        <is>
          <t>3 month average</t>
        </is>
      </c>
      <c r="H15" s="363" t="inlineStr">
        <is>
          <t>Single month</t>
        </is>
      </c>
      <c r="I15" s="1129" t="inlineStr">
        <is>
          <t>3 month average</t>
        </is>
      </c>
    </row>
    <row r="16" ht="15.5" customHeight="1" s="828">
      <c r="A16" s="308" t="n"/>
      <c r="B16" s="871" t="n"/>
      <c r="C16" s="1130" t="n"/>
      <c r="D16" s="870" t="n"/>
      <c r="E16" s="870" t="n"/>
      <c r="F16" s="871" t="n"/>
      <c r="G16" s="602" t="n"/>
      <c r="H16" s="870" t="n"/>
      <c r="I16" s="1131" t="n"/>
    </row>
    <row r="17">
      <c r="A17" s="1132" t="n"/>
      <c r="B17" s="605" t="n"/>
      <c r="C17" s="1133" t="n"/>
      <c r="D17" s="1134" t="n"/>
      <c r="E17" s="1134" t="n"/>
      <c r="F17" s="760" t="n"/>
      <c r="G17" s="1134" t="n"/>
      <c r="H17" s="1134" t="n"/>
      <c r="I17" s="1134" t="n"/>
    </row>
    <row r="18">
      <c r="A18" s="1132" t="n"/>
      <c r="B18" s="605" t="n"/>
      <c r="C18" s="1133" t="n"/>
      <c r="D18" s="1134" t="n"/>
      <c r="E18" s="1134" t="n"/>
      <c r="F18" s="760" t="n"/>
      <c r="G18" s="1134" t="n"/>
      <c r="H18" s="1134" t="n"/>
      <c r="I18" s="1134" t="n"/>
    </row>
    <row r="19">
      <c r="A19" s="1132" t="n"/>
      <c r="B19" s="605" t="n"/>
      <c r="C19" s="1133" t="n"/>
      <c r="D19" s="1134" t="n"/>
      <c r="E19" s="1134" t="n"/>
      <c r="F19" s="760" t="n"/>
      <c r="G19" s="1134" t="n"/>
      <c r="H19" s="1134" t="n"/>
      <c r="I19" s="1134" t="n"/>
    </row>
    <row r="20">
      <c r="A20" s="1132" t="n"/>
      <c r="B20" s="605" t="n"/>
      <c r="C20" s="1133" t="n"/>
      <c r="D20" s="1134" t="n"/>
      <c r="E20" s="1134" t="n"/>
      <c r="F20" s="760" t="n"/>
      <c r="G20" s="1134" t="n"/>
      <c r="H20" s="1134" t="n"/>
      <c r="I20" s="1134" t="n"/>
    </row>
    <row r="21">
      <c r="A21" s="1132" t="n"/>
      <c r="B21" s="605" t="n"/>
      <c r="C21" s="1133" t="n"/>
      <c r="D21" s="1134" t="n"/>
      <c r="E21" s="1134" t="n"/>
      <c r="F21" s="760" t="n"/>
      <c r="G21" s="1134" t="n"/>
      <c r="H21" s="1134" t="n"/>
      <c r="I21" s="1134" t="n"/>
    </row>
    <row r="22">
      <c r="A22" s="1132" t="n"/>
      <c r="B22" s="605" t="n"/>
      <c r="C22" s="1133" t="n"/>
      <c r="D22" s="1134" t="n"/>
      <c r="E22" s="1134" t="n"/>
      <c r="F22" s="760" t="n"/>
      <c r="G22" s="1134" t="n"/>
      <c r="H22" s="1134" t="n"/>
      <c r="I22" s="1134" t="n"/>
    </row>
    <row r="23">
      <c r="A23" s="1132" t="n"/>
      <c r="B23" s="605" t="n"/>
      <c r="C23" s="1133" t="n"/>
      <c r="D23" s="1134" t="n"/>
      <c r="E23" s="1134" t="n"/>
      <c r="F23" s="760" t="n"/>
      <c r="G23" s="1134" t="n"/>
      <c r="H23" s="1134" t="n"/>
      <c r="I23" s="1134" t="n"/>
    </row>
    <row r="24">
      <c r="A24" s="1132" t="n"/>
      <c r="B24" s="605" t="n"/>
      <c r="C24" s="1133" t="n"/>
      <c r="D24" s="1134" t="n"/>
      <c r="E24" s="1134" t="n"/>
      <c r="F24" s="760" t="n"/>
      <c r="G24" s="1134" t="n"/>
      <c r="H24" s="1134" t="n"/>
      <c r="I24" s="1134" t="n"/>
    </row>
    <row r="25">
      <c r="A25" s="1132" t="n"/>
      <c r="B25" s="605" t="n"/>
      <c r="C25" s="1133" t="n"/>
      <c r="D25" s="1134" t="n"/>
      <c r="E25" s="1134" t="n"/>
      <c r="F25" s="760" t="n"/>
      <c r="G25" s="1134" t="n"/>
      <c r="H25" s="1134" t="n"/>
      <c r="I25" s="1134" t="n"/>
    </row>
    <row r="26">
      <c r="A26" s="1132" t="n"/>
      <c r="B26" s="605" t="n"/>
      <c r="C26" s="1133" t="n"/>
      <c r="D26" s="1134" t="n"/>
      <c r="E26" s="1134" t="n"/>
      <c r="F26" s="760" t="n"/>
      <c r="G26" s="1134" t="n"/>
      <c r="H26" s="1134" t="n"/>
      <c r="I26" s="1134" t="n"/>
    </row>
    <row r="27">
      <c r="A27" s="1132" t="n"/>
      <c r="B27" s="605" t="n"/>
      <c r="C27" s="1133" t="n"/>
      <c r="D27" s="1134" t="n"/>
      <c r="E27" s="1134" t="n"/>
      <c r="F27" s="760" t="n"/>
      <c r="G27" s="1134" t="n"/>
      <c r="H27" s="1134" t="n"/>
      <c r="I27" s="1134" t="n"/>
    </row>
    <row r="28">
      <c r="A28" s="1132" t="n"/>
      <c r="B28" s="605" t="n"/>
      <c r="C28" s="1133" t="n"/>
      <c r="D28" s="1134" t="n"/>
      <c r="E28" s="1134" t="n"/>
      <c r="F28" s="760" t="n"/>
      <c r="G28" s="1134" t="n"/>
      <c r="H28" s="1134" t="n"/>
      <c r="I28" s="1134" t="n"/>
    </row>
    <row r="29">
      <c r="A29" s="1132" t="n"/>
      <c r="B29" s="605" t="n"/>
      <c r="C29" s="1133" t="n"/>
      <c r="D29" s="1134" t="n"/>
      <c r="E29" s="1134" t="n"/>
      <c r="F29" s="760" t="n"/>
      <c r="G29" s="1134" t="n"/>
      <c r="H29" s="1134" t="n"/>
      <c r="I29" s="1134" t="n"/>
    </row>
    <row r="30">
      <c r="A30" s="1132" t="n"/>
      <c r="B30" s="605" t="n"/>
      <c r="C30" s="1133" t="n"/>
      <c r="D30" s="1134" t="n"/>
      <c r="E30" s="1134" t="n"/>
      <c r="F30" s="760" t="n"/>
      <c r="G30" s="1134" t="n"/>
      <c r="H30" s="1134" t="n"/>
      <c r="I30" s="1134" t="n"/>
    </row>
    <row r="31">
      <c r="A31" s="1132" t="n"/>
      <c r="B31" s="605" t="n"/>
      <c r="C31" s="1133" t="n"/>
      <c r="D31" s="1134" t="n"/>
      <c r="E31" s="1134" t="n"/>
      <c r="F31" s="760" t="n"/>
      <c r="G31" s="1134" t="n"/>
      <c r="H31" s="1134" t="n"/>
      <c r="I31" s="1134" t="n"/>
    </row>
    <row r="32">
      <c r="A32" s="1132" t="n"/>
      <c r="B32" s="605" t="n"/>
      <c r="C32" s="1133" t="n"/>
      <c r="D32" s="1134" t="n"/>
      <c r="E32" s="1134" t="n"/>
      <c r="F32" s="760" t="n"/>
      <c r="G32" s="1134" t="n"/>
      <c r="H32" s="1134" t="n"/>
      <c r="I32" s="1134" t="n"/>
    </row>
    <row r="33">
      <c r="A33" s="1132" t="n"/>
      <c r="B33" s="605" t="n"/>
      <c r="C33" s="1133" t="n"/>
      <c r="D33" s="1134" t="n"/>
      <c r="E33" s="1134" t="n"/>
      <c r="F33" s="760" t="n"/>
      <c r="G33" s="1134" t="n"/>
      <c r="H33" s="1134" t="n"/>
      <c r="I33" s="1134" t="n"/>
    </row>
    <row r="34">
      <c r="A34" s="1132" t="n"/>
      <c r="B34" s="605" t="n"/>
      <c r="C34" s="1133" t="n"/>
      <c r="D34" s="1134" t="n"/>
      <c r="E34" s="1134" t="n"/>
      <c r="F34" s="760" t="n"/>
      <c r="G34" s="1134" t="n"/>
      <c r="H34" s="1134" t="n"/>
      <c r="I34" s="1134" t="n"/>
    </row>
    <row r="35">
      <c r="A35" s="1132" t="n"/>
      <c r="B35" s="605" t="n"/>
      <c r="C35" s="1133" t="n"/>
      <c r="D35" s="1134" t="n"/>
      <c r="E35" s="1134" t="n"/>
      <c r="F35" s="760" t="n"/>
      <c r="G35" s="1134" t="n"/>
      <c r="H35" s="1134" t="n"/>
      <c r="I35" s="1134" t="n"/>
    </row>
    <row r="36">
      <c r="A36" s="1132" t="n"/>
      <c r="B36" s="605" t="n"/>
      <c r="C36" s="1133" t="n"/>
      <c r="D36" s="1134" t="n"/>
      <c r="E36" s="1134" t="n"/>
      <c r="F36" s="760" t="n"/>
      <c r="G36" s="1134" t="n"/>
      <c r="H36" s="1134" t="n"/>
      <c r="I36" s="1134" t="n"/>
    </row>
    <row r="37">
      <c r="A37" s="1132" t="n"/>
      <c r="B37" s="605" t="n"/>
      <c r="C37" s="1133" t="n"/>
      <c r="D37" s="1134" t="n"/>
      <c r="E37" s="1134" t="n"/>
      <c r="F37" s="760" t="n"/>
      <c r="G37" s="1134" t="n"/>
      <c r="H37" s="1134" t="n"/>
      <c r="I37" s="1134" t="n"/>
    </row>
    <row r="38">
      <c r="A38" s="1132" t="n"/>
      <c r="B38" s="605" t="n"/>
      <c r="C38" s="1133" t="n"/>
      <c r="D38" s="1134" t="n"/>
      <c r="E38" s="1134" t="n"/>
      <c r="F38" s="760" t="n"/>
      <c r="G38" s="1134" t="n"/>
      <c r="H38" s="1134" t="n"/>
      <c r="I38" s="1134" t="n"/>
    </row>
    <row r="39">
      <c r="A39" s="1132" t="n"/>
      <c r="B39" s="605" t="n"/>
      <c r="C39" s="1133" t="n"/>
      <c r="D39" s="1134" t="n"/>
      <c r="E39" s="1134" t="n"/>
      <c r="F39" s="760" t="n"/>
      <c r="G39" s="1134" t="n"/>
      <c r="H39" s="1134" t="n"/>
      <c r="I39" s="1134" t="n"/>
    </row>
    <row r="40">
      <c r="A40" s="1132" t="n"/>
      <c r="B40" s="605" t="n"/>
      <c r="C40" s="1133" t="n"/>
      <c r="D40" s="1134" t="n"/>
      <c r="E40" s="1134" t="n"/>
      <c r="F40" s="760" t="n"/>
      <c r="G40" s="1134" t="n"/>
      <c r="H40" s="1134" t="n"/>
      <c r="I40" s="1134" t="n"/>
    </row>
    <row r="41">
      <c r="A41" s="1132" t="n"/>
      <c r="B41" s="605" t="n"/>
      <c r="C41" s="1133" t="n"/>
      <c r="D41" s="1134" t="n"/>
      <c r="E41" s="1134" t="n"/>
      <c r="F41" s="760" t="n"/>
      <c r="G41" s="1134" t="n"/>
      <c r="H41" s="1134" t="n"/>
      <c r="I41" s="1134" t="n"/>
    </row>
    <row r="42">
      <c r="A42" s="1132" t="n"/>
      <c r="B42" s="605" t="n"/>
      <c r="C42" s="1133" t="n"/>
      <c r="D42" s="1134" t="n"/>
      <c r="E42" s="1134" t="n"/>
      <c r="F42" s="760" t="n"/>
      <c r="G42" s="1134" t="n"/>
      <c r="H42" s="1134" t="n"/>
      <c r="I42" s="1134" t="n"/>
    </row>
    <row r="43">
      <c r="A43" s="1132" t="n"/>
      <c r="B43" s="605" t="n"/>
      <c r="C43" s="1133" t="n"/>
      <c r="D43" s="1134" t="n"/>
      <c r="E43" s="1134" t="n"/>
      <c r="F43" s="760" t="n"/>
      <c r="G43" s="1134" t="n"/>
      <c r="H43" s="1134" t="n"/>
      <c r="I43" s="1134" t="n"/>
    </row>
    <row r="44">
      <c r="A44" s="1132" t="n"/>
      <c r="B44" s="605" t="n"/>
      <c r="C44" s="1133" t="n"/>
      <c r="D44" s="1134" t="n"/>
      <c r="E44" s="1134" t="n"/>
      <c r="F44" s="760" t="n"/>
      <c r="G44" s="1134" t="n"/>
      <c r="H44" s="1134" t="n"/>
      <c r="I44" s="1134" t="n"/>
    </row>
    <row r="45">
      <c r="A45" s="1132" t="n"/>
      <c r="B45" s="605" t="n"/>
      <c r="C45" s="1133" t="n"/>
      <c r="D45" s="1134" t="n"/>
      <c r="E45" s="1134" t="n"/>
      <c r="F45" s="760" t="n"/>
      <c r="G45" s="1134" t="n"/>
      <c r="H45" s="1134" t="n"/>
      <c r="I45" s="1134" t="n"/>
    </row>
    <row r="46">
      <c r="A46" s="1132" t="n"/>
      <c r="B46" s="605" t="n"/>
      <c r="C46" s="1133" t="n"/>
      <c r="D46" s="1134" t="n"/>
      <c r="E46" s="1134" t="n"/>
      <c r="F46" s="760" t="n"/>
      <c r="G46" s="1134" t="n"/>
      <c r="H46" s="1134" t="n"/>
      <c r="I46" s="1134" t="n"/>
    </row>
    <row r="47">
      <c r="A47" s="1132" t="n"/>
      <c r="B47" s="605" t="n"/>
      <c r="C47" s="1133" t="n"/>
      <c r="D47" s="1134" t="n"/>
      <c r="E47" s="1134" t="n"/>
      <c r="F47" s="760" t="n"/>
      <c r="G47" s="1134" t="n"/>
      <c r="H47" s="1134" t="n"/>
      <c r="I47" s="1134" t="n"/>
    </row>
    <row r="48">
      <c r="A48" s="1132" t="n"/>
      <c r="B48" s="605" t="n"/>
      <c r="C48" s="1133" t="n"/>
      <c r="D48" s="1134" t="n"/>
      <c r="E48" s="1134" t="n"/>
      <c r="F48" s="760" t="n"/>
      <c r="G48" s="1134" t="n"/>
      <c r="H48" s="1134" t="n"/>
      <c r="I48" s="1134" t="n"/>
    </row>
    <row r="49">
      <c r="A49" s="1132" t="n"/>
      <c r="B49" s="605" t="n"/>
      <c r="C49" s="1133" t="n"/>
      <c r="D49" s="1134" t="n"/>
      <c r="E49" s="1134" t="n"/>
      <c r="F49" s="760" t="n"/>
      <c r="G49" s="1134" t="n"/>
      <c r="H49" s="1134" t="n"/>
      <c r="I49" s="1134" t="n"/>
    </row>
    <row r="50">
      <c r="A50" s="1132" t="n"/>
      <c r="B50" s="605" t="n"/>
      <c r="C50" s="1133" t="n"/>
      <c r="D50" s="1134" t="n"/>
      <c r="E50" s="1134" t="n"/>
      <c r="F50" s="760" t="n"/>
      <c r="G50" s="1134" t="n"/>
      <c r="H50" s="1134" t="n"/>
      <c r="I50" s="1134" t="n"/>
    </row>
    <row r="51">
      <c r="A51" s="1132" t="n"/>
      <c r="B51" s="605" t="n"/>
      <c r="C51" s="1133" t="n"/>
      <c r="D51" s="1134" t="n"/>
      <c r="E51" s="1134" t="n"/>
      <c r="F51" s="760" t="n"/>
      <c r="G51" s="1134" t="n"/>
      <c r="H51" s="1134" t="n"/>
      <c r="I51" s="1134" t="n"/>
    </row>
    <row r="52">
      <c r="A52" s="1135" t="n"/>
      <c r="B52" s="605" t="n"/>
      <c r="C52" s="1133" t="n"/>
      <c r="D52" s="1134" t="n"/>
      <c r="E52" s="1134" t="n"/>
      <c r="F52" s="760" t="n"/>
      <c r="G52" s="1134" t="n"/>
      <c r="H52" s="1134" t="n"/>
      <c r="I52" s="1134" t="n"/>
    </row>
    <row r="53">
      <c r="A53" s="607" t="n"/>
      <c r="B53" s="605" t="n"/>
      <c r="C53" s="1133" t="n"/>
      <c r="D53" s="1134" t="n"/>
      <c r="E53" s="1134" t="n"/>
      <c r="F53" s="760" t="n"/>
      <c r="G53" s="1134" t="n"/>
      <c r="H53" s="1134" t="n"/>
      <c r="I53" s="1134" t="n"/>
    </row>
    <row r="54">
      <c r="A54" s="607" t="n"/>
      <c r="B54" s="605" t="n"/>
      <c r="C54" s="1133" t="n"/>
      <c r="D54" s="1134" t="n"/>
      <c r="E54" s="1134" t="n"/>
      <c r="F54" s="760" t="n"/>
      <c r="G54" s="1134" t="n"/>
      <c r="H54" s="1134" t="n"/>
      <c r="I54" s="1134" t="n"/>
    </row>
    <row r="55">
      <c r="A55" s="607" t="n"/>
      <c r="B55" s="605" t="n"/>
      <c r="C55" s="1133" t="n"/>
      <c r="D55" s="1134" t="n"/>
      <c r="E55" s="1134" t="n"/>
      <c r="F55" s="760" t="n"/>
      <c r="G55" s="1134" t="n"/>
      <c r="H55" s="1134" t="n"/>
      <c r="I55" s="1134" t="n"/>
    </row>
    <row r="56">
      <c r="A56" s="607" t="n"/>
      <c r="B56" s="605" t="n"/>
      <c r="C56" s="1133" t="n"/>
      <c r="D56" s="1134" t="n"/>
      <c r="E56" s="1134" t="n"/>
      <c r="F56" s="760" t="n"/>
      <c r="G56" s="1134" t="n"/>
      <c r="H56" s="1134" t="n"/>
      <c r="I56" s="1134" t="n"/>
    </row>
    <row r="57">
      <c r="A57" s="607" t="n"/>
      <c r="B57" s="605" t="n"/>
      <c r="C57" s="1133" t="n"/>
      <c r="D57" s="1134" t="n"/>
      <c r="E57" s="1134" t="n"/>
      <c r="F57" s="760" t="n"/>
      <c r="G57" s="1134" t="n"/>
      <c r="H57" s="1134" t="n"/>
      <c r="I57" s="1134" t="n"/>
    </row>
    <row r="58">
      <c r="A58" s="607" t="n"/>
      <c r="B58" s="605" t="n"/>
      <c r="C58" s="1133" t="n"/>
      <c r="D58" s="1134" t="n"/>
      <c r="E58" s="1134" t="n"/>
      <c r="F58" s="760" t="n"/>
      <c r="G58" s="1134" t="n"/>
      <c r="H58" s="1134" t="n"/>
      <c r="I58" s="1134" t="n"/>
    </row>
    <row r="59">
      <c r="A59" s="607" t="n"/>
      <c r="B59" s="605" t="n"/>
      <c r="C59" s="1133" t="n"/>
      <c r="D59" s="1134" t="n"/>
      <c r="E59" s="1134" t="n"/>
      <c r="F59" s="760" t="n"/>
      <c r="G59" s="1134" t="n"/>
      <c r="H59" s="1134" t="n"/>
      <c r="I59" s="1134" t="n"/>
    </row>
    <row r="60">
      <c r="A60" s="607" t="n"/>
      <c r="B60" s="605" t="n"/>
      <c r="C60" s="1133" t="n"/>
      <c r="D60" s="1134" t="n"/>
      <c r="E60" s="1134" t="n"/>
      <c r="F60" s="760" t="n"/>
      <c r="G60" s="1134" t="n"/>
      <c r="H60" s="1134" t="n"/>
      <c r="I60" s="1134" t="n"/>
    </row>
    <row r="61">
      <c r="A61" s="607" t="n"/>
      <c r="B61" s="605" t="n"/>
      <c r="C61" s="1133" t="n"/>
      <c r="D61" s="1134" t="n"/>
      <c r="E61" s="1134" t="n"/>
      <c r="F61" s="760" t="n"/>
      <c r="G61" s="1134" t="n"/>
      <c r="H61" s="1134" t="n"/>
      <c r="I61" s="1134" t="n"/>
    </row>
    <row r="62">
      <c r="A62" s="607" t="n"/>
      <c r="B62" s="605" t="n"/>
      <c r="C62" s="1133" t="n"/>
      <c r="D62" s="1134" t="n"/>
      <c r="E62" s="1134" t="n"/>
      <c r="F62" s="760" t="n"/>
      <c r="G62" s="1134" t="n"/>
      <c r="H62" s="1134" t="n"/>
      <c r="I62" s="1134" t="n"/>
    </row>
    <row r="63">
      <c r="A63" s="607" t="n"/>
      <c r="B63" s="605" t="n"/>
      <c r="C63" s="1133" t="n"/>
      <c r="D63" s="1134" t="n"/>
      <c r="E63" s="1134" t="n"/>
      <c r="F63" s="760" t="n"/>
      <c r="G63" s="1134" t="n"/>
      <c r="H63" s="1134" t="n"/>
      <c r="I63" s="1134" t="n"/>
    </row>
    <row r="64">
      <c r="A64" s="607" t="n"/>
      <c r="B64" s="605" t="n"/>
      <c r="C64" s="1133" t="n"/>
      <c r="D64" s="1134" t="n"/>
      <c r="E64" s="1134" t="n"/>
      <c r="F64" s="760" t="n"/>
      <c r="G64" s="1134" t="n"/>
      <c r="H64" s="1134" t="n"/>
      <c r="I64" s="1134" t="n"/>
    </row>
    <row r="65">
      <c r="A65" s="607" t="n"/>
      <c r="B65" s="605" t="n"/>
      <c r="C65" s="1133" t="n"/>
      <c r="D65" s="1134" t="n"/>
      <c r="E65" s="1134" t="n"/>
      <c r="F65" s="760" t="n"/>
      <c r="G65" s="1134" t="n"/>
      <c r="H65" s="1134" t="n"/>
      <c r="I65" s="1134" t="n"/>
    </row>
    <row r="66">
      <c r="A66" s="607" t="n"/>
      <c r="B66" s="605" t="n"/>
      <c r="C66" s="1133" t="n"/>
      <c r="D66" s="1134" t="n"/>
      <c r="E66" s="1134" t="n"/>
      <c r="F66" s="760" t="n"/>
      <c r="G66" s="1134" t="n"/>
      <c r="H66" s="1134" t="n"/>
      <c r="I66" s="1134" t="n"/>
    </row>
    <row r="67">
      <c r="A67" s="607" t="n"/>
      <c r="B67" s="605" t="n"/>
      <c r="C67" s="1133" t="n"/>
      <c r="D67" s="1134" t="n"/>
      <c r="E67" s="1134" t="n"/>
      <c r="F67" s="760" t="n"/>
      <c r="G67" s="1134" t="n"/>
      <c r="H67" s="1134" t="n"/>
      <c r="I67" s="1134" t="n"/>
    </row>
    <row r="68">
      <c r="A68" s="607" t="n"/>
      <c r="B68" s="605" t="n"/>
      <c r="C68" s="1133" t="n"/>
      <c r="D68" s="1134" t="n"/>
      <c r="E68" s="1134" t="n"/>
      <c r="F68" s="760" t="n"/>
      <c r="G68" s="1134" t="n"/>
      <c r="H68" s="1134" t="n"/>
      <c r="I68" s="1134" t="n"/>
    </row>
    <row r="69">
      <c r="A69" s="607" t="n"/>
      <c r="B69" s="605" t="n"/>
      <c r="C69" s="1133" t="n"/>
      <c r="D69" s="1134" t="n"/>
      <c r="E69" s="1134" t="n"/>
      <c r="F69" s="760" t="n"/>
      <c r="G69" s="1134" t="n"/>
      <c r="H69" s="1134" t="n"/>
      <c r="I69" s="1134" t="n"/>
    </row>
    <row r="70">
      <c r="A70" s="607" t="n"/>
      <c r="B70" s="605" t="n"/>
      <c r="C70" s="1133" t="n"/>
      <c r="D70" s="1134" t="n"/>
      <c r="E70" s="1134" t="n"/>
      <c r="F70" s="760" t="n"/>
      <c r="G70" s="1134" t="n"/>
      <c r="H70" s="1134" t="n"/>
      <c r="I70" s="1134" t="n"/>
    </row>
    <row r="71">
      <c r="A71" s="607" t="n"/>
      <c r="B71" s="605" t="n"/>
      <c r="C71" s="1133" t="n"/>
      <c r="D71" s="1134" t="n"/>
      <c r="E71" s="1134" t="n"/>
      <c r="F71" s="760" t="n"/>
      <c r="G71" s="1134" t="n"/>
      <c r="H71" s="1134" t="n"/>
      <c r="I71" s="1134" t="n"/>
    </row>
    <row r="72">
      <c r="A72" s="607" t="n"/>
      <c r="B72" s="605" t="n"/>
      <c r="C72" s="1133" t="n"/>
      <c r="D72" s="1134" t="n"/>
      <c r="E72" s="1134" t="n"/>
      <c r="F72" s="760" t="n"/>
      <c r="G72" s="1134" t="n"/>
      <c r="H72" s="1134" t="n"/>
      <c r="I72" s="1134" t="n"/>
    </row>
    <row r="73">
      <c r="A73" s="607" t="n"/>
      <c r="B73" s="605" t="n"/>
      <c r="C73" s="1133" t="n"/>
      <c r="D73" s="1134" t="n"/>
      <c r="E73" s="1134" t="n"/>
      <c r="F73" s="760" t="n"/>
      <c r="G73" s="1134" t="n"/>
      <c r="H73" s="1134" t="n"/>
      <c r="I73" s="1134" t="n"/>
    </row>
    <row r="74">
      <c r="A74" s="607" t="n"/>
      <c r="B74" s="605" t="n"/>
      <c r="C74" s="1133" t="n"/>
      <c r="D74" s="1134" t="n"/>
      <c r="E74" s="1134" t="n"/>
      <c r="F74" s="760" t="n"/>
      <c r="G74" s="1134" t="n"/>
      <c r="H74" s="1134" t="n"/>
      <c r="I74" s="1134" t="n"/>
    </row>
    <row r="75">
      <c r="A75" s="607" t="n"/>
      <c r="B75" s="605" t="n"/>
      <c r="C75" s="1133" t="n"/>
      <c r="D75" s="1134" t="n"/>
      <c r="E75" s="1134" t="n"/>
      <c r="F75" s="760" t="n"/>
      <c r="G75" s="1134" t="n"/>
      <c r="H75" s="1134" t="n"/>
      <c r="I75" s="1134" t="n"/>
    </row>
    <row r="76">
      <c r="A76" s="607" t="n"/>
      <c r="B76" s="605" t="n"/>
      <c r="C76" s="1133" t="n"/>
      <c r="D76" s="1134" t="n"/>
      <c r="E76" s="1134" t="n"/>
      <c r="F76" s="760" t="n"/>
      <c r="G76" s="1134" t="n"/>
      <c r="H76" s="1134" t="n"/>
      <c r="I76" s="1134" t="n"/>
    </row>
    <row r="77">
      <c r="A77" s="607" t="n"/>
      <c r="B77" s="605" t="n"/>
      <c r="C77" s="1133" t="n"/>
      <c r="D77" s="1134" t="n"/>
      <c r="E77" s="1134" t="n"/>
      <c r="F77" s="760" t="n"/>
      <c r="G77" s="1134" t="n"/>
      <c r="H77" s="1134" t="n"/>
      <c r="I77" s="1134" t="n"/>
    </row>
    <row r="78">
      <c r="A78" s="607" t="n"/>
      <c r="B78" s="605" t="n"/>
      <c r="C78" s="1133" t="n"/>
      <c r="D78" s="1134" t="n"/>
      <c r="E78" s="1134" t="n"/>
      <c r="F78" s="760" t="n"/>
      <c r="G78" s="1134" t="n"/>
      <c r="H78" s="1134" t="n"/>
      <c r="I78" s="1134" t="n"/>
    </row>
    <row r="79">
      <c r="A79" s="607" t="n"/>
      <c r="B79" s="605" t="n"/>
      <c r="C79" s="1133" t="n"/>
      <c r="D79" s="1134" t="n"/>
      <c r="E79" s="1134" t="n"/>
      <c r="F79" s="760" t="n"/>
      <c r="G79" s="1134" t="n"/>
      <c r="H79" s="1134" t="n"/>
      <c r="I79" s="1134" t="n"/>
    </row>
    <row r="80">
      <c r="A80" s="607" t="n"/>
      <c r="B80" s="605" t="n"/>
      <c r="C80" s="1133" t="n"/>
      <c r="D80" s="1134" t="n"/>
      <c r="E80" s="1134" t="n"/>
      <c r="F80" s="760" t="n"/>
      <c r="G80" s="1134" t="n"/>
      <c r="H80" s="1134" t="n"/>
      <c r="I80" s="1134" t="n"/>
    </row>
    <row r="81">
      <c r="A81" s="607" t="n"/>
      <c r="B81" s="605" t="n"/>
      <c r="C81" s="1133" t="n"/>
      <c r="D81" s="1134" t="n"/>
      <c r="E81" s="1134" t="n"/>
      <c r="F81" s="760" t="n"/>
      <c r="G81" s="1134" t="n"/>
      <c r="H81" s="1134" t="n"/>
      <c r="I81" s="1134" t="n"/>
    </row>
    <row r="82">
      <c r="A82" s="607" t="n"/>
      <c r="B82" s="605" t="n"/>
      <c r="C82" s="1133" t="n"/>
      <c r="D82" s="1134" t="n"/>
      <c r="E82" s="1134" t="n"/>
      <c r="F82" s="760" t="n"/>
      <c r="G82" s="1134" t="n"/>
      <c r="H82" s="1134" t="n"/>
      <c r="I82" s="1134" t="n"/>
    </row>
    <row r="83">
      <c r="A83" s="607" t="n"/>
      <c r="B83" s="605" t="n"/>
      <c r="C83" s="1133" t="n"/>
      <c r="D83" s="1134" t="n"/>
      <c r="E83" s="1134" t="n"/>
      <c r="F83" s="760" t="n"/>
      <c r="G83" s="1134" t="n"/>
      <c r="H83" s="1134" t="n"/>
      <c r="I83" s="1134" t="n"/>
    </row>
    <row r="84">
      <c r="A84" s="607" t="n"/>
      <c r="B84" s="605" t="n"/>
      <c r="C84" s="1133" t="n"/>
      <c r="D84" s="1134" t="n"/>
      <c r="E84" s="1134" t="n"/>
      <c r="F84" s="760" t="n"/>
      <c r="G84" s="1134" t="n"/>
      <c r="H84" s="1134" t="n"/>
      <c r="I84" s="1134" t="n"/>
    </row>
    <row r="85">
      <c r="A85" s="607" t="n"/>
      <c r="B85" s="605" t="n"/>
      <c r="C85" s="1133" t="n"/>
      <c r="D85" s="1134" t="n"/>
      <c r="E85" s="1134" t="n"/>
      <c r="F85" s="760" t="n"/>
      <c r="G85" s="1134" t="n"/>
      <c r="H85" s="1134" t="n"/>
      <c r="I85" s="1134" t="n"/>
    </row>
    <row r="86">
      <c r="A86" s="608" t="n"/>
      <c r="B86" s="605" t="n"/>
      <c r="C86" s="1133" t="n"/>
      <c r="D86" s="1134" t="n"/>
      <c r="E86" s="1134" t="n"/>
      <c r="F86" s="760" t="n"/>
      <c r="G86" s="1134" t="n"/>
      <c r="H86" s="1134" t="n"/>
      <c r="I86" s="1134" t="n"/>
    </row>
    <row r="87">
      <c r="A87" s="608" t="n"/>
      <c r="B87" s="605" t="n"/>
      <c r="C87" s="1133" t="n"/>
      <c r="D87" s="1134" t="n"/>
      <c r="E87" s="1134" t="n"/>
      <c r="F87" s="760" t="n"/>
      <c r="G87" s="1134" t="n"/>
      <c r="H87" s="1134" t="n"/>
      <c r="I87" s="1134" t="n"/>
    </row>
    <row r="88">
      <c r="A88" s="608" t="n"/>
      <c r="B88" s="605" t="n"/>
      <c r="C88" s="1133" t="n"/>
      <c r="D88" s="1134" t="n"/>
      <c r="E88" s="1134" t="n"/>
      <c r="F88" s="760" t="n"/>
      <c r="G88" s="1134" t="n"/>
      <c r="H88" s="1134" t="n"/>
      <c r="I88" s="1134" t="n"/>
    </row>
    <row r="89">
      <c r="A89" s="608" t="n"/>
      <c r="B89" s="605" t="n"/>
      <c r="C89" s="1133" t="n"/>
      <c r="D89" s="1134" t="n"/>
      <c r="E89" s="1134" t="n"/>
      <c r="F89" s="760" t="n"/>
      <c r="G89" s="1134" t="n"/>
      <c r="H89" s="1134" t="n"/>
      <c r="I89" s="1134" t="n"/>
    </row>
    <row r="90">
      <c r="A90" s="608" t="n"/>
      <c r="B90" s="605" t="n"/>
      <c r="C90" s="1133" t="n"/>
      <c r="D90" s="1134" t="n"/>
      <c r="E90" s="1134" t="n"/>
      <c r="F90" s="760" t="n"/>
      <c r="G90" s="1134" t="n"/>
      <c r="H90" s="1134" t="n"/>
      <c r="I90" s="1134" t="n"/>
    </row>
    <row r="91">
      <c r="A91" s="608" t="n"/>
      <c r="B91" s="605" t="n"/>
      <c r="C91" s="1133" t="n"/>
      <c r="D91" s="1134" t="n"/>
      <c r="E91" s="1134" t="n"/>
      <c r="F91" s="760" t="n"/>
      <c r="G91" s="1134" t="n"/>
      <c r="H91" s="1134" t="n"/>
      <c r="I91" s="1134" t="n"/>
    </row>
    <row r="92">
      <c r="A92" s="608" t="n"/>
      <c r="B92" s="605" t="n"/>
      <c r="C92" s="1133" t="n"/>
      <c r="D92" s="1134" t="n"/>
      <c r="E92" s="1134" t="n"/>
      <c r="F92" s="760" t="n"/>
      <c r="G92" s="1134" t="n"/>
      <c r="H92" s="1134" t="n"/>
      <c r="I92" s="1134" t="n"/>
    </row>
    <row r="93">
      <c r="A93" s="608" t="n"/>
      <c r="B93" s="605" t="n"/>
      <c r="C93" s="1133" t="n"/>
      <c r="D93" s="1134" t="n"/>
      <c r="E93" s="1134" t="n"/>
      <c r="F93" s="760" t="n"/>
      <c r="G93" s="1134" t="n"/>
      <c r="H93" s="1134" t="n"/>
      <c r="I93" s="1134" t="n"/>
    </row>
    <row r="94">
      <c r="A94" s="608" t="n"/>
      <c r="B94" s="605" t="n"/>
      <c r="C94" s="1133" t="n"/>
      <c r="D94" s="1134" t="n"/>
      <c r="E94" s="1134" t="n"/>
      <c r="F94" s="760" t="n"/>
      <c r="G94" s="1134" t="n"/>
      <c r="H94" s="1134" t="n"/>
      <c r="I94" s="1134" t="n"/>
    </row>
    <row r="95">
      <c r="A95" s="608" t="n"/>
      <c r="B95" s="605" t="n"/>
      <c r="C95" s="1133" t="n"/>
      <c r="D95" s="1134" t="n"/>
      <c r="E95" s="1134" t="n"/>
      <c r="F95" s="760" t="n"/>
      <c r="G95" s="1134" t="n"/>
      <c r="H95" s="1134" t="n"/>
      <c r="I95" s="1134" t="n"/>
    </row>
    <row r="96">
      <c r="A96" s="608" t="n"/>
      <c r="B96" s="605" t="n"/>
      <c r="C96" s="1133" t="n"/>
      <c r="D96" s="1134" t="n"/>
      <c r="E96" s="1134" t="n"/>
      <c r="F96" s="760" t="n"/>
      <c r="G96" s="1134" t="n"/>
      <c r="H96" s="1134" t="n"/>
      <c r="I96" s="1134" t="n"/>
    </row>
    <row r="97">
      <c r="A97" s="608" t="n"/>
      <c r="B97" s="605" t="n"/>
      <c r="C97" s="1133" t="n"/>
      <c r="D97" s="1134" t="n"/>
      <c r="E97" s="1134" t="n"/>
      <c r="F97" s="760" t="n"/>
      <c r="G97" s="1134" t="n"/>
      <c r="H97" s="1134" t="n"/>
      <c r="I97" s="1134" t="n"/>
    </row>
    <row r="98">
      <c r="A98" s="608" t="n"/>
      <c r="B98" s="605" t="n"/>
      <c r="C98" s="1133" t="n"/>
      <c r="D98" s="1134" t="n"/>
      <c r="E98" s="1134" t="n"/>
      <c r="F98" s="760" t="n"/>
      <c r="G98" s="1134" t="n"/>
      <c r="H98" s="1134" t="n"/>
      <c r="I98" s="1134" t="n"/>
    </row>
    <row r="99">
      <c r="A99" s="608" t="n"/>
      <c r="B99" s="605" t="n"/>
      <c r="C99" s="1133" t="n"/>
      <c r="D99" s="1134" t="n"/>
      <c r="E99" s="1134" t="n"/>
      <c r="F99" s="760" t="n"/>
      <c r="G99" s="1134" t="n"/>
      <c r="H99" s="1134" t="n"/>
      <c r="I99" s="1134" t="n"/>
    </row>
    <row r="100">
      <c r="A100" s="608" t="n"/>
      <c r="B100" s="605" t="n"/>
      <c r="C100" s="1133" t="n"/>
      <c r="D100" s="1134" t="n"/>
      <c r="E100" s="1134" t="n"/>
      <c r="F100" s="760" t="n"/>
      <c r="G100" s="1134" t="n"/>
      <c r="H100" s="1134" t="n"/>
      <c r="I100" s="1134" t="n"/>
    </row>
    <row r="101">
      <c r="A101" s="608" t="n"/>
      <c r="B101" s="605" t="n"/>
      <c r="C101" s="1133" t="n"/>
      <c r="D101" s="1134" t="n"/>
      <c r="E101" s="1134" t="n"/>
      <c r="F101" s="760" t="n"/>
      <c r="G101" s="1134" t="n"/>
      <c r="H101" s="1134" t="n"/>
      <c r="I101" s="1134" t="n"/>
    </row>
    <row r="102">
      <c r="A102" s="608" t="n"/>
      <c r="B102" s="605" t="n"/>
      <c r="C102" s="1133" t="n"/>
      <c r="D102" s="1134" t="n"/>
      <c r="E102" s="1134" t="n"/>
      <c r="F102" s="760" t="n"/>
      <c r="G102" s="1134" t="n"/>
      <c r="H102" s="1134" t="n"/>
      <c r="I102" s="1134" t="n"/>
    </row>
    <row r="103">
      <c r="A103" s="608" t="n"/>
      <c r="B103" s="605" t="n"/>
      <c r="C103" s="1133" t="n"/>
      <c r="D103" s="1134" t="n"/>
      <c r="E103" s="1134" t="n"/>
      <c r="F103" s="760" t="n"/>
      <c r="G103" s="1134" t="n"/>
      <c r="H103" s="1134" t="n"/>
      <c r="I103" s="1134" t="n"/>
    </row>
    <row r="104">
      <c r="A104" s="608" t="n"/>
      <c r="B104" s="605" t="n"/>
      <c r="C104" s="1133" t="n"/>
      <c r="D104" s="1134" t="n"/>
      <c r="E104" s="1134" t="n"/>
      <c r="F104" s="760" t="n"/>
      <c r="G104" s="1134" t="n"/>
      <c r="H104" s="1134" t="n"/>
      <c r="I104" s="1134" t="n"/>
    </row>
    <row r="105">
      <c r="A105" s="608" t="n"/>
      <c r="B105" s="605" t="n"/>
      <c r="C105" s="1133" t="n"/>
      <c r="D105" s="1134" t="n"/>
      <c r="E105" s="1134" t="n"/>
      <c r="F105" s="760" t="n"/>
      <c r="G105" s="1134" t="n"/>
      <c r="H105" s="1134" t="n"/>
      <c r="I105" s="1134" t="n"/>
    </row>
    <row r="106">
      <c r="A106" s="608" t="n"/>
      <c r="B106" s="605" t="n"/>
      <c r="C106" s="1133" t="n"/>
      <c r="D106" s="1134" t="n"/>
      <c r="E106" s="1134" t="n"/>
      <c r="F106" s="760" t="n"/>
      <c r="G106" s="1134" t="n"/>
      <c r="H106" s="1134" t="n"/>
      <c r="I106" s="1134" t="n"/>
    </row>
    <row r="107">
      <c r="A107" s="608" t="n"/>
      <c r="B107" s="605" t="n"/>
      <c r="C107" s="1133" t="n"/>
      <c r="D107" s="1134" t="n"/>
      <c r="E107" s="1134" t="n"/>
      <c r="F107" s="760" t="n"/>
      <c r="G107" s="1134" t="n"/>
      <c r="H107" s="1134" t="n"/>
      <c r="I107" s="1134" t="n"/>
    </row>
    <row r="108">
      <c r="A108" s="608" t="n"/>
      <c r="B108" s="605" t="n"/>
      <c r="C108" s="1133" t="n"/>
      <c r="D108" s="1134" t="n"/>
      <c r="E108" s="1134" t="n"/>
      <c r="F108" s="760" t="n"/>
      <c r="G108" s="1134" t="n"/>
      <c r="H108" s="1134" t="n"/>
      <c r="I108" s="1134" t="n"/>
    </row>
    <row r="109">
      <c r="A109" s="608" t="n"/>
      <c r="B109" s="605" t="n"/>
      <c r="C109" s="1133" t="n"/>
      <c r="D109" s="1134" t="n"/>
      <c r="E109" s="1134" t="n"/>
      <c r="F109" s="760" t="n"/>
      <c r="G109" s="1134" t="n"/>
      <c r="H109" s="1134" t="n"/>
      <c r="I109" s="1134" t="n"/>
    </row>
    <row r="110">
      <c r="A110" s="608" t="n"/>
      <c r="B110" s="605" t="n"/>
      <c r="C110" s="1133" t="n"/>
      <c r="D110" s="1134" t="n"/>
      <c r="E110" s="1134" t="n"/>
      <c r="F110" s="760" t="n"/>
      <c r="G110" s="1134" t="n"/>
      <c r="H110" s="1134" t="n"/>
      <c r="I110" s="1134" t="n"/>
    </row>
    <row r="111">
      <c r="A111" s="608" t="n"/>
      <c r="B111" s="605" t="n"/>
      <c r="C111" s="1133" t="n"/>
      <c r="D111" s="1134" t="n"/>
      <c r="E111" s="1134" t="n"/>
      <c r="F111" s="760" t="n"/>
      <c r="G111" s="1134" t="n"/>
      <c r="H111" s="1134" t="n"/>
      <c r="I111" s="1134" t="n"/>
    </row>
    <row r="112">
      <c r="A112" s="608" t="n"/>
      <c r="B112" s="605" t="n"/>
      <c r="C112" s="1133" t="n"/>
      <c r="D112" s="1134" t="n"/>
      <c r="E112" s="1134" t="n"/>
      <c r="F112" s="760" t="n"/>
      <c r="G112" s="1134" t="n"/>
      <c r="H112" s="1134" t="n"/>
      <c r="I112" s="1134" t="n"/>
    </row>
    <row r="113">
      <c r="A113" s="608" t="n"/>
      <c r="B113" s="605" t="n"/>
      <c r="C113" s="1133" t="n"/>
      <c r="D113" s="1134" t="n"/>
      <c r="E113" s="1134" t="n"/>
      <c r="F113" s="760" t="n"/>
      <c r="G113" s="1134" t="n"/>
      <c r="H113" s="1134" t="n"/>
      <c r="I113" s="1134" t="n"/>
    </row>
    <row r="114">
      <c r="A114" s="608" t="n"/>
      <c r="B114" s="605" t="n"/>
      <c r="C114" s="1133" t="n"/>
      <c r="D114" s="1134" t="n"/>
      <c r="E114" s="1134" t="n"/>
      <c r="F114" s="760" t="n"/>
      <c r="G114" s="1134" t="n"/>
      <c r="H114" s="1134" t="n"/>
      <c r="I114" s="1134" t="n"/>
    </row>
    <row r="115">
      <c r="A115" s="608" t="n"/>
      <c r="B115" s="605" t="n"/>
      <c r="C115" s="1133" t="n"/>
      <c r="D115" s="1134" t="n"/>
      <c r="E115" s="1134" t="n"/>
      <c r="F115" s="760" t="n"/>
      <c r="G115" s="1134" t="n"/>
      <c r="H115" s="1134" t="n"/>
      <c r="I115" s="1134" t="n"/>
    </row>
    <row r="116">
      <c r="A116" s="608" t="n"/>
      <c r="B116" s="605" t="n"/>
      <c r="C116" s="1133" t="n"/>
      <c r="D116" s="1134" t="n"/>
      <c r="E116" s="1134" t="n"/>
      <c r="F116" s="760" t="n"/>
      <c r="G116" s="1134" t="n"/>
      <c r="H116" s="1134" t="n"/>
      <c r="I116" s="1134" t="n"/>
    </row>
    <row r="117">
      <c r="A117" s="607" t="n"/>
      <c r="B117" s="605" t="n"/>
      <c r="C117" s="1133" t="n"/>
      <c r="D117" s="1134" t="n"/>
      <c r="E117" s="1134" t="n"/>
      <c r="F117" s="760" t="n"/>
      <c r="G117" s="1134" t="n"/>
      <c r="H117" s="1134" t="n"/>
      <c r="I117" s="1134" t="n"/>
    </row>
    <row r="118">
      <c r="A118" s="607" t="n"/>
      <c r="B118" s="605" t="n"/>
      <c r="C118" s="1133" t="n"/>
      <c r="D118" s="1134" t="n"/>
      <c r="E118" s="1134" t="n"/>
      <c r="F118" s="760" t="n"/>
      <c r="G118" s="1134" t="n"/>
      <c r="H118" s="1134" t="n"/>
      <c r="I118" s="1134" t="n"/>
    </row>
    <row r="119">
      <c r="A119" s="607" t="n"/>
      <c r="B119" s="605" t="n"/>
      <c r="C119" s="1133" t="n"/>
      <c r="D119" s="1134" t="n"/>
      <c r="E119" s="1134" t="n"/>
      <c r="F119" s="760" t="n"/>
      <c r="G119" s="1134" t="n"/>
      <c r="H119" s="1134" t="n"/>
      <c r="I119" s="1134" t="n"/>
    </row>
    <row r="120">
      <c r="A120" s="607" t="n"/>
      <c r="B120" s="605" t="n"/>
      <c r="C120" s="1133" t="n"/>
      <c r="D120" s="1134" t="n"/>
      <c r="E120" s="1134" t="n"/>
      <c r="F120" s="760" t="n"/>
      <c r="G120" s="1134" t="n"/>
      <c r="H120" s="1134" t="n"/>
      <c r="I120" s="1134" t="n"/>
    </row>
    <row r="121">
      <c r="A121" s="607" t="n"/>
      <c r="B121" s="605" t="n"/>
      <c r="C121" s="1133" t="n"/>
      <c r="D121" s="1134" t="n"/>
      <c r="E121" s="1134" t="n"/>
      <c r="F121" s="760" t="n"/>
      <c r="G121" s="1134" t="n"/>
      <c r="H121" s="1134" t="n"/>
      <c r="I121" s="1134" t="n"/>
    </row>
    <row r="122">
      <c r="A122" s="607" t="n"/>
      <c r="B122" s="605" t="n"/>
      <c r="C122" s="1133" t="n"/>
      <c r="D122" s="1134" t="n"/>
      <c r="E122" s="1134" t="n"/>
      <c r="F122" s="760" t="n"/>
      <c r="G122" s="1134" t="n"/>
      <c r="H122" s="1134" t="n"/>
      <c r="I122" s="1134" t="n"/>
    </row>
    <row r="123">
      <c r="A123" s="607" t="n"/>
      <c r="B123" s="605" t="n"/>
      <c r="C123" s="1133" t="n"/>
      <c r="D123" s="1134" t="n"/>
      <c r="E123" s="1134" t="n"/>
      <c r="F123" s="760" t="n"/>
      <c r="G123" s="1134" t="n"/>
      <c r="H123" s="1134" t="n"/>
      <c r="I123" s="1134" t="n"/>
    </row>
    <row r="124">
      <c r="A124" s="607" t="n"/>
      <c r="B124" s="605" t="n"/>
      <c r="C124" s="1133" t="n"/>
      <c r="D124" s="1134" t="n"/>
      <c r="E124" s="1134" t="n"/>
      <c r="F124" s="760" t="n"/>
      <c r="G124" s="1134" t="n"/>
      <c r="H124" s="1134" t="n"/>
      <c r="I124" s="1134" t="n"/>
    </row>
    <row r="125">
      <c r="A125" s="608" t="n"/>
      <c r="B125" s="605" t="n"/>
      <c r="C125" s="1133" t="n"/>
      <c r="D125" s="1134" t="n"/>
      <c r="E125" s="1134" t="n"/>
      <c r="F125" s="760" t="n"/>
      <c r="G125" s="1134" t="n"/>
      <c r="H125" s="1134" t="n"/>
      <c r="I125" s="1134" t="n"/>
    </row>
    <row r="126">
      <c r="A126" s="608" t="n"/>
      <c r="B126" s="605" t="n"/>
      <c r="C126" s="1133" t="n"/>
      <c r="D126" s="1134" t="n"/>
      <c r="E126" s="1134" t="n"/>
      <c r="F126" s="760" t="n"/>
      <c r="G126" s="1134" t="n"/>
      <c r="H126" s="1134" t="n"/>
      <c r="I126" s="1134" t="n"/>
    </row>
    <row r="127">
      <c r="A127" s="608" t="n"/>
      <c r="B127" s="605" t="n"/>
      <c r="C127" s="1133" t="n"/>
      <c r="D127" s="1134" t="n"/>
      <c r="E127" s="1134" t="n"/>
      <c r="F127" s="760" t="n"/>
      <c r="G127" s="1134" t="n"/>
      <c r="H127" s="1134" t="n"/>
      <c r="I127" s="1134" t="n"/>
    </row>
    <row r="128">
      <c r="A128" s="608" t="n"/>
      <c r="B128" s="605" t="n"/>
      <c r="C128" s="1133" t="n"/>
      <c r="D128" s="1134" t="n"/>
      <c r="E128" s="1134" t="n"/>
      <c r="F128" s="760" t="n"/>
      <c r="G128" s="1134" t="n"/>
      <c r="H128" s="1134" t="n"/>
      <c r="I128" s="1134" t="n"/>
    </row>
    <row r="129">
      <c r="A129" s="609" t="n"/>
      <c r="B129" s="605" t="n"/>
      <c r="C129" s="1133" t="n"/>
      <c r="D129" s="1134" t="n"/>
      <c r="E129" s="1134" t="n"/>
      <c r="F129" s="760" t="n"/>
      <c r="G129" s="1134" t="n"/>
      <c r="H129" s="1134" t="n"/>
      <c r="I129" s="1134" t="n"/>
    </row>
    <row r="130">
      <c r="A130" s="609" t="n"/>
      <c r="B130" s="605" t="n"/>
      <c r="C130" s="1133" t="n"/>
      <c r="D130" s="1134" t="n"/>
      <c r="E130" s="1134" t="n"/>
      <c r="F130" s="760" t="n"/>
      <c r="G130" s="1134" t="n"/>
      <c r="H130" s="1134" t="n"/>
      <c r="I130" s="1134" t="n"/>
    </row>
    <row r="131">
      <c r="A131" s="609" t="n"/>
      <c r="B131" s="605" t="n"/>
      <c r="C131" s="1133" t="n"/>
      <c r="D131" s="1134" t="n"/>
      <c r="E131" s="1134" t="n"/>
      <c r="F131" s="760" t="n"/>
      <c r="G131" s="1134" t="n"/>
      <c r="H131" s="1134" t="n"/>
      <c r="I131" s="1134" t="n"/>
    </row>
    <row r="132">
      <c r="A132" s="609" t="n"/>
      <c r="B132" s="605" t="n"/>
      <c r="C132" s="1133" t="n"/>
      <c r="D132" s="1134" t="n"/>
      <c r="E132" s="1134" t="n"/>
      <c r="F132" s="760" t="n"/>
      <c r="G132" s="1134" t="n"/>
      <c r="H132" s="1134" t="n"/>
      <c r="I132" s="1134" t="n"/>
    </row>
    <row r="133">
      <c r="A133" s="609" t="n"/>
      <c r="B133" s="605" t="n"/>
      <c r="C133" s="1133" t="n"/>
      <c r="D133" s="1134" t="n"/>
      <c r="E133" s="1134" t="n"/>
      <c r="F133" s="760" t="n"/>
      <c r="G133" s="1134" t="n"/>
      <c r="H133" s="1134" t="n"/>
      <c r="I133" s="1134" t="n"/>
    </row>
    <row r="134">
      <c r="A134" s="610" t="n"/>
      <c r="B134" s="605" t="n"/>
      <c r="C134" s="1133" t="n"/>
      <c r="D134" s="1134" t="n"/>
      <c r="E134" s="1134" t="n"/>
      <c r="F134" s="760" t="n"/>
      <c r="G134" s="1134" t="n"/>
      <c r="H134" s="1134" t="n"/>
      <c r="I134" s="1134" t="n"/>
    </row>
    <row r="135">
      <c r="A135" s="757" t="n"/>
      <c r="B135" s="605" t="n"/>
      <c r="C135" s="1133" t="n"/>
      <c r="D135" s="1134" t="n"/>
      <c r="E135" s="1134" t="n"/>
      <c r="F135" s="760" t="n"/>
      <c r="G135" s="1134" t="n"/>
      <c r="H135" s="1134" t="n"/>
      <c r="I135" s="1134" t="n"/>
    </row>
    <row r="136">
      <c r="A136" s="757" t="n"/>
      <c r="B136" s="605" t="n"/>
      <c r="C136" s="1133" t="n"/>
      <c r="D136" s="1134" t="n"/>
      <c r="E136" s="1134" t="n"/>
      <c r="F136" s="760" t="n"/>
      <c r="G136" s="1134" t="n"/>
      <c r="H136" s="1134" t="n"/>
      <c r="I136" s="1134" t="n"/>
    </row>
    <row r="137">
      <c r="A137" s="757" t="n"/>
      <c r="B137" s="605" t="n"/>
      <c r="C137" s="1133" t="n"/>
      <c r="D137" s="1134" t="n"/>
      <c r="E137" s="1134" t="n"/>
      <c r="F137" s="760" t="n"/>
      <c r="G137" s="1134" t="n"/>
      <c r="H137" s="1134" t="n"/>
      <c r="I137" s="1134" t="n"/>
    </row>
    <row r="138" customFormat="1" s="1127">
      <c r="A138" s="1136" t="n"/>
      <c r="B138" s="1136" t="n"/>
      <c r="C138" s="1136" t="n"/>
      <c r="D138" s="1136" t="n"/>
      <c r="E138" s="1136" t="n"/>
      <c r="F138" s="1136" t="n"/>
      <c r="G138" s="1136" t="n"/>
      <c r="H138" s="1136" t="n"/>
      <c r="I138" s="1136" t="n"/>
    </row>
    <row r="139" customFormat="1" s="1127">
      <c r="A139" s="1136" t="n"/>
      <c r="B139" s="1136" t="n"/>
      <c r="C139" s="1136" t="n"/>
      <c r="D139" s="1136" t="n"/>
      <c r="E139" s="1136" t="n"/>
      <c r="F139" s="1136" t="n"/>
      <c r="G139" s="1136" t="n"/>
      <c r="H139" s="1136" t="n"/>
      <c r="I139" s="1136" t="n"/>
    </row>
    <row r="140" customFormat="1" s="1127">
      <c r="A140" s="1136" t="n"/>
      <c r="B140" s="1136" t="n"/>
      <c r="C140" s="1136" t="n"/>
      <c r="D140" s="1136" t="n"/>
      <c r="E140" s="1136" t="n"/>
      <c r="F140" s="1136" t="n"/>
      <c r="G140" s="1136" t="n"/>
      <c r="H140" s="1136" t="n"/>
      <c r="I140" s="1136" t="n"/>
    </row>
    <row r="141" customFormat="1" s="1127">
      <c r="A141" s="1136" t="n"/>
      <c r="B141" s="1136" t="n"/>
      <c r="C141" s="1136" t="n"/>
      <c r="D141" s="1136" t="n"/>
      <c r="E141" s="1136" t="n"/>
      <c r="F141" s="1136" t="n"/>
      <c r="G141" s="1136" t="n"/>
      <c r="H141" s="1136" t="n"/>
      <c r="I141" s="1136" t="n"/>
    </row>
    <row r="142" customFormat="1" s="1127">
      <c r="A142" s="1136" t="n"/>
      <c r="B142" s="1136" t="n"/>
      <c r="C142" s="1136" t="n"/>
      <c r="D142" s="1136" t="n"/>
      <c r="E142" s="1136" t="n"/>
      <c r="F142" s="1136" t="n"/>
      <c r="G142" s="1136" t="n"/>
      <c r="H142" s="1136" t="n"/>
      <c r="I142" s="1136" t="n"/>
    </row>
    <row r="143" customFormat="1" s="1137">
      <c r="A143" s="1137" t="n"/>
      <c r="B143" s="1137" t="n"/>
      <c r="C143" s="1137" t="n"/>
      <c r="D143" s="1137" t="n"/>
      <c r="E143" s="1137" t="n"/>
      <c r="F143" s="1137" t="n"/>
      <c r="G143" s="1137" t="n"/>
      <c r="H143" s="1137" t="n"/>
      <c r="I143" s="1137" t="n"/>
    </row>
    <row r="144">
      <c r="A144" s="757" t="n"/>
      <c r="B144" s="605" t="n"/>
      <c r="C144" s="1133" t="n"/>
      <c r="D144" s="1134" t="n"/>
      <c r="E144" s="1134" t="n"/>
      <c r="F144" s="760" t="n"/>
      <c r="G144" s="1134" t="n"/>
      <c r="H144" s="1134" t="n"/>
      <c r="I144" s="1134" t="n"/>
    </row>
    <row r="145">
      <c r="A145" s="757" t="n"/>
      <c r="B145" s="605" t="n"/>
      <c r="C145" s="1133" t="n"/>
      <c r="D145" s="1134" t="n"/>
      <c r="E145" s="1134" t="n"/>
      <c r="F145" s="760" t="n"/>
      <c r="G145" s="1134" t="n"/>
      <c r="H145" s="1134" t="n"/>
      <c r="I145" s="1134" t="n"/>
    </row>
    <row r="146">
      <c r="A146" s="757" t="n"/>
      <c r="B146" s="605" t="n"/>
      <c r="C146" s="1133" t="n"/>
      <c r="D146" s="1134" t="n"/>
      <c r="E146" s="1134" t="n"/>
      <c r="F146" s="760" t="n"/>
      <c r="G146" s="1134" t="n"/>
      <c r="H146" s="1134" t="n"/>
      <c r="I146" s="1134" t="n"/>
    </row>
    <row r="147">
      <c r="A147" s="757" t="n"/>
      <c r="B147" s="605" t="n"/>
      <c r="C147" s="1133" t="n"/>
      <c r="D147" s="1134" t="n"/>
      <c r="E147" s="1134" t="n"/>
      <c r="F147" s="760" t="n"/>
      <c r="G147" s="1134" t="n"/>
      <c r="H147" s="1134" t="n"/>
      <c r="I147" s="1134" t="n"/>
    </row>
    <row r="148">
      <c r="A148" s="757" t="n"/>
      <c r="B148" s="605" t="n"/>
      <c r="C148" s="1133" t="n"/>
      <c r="D148" s="1134" t="n"/>
      <c r="E148" s="1134" t="n"/>
      <c r="F148" s="760" t="n"/>
      <c r="G148" s="1134" t="n"/>
      <c r="H148" s="1134" t="n"/>
      <c r="I148" s="1134" t="n"/>
    </row>
    <row r="149">
      <c r="A149" s="757" t="n"/>
      <c r="B149" s="605" t="n"/>
      <c r="C149" s="1133" t="n"/>
      <c r="D149" s="1134" t="n"/>
      <c r="E149" s="1134" t="n"/>
      <c r="F149" s="760" t="n"/>
      <c r="G149" s="1134" t="n"/>
      <c r="H149" s="1134" t="n"/>
      <c r="I149" s="1134" t="n"/>
    </row>
    <row r="150">
      <c r="A150" s="757" t="n"/>
      <c r="B150" s="605" t="n"/>
      <c r="C150" s="1133" t="n"/>
      <c r="D150" s="1134" t="n"/>
      <c r="E150" s="1134" t="n"/>
      <c r="F150" s="760" t="n"/>
      <c r="G150" s="1134" t="n"/>
      <c r="H150" s="1134" t="n"/>
      <c r="I150" s="1134" t="n"/>
    </row>
    <row r="151">
      <c r="A151" s="757" t="n"/>
      <c r="B151" s="605" t="n"/>
      <c r="C151" s="1133" t="n"/>
      <c r="D151" s="1134" t="n"/>
      <c r="E151" s="1134" t="n"/>
      <c r="F151" s="760" t="n"/>
      <c r="G151" s="1134" t="n"/>
      <c r="H151" s="1134" t="n"/>
      <c r="I151" s="1134" t="n"/>
    </row>
    <row r="152">
      <c r="A152" s="757" t="n"/>
      <c r="B152" s="605" t="n"/>
      <c r="C152" s="1133" t="n"/>
      <c r="D152" s="1134" t="n"/>
      <c r="E152" s="1134" t="n"/>
      <c r="F152" s="760" t="n"/>
      <c r="G152" s="1134" t="n"/>
      <c r="H152" s="1134" t="n"/>
      <c r="I152" s="1134" t="n"/>
    </row>
    <row r="153">
      <c r="A153" s="757" t="n"/>
      <c r="B153" s="605" t="n"/>
      <c r="C153" s="1133" t="n"/>
      <c r="D153" s="1134" t="n"/>
      <c r="E153" s="1134" t="n"/>
      <c r="F153" s="760" t="n"/>
      <c r="G153" s="1134" t="n"/>
      <c r="H153" s="1134" t="n"/>
      <c r="I153" s="1134" t="n"/>
    </row>
    <row r="154">
      <c r="A154" s="757" t="n"/>
      <c r="B154" s="605" t="n"/>
      <c r="C154" s="1133" t="n"/>
      <c r="D154" s="1134" t="n"/>
      <c r="E154" s="1134" t="n"/>
      <c r="F154" s="760" t="n"/>
      <c r="G154" s="1134" t="n"/>
      <c r="H154" s="1134" t="n"/>
      <c r="I154" s="1134" t="n"/>
    </row>
    <row r="155">
      <c r="A155" s="757" t="n"/>
      <c r="B155" s="605" t="n"/>
      <c r="C155" s="1133" t="n"/>
      <c r="D155" s="1134" t="n"/>
      <c r="E155" s="1134" t="n"/>
      <c r="F155" s="760" t="n"/>
      <c r="G155" s="1134" t="n"/>
      <c r="H155" s="1134" t="n"/>
      <c r="I155" s="1134" t="n"/>
    </row>
    <row r="156">
      <c r="A156" s="757" t="n"/>
      <c r="B156" s="605" t="n"/>
      <c r="C156" s="1133" t="n"/>
      <c r="D156" s="1134" t="n"/>
      <c r="E156" s="1134" t="n"/>
      <c r="F156" s="760" t="n"/>
      <c r="G156" s="1134" t="n"/>
      <c r="H156" s="1134" t="n"/>
      <c r="I156" s="1134" t="n"/>
    </row>
    <row r="157">
      <c r="A157" s="757" t="n"/>
      <c r="B157" s="605" t="n"/>
      <c r="C157" s="1133" t="n"/>
      <c r="D157" s="1134" t="n"/>
      <c r="E157" s="1134" t="n"/>
      <c r="F157" s="760" t="n"/>
      <c r="G157" s="1134" t="n"/>
      <c r="H157" s="1134" t="n"/>
      <c r="I157" s="1134" t="n"/>
    </row>
    <row r="158">
      <c r="A158" s="757" t="n"/>
      <c r="B158" s="605" t="n"/>
      <c r="C158" s="1133" t="n"/>
      <c r="D158" s="1134" t="n"/>
      <c r="E158" s="1134" t="n"/>
      <c r="F158" s="760" t="n"/>
      <c r="G158" s="1134" t="n"/>
      <c r="H158" s="1134" t="n"/>
      <c r="I158" s="1134" t="n"/>
    </row>
    <row r="159">
      <c r="A159" s="757" t="n"/>
      <c r="B159" s="605" t="n"/>
      <c r="C159" s="1133" t="n"/>
      <c r="D159" s="1134" t="n"/>
      <c r="E159" s="1134" t="n"/>
      <c r="F159" s="760" t="n"/>
      <c r="G159" s="1134" t="n"/>
      <c r="H159" s="1134" t="n"/>
      <c r="I159" s="1134" t="n"/>
    </row>
    <row r="160">
      <c r="A160" s="757" t="n"/>
      <c r="B160" s="605" t="n"/>
      <c r="C160" s="1133" t="n"/>
      <c r="D160" s="1134" t="n"/>
      <c r="E160" s="1134" t="n"/>
      <c r="F160" s="760" t="n"/>
      <c r="G160" s="1134" t="n"/>
      <c r="H160" s="1134" t="n"/>
      <c r="I160" s="1134" t="n"/>
    </row>
    <row r="161">
      <c r="A161" s="757" t="n"/>
      <c r="B161" s="605" t="n"/>
      <c r="C161" s="1133" t="n"/>
      <c r="D161" s="1134" t="n"/>
      <c r="E161" s="1134" t="n"/>
      <c r="F161" s="760" t="n"/>
      <c r="G161" s="1134" t="n"/>
      <c r="H161" s="1134" t="n"/>
      <c r="I161" s="1134" t="n"/>
    </row>
    <row r="162">
      <c r="A162" s="757" t="n"/>
      <c r="B162" s="605" t="n"/>
      <c r="C162" s="1133" t="n"/>
      <c r="D162" s="1134" t="n"/>
      <c r="E162" s="1134" t="n"/>
      <c r="F162" s="760" t="n"/>
      <c r="G162" s="1134" t="n"/>
      <c r="H162" s="1134" t="n"/>
      <c r="I162" s="1134" t="n"/>
    </row>
    <row r="163">
      <c r="A163" s="757" t="n"/>
      <c r="B163" s="605" t="n"/>
      <c r="C163" s="1133" t="n"/>
      <c r="D163" s="1134" t="n"/>
      <c r="E163" s="1134" t="n"/>
      <c r="F163" s="760" t="n"/>
      <c r="G163" s="1134" t="n"/>
      <c r="H163" s="1134" t="n"/>
      <c r="I163" s="1134" t="n"/>
    </row>
    <row r="164">
      <c r="A164" s="757" t="n"/>
      <c r="B164" s="605" t="n"/>
      <c r="C164" s="1133" t="n"/>
      <c r="D164" s="1134" t="n"/>
      <c r="E164" s="1134" t="n"/>
      <c r="F164" s="760" t="n"/>
      <c r="G164" s="1134" t="n"/>
      <c r="H164" s="1134" t="n"/>
      <c r="I164" s="1134" t="n"/>
    </row>
    <row r="165">
      <c r="A165" s="757" t="n"/>
      <c r="B165" s="605" t="n"/>
      <c r="C165" s="1133" t="n"/>
      <c r="D165" s="1134" t="n"/>
      <c r="E165" s="1134" t="n"/>
      <c r="F165" s="760" t="n"/>
      <c r="G165" s="1134" t="n"/>
      <c r="H165" s="1134" t="n"/>
      <c r="I165" s="1134" t="n"/>
    </row>
    <row r="166">
      <c r="A166" s="757" t="n"/>
      <c r="B166" s="605" t="n"/>
      <c r="C166" s="1133" t="n"/>
      <c r="D166" s="1134" t="n"/>
      <c r="E166" s="1134" t="n"/>
      <c r="F166" s="760" t="n"/>
      <c r="G166" s="1134" t="n"/>
      <c r="H166" s="1134" t="n"/>
      <c r="I166" s="1134" t="n"/>
    </row>
    <row r="167">
      <c r="A167" s="757" t="n"/>
      <c r="B167" s="605" t="n"/>
      <c r="C167" s="1133" t="n"/>
      <c r="D167" s="1134" t="n"/>
      <c r="E167" s="1134" t="n"/>
      <c r="F167" s="760" t="n"/>
      <c r="G167" s="1134" t="n"/>
      <c r="H167" s="1134" t="n"/>
      <c r="I167" s="1134" t="n"/>
    </row>
    <row r="168">
      <c r="A168" s="757" t="n"/>
      <c r="B168" s="605" t="n"/>
      <c r="C168" s="1133" t="n"/>
      <c r="D168" s="1134" t="n"/>
      <c r="E168" s="1134" t="n"/>
      <c r="F168" s="760" t="n"/>
      <c r="G168" s="1134" t="n"/>
      <c r="H168" s="1134" t="n"/>
      <c r="I168" s="1134" t="n"/>
    </row>
    <row r="169">
      <c r="A169" s="757" t="n"/>
      <c r="B169" s="605" t="n"/>
      <c r="C169" s="1133" t="n"/>
      <c r="D169" s="1134" t="n"/>
      <c r="E169" s="1134" t="n"/>
      <c r="F169" s="760" t="n"/>
      <c r="G169" s="1134" t="n"/>
      <c r="H169" s="1134" t="n"/>
      <c r="I169" s="1134" t="n"/>
    </row>
    <row r="170">
      <c r="A170" s="757" t="n"/>
      <c r="B170" s="605" t="n"/>
      <c r="C170" s="1133" t="n"/>
      <c r="D170" s="1134" t="n"/>
      <c r="E170" s="1134" t="n"/>
      <c r="F170" s="760" t="n"/>
      <c r="G170" s="1134" t="n"/>
      <c r="H170" s="1134" t="n"/>
      <c r="I170" s="1134" t="n"/>
    </row>
    <row r="171">
      <c r="A171" s="757" t="n"/>
      <c r="B171" s="605" t="n"/>
      <c r="C171" s="1133" t="n"/>
      <c r="D171" s="1134" t="n"/>
      <c r="E171" s="1134" t="n"/>
      <c r="F171" s="760" t="n"/>
      <c r="G171" s="1134" t="n"/>
      <c r="H171" s="1134" t="n"/>
      <c r="I171" s="1134" t="n"/>
    </row>
    <row r="172">
      <c r="A172" s="757" t="n"/>
      <c r="B172" s="605" t="n"/>
      <c r="C172" s="1133" t="n"/>
      <c r="D172" s="1134" t="n"/>
      <c r="E172" s="1134" t="n"/>
      <c r="F172" s="760" t="n"/>
      <c r="G172" s="1134" t="n"/>
      <c r="H172" s="1134" t="n"/>
      <c r="I172" s="1134" t="n"/>
    </row>
    <row r="173">
      <c r="A173" s="757" t="n"/>
      <c r="B173" s="605" t="n"/>
      <c r="C173" s="1133" t="n"/>
      <c r="D173" s="1134" t="n"/>
      <c r="E173" s="1134" t="n"/>
      <c r="F173" s="760" t="n"/>
      <c r="G173" s="1134" t="n"/>
      <c r="H173" s="1134" t="n"/>
      <c r="I173" s="1134" t="n"/>
    </row>
    <row r="174">
      <c r="A174" s="757" t="n"/>
      <c r="B174" s="605" t="n"/>
      <c r="C174" s="1133" t="n"/>
      <c r="D174" s="1134" t="n"/>
      <c r="E174" s="1134" t="n"/>
      <c r="F174" s="760" t="n"/>
      <c r="G174" s="1134" t="n"/>
      <c r="H174" s="1134" t="n"/>
      <c r="I174" s="1134" t="n"/>
    </row>
    <row r="175">
      <c r="A175" s="757" t="n"/>
      <c r="B175" s="605" t="n"/>
      <c r="C175" s="1133" t="n"/>
      <c r="D175" s="1134" t="n"/>
      <c r="E175" s="1134" t="n"/>
      <c r="F175" s="760" t="n"/>
      <c r="G175" s="1134" t="n"/>
      <c r="H175" s="1134" t="n"/>
      <c r="I175" s="1134" t="n"/>
    </row>
    <row r="176">
      <c r="A176" s="757" t="n"/>
      <c r="B176" s="605" t="n"/>
      <c r="C176" s="1133" t="n"/>
      <c r="D176" s="1134" t="n"/>
      <c r="E176" s="1134" t="n"/>
      <c r="F176" s="760" t="n"/>
      <c r="G176" s="1134" t="n"/>
      <c r="H176" s="1134" t="n"/>
      <c r="I176" s="1134" t="n"/>
    </row>
    <row r="177">
      <c r="A177" s="757" t="n"/>
      <c r="B177" s="605" t="n"/>
      <c r="C177" s="1133" t="n"/>
      <c r="D177" s="1134" t="n"/>
      <c r="E177" s="1134" t="n"/>
      <c r="F177" s="760" t="n"/>
      <c r="G177" s="1134" t="n"/>
      <c r="H177" s="1134" t="n"/>
      <c r="I177" s="1134" t="n"/>
    </row>
    <row r="178">
      <c r="A178" s="757" t="n"/>
      <c r="B178" s="605" t="n"/>
      <c r="C178" s="1133" t="n"/>
      <c r="D178" s="1134" t="n"/>
      <c r="E178" s="1134" t="n"/>
      <c r="F178" s="760" t="n"/>
      <c r="G178" s="1134" t="n"/>
      <c r="H178" s="1134" t="n"/>
      <c r="I178" s="1134" t="n"/>
    </row>
    <row r="179">
      <c r="A179" s="757" t="n"/>
      <c r="B179" s="605" t="n"/>
      <c r="C179" s="1133" t="n"/>
      <c r="D179" s="1134" t="n"/>
      <c r="E179" s="1134" t="n"/>
      <c r="F179" s="760" t="n"/>
      <c r="G179" s="1134" t="n"/>
      <c r="H179" s="1134" t="n"/>
      <c r="I179" s="1134" t="n"/>
    </row>
    <row r="180">
      <c r="A180" s="757" t="n"/>
      <c r="B180" s="605" t="n"/>
      <c r="C180" s="1133" t="n"/>
      <c r="D180" s="1134" t="n"/>
      <c r="E180" s="1134" t="n"/>
      <c r="F180" s="760" t="n"/>
      <c r="G180" s="1134" t="n"/>
      <c r="H180" s="1134" t="n"/>
      <c r="I180" s="1134" t="n"/>
    </row>
    <row r="181">
      <c r="A181" s="757" t="n"/>
      <c r="B181" s="605" t="n"/>
      <c r="C181" s="1133" t="n"/>
      <c r="D181" s="1134" t="n"/>
      <c r="E181" s="1134" t="n"/>
      <c r="F181" s="760" t="n"/>
      <c r="G181" s="1134" t="n"/>
      <c r="H181" s="1134" t="n"/>
      <c r="I181" s="1134" t="n"/>
    </row>
    <row r="182">
      <c r="A182" s="757" t="n"/>
      <c r="B182" s="605" t="n"/>
      <c r="C182" s="1133" t="n"/>
      <c r="D182" s="1134" t="n"/>
      <c r="E182" s="1134" t="n"/>
      <c r="F182" s="760" t="n"/>
      <c r="G182" s="1134" t="n"/>
      <c r="H182" s="1134" t="n"/>
      <c r="I182" s="1134" t="n"/>
    </row>
    <row r="183">
      <c r="A183" s="757" t="n"/>
      <c r="B183" s="605" t="n"/>
      <c r="C183" s="1133" t="n"/>
      <c r="D183" s="1134" t="n"/>
      <c r="E183" s="1134" t="n"/>
      <c r="F183" s="760" t="n"/>
      <c r="G183" s="1134" t="n"/>
      <c r="H183" s="1134" t="n"/>
      <c r="I183" s="1134" t="n"/>
    </row>
    <row r="184">
      <c r="A184" s="757" t="n"/>
      <c r="B184" s="605" t="n"/>
      <c r="C184" s="1133" t="n"/>
      <c r="D184" s="1134" t="n"/>
      <c r="E184" s="1134" t="n"/>
      <c r="F184" s="760" t="n"/>
      <c r="G184" s="1134" t="n"/>
      <c r="H184" s="1134" t="n"/>
      <c r="I184" s="1134" t="n"/>
    </row>
    <row r="185">
      <c r="A185" s="757" t="n"/>
      <c r="B185" s="605" t="n"/>
      <c r="C185" s="1133" t="n"/>
      <c r="D185" s="1134" t="n"/>
      <c r="E185" s="1134" t="n"/>
      <c r="F185" s="760" t="n"/>
      <c r="G185" s="1134" t="n"/>
      <c r="H185" s="1134" t="n"/>
      <c r="I185" s="1134" t="n"/>
    </row>
    <row r="186">
      <c r="A186" s="757" t="n"/>
      <c r="B186" s="605" t="n"/>
      <c r="C186" s="1133" t="n"/>
      <c r="D186" s="1134" t="n"/>
      <c r="E186" s="1134" t="n"/>
      <c r="F186" s="760" t="n"/>
      <c r="G186" s="1134" t="n"/>
      <c r="H186" s="1134" t="n"/>
      <c r="I186" s="1134" t="n"/>
    </row>
    <row r="187">
      <c r="A187" s="757" t="n"/>
      <c r="B187" s="605" t="n"/>
      <c r="C187" s="1133" t="n"/>
      <c r="D187" s="1134" t="n"/>
      <c r="E187" s="1134" t="n"/>
      <c r="F187" s="760" t="n"/>
      <c r="G187" s="1134" t="n"/>
      <c r="H187" s="1134" t="n"/>
      <c r="I187" s="1134" t="n"/>
    </row>
    <row r="188">
      <c r="A188" s="757" t="n"/>
      <c r="B188" s="605" t="n"/>
      <c r="C188" s="1133" t="n"/>
      <c r="D188" s="1134" t="n"/>
      <c r="E188" s="1134" t="n"/>
      <c r="F188" s="760" t="n"/>
      <c r="G188" s="1134" t="n"/>
      <c r="H188" s="1134" t="n"/>
      <c r="I188" s="1134" t="n"/>
    </row>
    <row r="189">
      <c r="A189" s="757" t="n"/>
      <c r="B189" s="605" t="n"/>
      <c r="C189" s="1133" t="n"/>
      <c r="D189" s="1134" t="n"/>
      <c r="E189" s="1134" t="n"/>
      <c r="F189" s="760" t="n"/>
      <c r="G189" s="1134" t="n"/>
      <c r="H189" s="1134" t="n"/>
      <c r="I189" s="1134" t="n"/>
    </row>
    <row r="190">
      <c r="A190" s="757" t="n"/>
      <c r="B190" s="605" t="n"/>
      <c r="C190" s="1133" t="n"/>
      <c r="D190" s="1134" t="n"/>
      <c r="E190" s="1134" t="n"/>
      <c r="F190" s="760" t="n"/>
      <c r="G190" s="1134" t="n"/>
      <c r="H190" s="1134" t="n"/>
      <c r="I190" s="1134" t="n"/>
    </row>
    <row r="191">
      <c r="A191" s="757" t="n"/>
      <c r="B191" s="605" t="n"/>
      <c r="C191" s="1133" t="n"/>
      <c r="D191" s="1134" t="n"/>
      <c r="E191" s="1134" t="n"/>
      <c r="F191" s="760" t="n"/>
      <c r="G191" s="1134" t="n"/>
      <c r="H191" s="1134" t="n"/>
      <c r="I191" s="1134" t="n"/>
    </row>
    <row r="192">
      <c r="A192" s="757" t="n"/>
      <c r="B192" s="605" t="n"/>
      <c r="C192" s="1133" t="n"/>
      <c r="D192" s="1134" t="n"/>
      <c r="E192" s="1134" t="n"/>
      <c r="F192" s="760" t="n"/>
      <c r="G192" s="1134" t="n"/>
      <c r="H192" s="1134" t="n"/>
      <c r="I192" s="1134" t="n"/>
    </row>
    <row r="193">
      <c r="A193" s="757" t="n"/>
      <c r="B193" s="605" t="n"/>
      <c r="C193" s="1133" t="n"/>
      <c r="D193" s="1134" t="n"/>
      <c r="E193" s="1134" t="n"/>
      <c r="F193" s="760" t="n"/>
      <c r="G193" s="1134" t="n"/>
      <c r="H193" s="1134" t="n"/>
      <c r="I193" s="1134" t="n"/>
    </row>
    <row r="194">
      <c r="A194" s="757" t="n"/>
      <c r="B194" s="605" t="n"/>
      <c r="C194" s="1133" t="n"/>
      <c r="D194" s="1134" t="n"/>
      <c r="E194" s="1134" t="n"/>
      <c r="F194" s="760" t="n"/>
      <c r="G194" s="1134" t="n"/>
      <c r="H194" s="1134" t="n"/>
      <c r="I194" s="1134" t="n"/>
    </row>
    <row r="195">
      <c r="A195" s="757" t="n"/>
      <c r="B195" s="605" t="n"/>
      <c r="C195" s="1133" t="n"/>
      <c r="D195" s="1134" t="n"/>
      <c r="E195" s="1134" t="n"/>
      <c r="F195" s="760" t="n"/>
      <c r="G195" s="1134" t="n"/>
      <c r="H195" s="1134" t="n"/>
      <c r="I195" s="1134" t="n"/>
    </row>
    <row r="196">
      <c r="A196" s="757" t="n"/>
      <c r="B196" s="605" t="n"/>
      <c r="C196" s="1133" t="n"/>
      <c r="D196" s="1134" t="n"/>
      <c r="E196" s="1134" t="n"/>
      <c r="F196" s="760" t="n"/>
      <c r="G196" s="1134" t="n"/>
      <c r="H196" s="1134" t="n"/>
      <c r="I196" s="1134" t="n"/>
    </row>
    <row r="197">
      <c r="A197" s="757" t="n"/>
      <c r="B197" s="605" t="n"/>
      <c r="C197" s="1133" t="n"/>
      <c r="D197" s="1134" t="n"/>
      <c r="E197" s="1134" t="n"/>
      <c r="F197" s="760" t="n"/>
      <c r="G197" s="1134" t="n"/>
      <c r="H197" s="1134" t="n"/>
      <c r="I197" s="1134" t="n"/>
    </row>
    <row r="198">
      <c r="A198" s="757" t="n"/>
      <c r="B198" s="605" t="n"/>
      <c r="C198" s="1133" t="n"/>
      <c r="D198" s="1134" t="n"/>
      <c r="E198" s="1134" t="n"/>
      <c r="F198" s="760" t="n"/>
      <c r="G198" s="1134" t="n"/>
      <c r="H198" s="1134" t="n"/>
      <c r="I198" s="1134" t="n"/>
    </row>
    <row r="199">
      <c r="A199" s="757" t="n"/>
      <c r="B199" s="605" t="n"/>
      <c r="C199" s="1133" t="n"/>
      <c r="D199" s="1134" t="n"/>
      <c r="E199" s="1134" t="n"/>
      <c r="F199" s="760" t="n"/>
      <c r="G199" s="1134" t="n"/>
      <c r="H199" s="1134" t="n"/>
      <c r="I199" s="1134" t="n"/>
    </row>
    <row r="200">
      <c r="A200" s="757" t="n"/>
      <c r="B200" s="605" t="n"/>
      <c r="C200" s="1133" t="n"/>
      <c r="D200" s="1134" t="n"/>
      <c r="E200" s="1134" t="n"/>
      <c r="F200" s="760" t="n"/>
      <c r="G200" s="1134" t="n"/>
      <c r="H200" s="1134" t="n"/>
      <c r="I200" s="1134" t="n"/>
    </row>
    <row r="201">
      <c r="A201" s="757" t="n"/>
      <c r="B201" s="605" t="n"/>
      <c r="C201" s="1133" t="n"/>
      <c r="D201" s="1134" t="n"/>
      <c r="E201" s="1134" t="n"/>
      <c r="F201" s="760" t="n"/>
      <c r="G201" s="1134" t="n"/>
      <c r="H201" s="1134" t="n"/>
      <c r="I201" s="1134" t="n"/>
    </row>
    <row r="202">
      <c r="A202" s="757" t="n"/>
      <c r="B202" s="605" t="n"/>
      <c r="C202" s="1133" t="n"/>
      <c r="D202" s="1134" t="n"/>
      <c r="E202" s="1134" t="n"/>
      <c r="F202" s="760" t="n"/>
      <c r="G202" s="1134" t="n"/>
      <c r="H202" s="1134" t="n"/>
      <c r="I202" s="1134" t="n"/>
    </row>
    <row r="203">
      <c r="A203" s="757" t="n"/>
      <c r="B203" s="605" t="n"/>
      <c r="C203" s="1133" t="n"/>
      <c r="D203" s="1134" t="n"/>
      <c r="E203" s="1134" t="n"/>
      <c r="F203" s="760" t="n"/>
      <c r="G203" s="1134" t="n"/>
      <c r="H203" s="1134" t="n"/>
      <c r="I203" s="1134" t="n"/>
    </row>
    <row r="204">
      <c r="A204" s="757" t="n"/>
      <c r="B204" s="605" t="n"/>
      <c r="C204" s="1133" t="n"/>
      <c r="D204" s="1134" t="n"/>
      <c r="E204" s="1134" t="n"/>
      <c r="F204" s="760" t="n"/>
      <c r="G204" s="1134" t="n"/>
      <c r="H204" s="1134" t="n"/>
      <c r="I204" s="1134" t="n"/>
    </row>
    <row r="205">
      <c r="A205" s="757" t="n"/>
      <c r="B205" s="605" t="n"/>
      <c r="C205" s="1133" t="n"/>
      <c r="D205" s="1134" t="n"/>
      <c r="E205" s="1134" t="n"/>
      <c r="F205" s="760" t="n"/>
      <c r="G205" s="1134" t="n"/>
      <c r="H205" s="1134" t="n"/>
      <c r="I205" s="1134" t="n"/>
    </row>
    <row r="206">
      <c r="A206" s="757" t="n"/>
      <c r="B206" s="605" t="n"/>
      <c r="C206" s="1133" t="n"/>
      <c r="D206" s="1134" t="n"/>
      <c r="E206" s="1134" t="n"/>
      <c r="F206" s="760" t="n"/>
      <c r="G206" s="1134" t="n"/>
      <c r="H206" s="1134" t="n"/>
      <c r="I206" s="1134" t="n"/>
    </row>
    <row r="207">
      <c r="A207" s="757" t="n"/>
      <c r="B207" s="605" t="n"/>
      <c r="C207" s="1133" t="n"/>
      <c r="D207" s="1134" t="n"/>
      <c r="E207" s="1134" t="n"/>
      <c r="F207" s="760" t="n"/>
      <c r="G207" s="1134" t="n"/>
      <c r="H207" s="1134" t="n"/>
      <c r="I207" s="1134" t="n"/>
    </row>
    <row r="208">
      <c r="A208" s="757" t="n"/>
      <c r="B208" s="605" t="n"/>
      <c r="C208" s="1133" t="n"/>
      <c r="D208" s="1134" t="n"/>
      <c r="E208" s="1134" t="n"/>
      <c r="F208" s="760" t="n"/>
      <c r="G208" s="1134" t="n"/>
      <c r="H208" s="1134" t="n"/>
      <c r="I208" s="1134" t="n"/>
    </row>
    <row r="209">
      <c r="A209" s="757" t="n"/>
      <c r="B209" s="605" t="n"/>
      <c r="C209" s="1133" t="n"/>
      <c r="D209" s="1134" t="n"/>
      <c r="E209" s="1134" t="n"/>
      <c r="F209" s="760" t="n"/>
      <c r="G209" s="1134" t="n"/>
      <c r="H209" s="1134" t="n"/>
      <c r="I209" s="1134" t="n"/>
    </row>
    <row r="210">
      <c r="A210" s="757" t="n"/>
      <c r="B210" s="605" t="n"/>
      <c r="C210" s="1133" t="n"/>
      <c r="D210" s="1134" t="n"/>
      <c r="E210" s="1134" t="n"/>
      <c r="F210" s="760" t="n"/>
      <c r="G210" s="1134" t="n"/>
      <c r="H210" s="1134" t="n"/>
      <c r="I210" s="1134" t="n"/>
    </row>
    <row r="211">
      <c r="A211" s="757" t="n"/>
      <c r="B211" s="605" t="n"/>
      <c r="C211" s="1133" t="n"/>
      <c r="D211" s="1134" t="n"/>
      <c r="E211" s="1134" t="n"/>
      <c r="F211" s="760" t="n"/>
      <c r="G211" s="1134" t="n"/>
      <c r="H211" s="1134" t="n"/>
      <c r="I211" s="1134" t="n"/>
    </row>
    <row r="212">
      <c r="A212" s="757" t="n"/>
      <c r="B212" s="605" t="n"/>
      <c r="C212" s="1133" t="n"/>
      <c r="D212" s="1134" t="n"/>
      <c r="E212" s="1134" t="n"/>
      <c r="F212" s="760" t="n"/>
      <c r="G212" s="1134" t="n"/>
      <c r="H212" s="1134" t="n"/>
      <c r="I212" s="1134" t="n"/>
    </row>
    <row r="213">
      <c r="A213" s="757" t="n"/>
      <c r="B213" s="605" t="n"/>
      <c r="C213" s="1133" t="n"/>
      <c r="D213" s="1134" t="n"/>
      <c r="E213" s="1134" t="n"/>
      <c r="F213" s="760" t="n"/>
      <c r="G213" s="1134" t="n"/>
      <c r="H213" s="1134" t="n"/>
      <c r="I213" s="1134" t="n"/>
    </row>
    <row r="214">
      <c r="A214" s="757" t="n"/>
      <c r="B214" s="605" t="n"/>
      <c r="C214" s="1133" t="n"/>
      <c r="D214" s="1134" t="n"/>
      <c r="E214" s="1134" t="n"/>
      <c r="F214" s="760" t="n"/>
      <c r="G214" s="1134" t="n"/>
      <c r="H214" s="1134" t="n"/>
      <c r="I214" s="1134" t="n"/>
    </row>
    <row r="215">
      <c r="A215" s="757" t="n"/>
      <c r="B215" s="605" t="n"/>
      <c r="C215" s="1133" t="n"/>
      <c r="D215" s="1134" t="n"/>
      <c r="E215" s="1134" t="n"/>
      <c r="F215" s="760" t="n"/>
      <c r="G215" s="1134" t="n"/>
      <c r="H215" s="1134" t="n"/>
      <c r="I215" s="1134" t="n"/>
    </row>
    <row r="216">
      <c r="A216" s="757" t="n"/>
      <c r="B216" s="605" t="n"/>
      <c r="C216" s="1133" t="n"/>
      <c r="D216" s="1134" t="n"/>
      <c r="E216" s="1134" t="n"/>
      <c r="F216" s="760" t="n"/>
      <c r="G216" s="1134" t="n"/>
      <c r="H216" s="1134" t="n"/>
      <c r="I216" s="1134" t="n"/>
    </row>
    <row r="217">
      <c r="A217" s="757" t="n"/>
      <c r="B217" s="605" t="n"/>
      <c r="C217" s="1133" t="n"/>
      <c r="D217" s="1134" t="n"/>
      <c r="E217" s="1134" t="n"/>
      <c r="F217" s="760" t="n"/>
      <c r="G217" s="1134" t="n"/>
      <c r="H217" s="1134" t="n"/>
      <c r="I217" s="1134" t="n"/>
    </row>
    <row r="218">
      <c r="A218" s="757" t="n"/>
      <c r="B218" s="605" t="n"/>
      <c r="C218" s="1133" t="n"/>
      <c r="D218" s="1134" t="n"/>
      <c r="E218" s="1134" t="n"/>
      <c r="F218" s="760" t="n"/>
      <c r="G218" s="1134" t="n"/>
      <c r="H218" s="1134" t="n"/>
      <c r="I218" s="1134" t="n"/>
    </row>
    <row r="219">
      <c r="A219" s="757" t="n"/>
      <c r="B219" s="605" t="n"/>
      <c r="C219" s="1133" t="n"/>
      <c r="D219" s="1134" t="n"/>
      <c r="E219" s="1134" t="n"/>
      <c r="F219" s="760" t="n"/>
      <c r="G219" s="1134" t="n"/>
      <c r="H219" s="1134" t="n"/>
      <c r="I219" s="1134" t="n"/>
    </row>
    <row r="220">
      <c r="A220" s="757" t="n"/>
      <c r="B220" s="605" t="n"/>
      <c r="C220" s="1133" t="n"/>
      <c r="D220" s="1134" t="n"/>
      <c r="E220" s="1134" t="n"/>
      <c r="F220" s="760" t="n"/>
      <c r="G220" s="1134" t="n"/>
      <c r="H220" s="1134" t="n"/>
      <c r="I220" s="1134" t="n"/>
    </row>
    <row r="221">
      <c r="A221" s="757" t="n"/>
      <c r="B221" s="605" t="n"/>
      <c r="C221" s="1133" t="n"/>
      <c r="D221" s="1134" t="n"/>
      <c r="E221" s="1134" t="n"/>
      <c r="F221" s="760" t="n"/>
      <c r="G221" s="1134" t="n"/>
      <c r="H221" s="1134" t="n"/>
      <c r="I221" s="1134" t="n"/>
    </row>
    <row r="222">
      <c r="A222" s="757" t="n"/>
      <c r="B222" s="605" t="n"/>
      <c r="C222" s="1133" t="n"/>
      <c r="D222" s="1134" t="n"/>
      <c r="E222" s="1134" t="n"/>
      <c r="F222" s="760" t="n"/>
      <c r="G222" s="1134" t="n"/>
      <c r="H222" s="1134" t="n"/>
      <c r="I222" s="1134" t="n"/>
    </row>
    <row r="223">
      <c r="A223" s="757" t="n"/>
      <c r="B223" s="605" t="n"/>
      <c r="C223" s="1133" t="n"/>
      <c r="D223" s="1134" t="n"/>
      <c r="E223" s="1134" t="n"/>
      <c r="F223" s="760" t="n"/>
      <c r="G223" s="1134" t="n"/>
      <c r="H223" s="1134" t="n"/>
      <c r="I223" s="1134" t="n"/>
    </row>
    <row r="224">
      <c r="A224" s="757" t="n"/>
      <c r="B224" s="605" t="n"/>
      <c r="C224" s="1133" t="n"/>
      <c r="D224" s="1134" t="n"/>
      <c r="E224" s="1134" t="n"/>
      <c r="F224" s="760" t="n"/>
      <c r="G224" s="1134" t="n"/>
      <c r="H224" s="1134" t="n"/>
      <c r="I224" s="1134" t="n"/>
    </row>
    <row r="225">
      <c r="A225" s="757" t="n"/>
      <c r="B225" s="605" t="n"/>
      <c r="C225" s="1133" t="n"/>
      <c r="D225" s="1134" t="n"/>
      <c r="E225" s="1134" t="n"/>
      <c r="F225" s="760" t="n"/>
      <c r="G225" s="1134" t="n"/>
      <c r="H225" s="1134" t="n"/>
      <c r="I225" s="1134" t="n"/>
    </row>
    <row r="226">
      <c r="A226" s="757" t="n"/>
      <c r="B226" s="605" t="n"/>
      <c r="C226" s="1133" t="n"/>
      <c r="D226" s="1134" t="n"/>
      <c r="E226" s="1134" t="n"/>
      <c r="F226" s="760" t="n"/>
      <c r="G226" s="1134" t="n"/>
      <c r="H226" s="1134" t="n"/>
      <c r="I226" s="1134" t="n"/>
    </row>
    <row r="227">
      <c r="A227" s="757" t="n"/>
      <c r="B227" s="605" t="n"/>
      <c r="C227" s="1133" t="n"/>
      <c r="D227" s="1134" t="n"/>
      <c r="E227" s="1134" t="n"/>
      <c r="F227" s="760" t="n"/>
      <c r="G227" s="1134" t="n"/>
      <c r="H227" s="1134" t="n"/>
      <c r="I227" s="1134" t="n"/>
    </row>
    <row r="228">
      <c r="A228" s="757" t="n"/>
      <c r="B228" s="605" t="n"/>
      <c r="C228" s="1133" t="n"/>
      <c r="D228" s="1134" t="n"/>
      <c r="E228" s="1134" t="n"/>
      <c r="F228" s="760" t="n"/>
      <c r="G228" s="1134" t="n"/>
      <c r="H228" s="1134" t="n"/>
      <c r="I228" s="1134" t="n"/>
    </row>
    <row r="229">
      <c r="A229" s="757" t="n"/>
      <c r="B229" s="605" t="n"/>
      <c r="C229" s="1133" t="n"/>
      <c r="D229" s="1134" t="n"/>
      <c r="E229" s="1134" t="n"/>
      <c r="F229" s="760" t="n"/>
      <c r="G229" s="1134" t="n"/>
      <c r="H229" s="1134" t="n"/>
      <c r="I229" s="1134" t="n"/>
    </row>
    <row r="230">
      <c r="A230" s="757" t="n"/>
      <c r="B230" s="605" t="n"/>
      <c r="C230" s="1133" t="n"/>
      <c r="D230" s="1134" t="n"/>
      <c r="E230" s="1134" t="n"/>
      <c r="F230" s="760" t="n"/>
      <c r="G230" s="1134" t="n"/>
      <c r="H230" s="1134" t="n"/>
      <c r="I230" s="1134" t="n"/>
    </row>
    <row r="231">
      <c r="A231" s="757" t="n"/>
      <c r="B231" s="605" t="n"/>
      <c r="C231" s="1133" t="n"/>
      <c r="D231" s="1134" t="n"/>
      <c r="E231" s="1134" t="n"/>
      <c r="F231" s="760" t="n"/>
      <c r="G231" s="1134" t="n"/>
      <c r="H231" s="1134" t="n"/>
      <c r="I231" s="1134" t="n"/>
    </row>
    <row r="232">
      <c r="A232" s="757" t="n"/>
      <c r="B232" s="605" t="n"/>
      <c r="C232" s="1133" t="n"/>
      <c r="D232" s="1134" t="n"/>
      <c r="E232" s="1134" t="n"/>
      <c r="F232" s="760" t="n"/>
      <c r="G232" s="1134" t="n"/>
      <c r="H232" s="1134" t="n"/>
      <c r="I232" s="1134" t="n"/>
    </row>
    <row r="233">
      <c r="A233" s="757" t="n"/>
      <c r="B233" s="605" t="n"/>
      <c r="C233" s="1133" t="n"/>
      <c r="D233" s="1134" t="n"/>
      <c r="E233" s="1134" t="n"/>
      <c r="F233" s="760" t="n"/>
      <c r="G233" s="1134" t="n"/>
      <c r="H233" s="1134" t="n"/>
      <c r="I233" s="1134" t="n"/>
    </row>
    <row r="234">
      <c r="A234" s="757" t="n"/>
      <c r="B234" s="605" t="n"/>
      <c r="C234" s="1133" t="n"/>
      <c r="D234" s="1134" t="n"/>
      <c r="E234" s="1134" t="n"/>
      <c r="F234" s="760" t="n"/>
      <c r="G234" s="1134" t="n"/>
      <c r="H234" s="1134" t="n"/>
      <c r="I234" s="1134" t="n"/>
    </row>
    <row r="235">
      <c r="A235" s="757" t="n"/>
      <c r="B235" s="605" t="n"/>
      <c r="C235" s="1133" t="n"/>
      <c r="D235" s="1134" t="n"/>
      <c r="E235" s="1134" t="n"/>
      <c r="F235" s="760" t="n"/>
      <c r="G235" s="1134" t="n"/>
      <c r="H235" s="1134" t="n"/>
      <c r="I235" s="1134" t="n"/>
    </row>
    <row r="236">
      <c r="A236" s="757" t="n"/>
      <c r="B236" s="605" t="n"/>
      <c r="C236" s="1133" t="n"/>
      <c r="D236" s="1134" t="n"/>
      <c r="E236" s="1134" t="n"/>
      <c r="F236" s="760" t="n"/>
      <c r="G236" s="1134" t="n"/>
      <c r="H236" s="1134" t="n"/>
      <c r="I236" s="1134" t="n"/>
    </row>
    <row r="237">
      <c r="A237" s="757" t="n"/>
      <c r="B237" s="605" t="n"/>
      <c r="C237" s="1133" t="n"/>
      <c r="D237" s="1134" t="n"/>
      <c r="E237" s="1134" t="n"/>
      <c r="F237" s="760" t="n"/>
      <c r="G237" s="1134" t="n"/>
      <c r="H237" s="1134" t="n"/>
      <c r="I237" s="1134" t="n"/>
    </row>
    <row r="238">
      <c r="A238" s="757" t="n"/>
      <c r="B238" s="605" t="n"/>
      <c r="C238" s="1133" t="n"/>
      <c r="D238" s="1134" t="n"/>
      <c r="E238" s="1134" t="n"/>
      <c r="F238" s="760" t="n"/>
      <c r="G238" s="1134" t="n"/>
      <c r="H238" s="1134" t="n"/>
      <c r="I238" s="1134" t="n"/>
    </row>
    <row r="239">
      <c r="A239" s="757" t="n"/>
      <c r="B239" s="605" t="n"/>
      <c r="C239" s="1133" t="n"/>
      <c r="D239" s="1134" t="n"/>
      <c r="E239" s="1134" t="n"/>
      <c r="F239" s="760" t="n"/>
      <c r="G239" s="1134" t="n"/>
      <c r="H239" s="1134" t="n"/>
      <c r="I239" s="1134" t="n"/>
    </row>
    <row r="240">
      <c r="A240" s="757" t="n"/>
      <c r="B240" s="605" t="n"/>
      <c r="C240" s="1133" t="n"/>
      <c r="D240" s="1134" t="n"/>
      <c r="E240" s="1134" t="n"/>
      <c r="F240" s="760" t="n"/>
      <c r="G240" s="1134" t="n"/>
      <c r="H240" s="1134" t="n"/>
      <c r="I240" s="1134" t="n"/>
    </row>
    <row r="241">
      <c r="A241" s="757" t="n"/>
      <c r="B241" s="605" t="n"/>
      <c r="C241" s="1133" t="n"/>
      <c r="D241" s="1134" t="n"/>
      <c r="E241" s="1134" t="n"/>
      <c r="F241" s="760" t="n"/>
      <c r="G241" s="1134" t="n"/>
      <c r="H241" s="1134" t="n"/>
      <c r="I241" s="1134" t="n"/>
    </row>
    <row r="242">
      <c r="A242" s="757" t="n"/>
      <c r="B242" s="605" t="n"/>
      <c r="C242" s="1133" t="n"/>
      <c r="D242" s="1134" t="n"/>
      <c r="E242" s="1134" t="n"/>
      <c r="F242" s="760" t="n"/>
      <c r="G242" s="1134" t="n"/>
      <c r="H242" s="1134" t="n"/>
      <c r="I242" s="1134" t="n"/>
    </row>
    <row r="243">
      <c r="A243" s="757" t="n"/>
      <c r="B243" s="605" t="n"/>
      <c r="C243" s="1133" t="n"/>
      <c r="D243" s="1134" t="n"/>
      <c r="E243" s="1134" t="n"/>
      <c r="F243" s="760" t="n"/>
      <c r="G243" s="1134" t="n"/>
      <c r="H243" s="1134" t="n"/>
      <c r="I243" s="1134" t="n"/>
    </row>
    <row r="244" customFormat="1" s="244">
      <c r="A244" s="244" t="n"/>
      <c r="B244" s="244" t="n"/>
      <c r="C244" s="244" t="n"/>
      <c r="D244" s="244" t="n"/>
      <c r="E244" s="244" t="n"/>
      <c r="F244" s="244" t="n"/>
      <c r="G244" s="244" t="n"/>
      <c r="H244" s="244" t="n"/>
      <c r="I244" s="244" t="n"/>
    </row>
    <row r="245">
      <c r="A245" s="757" t="n"/>
      <c r="B245" s="605" t="n"/>
      <c r="C245" s="1133" t="n"/>
      <c r="D245" s="1134" t="n"/>
      <c r="E245" s="1134" t="n"/>
      <c r="F245" s="760" t="n"/>
      <c r="G245" s="1134" t="n"/>
      <c r="H245" s="1134" t="n"/>
      <c r="I245" s="1134" t="n"/>
    </row>
    <row r="246">
      <c r="A246" s="757" t="n"/>
      <c r="B246" s="605" t="n"/>
      <c r="C246" s="1133" t="n"/>
      <c r="D246" s="1134" t="n"/>
      <c r="E246" s="1134" t="n"/>
      <c r="F246" s="760" t="n"/>
      <c r="G246" s="1134" t="n"/>
      <c r="H246" s="1134" t="n"/>
      <c r="I246" s="1134" t="n"/>
    </row>
    <row r="247">
      <c r="A247" s="757" t="n"/>
      <c r="B247" s="605" t="n"/>
      <c r="C247" s="1133" t="n"/>
      <c r="D247" s="1134" t="n"/>
      <c r="E247" s="1134" t="n"/>
      <c r="F247" s="760" t="n"/>
      <c r="G247" s="1134" t="n"/>
      <c r="H247" s="1134" t="n"/>
      <c r="I247" s="1134" t="n"/>
    </row>
    <row r="248">
      <c r="A248" s="757" t="n"/>
      <c r="B248" s="605" t="n"/>
      <c r="C248" s="1133" t="n"/>
      <c r="D248" s="1134" t="n"/>
      <c r="E248" s="1134" t="n"/>
      <c r="F248" s="760" t="n"/>
      <c r="G248" s="1134" t="n"/>
      <c r="H248" s="1134" t="n"/>
      <c r="I248" s="1134" t="n"/>
    </row>
    <row r="249">
      <c r="A249" s="757" t="n"/>
      <c r="B249" s="605" t="n"/>
      <c r="C249" s="1133" t="n"/>
      <c r="D249" s="1134" t="n"/>
      <c r="E249" s="1134" t="n"/>
      <c r="F249" s="760" t="n"/>
      <c r="G249" s="1134" t="n"/>
      <c r="H249" s="1134" t="n"/>
      <c r="I249" s="1134" t="n"/>
    </row>
    <row r="250">
      <c r="A250" s="757" t="n"/>
      <c r="B250" s="605" t="n"/>
      <c r="C250" s="1133" t="n"/>
      <c r="D250" s="1134" t="n"/>
      <c r="E250" s="1134" t="n"/>
      <c r="F250" s="760" t="n"/>
      <c r="G250" s="1134" t="n"/>
      <c r="H250" s="1134" t="n"/>
      <c r="I250" s="1134" t="n"/>
    </row>
    <row r="251">
      <c r="A251" s="757" t="n"/>
      <c r="B251" s="605" t="n"/>
      <c r="C251" s="1133" t="n"/>
      <c r="D251" s="1134" t="n"/>
      <c r="E251" s="1134" t="n"/>
      <c r="F251" s="760" t="n"/>
      <c r="G251" s="1134" t="n"/>
      <c r="H251" s="1134" t="n"/>
      <c r="I251" s="1134" t="n"/>
    </row>
    <row r="252">
      <c r="A252" s="757" t="n"/>
      <c r="B252" s="605" t="n"/>
      <c r="C252" s="1133" t="n"/>
      <c r="D252" s="1134" t="n"/>
      <c r="E252" s="1134" t="n"/>
      <c r="F252" s="760" t="n"/>
      <c r="G252" s="1134" t="n"/>
      <c r="H252" s="1134" t="n"/>
      <c r="I252" s="1134" t="n"/>
    </row>
    <row r="253">
      <c r="A253" s="757" t="n"/>
      <c r="B253" s="605" t="n"/>
      <c r="C253" s="1133" t="n"/>
      <c r="D253" s="1134" t="n"/>
      <c r="E253" s="1134" t="n"/>
      <c r="F253" s="760" t="n"/>
      <c r="G253" s="1134" t="n"/>
      <c r="H253" s="1134" t="n"/>
      <c r="I253" s="1134" t="n"/>
    </row>
    <row r="254">
      <c r="A254" s="757" t="n"/>
      <c r="B254" s="605" t="n"/>
      <c r="C254" s="1133" t="n"/>
      <c r="D254" s="1134" t="n"/>
      <c r="E254" s="1134" t="n"/>
      <c r="F254" s="760" t="n"/>
      <c r="G254" s="1134" t="n"/>
      <c r="H254" s="1134" t="n"/>
      <c r="I254" s="1134" t="n"/>
      <c r="K254" s="245" t="n"/>
      <c r="L254" s="1137" t="n"/>
    </row>
    <row r="255">
      <c r="A255" s="757" t="n"/>
      <c r="B255" s="605" t="n"/>
      <c r="C255" s="1133" t="n"/>
      <c r="D255" s="1134" t="n"/>
      <c r="E255" s="1134" t="n"/>
      <c r="F255" s="760" t="n"/>
      <c r="G255" s="1134" t="n"/>
      <c r="H255" s="1134" t="n"/>
      <c r="I255" s="1134" t="n"/>
      <c r="K255" s="246" t="n"/>
      <c r="L255" s="1127" t="n"/>
      <c r="N255" s="246" t="n"/>
      <c r="O255" s="1127" t="n"/>
    </row>
    <row r="256">
      <c r="A256" s="757" t="n"/>
      <c r="B256" s="605" t="n"/>
      <c r="C256" s="1133" t="n"/>
      <c r="D256" s="1134" t="n"/>
      <c r="E256" s="1134" t="n"/>
      <c r="F256" s="760" t="n"/>
      <c r="G256" s="1134" t="n"/>
      <c r="H256" s="1134" t="n"/>
      <c r="I256" s="1134" t="n"/>
      <c r="K256" s="246" t="n"/>
      <c r="L256" s="1127" t="n"/>
      <c r="N256" s="246" t="n"/>
      <c r="O256" s="1127" t="n"/>
    </row>
    <row r="257">
      <c r="A257" s="757" t="n"/>
      <c r="B257" s="605" t="n"/>
      <c r="C257" s="1133" t="n"/>
      <c r="D257" s="1134" t="n"/>
      <c r="E257" s="1134" t="n"/>
      <c r="F257" s="760" t="n"/>
      <c r="G257" s="1134" t="n"/>
      <c r="H257" s="1134" t="n"/>
      <c r="I257" s="1134" t="n"/>
      <c r="K257" s="246" t="n"/>
      <c r="L257" s="1127" t="n"/>
      <c r="N257" s="246" t="n"/>
      <c r="O257" s="1127" t="n"/>
    </row>
    <row r="258">
      <c r="A258" s="757" t="n"/>
      <c r="B258" s="605" t="n"/>
      <c r="C258" s="1133" t="n"/>
      <c r="D258" s="1134" t="n"/>
      <c r="E258" s="1134" t="n"/>
      <c r="F258" s="760" t="n"/>
      <c r="G258" s="1134" t="n"/>
      <c r="H258" s="1134" t="n"/>
      <c r="I258" s="1134" t="n"/>
      <c r="K258" s="246" t="n"/>
      <c r="L258" s="1127" t="n"/>
      <c r="N258" s="246" t="n"/>
      <c r="O258" s="1127" t="n"/>
    </row>
    <row r="259">
      <c r="A259" s="757" t="n"/>
      <c r="B259" s="605" t="n"/>
      <c r="C259" s="1133" t="n"/>
      <c r="D259" s="1134" t="n"/>
      <c r="E259" s="1134" t="n"/>
      <c r="F259" s="760" t="n"/>
      <c r="G259" s="1134" t="n"/>
      <c r="H259" s="1134" t="n"/>
      <c r="I259" s="1134" t="n"/>
      <c r="K259" s="246" t="n"/>
      <c r="L259" s="1127" t="n"/>
      <c r="N259" s="246" t="n"/>
      <c r="O259" s="1127" t="n"/>
    </row>
    <row r="260">
      <c r="A260" s="757" t="n"/>
      <c r="B260" s="605" t="n"/>
      <c r="C260" s="1133" t="n"/>
      <c r="D260" s="1134" t="n"/>
      <c r="E260" s="1134" t="n"/>
      <c r="F260" s="760" t="n"/>
      <c r="G260" s="1134" t="n"/>
      <c r="H260" s="1134" t="n"/>
      <c r="I260" s="1134" t="n"/>
      <c r="K260" s="246" t="n"/>
      <c r="L260" s="1127" t="n"/>
      <c r="N260" s="246" t="n"/>
      <c r="O260" s="1127" t="n"/>
    </row>
    <row r="261">
      <c r="A261" s="757" t="n"/>
      <c r="B261" s="605" t="n"/>
      <c r="C261" s="1133" t="n"/>
      <c r="D261" s="1134" t="n"/>
      <c r="E261" s="1134" t="n"/>
      <c r="F261" s="760" t="n"/>
      <c r="G261" s="1134" t="n"/>
      <c r="H261" s="1134" t="n"/>
      <c r="I261" s="1134" t="n"/>
      <c r="K261" s="246" t="n"/>
      <c r="L261" s="1127" t="n"/>
      <c r="N261" s="246" t="n"/>
      <c r="O261" s="1127" t="n"/>
    </row>
    <row r="262">
      <c r="A262" s="757" t="n"/>
      <c r="B262" s="605" t="n"/>
      <c r="C262" s="1133" t="n"/>
      <c r="D262" s="1134" t="n"/>
      <c r="E262" s="1134" t="n"/>
      <c r="F262" s="760" t="n"/>
      <c r="G262" s="1134" t="n"/>
      <c r="H262" s="1134" t="n"/>
      <c r="I262" s="1134" t="n"/>
      <c r="K262" s="246" t="n"/>
      <c r="L262" s="1127" t="n"/>
      <c r="N262" s="246" t="n"/>
      <c r="O262" s="1127" t="n"/>
    </row>
    <row r="263">
      <c r="A263" s="757" t="n"/>
      <c r="B263" s="605" t="n"/>
      <c r="C263" s="1133" t="n"/>
      <c r="D263" s="1134" t="n"/>
      <c r="E263" s="1134" t="n"/>
      <c r="F263" s="760" t="n"/>
      <c r="G263" s="1134" t="n"/>
      <c r="H263" s="1134" t="n"/>
      <c r="I263" s="1134" t="n"/>
      <c r="K263" s="246" t="n"/>
      <c r="L263" s="1127" t="n"/>
      <c r="N263" s="246" t="n"/>
      <c r="O263" s="1127" t="n"/>
    </row>
    <row r="264">
      <c r="A264" s="757" t="n"/>
      <c r="B264" s="605" t="n"/>
      <c r="C264" s="1133" t="n"/>
      <c r="D264" s="1134" t="n"/>
      <c r="E264" s="1134" t="n"/>
      <c r="F264" s="760" t="n"/>
      <c r="G264" s="1134" t="n"/>
      <c r="H264" s="1134" t="n"/>
      <c r="I264" s="1134" t="n"/>
      <c r="K264" s="246" t="n"/>
      <c r="L264" s="1127" t="n"/>
      <c r="N264" s="246" t="n"/>
      <c r="O264" s="1127" t="n"/>
    </row>
    <row r="265">
      <c r="A265" s="757" t="n"/>
      <c r="B265" s="605" t="n"/>
      <c r="C265" s="1133" t="n"/>
      <c r="D265" s="1134" t="n"/>
      <c r="E265" s="1134" t="n"/>
      <c r="F265" s="760" t="n"/>
      <c r="G265" s="1134" t="n"/>
      <c r="H265" s="1134" t="n"/>
      <c r="I265" s="1134" t="n"/>
      <c r="K265" s="246" t="n"/>
      <c r="L265" s="1127" t="n"/>
      <c r="N265" s="246" t="n"/>
      <c r="O265" s="1127" t="n"/>
    </row>
    <row r="266">
      <c r="A266" s="757" t="n"/>
      <c r="B266" s="605" t="n"/>
      <c r="C266" s="1133" t="n"/>
      <c r="D266" s="1134" t="n"/>
      <c r="E266" s="1134" t="n"/>
      <c r="F266" s="760" t="n"/>
      <c r="G266" s="1134" t="n"/>
      <c r="H266" s="1134" t="n"/>
      <c r="I266" s="1134" t="n"/>
      <c r="K266" s="246" t="n"/>
      <c r="L266" s="1127" t="n"/>
      <c r="N266" s="246" t="n"/>
      <c r="O266" s="1127" t="n"/>
    </row>
    <row r="267">
      <c r="A267" s="757" t="n"/>
      <c r="B267" s="605" t="n"/>
      <c r="C267" s="1133" t="n"/>
      <c r="D267" s="1134" t="n"/>
      <c r="E267" s="1134" t="n"/>
      <c r="F267" s="760" t="n"/>
      <c r="G267" s="1134" t="n"/>
      <c r="H267" s="1134" t="n"/>
      <c r="I267" s="1134" t="n"/>
      <c r="K267" s="246" t="n"/>
      <c r="L267" s="1127" t="n"/>
      <c r="N267" s="246" t="n"/>
      <c r="O267" s="1127" t="n"/>
    </row>
    <row r="268">
      <c r="A268" s="757" t="n"/>
      <c r="B268" s="605" t="n"/>
      <c r="C268" s="1133" t="n"/>
      <c r="D268" s="1134" t="n"/>
      <c r="E268" s="1134" t="n"/>
      <c r="F268" s="760" t="n"/>
      <c r="G268" s="1134" t="n"/>
      <c r="H268" s="1134" t="n"/>
      <c r="I268" s="1134" t="n"/>
      <c r="K268" s="246" t="n"/>
      <c r="L268" s="1127" t="n"/>
      <c r="N268" s="246" t="n"/>
      <c r="O268" s="1127" t="n"/>
    </row>
    <row r="269">
      <c r="A269" s="757" t="n"/>
      <c r="B269" s="605" t="n"/>
      <c r="C269" s="1133" t="n"/>
      <c r="D269" s="1134" t="n"/>
      <c r="E269" s="1134" t="n"/>
      <c r="F269" s="760" t="n"/>
      <c r="G269" s="1134" t="n"/>
      <c r="H269" s="1134" t="n"/>
      <c r="I269" s="1134" t="n"/>
      <c r="K269" s="246" t="n"/>
      <c r="L269" s="1127" t="n"/>
      <c r="N269" s="246" t="n"/>
      <c r="O269" s="1127" t="n"/>
    </row>
    <row r="270">
      <c r="A270" s="757" t="n"/>
      <c r="B270" s="605" t="n"/>
      <c r="C270" s="1133" t="n"/>
      <c r="D270" s="1134" t="n"/>
      <c r="E270" s="1134" t="n"/>
      <c r="F270" s="760" t="n"/>
      <c r="G270" s="1134" t="n"/>
      <c r="H270" s="1134" t="n"/>
      <c r="I270" s="1134" t="n"/>
      <c r="K270" s="246" t="n"/>
      <c r="L270" s="1127" t="n"/>
      <c r="N270" s="246" t="n"/>
      <c r="O270" s="1127" t="n"/>
    </row>
    <row r="271">
      <c r="A271" s="757" t="n"/>
      <c r="B271" s="605" t="n"/>
      <c r="C271" s="1133" t="n"/>
      <c r="D271" s="1134" t="n"/>
      <c r="E271" s="1134" t="n"/>
      <c r="F271" s="760" t="n"/>
      <c r="G271" s="1134" t="n"/>
      <c r="H271" s="1134" t="n"/>
      <c r="I271" s="1134" t="n"/>
      <c r="K271" s="246" t="n"/>
      <c r="L271" s="1127" t="n"/>
      <c r="N271" s="246" t="n"/>
      <c r="O271" s="1127" t="n"/>
    </row>
    <row r="272">
      <c r="A272" s="757" t="n"/>
      <c r="B272" s="605" t="n"/>
      <c r="C272" s="1133" t="n"/>
      <c r="D272" s="1134" t="n"/>
      <c r="E272" s="1134" t="n"/>
      <c r="F272" s="760" t="n"/>
      <c r="G272" s="1134" t="n"/>
      <c r="H272" s="1134" t="n"/>
      <c r="I272" s="1134" t="n"/>
      <c r="K272" s="246" t="n"/>
      <c r="L272" s="1127" t="n"/>
      <c r="N272" s="246" t="n"/>
      <c r="O272" s="1127" t="n"/>
    </row>
    <row r="273">
      <c r="A273" s="757" t="n"/>
      <c r="B273" s="605" t="n"/>
      <c r="C273" s="1133" t="n"/>
      <c r="D273" s="1134" t="n"/>
      <c r="E273" s="1134" t="n"/>
      <c r="F273" s="760" t="n"/>
      <c r="G273" s="1134" t="n"/>
      <c r="H273" s="1134" t="n"/>
      <c r="I273" s="1134" t="n"/>
      <c r="K273" s="246" t="n"/>
      <c r="L273" s="1127" t="n"/>
      <c r="N273" s="246" t="n"/>
      <c r="O273" s="1127" t="n"/>
    </row>
    <row r="274">
      <c r="A274" s="757" t="n"/>
      <c r="B274" s="605" t="n"/>
      <c r="C274" s="1133" t="n"/>
      <c r="D274" s="1134" t="n"/>
      <c r="E274" s="1134" t="n"/>
      <c r="F274" s="760" t="n"/>
      <c r="G274" s="1134" t="n"/>
      <c r="H274" s="1134" t="n"/>
      <c r="I274" s="1134" t="n"/>
      <c r="K274" s="246" t="n"/>
      <c r="L274" s="1127" t="n"/>
      <c r="N274" s="246" t="n"/>
      <c r="O274" s="1127" t="n"/>
    </row>
    <row r="275">
      <c r="A275" s="757" t="n"/>
      <c r="B275" s="605" t="n"/>
      <c r="C275" s="1133" t="n"/>
      <c r="D275" s="1134" t="n"/>
      <c r="E275" s="1134" t="n"/>
      <c r="F275" s="760" t="n"/>
      <c r="G275" s="1134" t="n"/>
      <c r="H275" s="1134" t="n"/>
      <c r="I275" s="1134" t="n"/>
      <c r="K275" s="246" t="n"/>
      <c r="L275" s="1127" t="n"/>
      <c r="N275" s="246" t="n"/>
      <c r="O275" s="1127" t="n"/>
    </row>
    <row r="276">
      <c r="A276" s="757" t="n"/>
      <c r="B276" s="605" t="n"/>
      <c r="C276" s="1133" t="n"/>
      <c r="D276" s="1134" t="n"/>
      <c r="E276" s="1134" t="n"/>
      <c r="F276" s="760" t="n"/>
      <c r="G276" s="1134" t="n"/>
      <c r="H276" s="1134" t="n"/>
      <c r="I276" s="1134" t="n"/>
      <c r="K276" s="246" t="n"/>
      <c r="L276" s="1127" t="n"/>
      <c r="N276" s="246" t="n"/>
      <c r="O276" s="1127" t="n"/>
    </row>
    <row r="277">
      <c r="A277" s="757" t="n"/>
      <c r="B277" s="605" t="n"/>
      <c r="C277" s="1133" t="n"/>
      <c r="D277" s="1134" t="n"/>
      <c r="E277" s="1134" t="n"/>
      <c r="F277" s="760" t="n"/>
      <c r="G277" s="1134" t="n"/>
      <c r="H277" s="1134" t="n"/>
      <c r="I277" s="1134" t="n"/>
      <c r="K277" s="246" t="n"/>
      <c r="L277" s="1127" t="n"/>
      <c r="N277" s="246" t="n"/>
      <c r="O277" s="1127" t="n"/>
    </row>
    <row r="278">
      <c r="A278" s="757" t="n"/>
      <c r="B278" s="605" t="n"/>
      <c r="C278" s="1133" t="n"/>
      <c r="D278" s="1134" t="n"/>
      <c r="E278" s="1134" t="n"/>
      <c r="F278" s="760" t="n"/>
      <c r="G278" s="1134" t="n"/>
      <c r="H278" s="1134" t="n"/>
      <c r="I278" s="1134" t="n"/>
      <c r="K278" s="246" t="n"/>
      <c r="L278" s="1127" t="n"/>
      <c r="N278" s="246" t="n"/>
      <c r="O278" s="1127" t="n"/>
    </row>
    <row r="279">
      <c r="A279" s="757" t="n"/>
      <c r="B279" s="605" t="n"/>
      <c r="C279" s="1133" t="n"/>
      <c r="D279" s="1134" t="n"/>
      <c r="E279" s="1134" t="n"/>
      <c r="F279" s="760" t="n"/>
      <c r="G279" s="1134" t="n"/>
      <c r="H279" s="1134" t="n"/>
      <c r="I279" s="1134" t="n"/>
      <c r="K279" s="246" t="n"/>
      <c r="L279" s="1127" t="n"/>
      <c r="N279" s="246" t="n"/>
      <c r="O279" s="1127" t="n"/>
    </row>
    <row r="280">
      <c r="A280" s="757" t="n"/>
      <c r="B280" s="605" t="n"/>
      <c r="C280" s="1133" t="n"/>
      <c r="D280" s="1134" t="n"/>
      <c r="E280" s="1134" t="n"/>
      <c r="F280" s="760" t="n"/>
      <c r="G280" s="1134" t="n"/>
      <c r="H280" s="1134" t="n"/>
      <c r="I280" s="1134" t="n"/>
      <c r="K280" s="246" t="n"/>
      <c r="L280" s="1127" t="n"/>
      <c r="N280" s="246" t="n"/>
      <c r="O280" s="1127" t="n"/>
    </row>
    <row r="281">
      <c r="A281" s="757" t="n"/>
      <c r="B281" s="605" t="n"/>
      <c r="C281" s="1133" t="n"/>
      <c r="D281" s="1134" t="n"/>
      <c r="E281" s="1134" t="n"/>
      <c r="F281" s="760" t="n"/>
      <c r="G281" s="1134" t="n"/>
      <c r="H281" s="1134" t="n"/>
      <c r="I281" s="1134" t="n"/>
      <c r="K281" s="246" t="n"/>
      <c r="L281" s="1127" t="n"/>
      <c r="N281" s="246" t="n"/>
      <c r="O281" s="1127" t="n"/>
    </row>
    <row r="282">
      <c r="A282" s="757" t="n"/>
      <c r="B282" s="605" t="n"/>
      <c r="C282" s="1133" t="n"/>
      <c r="D282" s="1134" t="n"/>
      <c r="E282" s="1134" t="n"/>
      <c r="F282" s="760" t="n"/>
      <c r="G282" s="1134" t="n"/>
      <c r="H282" s="1134" t="n"/>
      <c r="I282" s="1134" t="n"/>
      <c r="K282" s="246" t="n"/>
      <c r="L282" s="1127" t="n"/>
      <c r="N282" s="246" t="n"/>
      <c r="O282" s="1127" t="n"/>
    </row>
    <row r="283" ht="14.15" customFormat="1" customHeight="1" s="244">
      <c r="A283" s="244" t="n"/>
      <c r="B283" s="244" t="n"/>
      <c r="C283" s="1138" t="n"/>
      <c r="D283" s="1139" t="n"/>
      <c r="E283" s="1139" t="n"/>
      <c r="F283" s="762" t="n"/>
      <c r="G283" s="1139" t="n"/>
      <c r="H283" s="1139" t="n"/>
      <c r="I283" s="1139" t="n"/>
      <c r="K283" s="245" t="n"/>
      <c r="L283" s="1137" t="n"/>
      <c r="N283" s="245" t="n"/>
      <c r="O283" s="1137" t="n"/>
    </row>
    <row r="284" ht="14.15" customFormat="1" customHeight="1" s="244">
      <c r="A284" s="244" t="n"/>
      <c r="B284" s="244" t="n"/>
      <c r="C284" s="1138" t="n"/>
      <c r="D284" s="1139" t="n"/>
      <c r="E284" s="1139" t="n"/>
      <c r="F284" s="762" t="n"/>
      <c r="G284" s="1139" t="n"/>
      <c r="H284" s="1139" t="n"/>
      <c r="I284" s="1139" t="n"/>
      <c r="K284" s="245" t="n"/>
      <c r="L284" s="1137" t="n"/>
      <c r="N284" s="245" t="n"/>
      <c r="O284" s="1137" t="n"/>
    </row>
    <row r="285" ht="14.15" customFormat="1" customHeight="1" s="244">
      <c r="A285" s="244" t="n"/>
      <c r="B285" s="244" t="n"/>
      <c r="C285" s="1138" t="n"/>
      <c r="D285" s="1139" t="n"/>
      <c r="E285" s="1139" t="n"/>
      <c r="F285" s="762" t="n"/>
      <c r="G285" s="1139" t="n"/>
      <c r="H285" s="1139" t="n"/>
      <c r="I285" s="1139" t="n"/>
      <c r="K285" s="245" t="n"/>
      <c r="L285" s="1137" t="n"/>
      <c r="N285" s="245" t="n"/>
      <c r="O285" s="1137" t="n"/>
    </row>
    <row r="286" ht="14.15" customFormat="1" customHeight="1" s="244">
      <c r="A286" s="244" t="n"/>
      <c r="B286" s="244" t="n"/>
      <c r="C286" s="1138" t="n"/>
      <c r="D286" s="1139" t="n"/>
      <c r="E286" s="1139" t="n"/>
      <c r="F286" s="762" t="n"/>
      <c r="G286" s="1139" t="n"/>
      <c r="H286" s="1139" t="n"/>
      <c r="I286" s="1139" t="n"/>
      <c r="K286" s="245" t="n"/>
      <c r="L286" s="1137" t="n"/>
      <c r="N286" s="245" t="n"/>
      <c r="O286" s="1137" t="n"/>
    </row>
    <row r="287" ht="14.15" customFormat="1" customHeight="1" s="244">
      <c r="A287" s="244" t="n"/>
      <c r="B287" s="244" t="n"/>
      <c r="C287" s="1138" t="n"/>
      <c r="D287" s="1139" t="n"/>
      <c r="E287" s="1139" t="n"/>
      <c r="F287" s="762" t="n"/>
      <c r="G287" s="1139" t="n"/>
      <c r="H287" s="1139" t="n"/>
      <c r="I287" s="1139" t="n"/>
      <c r="K287" s="245" t="n"/>
      <c r="L287" s="1137" t="n"/>
      <c r="N287" s="245" t="n"/>
      <c r="O287" s="1137" t="n"/>
    </row>
    <row r="288" ht="14.25" customHeight="1" s="828">
      <c r="A288" s="757" t="n"/>
      <c r="B288" s="605" t="n"/>
      <c r="C288" s="1138" t="n"/>
      <c r="D288" s="1139" t="n"/>
      <c r="E288" s="1139" t="n"/>
      <c r="F288" s="762" t="n"/>
      <c r="G288" s="1139" t="n"/>
      <c r="H288" s="1139" t="n"/>
      <c r="I288" s="1139" t="n"/>
    </row>
    <row r="289" ht="14.25" customHeight="1" s="828">
      <c r="A289" s="757" t="n"/>
      <c r="B289" s="605" t="n"/>
      <c r="C289" s="1138" t="n"/>
      <c r="D289" s="1139" t="n"/>
      <c r="E289" s="1139" t="n"/>
      <c r="F289" s="762" t="n"/>
      <c r="G289" s="1139" t="n"/>
      <c r="H289" s="1139" t="n"/>
      <c r="I289" s="1139" t="n"/>
    </row>
    <row r="290" ht="14.25" customHeight="1" s="828">
      <c r="A290" s="757" t="n"/>
      <c r="B290" s="605" t="n"/>
      <c r="C290" s="1138" t="n"/>
      <c r="D290" s="1139" t="n"/>
      <c r="E290" s="1139" t="n"/>
      <c r="F290" s="762" t="n"/>
      <c r="G290" s="1139" t="n"/>
      <c r="H290" s="1139" t="n"/>
      <c r="I290" s="1139" t="n"/>
    </row>
    <row r="291" ht="14.25" customHeight="1" s="828">
      <c r="A291" s="757" t="n"/>
      <c r="B291" s="605" t="n"/>
      <c r="C291" s="1138" t="n"/>
      <c r="D291" s="1139" t="n"/>
      <c r="E291" s="1139" t="n"/>
      <c r="F291" s="762" t="n"/>
      <c r="G291" s="1139" t="n"/>
      <c r="H291" s="1139" t="n"/>
      <c r="I291" s="1139" t="n"/>
    </row>
    <row r="292" ht="14.25" customHeight="1" s="828">
      <c r="A292" s="757" t="n"/>
      <c r="B292" s="605" t="n"/>
      <c r="C292" s="1138" t="n"/>
      <c r="D292" s="1139" t="n"/>
      <c r="E292" s="1139" t="n"/>
      <c r="F292" s="762" t="n"/>
      <c r="G292" s="1139" t="n"/>
      <c r="H292" s="1139" t="n"/>
      <c r="I292" s="1139" t="n"/>
    </row>
    <row r="293" ht="14.25" customHeight="1" s="828">
      <c r="A293" s="757" t="n"/>
      <c r="B293" s="605" t="n"/>
      <c r="C293" s="1138" t="n"/>
      <c r="D293" s="1139" t="n"/>
      <c r="E293" s="1139" t="n"/>
      <c r="F293" s="762" t="n"/>
      <c r="G293" s="1139" t="n"/>
      <c r="H293" s="1139" t="n"/>
      <c r="I293" s="1139" t="n"/>
    </row>
    <row r="294">
      <c r="A294" s="757" t="n"/>
      <c r="B294" s="605" t="n"/>
      <c r="C294" s="1138" t="n"/>
      <c r="D294" s="1139" t="n"/>
      <c r="E294" s="1139" t="n"/>
      <c r="F294" s="762" t="n"/>
      <c r="G294" s="1139" t="n"/>
      <c r="H294" s="1139" t="n"/>
      <c r="I294" s="1139" t="n"/>
    </row>
    <row r="295">
      <c r="A295" s="757" t="n"/>
      <c r="B295" s="605" t="n"/>
      <c r="C295" s="1138" t="n"/>
      <c r="D295" s="1139" t="n"/>
      <c r="E295" s="1139" t="n"/>
      <c r="F295" s="762" t="n"/>
      <c r="G295" s="1139" t="n"/>
      <c r="H295" s="1139" t="n"/>
      <c r="I295" s="1139" t="n"/>
    </row>
    <row r="296">
      <c r="A296" s="757" t="n"/>
      <c r="B296" s="605" t="n"/>
      <c r="C296" s="1138" t="n"/>
      <c r="D296" s="1139" t="n"/>
      <c r="E296" s="1139" t="n"/>
      <c r="F296" s="762" t="n"/>
      <c r="G296" s="1139" t="n"/>
      <c r="H296" s="1139" t="n"/>
      <c r="I296" s="1139" t="n"/>
    </row>
    <row r="297">
      <c r="A297" s="757" t="n"/>
      <c r="B297" s="605" t="n"/>
      <c r="C297" s="1138" t="n"/>
      <c r="D297" s="1139" t="n"/>
      <c r="E297" s="1139" t="n"/>
      <c r="F297" s="762" t="n"/>
      <c r="G297" s="1139" t="n"/>
      <c r="H297" s="1139" t="n"/>
      <c r="I297" s="1139" t="n"/>
    </row>
    <row r="298">
      <c r="A298" s="757" t="n"/>
      <c r="B298" s="605" t="n"/>
      <c r="C298" s="1138" t="n"/>
      <c r="D298" s="1139" t="n"/>
      <c r="E298" s="1139" t="n"/>
      <c r="F298" s="762" t="n"/>
      <c r="G298" s="1139" t="n"/>
      <c r="H298" s="1139" t="n"/>
      <c r="I298" s="1139" t="n"/>
    </row>
    <row r="299">
      <c r="A299" s="757" t="n"/>
      <c r="B299" s="605" t="n"/>
      <c r="C299" s="1138" t="n"/>
      <c r="D299" s="1139" t="n"/>
      <c r="E299" s="1139" t="n"/>
      <c r="F299" s="762" t="n"/>
      <c r="G299" s="1139" t="n"/>
      <c r="H299" s="1139" t="n"/>
      <c r="I299" s="1139" t="n"/>
    </row>
    <row r="300">
      <c r="A300" s="757" t="n"/>
      <c r="B300" s="605" t="n"/>
      <c r="C300" s="1138" t="n"/>
      <c r="D300" s="1139" t="n"/>
      <c r="E300" s="1139" t="n"/>
      <c r="F300" s="762" t="n"/>
      <c r="G300" s="1139" t="n"/>
      <c r="H300" s="1139" t="n"/>
      <c r="I300" s="1139" t="n"/>
    </row>
    <row r="301">
      <c r="A301" s="757" t="n"/>
      <c r="B301" s="605" t="n"/>
      <c r="C301" s="1138" t="n"/>
      <c r="D301" s="1139" t="n"/>
      <c r="E301" s="1139" t="n"/>
      <c r="F301" s="762" t="n"/>
      <c r="G301" s="1139" t="n"/>
      <c r="H301" s="1139" t="n"/>
      <c r="I301" s="1139" t="n"/>
    </row>
    <row r="302">
      <c r="A302" s="757" t="n"/>
      <c r="B302" s="605" t="n"/>
      <c r="C302" s="1138" t="n"/>
      <c r="D302" s="1139" t="n"/>
      <c r="E302" s="1139" t="n"/>
      <c r="F302" s="762" t="n"/>
      <c r="G302" s="1139" t="n"/>
      <c r="H302" s="1139" t="n"/>
      <c r="I302" s="1139" t="n"/>
    </row>
    <row r="303">
      <c r="A303" s="757" t="n"/>
      <c r="B303" s="605" t="n"/>
      <c r="C303" s="1138" t="n"/>
      <c r="D303" s="1139" t="n"/>
      <c r="E303" s="1139" t="n"/>
      <c r="F303" s="762" t="n"/>
      <c r="G303" s="1139" t="n"/>
      <c r="H303" s="1139" t="n"/>
      <c r="I303" s="1139" t="n"/>
    </row>
    <row r="304">
      <c r="A304" s="757" t="n"/>
      <c r="B304" s="605" t="n"/>
      <c r="C304" s="1138" t="n"/>
      <c r="D304" s="1139" t="n"/>
      <c r="E304" s="1139" t="n"/>
      <c r="F304" s="762" t="n"/>
      <c r="G304" s="1139" t="n"/>
      <c r="H304" s="1139" t="n"/>
      <c r="I304" s="1139" t="n"/>
    </row>
    <row r="305">
      <c r="A305" s="757" t="n"/>
      <c r="B305" s="605" t="n"/>
      <c r="C305" s="1138" t="n"/>
      <c r="D305" s="1139" t="n"/>
      <c r="E305" s="1139" t="n"/>
      <c r="F305" s="762" t="n"/>
      <c r="G305" s="1139" t="n"/>
      <c r="H305" s="1139" t="n"/>
      <c r="I305" s="1139" t="n"/>
    </row>
    <row r="306">
      <c r="A306" s="757" t="n"/>
      <c r="B306" s="605" t="n"/>
      <c r="C306" s="1138" t="n"/>
      <c r="D306" s="1139" t="n"/>
      <c r="E306" s="1139" t="n"/>
      <c r="F306" s="762" t="n"/>
      <c r="G306" s="1139" t="n"/>
      <c r="H306" s="1139" t="n"/>
      <c r="I306" s="1139" t="n"/>
    </row>
    <row r="307">
      <c r="A307" s="757" t="n"/>
      <c r="B307" s="605" t="n"/>
      <c r="C307" s="1138" t="n"/>
      <c r="D307" s="1139" t="n"/>
      <c r="E307" s="1139" t="n"/>
      <c r="F307" s="762" t="n"/>
      <c r="G307" s="1139" t="n"/>
      <c r="H307" s="1139" t="n"/>
      <c r="I307" s="1139" t="n"/>
    </row>
    <row r="308">
      <c r="A308" s="757" t="n"/>
      <c r="B308" s="605" t="n"/>
      <c r="C308" s="1138" t="n"/>
      <c r="D308" s="1139" t="n"/>
      <c r="E308" s="1139" t="n"/>
      <c r="F308" s="762" t="n"/>
      <c r="G308" s="1139" t="n"/>
      <c r="H308" s="1139" t="n"/>
      <c r="I308" s="1139" t="n"/>
    </row>
    <row r="309">
      <c r="A309" s="757" t="n"/>
      <c r="B309" s="605" t="n"/>
      <c r="C309" s="1138" t="n"/>
      <c r="D309" s="1139" t="n"/>
      <c r="E309" s="1139" t="n"/>
      <c r="F309" s="762" t="n"/>
      <c r="G309" s="1139" t="n"/>
      <c r="H309" s="1139" t="n"/>
      <c r="I309" s="1139" t="n"/>
    </row>
    <row r="310">
      <c r="A310" s="757" t="n"/>
      <c r="B310" s="605" t="n"/>
      <c r="C310" s="1138" t="n"/>
      <c r="D310" s="1139" t="n"/>
      <c r="E310" s="1139" t="n"/>
      <c r="F310" s="762" t="n"/>
      <c r="G310" s="1139" t="n"/>
      <c r="H310" s="1139" t="n"/>
      <c r="I310" s="1139" t="n"/>
    </row>
    <row r="311">
      <c r="A311" s="757" t="n"/>
      <c r="B311" s="605" t="n"/>
      <c r="C311" s="1138" t="n"/>
      <c r="D311" s="1139" t="n"/>
      <c r="E311" s="1139" t="n"/>
      <c r="F311" s="762" t="n"/>
      <c r="G311" s="1139" t="n"/>
      <c r="H311" s="1139" t="n"/>
      <c r="I311" s="1139" t="n"/>
    </row>
    <row r="312">
      <c r="A312" s="757" t="n"/>
      <c r="B312" s="605" t="n"/>
      <c r="C312" s="1138" t="n"/>
      <c r="D312" s="1139" t="n"/>
      <c r="E312" s="1139" t="n"/>
      <c r="F312" s="762" t="n"/>
      <c r="G312" s="1139" t="n"/>
      <c r="H312" s="1139" t="n"/>
      <c r="I312" s="1139" t="n"/>
    </row>
    <row r="313">
      <c r="A313" s="757" t="n"/>
      <c r="B313" s="605" t="n"/>
      <c r="C313" s="1138" t="n"/>
      <c r="D313" s="1139" t="n"/>
      <c r="E313" s="1139" t="n"/>
      <c r="F313" s="762" t="n"/>
      <c r="G313" s="1139" t="n"/>
      <c r="H313" s="1139" t="n"/>
      <c r="I313" s="1139" t="n"/>
    </row>
    <row r="314">
      <c r="A314" s="757" t="n"/>
      <c r="B314" s="605" t="n"/>
      <c r="C314" s="1138" t="n"/>
      <c r="D314" s="1139" t="n"/>
      <c r="E314" s="1139" t="n"/>
      <c r="F314" s="762" t="n"/>
      <c r="G314" s="1139" t="n"/>
      <c r="H314" s="1139" t="n"/>
      <c r="I314" s="1139" t="n"/>
    </row>
    <row r="315" customFormat="1" s="277">
      <c r="A315" s="757" t="n"/>
      <c r="B315" s="605" t="n"/>
      <c r="C315" s="1138" t="n"/>
      <c r="D315" s="1139" t="n"/>
      <c r="E315" s="1139" t="n"/>
      <c r="F315" s="762" t="n"/>
      <c r="G315" s="1139" t="n"/>
      <c r="H315" s="1139" t="n"/>
      <c r="I315" s="1139" t="n"/>
    </row>
    <row r="316" customFormat="1" s="277">
      <c r="A316" s="757" t="n"/>
      <c r="B316" s="605" t="n"/>
      <c r="C316" s="1138" t="n"/>
      <c r="D316" s="1139" t="n"/>
      <c r="E316" s="1139" t="n"/>
      <c r="F316" s="762" t="n"/>
      <c r="G316" s="1139" t="n"/>
      <c r="H316" s="1139" t="n"/>
      <c r="I316" s="1139" t="n"/>
    </row>
    <row r="317" customFormat="1" s="277">
      <c r="A317" s="757" t="n"/>
      <c r="B317" s="605" t="n"/>
      <c r="C317" s="1138" t="n"/>
      <c r="D317" s="1139" t="n"/>
      <c r="E317" s="1139" t="n"/>
      <c r="F317" s="762" t="n"/>
      <c r="G317" s="1139" t="n"/>
      <c r="H317" s="1139" t="n"/>
      <c r="I317" s="1139" t="n"/>
    </row>
    <row r="318" customFormat="1" s="277">
      <c r="A318" s="757" t="n"/>
      <c r="B318" s="605" t="n"/>
      <c r="C318" s="1138" t="n"/>
      <c r="D318" s="1139" t="n"/>
      <c r="E318" s="1139" t="n"/>
      <c r="F318" s="762" t="n"/>
      <c r="G318" s="1139" t="n"/>
      <c r="H318" s="1139" t="n"/>
      <c r="I318" s="1139" t="n"/>
      <c r="M318" s="921" t="n"/>
      <c r="N318" s="314" t="n"/>
    </row>
    <row r="319" customFormat="1" s="277">
      <c r="A319" s="757" t="n"/>
      <c r="B319" s="605" t="n"/>
      <c r="C319" s="1138" t="n"/>
      <c r="D319" s="1139" t="n"/>
      <c r="E319" s="1139" t="n"/>
      <c r="F319" s="762" t="n"/>
      <c r="G319" s="1139" t="n"/>
      <c r="H319" s="1139" t="n"/>
      <c r="I319" s="1139" t="n"/>
      <c r="M319" s="921" t="n"/>
    </row>
    <row r="320" customFormat="1" s="277">
      <c r="A320" s="757" t="n"/>
      <c r="B320" s="605" t="n"/>
      <c r="C320" s="1138" t="n"/>
      <c r="D320" s="1139" t="n"/>
      <c r="E320" s="1139" t="n"/>
      <c r="F320" s="762" t="n"/>
      <c r="G320" s="1139" t="n"/>
      <c r="H320" s="1139" t="n"/>
      <c r="I320" s="1139" t="n"/>
    </row>
    <row r="321" customFormat="1" s="277">
      <c r="A321" s="757" t="n"/>
      <c r="B321" s="605" t="n"/>
      <c r="C321" s="1138" t="n"/>
      <c r="D321" s="1139" t="n"/>
      <c r="E321" s="1139" t="n"/>
      <c r="F321" s="762" t="n"/>
      <c r="G321" s="1139" t="n"/>
      <c r="H321" s="1139" t="n"/>
      <c r="I321" s="1139" t="n"/>
    </row>
    <row r="322">
      <c r="A322" s="757" t="n"/>
      <c r="B322" s="605" t="n"/>
      <c r="C322" s="1138" t="n"/>
      <c r="D322" s="1139" t="n"/>
      <c r="E322" s="1139" t="n"/>
      <c r="F322" s="762" t="n"/>
      <c r="G322" s="1139" t="n"/>
      <c r="H322" s="1139" t="n"/>
      <c r="I322" s="1139" t="n"/>
      <c r="K322" s="246" t="n"/>
      <c r="L322" s="1110" t="n"/>
      <c r="M322" s="277" t="n"/>
    </row>
    <row r="323">
      <c r="A323" s="757" t="n"/>
      <c r="B323" s="605" t="n"/>
      <c r="C323" s="1138" t="n"/>
      <c r="D323" s="1139" t="n"/>
      <c r="E323" s="1139" t="n"/>
      <c r="F323" s="762" t="n"/>
      <c r="G323" s="1139" t="n"/>
      <c r="H323" s="1139" t="n"/>
      <c r="I323" s="1139" t="n"/>
      <c r="K323" s="246" t="n"/>
      <c r="L323" s="906" t="n"/>
      <c r="M323" s="277" t="n"/>
    </row>
    <row r="324">
      <c r="A324" s="757" t="n"/>
      <c r="B324" s="605" t="n"/>
      <c r="C324" s="1138" t="n"/>
      <c r="D324" s="1139" t="n"/>
      <c r="E324" s="1139" t="n"/>
      <c r="F324" s="762" t="n"/>
      <c r="G324" s="1139" t="n"/>
      <c r="H324" s="1139" t="n"/>
      <c r="I324" s="1139" t="n"/>
    </row>
    <row r="325" ht="15.5" customFormat="1" customHeight="1" s="124">
      <c r="A325" s="757" t="n"/>
      <c r="B325" s="605" t="n"/>
      <c r="C325" s="1138" t="n"/>
      <c r="D325" s="1139" t="n"/>
      <c r="E325" s="1139" t="n"/>
      <c r="F325" s="762" t="n"/>
      <c r="G325" s="1139" t="n"/>
      <c r="H325" s="1139" t="n"/>
      <c r="I325" s="1139" t="n"/>
    </row>
    <row r="326" ht="15.5" customFormat="1" customHeight="1" s="124">
      <c r="A326" s="611" t="n"/>
      <c r="B326" s="616" t="n"/>
      <c r="C326" s="1140" t="n"/>
      <c r="D326" s="1141" t="n"/>
      <c r="E326" s="1141" t="n"/>
      <c r="F326" s="753" t="n"/>
      <c r="G326" s="1141" t="n"/>
      <c r="H326" s="1141" t="n"/>
      <c r="I326" s="1141" t="n"/>
    </row>
    <row r="327" ht="15.5" customFormat="1" customHeight="1" s="124">
      <c r="A327" s="615" t="n"/>
      <c r="B327" s="308" t="n"/>
      <c r="C327" s="614" t="n"/>
      <c r="D327" s="614" t="n"/>
      <c r="E327" s="614" t="n"/>
      <c r="F327" s="614" t="n"/>
      <c r="G327" s="614" t="n"/>
      <c r="H327" s="614" t="n"/>
      <c r="I327" s="614" t="n"/>
    </row>
    <row r="328" ht="15.5" customHeight="1" s="828">
      <c r="A328" s="612" t="n"/>
      <c r="B328" s="308" t="n"/>
      <c r="C328" s="614" t="n"/>
      <c r="D328" s="614" t="n"/>
      <c r="E328" s="614" t="n"/>
      <c r="F328" s="614" t="n"/>
      <c r="G328" s="614" t="n"/>
      <c r="H328" s="614" t="n"/>
      <c r="I328" s="614" t="n"/>
    </row>
    <row r="329" ht="15.5" customHeight="1" s="828">
      <c r="A329" s="613" t="n"/>
      <c r="B329" s="308" t="n"/>
      <c r="C329" s="614" t="n"/>
      <c r="D329" s="614" t="n"/>
      <c r="E329" s="614" t="n"/>
      <c r="F329" s="614" t="n"/>
      <c r="G329" s="614" t="n"/>
      <c r="H329" s="614" t="n"/>
      <c r="I329" s="614" t="n"/>
    </row>
  </sheetData>
  <mergeCells count="4">
    <mergeCell ref="F13:I13"/>
    <mergeCell ref="B13:E13"/>
    <mergeCell ref="D14:E14"/>
    <mergeCell ref="H14:I14"/>
  </mergeCells>
  <conditionalFormatting sqref="B3:B7">
    <cfRule type="cellIs" priority="3" operator="lessThan" dxfId="1">
      <formula>0</formula>
    </cfRule>
    <cfRule type="cellIs" priority="4" operator="greaterThan" dxfId="0">
      <formula>0</formula>
    </cfRule>
  </conditionalFormatting>
  <conditionalFormatting sqref="D3:D7">
    <cfRule type="cellIs" priority="1" operator="lessThan" dxfId="1">
      <formula>0</formula>
    </cfRule>
    <cfRule type="cellIs" priority="2" operator="greaterThan" dxfId="0">
      <formula>0</formula>
    </cfRule>
  </conditionalFormatting>
  <conditionalFormatting sqref="L322:L323">
    <cfRule type="cellIs" priority="5" operator="lessThan" dxfId="1">
      <formula>0</formula>
    </cfRule>
    <cfRule type="cellIs" priority="6" operator="greaterThan" dxfId="0">
      <formula>0</formula>
    </cfRule>
  </conditionalFormatting>
  <pageMargins left="0.7" right="0.7" top="0.75" bottom="0.75" header="0.3" footer="0.3"/>
  <pageSetup orientation="portrait" paperSize="9"/>
  <legacyDrawing xmlns:r="http://schemas.openxmlformats.org/officeDocument/2006/relationships" r:id="anysvml"/>
</worksheet>
</file>

<file path=xl/worksheets/sheet17.xml><?xml version="1.0" encoding="utf-8"?>
<worksheet xmlns="http://schemas.openxmlformats.org/spreadsheetml/2006/main">
  <sheetPr>
    <tabColor rgb="FF00B050"/>
    <outlinePr summaryBelow="1" summaryRight="1"/>
    <pageSetUpPr/>
  </sheetPr>
  <dimension ref="A1:A1"/>
  <sheetViews>
    <sheetView workbookViewId="0">
      <selection activeCell="A1" sqref="A1"/>
    </sheetView>
  </sheetViews>
  <sheetFormatPr baseColWidth="8" defaultRowHeight="14.5"/>
  <sheetData/>
  <pageMargins left="0.7" right="0.7" top="0.75" bottom="0.75" header="0.3" footer="0.3"/>
</worksheet>
</file>

<file path=xl/worksheets/sheet18.xml><?xml version="1.0" encoding="utf-8"?>
<worksheet xmlns="http://schemas.openxmlformats.org/spreadsheetml/2006/main">
  <sheetPr>
    <tabColor rgb="FF00B0F0"/>
    <outlinePr summaryBelow="1" summaryRight="1"/>
    <pageSetUpPr/>
  </sheetPr>
  <dimension ref="A1:R92"/>
  <sheetViews>
    <sheetView topLeftCell="H82" workbookViewId="0">
      <selection activeCell="O92" sqref="O92"/>
    </sheetView>
  </sheetViews>
  <sheetFormatPr baseColWidth="8" defaultRowHeight="14.5"/>
  <cols>
    <col width="23.26953125" customWidth="1" style="828" min="1" max="1"/>
    <col width="8.81640625" bestFit="1" customWidth="1" style="828" min="2" max="2"/>
    <col width="9.1796875" bestFit="1" customWidth="1" style="828" min="3" max="10"/>
    <col width="8.81640625" bestFit="1" customWidth="1" style="828" min="11" max="11"/>
    <col width="9.1796875" bestFit="1" customWidth="1" style="828" min="12" max="12"/>
    <col width="14.81640625" bestFit="1" customWidth="1" style="1142" min="13" max="13"/>
    <col width="12.1796875" bestFit="1" customWidth="1" style="1142" min="14" max="14"/>
  </cols>
  <sheetData>
    <row r="1" ht="15" customHeight="1" s="828" thickBot="1">
      <c r="B1" s="389" t="inlineStr">
        <is>
          <t>North East</t>
        </is>
      </c>
      <c r="C1" s="389" t="inlineStr">
        <is>
          <t>North West</t>
        </is>
      </c>
      <c r="D1" s="389" t="inlineStr">
        <is>
          <t>Yorkshire and The Humber</t>
        </is>
      </c>
      <c r="E1" s="389" t="inlineStr">
        <is>
          <t>East Midlands</t>
        </is>
      </c>
      <c r="F1" s="389" t="inlineStr">
        <is>
          <t>West Midlands</t>
        </is>
      </c>
      <c r="G1" s="389" t="inlineStr">
        <is>
          <t>East of England</t>
        </is>
      </c>
      <c r="H1" s="389" t="inlineStr">
        <is>
          <t>London</t>
        </is>
      </c>
      <c r="I1" s="389" t="inlineStr">
        <is>
          <t>South East</t>
        </is>
      </c>
      <c r="J1" s="389" t="inlineStr">
        <is>
          <t>South West</t>
        </is>
      </c>
      <c r="K1" s="389" t="inlineStr">
        <is>
          <t>Wales</t>
        </is>
      </c>
      <c r="L1" s="389" t="inlineStr">
        <is>
          <t>Scotland</t>
        </is>
      </c>
      <c r="M1" s="1143" t="inlineStr">
        <is>
          <t>GB</t>
        </is>
      </c>
    </row>
    <row r="2" ht="15" customHeight="1" s="828" thickBot="1">
      <c r="A2" s="419" t="inlineStr">
        <is>
          <t>Current</t>
        </is>
      </c>
      <c r="B2" s="1144">
        <f>AVERAGE(OFFSET(INDEX(B$13:B$1048576,COUNTA(B$13:B$1048576)),-2,0,3,1))</f>
        <v/>
      </c>
      <c r="C2" s="1144">
        <f>AVERAGE(OFFSET(INDEX(C$13:C$1048576,COUNTA(C$13:C$1048576)),-2,0,3,1))</f>
        <v/>
      </c>
      <c r="D2" s="1144">
        <f>AVERAGE(OFFSET(INDEX(D$13:D$1048576,COUNTA(D$13:D$1048576)),-2,0,3,1))</f>
        <v/>
      </c>
      <c r="E2" s="1144">
        <f>AVERAGE(OFFSET(INDEX(E$13:E$1048576,COUNTA(E$13:E$1048576)),-2,0,3,1))</f>
        <v/>
      </c>
      <c r="F2" s="1144">
        <f>AVERAGE(OFFSET(INDEX(F$13:F$1048576,COUNTA(F$13:F$1048576)),-2,0,3,1))</f>
        <v/>
      </c>
      <c r="G2" s="1144">
        <f>AVERAGE(OFFSET(INDEX(G$13:G$1048576,COUNTA(G$13:G$1048576)),-2,0,3,1))</f>
        <v/>
      </c>
      <c r="H2" s="1144">
        <f>AVERAGE(OFFSET(INDEX(H$13:H$1048576,COUNTA(H$13:H$1048576)),-2,0,3,1))</f>
        <v/>
      </c>
      <c r="I2" s="1144">
        <f>AVERAGE(OFFSET(INDEX(I$13:I$1048576,COUNTA(I$13:I$1048576)),-2,0,3,1))</f>
        <v/>
      </c>
      <c r="J2" s="1144">
        <f>AVERAGE(OFFSET(INDEX(J$13:J$1048576,COUNTA(J$13:J$1048576)),-2,0,3,1))</f>
        <v/>
      </c>
      <c r="K2" s="1144">
        <f>AVERAGE(OFFSET(INDEX(K$13:K$1048576,COUNTA(K$13:K$1048576)),-2,0,3,1))</f>
        <v/>
      </c>
      <c r="L2" s="1145">
        <f>AVERAGE(OFFSET(INDEX(L$13:L$1048576,COUNTA(L$13:L$1048576)),-2,0,3,1))</f>
        <v/>
      </c>
      <c r="M2" s="1146">
        <f>AVERAGE(OFFSET(INDEX(M$13:M$1048576,COUNTA(M$13:M$1048576)),-2,0,3,1))</f>
        <v/>
      </c>
    </row>
    <row r="3" ht="27" customHeight="1" s="828" thickBot="1">
      <c r="A3" s="419" t="inlineStr">
        <is>
          <t>Average since start of 2023</t>
        </is>
      </c>
      <c r="B3" s="1144">
        <f>AVERAGE(INDEX(B$13:B$1048576,MATCH(44927,$A$13:$A$1048576,0)): INDEX(B$13:B$1048576,COUNTA(B$13:B$1048576)))</f>
        <v/>
      </c>
      <c r="C3" s="1144">
        <f>AVERAGE(INDEX(C$13:C$1048576,MATCH(44927,$A$13:$A$1048576,0)): INDEX(C$13:C$1048576,COUNTA(C$13:C$1048576)))</f>
        <v/>
      </c>
      <c r="D3" s="1144">
        <f>AVERAGE(INDEX(D$13:D$1048576,MATCH(44927,$A$13:$A$1048576,0)): INDEX(D$13:D$1048576,COUNTA(D$13:D$1048576)))</f>
        <v/>
      </c>
      <c r="E3" s="1144">
        <f>AVERAGE(INDEX(E$13:E$1048576,MATCH(44927,$A$13:$A$1048576,0)): INDEX(E$13:E$1048576,COUNTA(E$13:E$1048576)))</f>
        <v/>
      </c>
      <c r="F3" s="1144">
        <f>AVERAGE(INDEX(F$13:F$1048576,MATCH(44927,$A$13:$A$1048576,0)): INDEX(F$13:F$1048576,COUNTA(F$13:F$1048576)))</f>
        <v/>
      </c>
      <c r="G3" s="1144">
        <f>AVERAGE(INDEX(G$13:G$1048576,MATCH(44927,$A$13:$A$1048576,0)): INDEX(G$13:G$1048576,COUNTA(G$13:G$1048576)))</f>
        <v/>
      </c>
      <c r="H3" s="1144">
        <f>AVERAGE(INDEX(H$13:H$1048576,MATCH(44927,$A$13:$A$1048576,0)): INDEX(H$13:H$1048576,COUNTA(H$13:H$1048576)))</f>
        <v/>
      </c>
      <c r="I3" s="1144">
        <f>AVERAGE(INDEX(I$13:I$1048576,MATCH(44927,$A$13:$A$1048576,0)): INDEX(I$13:I$1048576,COUNTA(I$13:I$1048576)))</f>
        <v/>
      </c>
      <c r="J3" s="1144">
        <f>AVERAGE(INDEX(J$13:J$1048576,MATCH(44927,$A$13:$A$1048576,0)): INDEX(J$13:J$1048576,COUNTA(J$13:J$1048576)))</f>
        <v/>
      </c>
      <c r="K3" s="1144">
        <f>AVERAGE(INDEX(K$13:K$1048576,MATCH(44927,$A$13:$A$1048576,0)): INDEX(K$13:K$1048576,COUNTA(K$13:K$1048576)))</f>
        <v/>
      </c>
      <c r="L3" s="1145">
        <f>AVERAGE(INDEX(L$13:L$1048576,MATCH(44927,$A$13:$A$1048576,0)): INDEX(L$13:L$1048576,COUNTA(L$13:L$1048576)))</f>
        <v/>
      </c>
      <c r="M3" s="1147">
        <f>AVERAGE(INDEX(M$13:M$1048576,MATCH(44927,$A$13:$A$1048576,0)): INDEX(M$13:M$1048576,COUNTA(M$13:M$1048576)))</f>
        <v/>
      </c>
    </row>
    <row r="4" ht="26.5" customHeight="1" s="828">
      <c r="A4" s="419" t="inlineStr">
        <is>
          <t>Average pre-covid (April 2019-February 2020)</t>
        </is>
      </c>
      <c r="B4" s="1144">
        <f>AVERAGE(B$13:B$23)</f>
        <v/>
      </c>
      <c r="C4" s="1144">
        <f>AVERAGE(C$13:C$23)</f>
        <v/>
      </c>
      <c r="D4" s="1144">
        <f>AVERAGE(D$13:D$23)</f>
        <v/>
      </c>
      <c r="E4" s="1144">
        <f>AVERAGE(E$13:E$23)</f>
        <v/>
      </c>
      <c r="F4" s="1144">
        <f>AVERAGE(F$13:F$23)</f>
        <v/>
      </c>
      <c r="G4" s="1144">
        <f>AVERAGE(G$13:G$23)</f>
        <v/>
      </c>
      <c r="H4" s="1144">
        <f>AVERAGE(H$13:H$23)</f>
        <v/>
      </c>
      <c r="I4" s="1144">
        <f>AVERAGE(I$13:I$23)</f>
        <v/>
      </c>
      <c r="J4" s="1144">
        <f>AVERAGE(J$13:J$23)</f>
        <v/>
      </c>
      <c r="K4" s="1144">
        <f>AVERAGE(K$13:K$23)</f>
        <v/>
      </c>
      <c r="L4" s="1145">
        <f>AVERAGE(L$13:L$23)</f>
        <v/>
      </c>
      <c r="M4" s="1144">
        <f>AVERAGE(M$13:M$23)</f>
        <v/>
      </c>
    </row>
    <row r="5" ht="15" customHeight="1" s="828" thickBot="1">
      <c r="A5" s="442" t="inlineStr">
        <is>
          <t>Change on month</t>
        </is>
      </c>
      <c r="B5" s="446">
        <f>(AVERAGE(OFFSET(INDEX(B$13:B$1048576,COUNTA(B$13:B$1048576)),-2,0,3,1))/AVERAGE(OFFSET(INDEX(B$13:B$1048576,COUNTA(B$13:B$1048576)),-3,0,3,1)))-1</f>
        <v/>
      </c>
      <c r="C5" s="446">
        <f>(AVERAGE(OFFSET(INDEX(C$13:C$1048576,COUNTA(C$13:C$1048576)),-2,0,3,1))/AVERAGE(OFFSET(INDEX(C$13:C$1048576,COUNTA(C$13:C$1048576)),-3,0,3,1)))-1</f>
        <v/>
      </c>
      <c r="D5" s="446">
        <f>(AVERAGE(OFFSET(INDEX(D$13:D$1048576,COUNTA(D$13:D$1048576)),-2,0,3,1))/AVERAGE(OFFSET(INDEX(D$13:D$1048576,COUNTA(D$13:D$1048576)),-3,0,3,1)))-1</f>
        <v/>
      </c>
      <c r="E5" s="446">
        <f>(AVERAGE(OFFSET(INDEX(E$13:E$1048576,COUNTA(E$13:E$1048576)),-2,0,3,1))/AVERAGE(OFFSET(INDEX(E$13:E$1048576,COUNTA(E$13:E$1048576)),-3,0,3,1)))-1</f>
        <v/>
      </c>
      <c r="F5" s="446">
        <f>(AVERAGE(OFFSET(INDEX(F$13:F$1048576,COUNTA(F$13:F$1048576)),-2,0,3,1))/AVERAGE(OFFSET(INDEX(F$13:F$1048576,COUNTA(F$13:F$1048576)),-3,0,3,1)))-1</f>
        <v/>
      </c>
      <c r="G5" s="446">
        <f>(AVERAGE(OFFSET(INDEX(G$13:G$1048576,COUNTA(G$13:G$1048576)),-2,0,3,1))/AVERAGE(OFFSET(INDEX(G$13:G$1048576,COUNTA(G$13:G$1048576)),-3,0,3,1)))-1</f>
        <v/>
      </c>
      <c r="H5" s="446">
        <f>(AVERAGE(OFFSET(INDEX(H$13:H$1048576,COUNTA(H$13:H$1048576)),-2,0,3,1))/AVERAGE(OFFSET(INDEX(H$13:H$1048576,COUNTA(H$13:H$1048576)),-3,0,3,1)))-1</f>
        <v/>
      </c>
      <c r="I5" s="446">
        <f>(AVERAGE(OFFSET(INDEX(I$13:I$1048576,COUNTA(I$13:I$1048576)),-2,0,3,1))/AVERAGE(OFFSET(INDEX(I$13:I$1048576,COUNTA(I$13:I$1048576)),-3,0,3,1)))-1</f>
        <v/>
      </c>
      <c r="J5" s="446">
        <f>(AVERAGE(OFFSET(INDEX(J$13:J$1048576,COUNTA(J$13:J$1048576)),-2,0,3,1))/AVERAGE(OFFSET(INDEX(J$13:J$1048576,COUNTA(J$13:J$1048576)),-3,0,3,1)))-1</f>
        <v/>
      </c>
      <c r="K5" s="446">
        <f>(AVERAGE(OFFSET(INDEX(K$13:K$1048576,COUNTA(K$13:K$1048576)),-2,0,3,1))/AVERAGE(OFFSET(INDEX(K$13:K$1048576,COUNTA(K$13:K$1048576)),-3,0,3,1)))-1</f>
        <v/>
      </c>
      <c r="L5" s="448">
        <f>(AVERAGE(OFFSET(INDEX(L$13:L$1048576,COUNTA(L$13:L$1048576)),-2,0,3,1))/AVERAGE(OFFSET(INDEX(L$13:L$1048576,COUNTA(L$13:L$1048576)),-3,0,3,1)))-1</f>
        <v/>
      </c>
      <c r="M5" s="586">
        <f>(AVERAGE(OFFSET(INDEX(M$13:M$1048576,COUNTA(M$13:M$1048576)),-2,0,3,1))/AVERAGE(OFFSET(INDEX(M$13:M$1048576,COUNTA(M$13:M$1048576)),-3,0,3,1)))-1</f>
        <v/>
      </c>
    </row>
    <row r="6" ht="15" customHeight="1" s="828" thickBot="1">
      <c r="A6" s="442" t="inlineStr">
        <is>
          <t>Change on quarter</t>
        </is>
      </c>
      <c r="B6" s="446">
        <f>(AVERAGE(OFFSET(INDEX(B$13:B$1048576,COUNTA(B$13:B$1048576)),-2,0,3,1))/AVERAGE(OFFSET(INDEX(B$13:B$1048576,COUNTA(B$13:B$1048576)),-5,0,3,1)))-1</f>
        <v/>
      </c>
      <c r="C6" s="446">
        <f>(AVERAGE(OFFSET(INDEX(C$13:C$1048576,COUNTA(C$13:C$1048576)),-2,0,3,1))/AVERAGE(OFFSET(INDEX(C$13:C$1048576,COUNTA(C$13:C$1048576)),-5,0,3,1)))-1</f>
        <v/>
      </c>
      <c r="D6" s="446">
        <f>(AVERAGE(OFFSET(INDEX(D$13:D$1048576,COUNTA(D$13:D$1048576)),-2,0,3,1))/AVERAGE(OFFSET(INDEX(D$13:D$1048576,COUNTA(D$13:D$1048576)),-5,0,3,1)))-1</f>
        <v/>
      </c>
      <c r="E6" s="446">
        <f>(AVERAGE(OFFSET(INDEX(E$13:E$1048576,COUNTA(E$13:E$1048576)),-2,0,3,1))/AVERAGE(OFFSET(INDEX(E$13:E$1048576,COUNTA(E$13:E$1048576)),-5,0,3,1)))-1</f>
        <v/>
      </c>
      <c r="F6" s="446">
        <f>(AVERAGE(OFFSET(INDEX(F$13:F$1048576,COUNTA(F$13:F$1048576)),-2,0,3,1))/AVERAGE(OFFSET(INDEX(F$13:F$1048576,COUNTA(F$13:F$1048576)),-5,0,3,1)))-1</f>
        <v/>
      </c>
      <c r="G6" s="446">
        <f>(AVERAGE(OFFSET(INDEX(G$13:G$1048576,COUNTA(G$13:G$1048576)),-2,0,3,1))/AVERAGE(OFFSET(INDEX(G$13:G$1048576,COUNTA(G$13:G$1048576)),-5,0,3,1)))-1</f>
        <v/>
      </c>
      <c r="H6" s="446">
        <f>(AVERAGE(OFFSET(INDEX(H$13:H$1048576,COUNTA(H$13:H$1048576)),-2,0,3,1))/AVERAGE(OFFSET(INDEX(H$13:H$1048576,COUNTA(H$13:H$1048576)),-5,0,3,1)))-1</f>
        <v/>
      </c>
      <c r="I6" s="446">
        <f>(AVERAGE(OFFSET(INDEX(I$13:I$1048576,COUNTA(I$13:I$1048576)),-2,0,3,1))/AVERAGE(OFFSET(INDEX(I$13:I$1048576,COUNTA(I$13:I$1048576)),-5,0,3,1)))-1</f>
        <v/>
      </c>
      <c r="J6" s="446">
        <f>(AVERAGE(OFFSET(INDEX(J$13:J$1048576,COUNTA(J$13:J$1048576)),-2,0,3,1))/AVERAGE(OFFSET(INDEX(J$13:J$1048576,COUNTA(J$13:J$1048576)),-5,0,3,1)))-1</f>
        <v/>
      </c>
      <c r="K6" s="446">
        <f>(AVERAGE(OFFSET(INDEX(K$13:K$1048576,COUNTA(K$13:K$1048576)),-2,0,3,1))/AVERAGE(OFFSET(INDEX(K$13:K$1048576,COUNTA(K$13:K$1048576)),-5,0,3,1)))-1</f>
        <v/>
      </c>
      <c r="L6" s="448">
        <f>(AVERAGE(OFFSET(INDEX(L$13:L$1048576,COUNTA(L$13:L$1048576)),-2,0,3,1))/AVERAGE(OFFSET(INDEX(L$13:L$1048576,COUNTA(L$13:L$1048576)),-5,0,3,1)))-1</f>
        <v/>
      </c>
      <c r="M6" s="460">
        <f>(AVERAGE(OFFSET(INDEX(M$13:M$1048576,COUNTA(M$13:M$1048576)),-2,0,3,1))/AVERAGE(OFFSET(INDEX(M$13:M$1048576,COUNTA(M$13:M$1048576)),-5,0,3,1)))-1</f>
        <v/>
      </c>
    </row>
    <row r="7" ht="15" customHeight="1" s="828" thickBot="1">
      <c r="A7" s="442" t="inlineStr">
        <is>
          <t>Change on year</t>
        </is>
      </c>
      <c r="B7" s="446">
        <f>(AVERAGE(OFFSET(INDEX(B$13:B$1048576,COUNTA(B$13:B$1048576)),-2,0,3,1))/AVERAGE(OFFSET(INDEX(B$13:B$1048576,COUNTA(B$13:B$1048576)),-14,0,3,1)))-1</f>
        <v/>
      </c>
      <c r="C7" s="446">
        <f>(AVERAGE(OFFSET(INDEX(C$13:C$1048576,COUNTA(C$13:C$1048576)),-2,0,3,1))/AVERAGE(OFFSET(INDEX(C$13:C$1048576,COUNTA(C$13:C$1048576)),-14,0,3,1)))-1</f>
        <v/>
      </c>
      <c r="D7" s="446">
        <f>(AVERAGE(OFFSET(INDEX(D$13:D$1048576,COUNTA(D$13:D$1048576)),-2,0,3,1))/AVERAGE(OFFSET(INDEX(D$13:D$1048576,COUNTA(D$13:D$1048576)),-14,0,3,1)))-1</f>
        <v/>
      </c>
      <c r="E7" s="446">
        <f>(AVERAGE(OFFSET(INDEX(E$13:E$1048576,COUNTA(E$13:E$1048576)),-2,0,3,1))/AVERAGE(OFFSET(INDEX(E$13:E$1048576,COUNTA(E$13:E$1048576)),-14,0,3,1)))-1</f>
        <v/>
      </c>
      <c r="F7" s="446">
        <f>(AVERAGE(OFFSET(INDEX(F$13:F$1048576,COUNTA(F$13:F$1048576)),-2,0,3,1))/AVERAGE(OFFSET(INDEX(F$13:F$1048576,COUNTA(F$13:F$1048576)),-14,0,3,1)))-1</f>
        <v/>
      </c>
      <c r="G7" s="446">
        <f>(AVERAGE(OFFSET(INDEX(G$13:G$1048576,COUNTA(G$13:G$1048576)),-2,0,3,1))/AVERAGE(OFFSET(INDEX(G$13:G$1048576,COUNTA(G$13:G$1048576)),-14,0,3,1)))-1</f>
        <v/>
      </c>
      <c r="H7" s="446">
        <f>(AVERAGE(OFFSET(INDEX(H$13:H$1048576,COUNTA(H$13:H$1048576)),-2,0,3,1))/AVERAGE(OFFSET(INDEX(H$13:H$1048576,COUNTA(H$13:H$1048576)),-14,0,3,1)))-1</f>
        <v/>
      </c>
      <c r="I7" s="446">
        <f>(AVERAGE(OFFSET(INDEX(I$13:I$1048576,COUNTA(I$13:I$1048576)),-2,0,3,1))/AVERAGE(OFFSET(INDEX(I$13:I$1048576,COUNTA(I$13:I$1048576)),-14,0,3,1)))-1</f>
        <v/>
      </c>
      <c r="J7" s="446">
        <f>(AVERAGE(OFFSET(INDEX(J$13:J$1048576,COUNTA(J$13:J$1048576)),-2,0,3,1))/AVERAGE(OFFSET(INDEX(J$13:J$1048576,COUNTA(J$13:J$1048576)),-14,0,3,1)))-1</f>
        <v/>
      </c>
      <c r="K7" s="446">
        <f>(AVERAGE(OFFSET(INDEX(K$13:K$1048576,COUNTA(K$13:K$1048576)),-2,0,3,1))/AVERAGE(OFFSET(INDEX(K$13:K$1048576,COUNTA(K$13:K$1048576)),-14,0,3,1)))-1</f>
        <v/>
      </c>
      <c r="L7" s="448">
        <f>(AVERAGE(OFFSET(INDEX(L$13:L$1048576,COUNTA(L$13:L$1048576)),-2,0,3,1))/AVERAGE(OFFSET(INDEX(L$13:L$1048576,COUNTA(L$13:L$1048576)),-14,0,3,1)))-1</f>
        <v/>
      </c>
      <c r="M7" s="459">
        <f>(AVERAGE(OFFSET(INDEX(M$13:M$1048576,COUNTA(M$13:M$1048576)),-2,0,3,1))/AVERAGE(OFFSET(INDEX(M$13:M$1048576,COUNTA(M$13:M$1048576)),-14,0,3,1)))-1</f>
        <v/>
      </c>
    </row>
    <row r="9" ht="18" customHeight="1" s="828">
      <c r="A9" s="311" t="inlineStr">
        <is>
          <t>Worksheet 1a: Number of potential redundancies from HR1 forms by region, GB [note 6]</t>
        </is>
      </c>
      <c r="B9" s="308" t="n"/>
      <c r="C9" s="308" t="n"/>
      <c r="D9" s="308" t="n"/>
      <c r="E9" s="308" t="n"/>
      <c r="F9" s="308" t="n"/>
      <c r="G9" s="308" t="n"/>
      <c r="H9" s="308" t="n"/>
      <c r="I9" s="308" t="n"/>
      <c r="J9" s="308" t="n"/>
      <c r="K9" s="308" t="n"/>
      <c r="L9" s="308" t="n"/>
      <c r="M9" s="1148" t="n"/>
      <c r="N9" s="1148" t="n"/>
      <c r="O9" s="308" t="n"/>
      <c r="P9" s="308" t="n"/>
    </row>
    <row r="10" ht="15.5" customHeight="1" s="828">
      <c r="A10" s="310" t="n"/>
      <c r="B10" s="308" t="n"/>
      <c r="C10" s="308" t="n"/>
      <c r="D10" s="308" t="n"/>
      <c r="E10" s="308" t="n"/>
      <c r="F10" s="308" t="n"/>
      <c r="G10" s="308" t="n"/>
      <c r="H10" s="308" t="n"/>
      <c r="I10" s="308" t="n"/>
      <c r="J10" s="308" t="n"/>
      <c r="K10" s="308" t="n"/>
      <c r="L10" s="308" t="n"/>
      <c r="M10" s="1148" t="n"/>
      <c r="N10" s="1148" t="n"/>
      <c r="O10" s="308" t="n"/>
      <c r="P10" s="308" t="n"/>
    </row>
    <row r="11" ht="15.5" customHeight="1" s="828">
      <c r="A11" s="313" t="n"/>
      <c r="B11" s="308" t="n"/>
      <c r="C11" s="308" t="n"/>
      <c r="D11" s="308" t="n"/>
      <c r="E11" s="308" t="n"/>
      <c r="F11" s="308" t="n"/>
      <c r="G11" s="308" t="n"/>
      <c r="H11" s="308" t="n"/>
      <c r="I11" s="308" t="n"/>
      <c r="J11" s="308" t="n"/>
      <c r="K11" s="308" t="n"/>
      <c r="L11" s="308" t="n"/>
      <c r="M11" s="1148" t="n"/>
      <c r="N11" s="1148" t="n"/>
      <c r="O11" s="308" t="n"/>
      <c r="P11" s="308" t="n"/>
    </row>
    <row r="12" ht="62" customHeight="1" s="828">
      <c r="A12" s="312" t="n"/>
      <c r="B12" s="312" t="n"/>
      <c r="C12" s="312" t="n"/>
      <c r="D12" s="312" t="n"/>
      <c r="E12" s="312" t="n"/>
      <c r="F12" s="312" t="n"/>
      <c r="G12" s="312" t="n"/>
      <c r="H12" s="312" t="n"/>
      <c r="I12" s="312" t="n"/>
      <c r="J12" s="312" t="n"/>
      <c r="K12" s="312" t="n"/>
      <c r="L12" s="312" t="n"/>
      <c r="M12" s="312" t="n"/>
      <c r="N12" s="1148" t="n"/>
      <c r="O12" s="308" t="n"/>
      <c r="P12" s="308" t="n"/>
      <c r="Q12" s="312" t="n"/>
      <c r="R12" s="312" t="n"/>
    </row>
    <row r="13" ht="15.5" customHeight="1" s="828">
      <c r="A13" s="780" t="n"/>
      <c r="B13" s="781" t="n"/>
      <c r="C13" s="781" t="n"/>
      <c r="D13" s="781" t="n"/>
      <c r="E13" s="781" t="n"/>
      <c r="F13" s="781" t="n"/>
      <c r="G13" s="781" t="n"/>
      <c r="H13" s="781" t="n"/>
      <c r="I13" s="781" t="n"/>
      <c r="J13" s="781" t="n"/>
      <c r="K13" s="781" t="n"/>
      <c r="L13" s="781" t="n"/>
      <c r="M13" s="781" t="n"/>
      <c r="N13" s="1142" t="n"/>
      <c r="O13" s="309" t="n"/>
      <c r="P13" s="309" t="n"/>
    </row>
    <row r="14" ht="15.5" customHeight="1" s="828">
      <c r="A14" s="780" t="n"/>
      <c r="B14" s="781" t="n"/>
      <c r="C14" s="781" t="n"/>
      <c r="D14" s="781" t="n"/>
      <c r="E14" s="781" t="n"/>
      <c r="F14" s="781" t="n"/>
      <c r="G14" s="781" t="n"/>
      <c r="H14" s="781" t="n"/>
      <c r="I14" s="781" t="n"/>
      <c r="J14" s="781" t="n"/>
      <c r="K14" s="781" t="n"/>
      <c r="L14" s="781" t="n"/>
      <c r="M14" s="781" t="n"/>
      <c r="N14" s="1142" t="n"/>
      <c r="O14" s="309" t="n"/>
      <c r="P14" s="309" t="n"/>
      <c r="Q14" s="303" t="n"/>
      <c r="R14" s="303" t="n"/>
    </row>
    <row r="15" ht="15.5" customHeight="1" s="828">
      <c r="A15" s="780" t="n"/>
      <c r="B15" s="781" t="n"/>
      <c r="C15" s="781" t="n"/>
      <c r="D15" s="781" t="n"/>
      <c r="E15" s="781" t="n"/>
      <c r="F15" s="781" t="n"/>
      <c r="G15" s="781" t="n"/>
      <c r="H15" s="781" t="n"/>
      <c r="I15" s="781" t="n"/>
      <c r="J15" s="781" t="n"/>
      <c r="K15" s="781" t="n"/>
      <c r="L15" s="781" t="n"/>
      <c r="M15" s="781" t="n"/>
      <c r="N15" s="1142" t="n"/>
      <c r="O15" s="309" t="n"/>
      <c r="P15" s="309" t="n"/>
      <c r="Q15" s="303" t="n"/>
    </row>
    <row r="16" ht="15.5" customHeight="1" s="828">
      <c r="A16" s="780" t="n"/>
      <c r="B16" s="781" t="n"/>
      <c r="C16" s="781" t="n"/>
      <c r="D16" s="781" t="n"/>
      <c r="E16" s="781" t="n"/>
      <c r="F16" s="781" t="n"/>
      <c r="G16" s="781" t="n"/>
      <c r="H16" s="781" t="n"/>
      <c r="I16" s="781" t="n"/>
      <c r="J16" s="781" t="n"/>
      <c r="K16" s="781" t="n"/>
      <c r="L16" s="781" t="n"/>
      <c r="M16" s="781" t="n"/>
      <c r="N16" s="1142" t="n"/>
      <c r="O16" s="309" t="n"/>
      <c r="P16" s="309" t="n"/>
      <c r="Q16" s="303" t="n"/>
    </row>
    <row r="17" ht="15.5" customHeight="1" s="828">
      <c r="A17" s="780" t="n"/>
      <c r="B17" s="781" t="n"/>
      <c r="C17" s="781" t="n"/>
      <c r="D17" s="781" t="n"/>
      <c r="E17" s="781" t="n"/>
      <c r="F17" s="781" t="n"/>
      <c r="G17" s="781" t="n"/>
      <c r="H17" s="781" t="n"/>
      <c r="I17" s="781" t="n"/>
      <c r="J17" s="781" t="n"/>
      <c r="K17" s="781" t="n"/>
      <c r="L17" s="781" t="n"/>
      <c r="M17" s="781" t="n"/>
      <c r="N17" s="1142" t="n"/>
      <c r="O17" s="309" t="n"/>
      <c r="P17" s="309" t="n"/>
      <c r="Q17" s="303" t="n"/>
    </row>
    <row r="18" ht="15.5" customHeight="1" s="828">
      <c r="A18" s="780" t="n"/>
      <c r="B18" s="781" t="n"/>
      <c r="C18" s="781" t="n"/>
      <c r="D18" s="781" t="n"/>
      <c r="E18" s="781" t="n"/>
      <c r="F18" s="781" t="n"/>
      <c r="G18" s="781" t="n"/>
      <c r="H18" s="781" t="n"/>
      <c r="I18" s="781" t="n"/>
      <c r="J18" s="781" t="n"/>
      <c r="K18" s="781" t="n"/>
      <c r="L18" s="781" t="n"/>
      <c r="M18" s="781" t="n"/>
      <c r="N18" s="1142" t="n"/>
      <c r="O18" s="309" t="n"/>
      <c r="P18" s="309" t="n"/>
      <c r="Q18" s="303" t="n"/>
    </row>
    <row r="19" ht="15.5" customHeight="1" s="828">
      <c r="A19" s="780" t="n"/>
      <c r="B19" s="781" t="n"/>
      <c r="C19" s="781" t="n"/>
      <c r="D19" s="781" t="n"/>
      <c r="E19" s="781" t="n"/>
      <c r="F19" s="781" t="n"/>
      <c r="G19" s="781" t="n"/>
      <c r="H19" s="781" t="n"/>
      <c r="I19" s="781" t="n"/>
      <c r="J19" s="781" t="n"/>
      <c r="K19" s="781" t="n"/>
      <c r="L19" s="781" t="n"/>
      <c r="M19" s="781" t="n"/>
      <c r="N19" s="1142" t="n"/>
      <c r="O19" s="309" t="n"/>
      <c r="P19" s="309" t="n"/>
      <c r="Q19" s="303" t="n"/>
    </row>
    <row r="20" ht="15.5" customHeight="1" s="828">
      <c r="A20" s="780" t="n"/>
      <c r="B20" s="781" t="n"/>
      <c r="C20" s="781" t="n"/>
      <c r="D20" s="781" t="n"/>
      <c r="E20" s="781" t="n"/>
      <c r="F20" s="781" t="n"/>
      <c r="G20" s="781" t="n"/>
      <c r="H20" s="781" t="n"/>
      <c r="I20" s="781" t="n"/>
      <c r="J20" s="781" t="n"/>
      <c r="K20" s="781" t="n"/>
      <c r="L20" s="781" t="n"/>
      <c r="M20" s="781" t="n"/>
      <c r="N20" s="1142" t="n"/>
      <c r="O20" s="309" t="n"/>
      <c r="P20" s="309" t="n"/>
      <c r="Q20" s="303" t="n"/>
    </row>
    <row r="21" ht="15.5" customHeight="1" s="828">
      <c r="A21" s="780" t="n"/>
      <c r="B21" s="781" t="n"/>
      <c r="C21" s="781" t="n"/>
      <c r="D21" s="781" t="n"/>
      <c r="E21" s="781" t="n"/>
      <c r="F21" s="781" t="n"/>
      <c r="G21" s="781" t="n"/>
      <c r="H21" s="781" t="n"/>
      <c r="I21" s="781" t="n"/>
      <c r="J21" s="781" t="n"/>
      <c r="K21" s="781" t="n"/>
      <c r="L21" s="781" t="n"/>
      <c r="M21" s="781" t="n"/>
      <c r="N21" s="1142" t="n"/>
      <c r="O21" s="309" t="n"/>
      <c r="P21" s="309" t="n"/>
      <c r="Q21" s="303" t="n"/>
    </row>
    <row r="22" ht="15.5" customHeight="1" s="828">
      <c r="A22" s="780" t="n"/>
      <c r="B22" s="781" t="n"/>
      <c r="C22" s="781" t="n"/>
      <c r="D22" s="781" t="n"/>
      <c r="E22" s="781" t="n"/>
      <c r="F22" s="781" t="n"/>
      <c r="G22" s="781" t="n"/>
      <c r="H22" s="781" t="n"/>
      <c r="I22" s="781" t="n"/>
      <c r="J22" s="781" t="n"/>
      <c r="K22" s="781" t="n"/>
      <c r="L22" s="781" t="n"/>
      <c r="M22" s="781" t="n"/>
      <c r="N22" s="1142" t="n"/>
      <c r="O22" s="309" t="n"/>
      <c r="P22" s="309" t="n"/>
      <c r="Q22" s="303" t="n"/>
    </row>
    <row r="23" ht="15.5" customHeight="1" s="828">
      <c r="A23" s="780" t="n"/>
      <c r="B23" s="781" t="n"/>
      <c r="C23" s="781" t="n"/>
      <c r="D23" s="781" t="n"/>
      <c r="E23" s="781" t="n"/>
      <c r="F23" s="781" t="n"/>
      <c r="G23" s="781" t="n"/>
      <c r="H23" s="781" t="n"/>
      <c r="I23" s="781" t="n"/>
      <c r="J23" s="781" t="n"/>
      <c r="K23" s="781" t="n"/>
      <c r="L23" s="781" t="n"/>
      <c r="M23" s="781" t="n"/>
      <c r="N23" s="1142" t="n"/>
      <c r="O23" s="309" t="n"/>
      <c r="P23" s="309" t="n"/>
      <c r="Q23" s="303" t="n"/>
    </row>
    <row r="24" ht="15.5" customHeight="1" s="828">
      <c r="A24" s="780" t="n"/>
      <c r="B24" s="781" t="n"/>
      <c r="C24" s="781" t="n"/>
      <c r="D24" s="781" t="n"/>
      <c r="E24" s="781" t="n"/>
      <c r="F24" s="781" t="n"/>
      <c r="G24" s="781" t="n"/>
      <c r="H24" s="781" t="n"/>
      <c r="I24" s="781" t="n"/>
      <c r="J24" s="781" t="n"/>
      <c r="K24" s="781" t="n"/>
      <c r="L24" s="781" t="n"/>
      <c r="M24" s="781" t="n"/>
      <c r="N24" s="1142" t="n"/>
      <c r="O24" s="309" t="n"/>
      <c r="P24" s="309" t="n"/>
      <c r="Q24" s="303" t="n"/>
    </row>
    <row r="25" ht="15.5" customHeight="1" s="828">
      <c r="A25" s="780" t="n"/>
      <c r="B25" s="781" t="n"/>
      <c r="C25" s="781" t="n"/>
      <c r="D25" s="781" t="n"/>
      <c r="E25" s="781" t="n"/>
      <c r="F25" s="781" t="n"/>
      <c r="G25" s="781" t="n"/>
      <c r="H25" s="781" t="n"/>
      <c r="I25" s="781" t="n"/>
      <c r="J25" s="781" t="n"/>
      <c r="K25" s="781" t="n"/>
      <c r="L25" s="781" t="n"/>
      <c r="M25" s="781" t="n"/>
      <c r="N25" s="1142" t="n"/>
      <c r="O25" s="309" t="n"/>
      <c r="P25" s="309" t="n"/>
      <c r="Q25" s="303" t="n"/>
    </row>
    <row r="26" ht="15.5" customHeight="1" s="828">
      <c r="A26" s="780" t="n"/>
      <c r="B26" s="781" t="n"/>
      <c r="C26" s="781" t="n"/>
      <c r="D26" s="781" t="n"/>
      <c r="E26" s="781" t="n"/>
      <c r="F26" s="781" t="n"/>
      <c r="G26" s="781" t="n"/>
      <c r="H26" s="781" t="n"/>
      <c r="I26" s="781" t="n"/>
      <c r="J26" s="781" t="n"/>
      <c r="K26" s="781" t="n"/>
      <c r="L26" s="781" t="n"/>
      <c r="M26" s="781" t="n"/>
      <c r="N26" s="1142" t="n"/>
      <c r="O26" s="309" t="n"/>
      <c r="P26" s="309" t="n"/>
      <c r="Q26" s="303" t="n"/>
      <c r="R26" s="303" t="n"/>
    </row>
    <row r="27" ht="15.5" customHeight="1" s="828">
      <c r="A27" s="780" t="n"/>
      <c r="B27" s="781" t="n"/>
      <c r="C27" s="781" t="n"/>
      <c r="D27" s="781" t="n"/>
      <c r="E27" s="781" t="n"/>
      <c r="F27" s="781" t="n"/>
      <c r="G27" s="781" t="n"/>
      <c r="H27" s="781" t="n"/>
      <c r="I27" s="781" t="n"/>
      <c r="J27" s="781" t="n"/>
      <c r="K27" s="781" t="n"/>
      <c r="L27" s="781" t="n"/>
      <c r="M27" s="781" t="n"/>
      <c r="N27" s="1142" t="n"/>
      <c r="O27" s="309" t="n"/>
      <c r="P27" s="309" t="n"/>
      <c r="Q27" s="303" t="n"/>
      <c r="R27" s="303" t="n"/>
    </row>
    <row r="28" ht="15.5" customHeight="1" s="828">
      <c r="A28" s="780" t="n"/>
      <c r="B28" s="781" t="n"/>
      <c r="C28" s="781" t="n"/>
      <c r="D28" s="781" t="n"/>
      <c r="E28" s="781" t="n"/>
      <c r="F28" s="781" t="n"/>
      <c r="G28" s="781" t="n"/>
      <c r="H28" s="781" t="n"/>
      <c r="I28" s="781" t="n"/>
      <c r="J28" s="781" t="n"/>
      <c r="K28" s="781" t="n"/>
      <c r="L28" s="781" t="n"/>
      <c r="M28" s="781" t="n"/>
      <c r="N28" s="1142" t="n"/>
      <c r="O28" s="309" t="n"/>
      <c r="P28" s="309" t="n"/>
      <c r="Q28" s="303" t="n"/>
      <c r="R28" s="303" t="n"/>
    </row>
    <row r="29" ht="15.5" customHeight="1" s="828">
      <c r="A29" s="780" t="n"/>
      <c r="B29" s="781" t="n"/>
      <c r="C29" s="781" t="n"/>
      <c r="D29" s="781" t="n"/>
      <c r="E29" s="781" t="n"/>
      <c r="F29" s="781" t="n"/>
      <c r="G29" s="781" t="n"/>
      <c r="H29" s="781" t="n"/>
      <c r="I29" s="781" t="n"/>
      <c r="J29" s="781" t="n"/>
      <c r="K29" s="781" t="n"/>
      <c r="L29" s="781" t="n"/>
      <c r="M29" s="781" t="n"/>
      <c r="N29" s="1142" t="n"/>
      <c r="O29" s="309" t="n"/>
      <c r="P29" s="309" t="n"/>
      <c r="Q29" s="303" t="n"/>
      <c r="R29" s="303" t="n"/>
    </row>
    <row r="30" ht="15.5" customHeight="1" s="828">
      <c r="A30" s="780" t="n"/>
      <c r="B30" s="781" t="n"/>
      <c r="C30" s="781" t="n"/>
      <c r="D30" s="781" t="n"/>
      <c r="E30" s="781" t="n"/>
      <c r="F30" s="781" t="n"/>
      <c r="G30" s="781" t="n"/>
      <c r="H30" s="781" t="n"/>
      <c r="I30" s="781" t="n"/>
      <c r="J30" s="781" t="n"/>
      <c r="K30" s="781" t="n"/>
      <c r="L30" s="781" t="n"/>
      <c r="M30" s="781" t="n"/>
      <c r="N30" s="1142" t="n"/>
      <c r="O30" s="309" t="n"/>
      <c r="P30" s="309" t="n"/>
      <c r="Q30" s="303" t="n"/>
      <c r="R30" s="303" t="n"/>
    </row>
    <row r="31" ht="15.5" customHeight="1" s="828">
      <c r="A31" s="780" t="n"/>
      <c r="B31" s="781" t="n"/>
      <c r="C31" s="781" t="n"/>
      <c r="D31" s="781" t="n"/>
      <c r="E31" s="781" t="n"/>
      <c r="F31" s="781" t="n"/>
      <c r="G31" s="781" t="n"/>
      <c r="H31" s="781" t="n"/>
      <c r="I31" s="781" t="n"/>
      <c r="J31" s="781" t="n"/>
      <c r="K31" s="781" t="n"/>
      <c r="L31" s="781" t="n"/>
      <c r="M31" s="781" t="n"/>
      <c r="N31" s="1142" t="n"/>
      <c r="O31" s="309" t="n"/>
      <c r="P31" s="309" t="n"/>
      <c r="Q31" s="303" t="n"/>
      <c r="R31" s="303" t="n"/>
    </row>
    <row r="32" ht="15.5" customHeight="1" s="828">
      <c r="A32" s="780" t="n"/>
      <c r="B32" s="781" t="n"/>
      <c r="C32" s="781" t="n"/>
      <c r="D32" s="781" t="n"/>
      <c r="E32" s="781" t="n"/>
      <c r="F32" s="781" t="n"/>
      <c r="G32" s="781" t="n"/>
      <c r="H32" s="781" t="n"/>
      <c r="I32" s="781" t="n"/>
      <c r="J32" s="781" t="n"/>
      <c r="K32" s="781" t="n"/>
      <c r="L32" s="781" t="n"/>
      <c r="M32" s="781" t="n"/>
      <c r="N32" s="1142" t="n"/>
      <c r="O32" s="309" t="n"/>
      <c r="P32" s="309" t="n"/>
      <c r="Q32" s="303" t="n"/>
      <c r="R32" s="303" t="n"/>
    </row>
    <row r="33" ht="15.5" customHeight="1" s="828">
      <c r="A33" s="780" t="n"/>
      <c r="B33" s="781" t="n"/>
      <c r="C33" s="781" t="n"/>
      <c r="D33" s="781" t="n"/>
      <c r="E33" s="781" t="n"/>
      <c r="F33" s="781" t="n"/>
      <c r="G33" s="781" t="n"/>
      <c r="H33" s="781" t="n"/>
      <c r="I33" s="781" t="n"/>
      <c r="J33" s="781" t="n"/>
      <c r="K33" s="781" t="n"/>
      <c r="L33" s="781" t="n"/>
      <c r="M33" s="781" t="n"/>
      <c r="N33" s="1142" t="n"/>
      <c r="O33" s="309" t="n"/>
      <c r="P33" s="309" t="n"/>
      <c r="Q33" s="303" t="n"/>
      <c r="R33" s="303" t="n"/>
    </row>
    <row r="34" ht="15.5" customHeight="1" s="828">
      <c r="A34" s="780" t="n"/>
      <c r="B34" s="781" t="n"/>
      <c r="C34" s="781" t="n"/>
      <c r="D34" s="781" t="n"/>
      <c r="E34" s="781" t="n"/>
      <c r="F34" s="781" t="n"/>
      <c r="G34" s="781" t="n"/>
      <c r="H34" s="781" t="n"/>
      <c r="I34" s="781" t="n"/>
      <c r="J34" s="781" t="n"/>
      <c r="K34" s="781" t="n"/>
      <c r="L34" s="781" t="n"/>
      <c r="M34" s="781" t="n"/>
      <c r="N34" s="1142" t="n"/>
      <c r="O34" s="309" t="n"/>
      <c r="P34" s="309" t="n"/>
      <c r="Q34" s="303" t="n"/>
      <c r="R34" s="303" t="n"/>
    </row>
    <row r="35" ht="15.5" customHeight="1" s="828">
      <c r="A35" s="780" t="n"/>
      <c r="B35" s="781" t="n"/>
      <c r="C35" s="781" t="n"/>
      <c r="D35" s="781" t="n"/>
      <c r="E35" s="781" t="n"/>
      <c r="F35" s="781" t="n"/>
      <c r="G35" s="781" t="n"/>
      <c r="H35" s="781" t="n"/>
      <c r="I35" s="781" t="n"/>
      <c r="J35" s="781" t="n"/>
      <c r="K35" s="781" t="n"/>
      <c r="L35" s="781" t="n"/>
      <c r="M35" s="781" t="n"/>
      <c r="N35" s="1142" t="n"/>
      <c r="O35" s="309" t="n"/>
      <c r="P35" s="309" t="n"/>
      <c r="Q35" s="303" t="n"/>
      <c r="R35" s="303" t="n"/>
    </row>
    <row r="36" ht="15.5" customHeight="1" s="828">
      <c r="A36" s="780" t="n"/>
      <c r="B36" s="781" t="n"/>
      <c r="C36" s="781" t="n"/>
      <c r="D36" s="781" t="n"/>
      <c r="E36" s="781" t="n"/>
      <c r="F36" s="781" t="n"/>
      <c r="G36" s="781" t="n"/>
      <c r="H36" s="781" t="n"/>
      <c r="I36" s="781" t="n"/>
      <c r="J36" s="781" t="n"/>
      <c r="K36" s="781" t="n"/>
      <c r="L36" s="781" t="n"/>
      <c r="M36" s="781" t="n"/>
      <c r="N36" s="1142" t="n"/>
      <c r="O36" s="309" t="n"/>
      <c r="P36" s="309" t="n"/>
      <c r="Q36" s="303" t="n"/>
      <c r="R36" s="303" t="n"/>
    </row>
    <row r="37" ht="15.5" customHeight="1" s="828">
      <c r="A37" s="780" t="n"/>
      <c r="B37" s="781" t="n"/>
      <c r="C37" s="781" t="n"/>
      <c r="D37" s="781" t="n"/>
      <c r="E37" s="781" t="n"/>
      <c r="F37" s="781" t="n"/>
      <c r="G37" s="781" t="n"/>
      <c r="H37" s="781" t="n"/>
      <c r="I37" s="781" t="n"/>
      <c r="J37" s="781" t="n"/>
      <c r="K37" s="781" t="n"/>
      <c r="L37" s="781" t="n"/>
      <c r="M37" s="781" t="n"/>
      <c r="N37" s="1142" t="n"/>
      <c r="O37" s="309" t="n"/>
      <c r="P37" s="309" t="n"/>
      <c r="Q37" s="303" t="n"/>
      <c r="R37" s="303" t="n"/>
    </row>
    <row r="38" ht="15.5" customHeight="1" s="828">
      <c r="A38" s="780" t="n"/>
      <c r="B38" s="781" t="n"/>
      <c r="C38" s="781" t="n"/>
      <c r="D38" s="781" t="n"/>
      <c r="E38" s="781" t="n"/>
      <c r="F38" s="781" t="n"/>
      <c r="G38" s="781" t="n"/>
      <c r="H38" s="781" t="n"/>
      <c r="I38" s="781" t="n"/>
      <c r="J38" s="781" t="n"/>
      <c r="K38" s="781" t="n"/>
      <c r="L38" s="781" t="n"/>
      <c r="M38" s="781" t="n"/>
      <c r="N38" s="1142" t="n"/>
      <c r="O38" s="309" t="n"/>
      <c r="P38" s="309" t="n"/>
      <c r="Q38" s="303" t="n"/>
      <c r="R38" s="303" t="n"/>
    </row>
    <row r="39" ht="15.5" customHeight="1" s="828">
      <c r="A39" s="780" t="n"/>
      <c r="B39" s="781" t="n"/>
      <c r="C39" s="781" t="n"/>
      <c r="D39" s="781" t="n"/>
      <c r="E39" s="781" t="n"/>
      <c r="F39" s="781" t="n"/>
      <c r="G39" s="781" t="n"/>
      <c r="H39" s="781" t="n"/>
      <c r="I39" s="781" t="n"/>
      <c r="J39" s="781" t="n"/>
      <c r="K39" s="781" t="n"/>
      <c r="L39" s="781" t="n"/>
      <c r="M39" s="781" t="n"/>
      <c r="N39" s="1142" t="n"/>
      <c r="O39" s="309" t="n"/>
      <c r="P39" s="309" t="n"/>
      <c r="Q39" s="303" t="n"/>
      <c r="R39" s="303" t="n"/>
    </row>
    <row r="40" ht="15.5" customHeight="1" s="828">
      <c r="A40" s="780" t="n"/>
      <c r="B40" s="781" t="n"/>
      <c r="C40" s="781" t="n"/>
      <c r="D40" s="781" t="n"/>
      <c r="E40" s="781" t="n"/>
      <c r="F40" s="781" t="n"/>
      <c r="G40" s="781" t="n"/>
      <c r="H40" s="781" t="n"/>
      <c r="I40" s="781" t="n"/>
      <c r="J40" s="781" t="n"/>
      <c r="K40" s="781" t="n"/>
      <c r="L40" s="781" t="n"/>
      <c r="M40" s="781" t="n"/>
      <c r="N40" s="1142" t="n"/>
      <c r="O40" s="309" t="n"/>
      <c r="P40" s="309" t="n"/>
      <c r="Q40" s="303" t="n"/>
      <c r="R40" s="303" t="n"/>
    </row>
    <row r="41" ht="15.5" customHeight="1" s="828">
      <c r="A41" s="780" t="n"/>
      <c r="B41" s="781" t="n"/>
      <c r="C41" s="781" t="n"/>
      <c r="D41" s="781" t="n"/>
      <c r="E41" s="781" t="n"/>
      <c r="F41" s="781" t="n"/>
      <c r="G41" s="781" t="n"/>
      <c r="H41" s="781" t="n"/>
      <c r="I41" s="781" t="n"/>
      <c r="J41" s="781" t="n"/>
      <c r="K41" s="781" t="n"/>
      <c r="L41" s="781" t="n"/>
      <c r="M41" s="781" t="n"/>
      <c r="N41" s="1142" t="n"/>
      <c r="O41" s="309" t="n"/>
      <c r="P41" s="309" t="n"/>
      <c r="Q41" s="303" t="n"/>
      <c r="R41" s="303" t="n"/>
    </row>
    <row r="42" ht="15.5" customHeight="1" s="828">
      <c r="A42" s="780" t="n"/>
      <c r="B42" s="781" t="n"/>
      <c r="C42" s="781" t="n"/>
      <c r="D42" s="781" t="n"/>
      <c r="E42" s="781" t="n"/>
      <c r="F42" s="781" t="n"/>
      <c r="G42" s="781" t="n"/>
      <c r="H42" s="781" t="n"/>
      <c r="I42" s="781" t="n"/>
      <c r="J42" s="781" t="n"/>
      <c r="K42" s="781" t="n"/>
      <c r="L42" s="781" t="n"/>
      <c r="M42" s="781" t="n"/>
      <c r="N42" s="1142" t="n"/>
      <c r="O42" s="309" t="n"/>
      <c r="P42" s="309" t="n"/>
      <c r="Q42" s="303" t="n"/>
      <c r="R42" s="303" t="n"/>
    </row>
    <row r="43" ht="15.5" customHeight="1" s="828">
      <c r="A43" s="780" t="n"/>
      <c r="B43" s="781" t="n"/>
      <c r="C43" s="781" t="n"/>
      <c r="D43" s="781" t="n"/>
      <c r="E43" s="781" t="n"/>
      <c r="F43" s="781" t="n"/>
      <c r="G43" s="781" t="n"/>
      <c r="H43" s="781" t="n"/>
      <c r="I43" s="781" t="n"/>
      <c r="J43" s="781" t="n"/>
      <c r="K43" s="781" t="n"/>
      <c r="L43" s="781" t="n"/>
      <c r="M43" s="781" t="n"/>
      <c r="N43" s="1142" t="n"/>
      <c r="O43" s="309" t="n"/>
      <c r="P43" s="309" t="n"/>
      <c r="Q43" s="303" t="n"/>
      <c r="R43" s="303" t="n"/>
    </row>
    <row r="44" ht="15.5" customHeight="1" s="828">
      <c r="A44" s="780" t="n"/>
      <c r="B44" s="781" t="n"/>
      <c r="C44" s="781" t="n"/>
      <c r="D44" s="781" t="n"/>
      <c r="E44" s="781" t="n"/>
      <c r="F44" s="781" t="n"/>
      <c r="G44" s="781" t="n"/>
      <c r="H44" s="781" t="n"/>
      <c r="I44" s="781" t="n"/>
      <c r="J44" s="781" t="n"/>
      <c r="K44" s="781" t="n"/>
      <c r="L44" s="781" t="n"/>
      <c r="M44" s="781" t="n"/>
      <c r="N44" s="1142" t="n"/>
      <c r="O44" s="309" t="n"/>
      <c r="P44" s="309" t="n"/>
      <c r="Q44" s="303" t="n"/>
      <c r="R44" s="303" t="n"/>
    </row>
    <row r="45" ht="15.5" customHeight="1" s="828">
      <c r="A45" s="780" t="n"/>
      <c r="B45" s="781" t="n"/>
      <c r="C45" s="781" t="n"/>
      <c r="D45" s="781" t="n"/>
      <c r="E45" s="781" t="n"/>
      <c r="F45" s="781" t="n"/>
      <c r="G45" s="781" t="n"/>
      <c r="H45" s="781" t="n"/>
      <c r="I45" s="781" t="n"/>
      <c r="J45" s="781" t="n"/>
      <c r="K45" s="781" t="n"/>
      <c r="L45" s="781" t="n"/>
      <c r="M45" s="781" t="n"/>
      <c r="N45" s="1142" t="n"/>
      <c r="O45" s="309" t="n"/>
      <c r="P45" s="309" t="n"/>
      <c r="Q45" s="303" t="n"/>
      <c r="R45" s="303" t="n"/>
    </row>
    <row r="46" ht="15.5" customHeight="1" s="828">
      <c r="A46" s="780" t="n"/>
      <c r="B46" s="781" t="n"/>
      <c r="C46" s="781" t="n"/>
      <c r="D46" s="781" t="n"/>
      <c r="E46" s="781" t="n"/>
      <c r="F46" s="781" t="n"/>
      <c r="G46" s="781" t="n"/>
      <c r="H46" s="781" t="n"/>
      <c r="I46" s="781" t="n"/>
      <c r="J46" s="781" t="n"/>
      <c r="K46" s="781" t="n"/>
      <c r="L46" s="781" t="n"/>
      <c r="M46" s="781" t="n"/>
      <c r="N46" s="1142" t="n"/>
      <c r="O46" s="309" t="n"/>
      <c r="P46" s="309" t="n"/>
      <c r="Q46" s="303" t="n"/>
      <c r="R46" s="303" t="n"/>
    </row>
    <row r="47" ht="15.5" customHeight="1" s="828">
      <c r="A47" s="780" t="n"/>
      <c r="B47" s="781" t="n"/>
      <c r="C47" s="781" t="n"/>
      <c r="D47" s="781" t="n"/>
      <c r="E47" s="781" t="n"/>
      <c r="F47" s="781" t="n"/>
      <c r="G47" s="781" t="n"/>
      <c r="H47" s="781" t="n"/>
      <c r="I47" s="781" t="n"/>
      <c r="J47" s="781" t="n"/>
      <c r="K47" s="781" t="n"/>
      <c r="L47" s="781" t="n"/>
      <c r="M47" s="781" t="n"/>
      <c r="N47" s="1142" t="n"/>
      <c r="O47" s="309" t="n"/>
      <c r="P47" s="309" t="n"/>
      <c r="Q47" s="303" t="n"/>
      <c r="R47" s="303" t="n"/>
    </row>
    <row r="48" ht="15.5" customHeight="1" s="828">
      <c r="A48" s="780" t="n"/>
      <c r="B48" s="781" t="n"/>
      <c r="C48" s="781" t="n"/>
      <c r="D48" s="781" t="n"/>
      <c r="E48" s="781" t="n"/>
      <c r="F48" s="781" t="n"/>
      <c r="G48" s="781" t="n"/>
      <c r="H48" s="781" t="n"/>
      <c r="I48" s="781" t="n"/>
      <c r="J48" s="781" t="n"/>
      <c r="K48" s="781" t="n"/>
      <c r="L48" s="781" t="n"/>
      <c r="M48" s="781" t="n"/>
      <c r="N48" s="1142" t="n"/>
      <c r="O48" s="309" t="n"/>
      <c r="P48" s="309" t="n"/>
      <c r="Q48" s="303" t="n"/>
      <c r="R48" s="303" t="n"/>
    </row>
    <row r="49" ht="15.5" customHeight="1" s="828">
      <c r="A49" s="780" t="n"/>
      <c r="B49" s="781" t="n"/>
      <c r="C49" s="781" t="n"/>
      <c r="D49" s="781" t="n"/>
      <c r="E49" s="781" t="n"/>
      <c r="F49" s="781" t="n"/>
      <c r="G49" s="781" t="n"/>
      <c r="H49" s="781" t="n"/>
      <c r="I49" s="781" t="n"/>
      <c r="J49" s="781" t="n"/>
      <c r="K49" s="781" t="n"/>
      <c r="L49" s="781" t="n"/>
      <c r="M49" s="781" t="n"/>
      <c r="N49" s="1142" t="n"/>
      <c r="O49" s="309" t="n"/>
      <c r="P49" s="309" t="n"/>
      <c r="Q49" s="303" t="n"/>
      <c r="R49" s="303" t="n"/>
    </row>
    <row r="50" ht="15.5" customHeight="1" s="828">
      <c r="A50" s="780" t="n"/>
      <c r="B50" s="781" t="n"/>
      <c r="C50" s="781" t="n"/>
      <c r="D50" s="781" t="n"/>
      <c r="E50" s="781" t="n"/>
      <c r="F50" s="781" t="n"/>
      <c r="G50" s="781" t="n"/>
      <c r="H50" s="781" t="n"/>
      <c r="I50" s="781" t="n"/>
      <c r="J50" s="781" t="n"/>
      <c r="K50" s="781" t="n"/>
      <c r="L50" s="781" t="n"/>
      <c r="M50" s="781" t="n"/>
      <c r="N50" s="1142" t="n"/>
      <c r="O50" s="309" t="n"/>
      <c r="P50" s="309" t="n"/>
      <c r="Q50" s="303" t="n"/>
      <c r="R50" s="303" t="n"/>
    </row>
    <row r="51" ht="15.5" customHeight="1" s="828">
      <c r="A51" s="780" t="n"/>
      <c r="B51" s="781" t="n"/>
      <c r="C51" s="781" t="n"/>
      <c r="D51" s="781" t="n"/>
      <c r="E51" s="781" t="n"/>
      <c r="F51" s="781" t="n"/>
      <c r="G51" s="781" t="n"/>
      <c r="H51" s="781" t="n"/>
      <c r="I51" s="781" t="n"/>
      <c r="J51" s="781" t="n"/>
      <c r="K51" s="781" t="n"/>
      <c r="L51" s="781" t="n"/>
      <c r="M51" s="781" t="n"/>
      <c r="N51" s="1142" t="n"/>
      <c r="O51" s="309" t="n"/>
      <c r="P51" s="309" t="n"/>
      <c r="Q51" s="303" t="n"/>
      <c r="R51" s="303" t="n"/>
    </row>
    <row r="52" ht="15.5" customHeight="1" s="828">
      <c r="A52" s="780" t="n"/>
      <c r="B52" s="781" t="n"/>
      <c r="C52" s="781" t="n"/>
      <c r="D52" s="781" t="n"/>
      <c r="E52" s="781" t="n"/>
      <c r="F52" s="781" t="n"/>
      <c r="G52" s="781" t="n"/>
      <c r="H52" s="781" t="n"/>
      <c r="I52" s="781" t="n"/>
      <c r="J52" s="781" t="n"/>
      <c r="K52" s="781" t="n"/>
      <c r="L52" s="781" t="n"/>
      <c r="M52" s="781" t="n"/>
      <c r="N52" s="1142" t="n"/>
      <c r="O52" s="309" t="n"/>
      <c r="P52" s="309" t="n"/>
      <c r="Q52" s="303" t="n"/>
      <c r="R52" s="303" t="n"/>
    </row>
    <row r="53" ht="15.5" customHeight="1" s="828">
      <c r="A53" s="780" t="n"/>
      <c r="B53" s="781" t="n"/>
      <c r="C53" s="781" t="n"/>
      <c r="D53" s="781" t="n"/>
      <c r="E53" s="781" t="n"/>
      <c r="F53" s="781" t="n"/>
      <c r="G53" s="781" t="n"/>
      <c r="H53" s="781" t="n"/>
      <c r="I53" s="781" t="n"/>
      <c r="J53" s="781" t="n"/>
      <c r="K53" s="781" t="n"/>
      <c r="L53" s="781" t="n"/>
      <c r="M53" s="781" t="n"/>
      <c r="N53" s="1142" t="n"/>
      <c r="O53" s="309" t="n"/>
      <c r="P53" s="309" t="n"/>
      <c r="Q53" s="303" t="n"/>
      <c r="R53" s="303" t="n"/>
    </row>
    <row r="54" ht="15.5" customHeight="1" s="828">
      <c r="A54" s="780" t="n"/>
      <c r="B54" s="781" t="n"/>
      <c r="C54" s="781" t="n"/>
      <c r="D54" s="781" t="n"/>
      <c r="E54" s="781" t="n"/>
      <c r="F54" s="781" t="n"/>
      <c r="G54" s="781" t="n"/>
      <c r="H54" s="781" t="n"/>
      <c r="I54" s="781" t="n"/>
      <c r="J54" s="781" t="n"/>
      <c r="K54" s="781" t="n"/>
      <c r="L54" s="781" t="n"/>
      <c r="M54" s="781" t="n"/>
      <c r="N54" s="1142" t="n"/>
      <c r="O54" s="309" t="n"/>
      <c r="P54" s="309" t="n"/>
      <c r="Q54" s="303" t="n"/>
      <c r="R54" s="303" t="n"/>
    </row>
    <row r="55" ht="15.5" customHeight="1" s="828">
      <c r="A55" s="780" t="n"/>
      <c r="B55" s="781" t="n"/>
      <c r="C55" s="781" t="n"/>
      <c r="D55" s="781" t="n"/>
      <c r="E55" s="781" t="n"/>
      <c r="F55" s="781" t="n"/>
      <c r="G55" s="781" t="n"/>
      <c r="H55" s="781" t="n"/>
      <c r="I55" s="781" t="n"/>
      <c r="J55" s="781" t="n"/>
      <c r="K55" s="781" t="n"/>
      <c r="L55" s="781" t="n"/>
      <c r="M55" s="781" t="n"/>
      <c r="N55" s="1142" t="n"/>
      <c r="O55" s="309" t="n"/>
      <c r="P55" s="309" t="n"/>
      <c r="Q55" s="303" t="n"/>
      <c r="R55" s="303" t="n"/>
    </row>
    <row r="56" ht="15.5" customHeight="1" s="828">
      <c r="A56" s="780" t="n"/>
      <c r="B56" s="781" t="n"/>
      <c r="C56" s="781" t="n"/>
      <c r="D56" s="781" t="n"/>
      <c r="E56" s="781" t="n"/>
      <c r="F56" s="781" t="n"/>
      <c r="G56" s="781" t="n"/>
      <c r="H56" s="781" t="n"/>
      <c r="I56" s="781" t="n"/>
      <c r="J56" s="781" t="n"/>
      <c r="K56" s="781" t="n"/>
      <c r="L56" s="781" t="n"/>
      <c r="M56" s="781" t="n"/>
      <c r="N56" s="1142" t="n"/>
      <c r="O56" s="309" t="n"/>
      <c r="P56" s="309" t="n"/>
      <c r="Q56" s="303" t="n"/>
      <c r="R56" s="303" t="n"/>
    </row>
    <row r="57" ht="15.5" customHeight="1" s="828">
      <c r="A57" s="780" t="n"/>
      <c r="B57" s="781" t="n"/>
      <c r="C57" s="781" t="n"/>
      <c r="D57" s="781" t="n"/>
      <c r="E57" s="781" t="n"/>
      <c r="F57" s="781" t="n"/>
      <c r="G57" s="781" t="n"/>
      <c r="H57" s="781" t="n"/>
      <c r="I57" s="781" t="n"/>
      <c r="J57" s="781" t="n"/>
      <c r="K57" s="781" t="n"/>
      <c r="L57" s="781" t="n"/>
      <c r="M57" s="781" t="n"/>
      <c r="N57" s="1142" t="n"/>
      <c r="O57" s="309" t="n"/>
      <c r="P57" s="309" t="n"/>
      <c r="Q57" s="303" t="n"/>
      <c r="R57" s="303" t="n"/>
    </row>
    <row r="58" ht="15.5" customHeight="1" s="828">
      <c r="A58" s="780" t="n"/>
      <c r="B58" s="781" t="n"/>
      <c r="C58" s="781" t="n"/>
      <c r="D58" s="781" t="n"/>
      <c r="E58" s="781" t="n"/>
      <c r="F58" s="781" t="n"/>
      <c r="G58" s="781" t="n"/>
      <c r="H58" s="781" t="n"/>
      <c r="I58" s="781" t="n"/>
      <c r="J58" s="781" t="n"/>
      <c r="K58" s="781" t="n"/>
      <c r="L58" s="781" t="n"/>
      <c r="M58" s="781" t="n"/>
      <c r="N58" s="1142" t="n"/>
      <c r="O58" s="309" t="n"/>
      <c r="P58" s="309" t="n"/>
      <c r="Q58" s="303" t="n"/>
      <c r="R58" s="303" t="n"/>
    </row>
    <row r="59" ht="15.5" customHeight="1" s="828">
      <c r="A59" s="780" t="n"/>
      <c r="B59" s="781" t="n"/>
      <c r="C59" s="781" t="n"/>
      <c r="D59" s="781" t="n"/>
      <c r="E59" s="781" t="n"/>
      <c r="F59" s="781" t="n"/>
      <c r="G59" s="781" t="n"/>
      <c r="H59" s="781" t="n"/>
      <c r="I59" s="781" t="n"/>
      <c r="J59" s="781" t="n"/>
      <c r="K59" s="781" t="n"/>
      <c r="L59" s="781" t="n"/>
      <c r="M59" s="781" t="n"/>
      <c r="N59" s="1142" t="n"/>
      <c r="O59" s="309" t="n"/>
      <c r="P59" s="309" t="n"/>
      <c r="Q59" s="303" t="n"/>
      <c r="R59" s="303" t="n"/>
    </row>
    <row r="60" ht="15.5" customHeight="1" s="828">
      <c r="A60" s="780" t="n"/>
      <c r="B60" s="781" t="n"/>
      <c r="C60" s="781" t="n"/>
      <c r="D60" s="781" t="n"/>
      <c r="E60" s="781" t="n"/>
      <c r="F60" s="781" t="n"/>
      <c r="G60" s="781" t="n"/>
      <c r="H60" s="781" t="n"/>
      <c r="I60" s="781" t="n"/>
      <c r="J60" s="781" t="n"/>
      <c r="K60" s="781" t="n"/>
      <c r="L60" s="781" t="n"/>
      <c r="M60" s="781" t="n"/>
      <c r="N60" s="1142" t="n"/>
      <c r="O60" s="309" t="n"/>
      <c r="P60" s="309" t="n"/>
      <c r="Q60" s="303" t="n"/>
      <c r="R60" s="303" t="n"/>
    </row>
    <row r="61" ht="15.5" customHeight="1" s="828">
      <c r="A61" s="780" t="n"/>
      <c r="B61" s="781" t="n"/>
      <c r="C61" s="781" t="n"/>
      <c r="D61" s="781" t="n"/>
      <c r="E61" s="781" t="n"/>
      <c r="F61" s="781" t="n"/>
      <c r="G61" s="781" t="n"/>
      <c r="H61" s="781" t="n"/>
      <c r="I61" s="781" t="n"/>
      <c r="J61" s="781" t="n"/>
      <c r="K61" s="781" t="n"/>
      <c r="L61" s="781" t="n"/>
      <c r="M61" s="781" t="n"/>
      <c r="N61" s="1142" t="n"/>
      <c r="O61" s="309" t="n"/>
      <c r="P61" s="309" t="n"/>
      <c r="Q61" s="303" t="n"/>
      <c r="R61" s="303" t="n"/>
    </row>
    <row r="62" ht="15.5" customHeight="1" s="828">
      <c r="A62" s="780" t="n"/>
      <c r="B62" s="781" t="n"/>
      <c r="C62" s="781" t="n"/>
      <c r="D62" s="781" t="n"/>
      <c r="E62" s="781" t="n"/>
      <c r="F62" s="781" t="n"/>
      <c r="G62" s="781" t="n"/>
      <c r="H62" s="781" t="n"/>
      <c r="I62" s="781" t="n"/>
      <c r="J62" s="781" t="n"/>
      <c r="K62" s="781" t="n"/>
      <c r="L62" s="781" t="n"/>
      <c r="M62" s="781" t="n"/>
      <c r="N62" s="1142" t="n"/>
      <c r="O62" s="309" t="n"/>
      <c r="P62" s="309" t="n"/>
      <c r="Q62" s="303" t="n"/>
      <c r="R62" s="303" t="n"/>
    </row>
    <row r="63" ht="15.5" customHeight="1" s="828">
      <c r="A63" s="780" t="n"/>
      <c r="B63" s="781" t="n"/>
      <c r="C63" s="781" t="n"/>
      <c r="D63" s="781" t="n"/>
      <c r="E63" s="781" t="n"/>
      <c r="F63" s="781" t="n"/>
      <c r="G63" s="781" t="n"/>
      <c r="H63" s="781" t="n"/>
      <c r="I63" s="781" t="n"/>
      <c r="J63" s="781" t="n"/>
      <c r="K63" s="781" t="n"/>
      <c r="L63" s="781" t="n"/>
      <c r="M63" s="781" t="n"/>
      <c r="N63" s="1142" t="n"/>
      <c r="O63" s="309" t="n"/>
      <c r="P63" s="309" t="n"/>
      <c r="Q63" s="303" t="n"/>
      <c r="R63" s="303" t="n"/>
    </row>
    <row r="64" ht="15.5" customHeight="1" s="828">
      <c r="A64" s="780" t="n"/>
      <c r="B64" s="781" t="n"/>
      <c r="C64" s="781" t="n"/>
      <c r="D64" s="781" t="n"/>
      <c r="E64" s="781" t="n"/>
      <c r="F64" s="781" t="n"/>
      <c r="G64" s="781" t="n"/>
      <c r="H64" s="781" t="n"/>
      <c r="I64" s="781" t="n"/>
      <c r="J64" s="781" t="n"/>
      <c r="K64" s="781" t="n"/>
      <c r="L64" s="781" t="n"/>
      <c r="M64" s="781" t="n"/>
      <c r="N64" s="1142" t="n"/>
      <c r="O64" s="309" t="n"/>
      <c r="P64" s="309" t="n"/>
      <c r="Q64" s="303" t="n"/>
      <c r="R64" s="303" t="n"/>
    </row>
    <row r="65" ht="15.5" customHeight="1" s="828">
      <c r="A65" s="780" t="n"/>
      <c r="B65" s="781" t="n"/>
      <c r="C65" s="781" t="n"/>
      <c r="D65" s="781" t="n"/>
      <c r="E65" s="781" t="n"/>
      <c r="F65" s="781" t="n"/>
      <c r="G65" s="781" t="n"/>
      <c r="H65" s="781" t="n"/>
      <c r="I65" s="781" t="n"/>
      <c r="J65" s="781" t="n"/>
      <c r="K65" s="781" t="n"/>
      <c r="L65" s="781" t="n"/>
      <c r="M65" s="781" t="n"/>
      <c r="N65" s="1142" t="n"/>
      <c r="O65" s="308" t="n"/>
      <c r="P65" s="308" t="n"/>
      <c r="Q65" s="303" t="n"/>
      <c r="R65" s="303" t="n"/>
    </row>
    <row r="66" ht="15.5" customHeight="1" s="828">
      <c r="A66" s="780" t="n"/>
      <c r="B66" s="781" t="n"/>
      <c r="C66" s="781" t="n"/>
      <c r="D66" s="781" t="n"/>
      <c r="E66" s="781" t="n"/>
      <c r="F66" s="781" t="n"/>
      <c r="G66" s="781" t="n"/>
      <c r="H66" s="781" t="n"/>
      <c r="I66" s="781" t="n"/>
      <c r="J66" s="781" t="n"/>
      <c r="K66" s="781" t="n"/>
      <c r="L66" s="781" t="n"/>
      <c r="M66" s="781" t="n"/>
      <c r="N66" s="1142" t="n"/>
      <c r="O66" s="308" t="n"/>
      <c r="P66" s="308" t="n"/>
      <c r="Q66" s="303" t="n"/>
      <c r="R66" s="303" t="n"/>
    </row>
    <row r="67" ht="15.5" customHeight="1" s="828">
      <c r="A67" s="780" t="n"/>
      <c r="B67" s="781" t="n"/>
      <c r="C67" s="781" t="n"/>
      <c r="D67" s="781" t="n"/>
      <c r="E67" s="781" t="n"/>
      <c r="F67" s="781" t="n"/>
      <c r="G67" s="781" t="n"/>
      <c r="H67" s="781" t="n"/>
      <c r="I67" s="781" t="n"/>
      <c r="J67" s="781" t="n"/>
      <c r="K67" s="781" t="n"/>
      <c r="L67" s="781" t="n"/>
      <c r="M67" s="781" t="n"/>
      <c r="N67" s="1142" t="n"/>
      <c r="O67" s="308" t="n"/>
      <c r="P67" s="308" t="n"/>
      <c r="Q67" s="303" t="n"/>
      <c r="R67" s="303" t="n"/>
    </row>
    <row r="68" ht="15.5" customHeight="1" s="828">
      <c r="A68" s="780" t="n"/>
      <c r="B68" s="781" t="n"/>
      <c r="C68" s="781" t="n"/>
      <c r="D68" s="781" t="n"/>
      <c r="E68" s="781" t="n"/>
      <c r="F68" s="781" t="n"/>
      <c r="G68" s="781" t="n"/>
      <c r="H68" s="781" t="n"/>
      <c r="I68" s="781" t="n"/>
      <c r="J68" s="781" t="n"/>
      <c r="K68" s="781" t="n"/>
      <c r="L68" s="781" t="n"/>
      <c r="M68" s="781" t="n"/>
      <c r="N68" s="1142" t="n"/>
      <c r="O68" s="308" t="n"/>
      <c r="P68" s="308" t="n"/>
      <c r="Q68" s="303" t="n"/>
      <c r="R68" s="303" t="n"/>
    </row>
    <row r="69" ht="15.5" customHeight="1" s="828">
      <c r="A69" s="780" t="n"/>
      <c r="B69" s="781" t="n"/>
      <c r="C69" s="781" t="n"/>
      <c r="D69" s="781" t="n"/>
      <c r="E69" s="781" t="n"/>
      <c r="F69" s="781" t="n"/>
      <c r="G69" s="781" t="n"/>
      <c r="H69" s="781" t="n"/>
      <c r="I69" s="781" t="n"/>
      <c r="J69" s="781" t="n"/>
      <c r="K69" s="781" t="n"/>
      <c r="L69" s="781" t="n"/>
      <c r="M69" s="781" t="n"/>
      <c r="N69" s="1142" t="n"/>
      <c r="O69" s="308" t="n"/>
      <c r="P69" s="308" t="n"/>
      <c r="Q69" s="303" t="n"/>
      <c r="R69" s="303" t="n"/>
    </row>
    <row r="70" ht="15.5" customHeight="1" s="828">
      <c r="A70" s="780" t="n"/>
      <c r="B70" s="781" t="n"/>
      <c r="C70" s="781" t="n"/>
      <c r="D70" s="781" t="n"/>
      <c r="E70" s="781" t="n"/>
      <c r="F70" s="781" t="n"/>
      <c r="G70" s="781" t="n"/>
      <c r="H70" s="781" t="n"/>
      <c r="I70" s="781" t="n"/>
      <c r="J70" s="781" t="n"/>
      <c r="K70" s="781" t="n"/>
      <c r="L70" s="781" t="n"/>
      <c r="M70" s="781" t="n"/>
      <c r="N70" s="1142" t="n"/>
      <c r="O70" s="308" t="n"/>
      <c r="P70" s="308" t="n"/>
      <c r="Q70" s="303" t="n"/>
      <c r="R70" s="303" t="n"/>
    </row>
    <row r="71" ht="15.5" customHeight="1" s="828">
      <c r="A71" s="780" t="n"/>
      <c r="B71" s="781" t="n"/>
      <c r="C71" s="781" t="n"/>
      <c r="D71" s="781" t="n"/>
      <c r="E71" s="781" t="n"/>
      <c r="F71" s="781" t="n"/>
      <c r="G71" s="781" t="n"/>
      <c r="H71" s="781" t="n"/>
      <c r="I71" s="781" t="n"/>
      <c r="J71" s="781" t="n"/>
      <c r="K71" s="781" t="n"/>
      <c r="L71" s="781" t="n"/>
      <c r="M71" s="781" t="n"/>
      <c r="N71" s="1142" t="n"/>
      <c r="O71" s="308" t="n"/>
      <c r="P71" s="308" t="n"/>
      <c r="Q71" s="303" t="n"/>
      <c r="R71" s="303" t="n"/>
    </row>
    <row r="72" ht="15.5" customHeight="1" s="828">
      <c r="A72" s="780" t="n"/>
      <c r="B72" s="781" t="n"/>
      <c r="C72" s="781" t="n"/>
      <c r="D72" s="781" t="n"/>
      <c r="E72" s="781" t="n"/>
      <c r="F72" s="781" t="n"/>
      <c r="G72" s="781" t="n"/>
      <c r="H72" s="781" t="n"/>
      <c r="I72" s="781" t="n"/>
      <c r="J72" s="781" t="n"/>
      <c r="K72" s="781" t="n"/>
      <c r="L72" s="781" t="n"/>
      <c r="M72" s="781" t="n"/>
      <c r="N72" s="1142" t="n"/>
      <c r="O72" s="308" t="n"/>
      <c r="P72" s="308" t="n"/>
      <c r="Q72" s="303" t="n"/>
      <c r="R72" s="303" t="n"/>
    </row>
    <row r="73" ht="15.5" customHeight="1" s="828">
      <c r="A73" s="780" t="n"/>
      <c r="B73" s="781" t="n"/>
      <c r="C73" s="781" t="n"/>
      <c r="D73" s="781" t="n"/>
      <c r="E73" s="781" t="n"/>
      <c r="F73" s="781" t="n"/>
      <c r="G73" s="781" t="n"/>
      <c r="H73" s="781" t="n"/>
      <c r="I73" s="781" t="n"/>
      <c r="J73" s="781" t="n"/>
      <c r="K73" s="781" t="n"/>
      <c r="L73" s="781" t="n"/>
      <c r="M73" s="781" t="n"/>
      <c r="N73" s="1142" t="n"/>
      <c r="Q73" s="303" t="n"/>
      <c r="R73" s="303" t="n"/>
    </row>
    <row r="74" ht="15.5" customHeight="1" s="828">
      <c r="A74" s="780" t="n"/>
      <c r="B74" s="781" t="n"/>
      <c r="C74" s="781" t="n"/>
      <c r="D74" s="781" t="n"/>
      <c r="E74" s="781" t="n"/>
      <c r="F74" s="781" t="n"/>
      <c r="G74" s="781" t="n"/>
      <c r="H74" s="781" t="n"/>
      <c r="I74" s="781" t="n"/>
      <c r="J74" s="781" t="n"/>
      <c r="K74" s="781" t="n"/>
      <c r="L74" s="781" t="n"/>
      <c r="M74" s="781" t="n"/>
      <c r="N74" s="1142" t="n"/>
      <c r="Q74" s="303" t="n"/>
      <c r="R74" s="303" t="n"/>
    </row>
    <row r="75" ht="15.5" customHeight="1" s="828">
      <c r="A75" s="780" t="n"/>
      <c r="B75" s="781" t="n"/>
      <c r="C75" s="781" t="n"/>
      <c r="D75" s="781" t="n"/>
      <c r="E75" s="781" t="n"/>
      <c r="F75" s="781" t="n"/>
      <c r="G75" s="781" t="n"/>
      <c r="H75" s="781" t="n"/>
      <c r="I75" s="781" t="n"/>
      <c r="J75" s="781" t="n"/>
      <c r="K75" s="781" t="n"/>
      <c r="L75" s="781" t="n"/>
      <c r="M75" s="781" t="n"/>
      <c r="N75" s="1142" t="n"/>
      <c r="Q75" s="303" t="n"/>
      <c r="R75" s="303" t="n"/>
    </row>
    <row r="76" ht="15.5" customHeight="1" s="828">
      <c r="A76" s="780" t="n"/>
      <c r="B76" s="781" t="n"/>
      <c r="C76" s="781" t="n"/>
      <c r="D76" s="781" t="n"/>
      <c r="E76" s="781" t="n"/>
      <c r="F76" s="781" t="n"/>
      <c r="G76" s="781" t="n"/>
      <c r="H76" s="781" t="n"/>
      <c r="I76" s="781" t="n"/>
      <c r="J76" s="781" t="n"/>
      <c r="K76" s="781" t="n"/>
      <c r="L76" s="781" t="n"/>
      <c r="M76" s="781" t="n"/>
      <c r="N76" s="1142" t="n"/>
      <c r="Q76" s="303" t="n"/>
      <c r="R76" s="303" t="n"/>
    </row>
    <row r="77" ht="15.5" customHeight="1" s="828">
      <c r="A77" s="780" t="n"/>
      <c r="B77" s="781" t="n"/>
      <c r="C77" s="781" t="n"/>
      <c r="D77" s="781" t="n"/>
      <c r="E77" s="781" t="n"/>
      <c r="F77" s="781" t="n"/>
      <c r="G77" s="781" t="n"/>
      <c r="H77" s="781" t="n"/>
      <c r="I77" s="781" t="n"/>
      <c r="J77" s="781" t="n"/>
      <c r="K77" s="781" t="n"/>
      <c r="L77" s="781" t="n"/>
      <c r="M77" s="781" t="n"/>
      <c r="N77" s="1142" t="n"/>
      <c r="Q77" s="303" t="n"/>
      <c r="R77" s="303" t="n"/>
    </row>
    <row r="78" ht="15.5" customHeight="1" s="828">
      <c r="A78" s="782" t="n"/>
      <c r="B78" s="781" t="n"/>
      <c r="C78" s="781" t="n"/>
      <c r="D78" s="781" t="n"/>
      <c r="E78" s="781" t="n"/>
      <c r="F78" s="781" t="n"/>
      <c r="G78" s="781" t="n"/>
      <c r="H78" s="781" t="n"/>
      <c r="I78" s="781" t="n"/>
      <c r="J78" s="781" t="n"/>
      <c r="K78" s="781" t="n"/>
      <c r="L78" s="781" t="n"/>
      <c r="M78" s="781" t="n"/>
      <c r="N78" s="1142" t="n"/>
      <c r="Q78" s="303" t="n"/>
      <c r="R78" s="303" t="n"/>
    </row>
    <row r="79" ht="15.5" customHeight="1" s="828">
      <c r="A79" s="780" t="n"/>
      <c r="B79" s="781" t="n"/>
      <c r="C79" s="781" t="n"/>
      <c r="D79" s="781" t="n"/>
      <c r="E79" s="781" t="n"/>
      <c r="F79" s="781" t="n"/>
      <c r="G79" s="781" t="n"/>
      <c r="H79" s="781" t="n"/>
      <c r="I79" s="781" t="n"/>
      <c r="J79" s="781" t="n"/>
      <c r="K79" s="781" t="n"/>
      <c r="L79" s="781" t="n"/>
      <c r="M79" s="781" t="n"/>
      <c r="N79" s="1142" t="n"/>
      <c r="Q79" s="303" t="n"/>
      <c r="R79" s="303" t="n"/>
    </row>
    <row r="80" ht="15.5" customHeight="1" s="828">
      <c r="A80" s="780" t="n"/>
      <c r="B80" s="781" t="n"/>
      <c r="C80" s="781" t="n"/>
      <c r="D80" s="781" t="n"/>
      <c r="E80" s="781" t="n"/>
      <c r="F80" s="781" t="n"/>
      <c r="G80" s="781" t="n"/>
      <c r="H80" s="781" t="n"/>
      <c r="I80" s="781" t="n"/>
      <c r="J80" s="781" t="n"/>
      <c r="K80" s="781" t="n"/>
      <c r="L80" s="781" t="n"/>
      <c r="M80" s="781" t="n"/>
      <c r="N80" s="1142" t="n"/>
      <c r="Q80" s="303" t="n"/>
      <c r="R80" s="303" t="n"/>
    </row>
    <row r="81" ht="15.5" customHeight="1" s="828">
      <c r="A81" s="780" t="n"/>
      <c r="B81" s="781" t="n"/>
      <c r="C81" s="781" t="n"/>
      <c r="D81" s="781" t="n"/>
      <c r="E81" s="781" t="n"/>
      <c r="F81" s="781" t="n"/>
      <c r="G81" s="781" t="n"/>
      <c r="H81" s="781" t="n"/>
      <c r="I81" s="781" t="n"/>
      <c r="J81" s="781" t="n"/>
      <c r="K81" s="781" t="n"/>
      <c r="L81" s="781" t="n"/>
      <c r="M81" s="781" t="n"/>
      <c r="N81" s="1142" t="n"/>
      <c r="Q81" s="303" t="n"/>
      <c r="R81" s="303" t="n"/>
    </row>
    <row r="82" ht="15.5" customHeight="1" s="828">
      <c r="A82" s="780" t="n"/>
      <c r="B82" s="781" t="n"/>
      <c r="C82" s="781" t="n"/>
      <c r="D82" s="781" t="n"/>
      <c r="E82" s="781" t="n"/>
      <c r="F82" s="781" t="n"/>
      <c r="G82" s="781" t="n"/>
      <c r="H82" s="781" t="n"/>
      <c r="I82" s="781" t="n"/>
      <c r="J82" s="781" t="n"/>
      <c r="K82" s="781" t="n"/>
      <c r="L82" s="781" t="n"/>
      <c r="M82" s="781" t="n"/>
      <c r="N82" s="1142" t="n"/>
      <c r="Q82" s="303" t="n"/>
      <c r="R82" s="303" t="n"/>
    </row>
    <row r="83" ht="15.5" customHeight="1" s="828">
      <c r="A83" s="780" t="n"/>
      <c r="B83" s="781" t="n"/>
      <c r="C83" s="781" t="n"/>
      <c r="D83" s="781" t="n"/>
      <c r="E83" s="781" t="n"/>
      <c r="F83" s="781" t="n"/>
      <c r="G83" s="781" t="n"/>
      <c r="H83" s="781" t="n"/>
      <c r="I83" s="781" t="n"/>
      <c r="J83" s="781" t="n"/>
      <c r="K83" s="781" t="n"/>
      <c r="L83" s="781" t="n"/>
      <c r="M83" s="781" t="n"/>
      <c r="N83" s="1142" t="n"/>
      <c r="Q83" s="303" t="n"/>
      <c r="R83" s="303" t="n"/>
    </row>
    <row r="84" ht="15.5" customHeight="1" s="828">
      <c r="A84" s="780" t="n"/>
      <c r="B84" s="781" t="n"/>
      <c r="C84" s="781" t="n"/>
      <c r="D84" s="781" t="n"/>
      <c r="E84" s="781" t="n"/>
      <c r="F84" s="781" t="n"/>
      <c r="G84" s="781" t="n"/>
      <c r="H84" s="781" t="n"/>
      <c r="I84" s="781" t="n"/>
      <c r="J84" s="781" t="n"/>
      <c r="K84" s="781" t="n"/>
      <c r="L84" s="781" t="n"/>
      <c r="M84" s="781" t="n"/>
      <c r="N84" s="1142" t="n"/>
      <c r="Q84" s="303" t="n"/>
      <c r="R84" s="303" t="n"/>
    </row>
    <row r="85" ht="15.5" customHeight="1" s="828">
      <c r="A85" s="780" t="n"/>
      <c r="B85" s="781" t="n"/>
      <c r="C85" s="781" t="n"/>
      <c r="D85" s="781" t="n"/>
      <c r="E85" s="781" t="n"/>
      <c r="F85" s="781" t="n"/>
      <c r="G85" s="781" t="n"/>
      <c r="H85" s="781" t="n"/>
      <c r="I85" s="781" t="n"/>
      <c r="J85" s="781" t="n"/>
      <c r="K85" s="781" t="n"/>
      <c r="L85" s="781" t="n"/>
      <c r="M85" s="781" t="n"/>
      <c r="N85" s="1142" t="n"/>
      <c r="Q85" s="303" t="n"/>
      <c r="R85" s="303" t="n"/>
    </row>
    <row r="86" ht="15.5" customHeight="1" s="828">
      <c r="A86" s="780" t="n"/>
      <c r="B86" s="781" t="n"/>
      <c r="C86" s="781" t="n"/>
      <c r="D86" s="781" t="n"/>
      <c r="E86" s="781" t="n"/>
      <c r="F86" s="781" t="n"/>
      <c r="G86" s="781" t="n"/>
      <c r="H86" s="781" t="n"/>
      <c r="I86" s="781" t="n"/>
      <c r="J86" s="781" t="n"/>
      <c r="K86" s="781" t="n"/>
      <c r="L86" s="781" t="n"/>
      <c r="M86" s="781" t="n"/>
      <c r="N86" s="1142" t="n"/>
      <c r="Q86" s="303" t="n"/>
      <c r="R86" s="303" t="n"/>
    </row>
    <row r="87" ht="15.5" customHeight="1" s="828">
      <c r="A87" s="780" t="n"/>
      <c r="B87" s="781" t="n"/>
      <c r="C87" s="781" t="n"/>
      <c r="D87" s="781" t="n"/>
      <c r="E87" s="781" t="n"/>
      <c r="F87" s="781" t="n"/>
      <c r="G87" s="781" t="n"/>
      <c r="H87" s="781" t="n"/>
      <c r="I87" s="781" t="n"/>
      <c r="J87" s="781" t="n"/>
      <c r="K87" s="781" t="n"/>
      <c r="L87" s="781" t="n"/>
      <c r="M87" s="781" t="n"/>
      <c r="N87" s="1142" t="n"/>
      <c r="Q87" s="303" t="n"/>
      <c r="R87" s="303" t="n"/>
    </row>
    <row r="88" ht="15.5" customHeight="1" s="828">
      <c r="A88" s="780" t="n"/>
      <c r="B88" s="781" t="n"/>
      <c r="C88" s="781" t="n"/>
      <c r="D88" s="781" t="n"/>
      <c r="E88" s="781" t="n"/>
      <c r="F88" s="781" t="n"/>
      <c r="G88" s="781" t="n"/>
      <c r="H88" s="781" t="n"/>
      <c r="I88" s="781" t="n"/>
      <c r="J88" s="781" t="n"/>
      <c r="K88" s="781" t="n"/>
      <c r="L88" s="781" t="n"/>
      <c r="M88" s="781" t="n"/>
      <c r="N88" s="1142" t="n"/>
      <c r="Q88" s="303" t="n"/>
      <c r="R88" s="303" t="n"/>
    </row>
    <row r="89" ht="15.5" customHeight="1" s="828">
      <c r="A89" s="780" t="n"/>
      <c r="B89" s="781" t="n"/>
      <c r="C89" s="781" t="n"/>
      <c r="D89" s="781" t="n"/>
      <c r="E89" s="781" t="n"/>
      <c r="F89" s="781" t="n"/>
      <c r="G89" s="781" t="n"/>
      <c r="H89" s="781" t="n"/>
      <c r="I89" s="781" t="n"/>
      <c r="J89" s="781" t="n"/>
      <c r="K89" s="781" t="n"/>
      <c r="L89" s="781" t="n"/>
      <c r="M89" s="781" t="n"/>
      <c r="N89" s="1142" t="n"/>
      <c r="P89" s="864" t="n"/>
      <c r="Q89" s="303" t="n"/>
      <c r="R89" s="303" t="n"/>
    </row>
    <row r="90" ht="15.5" customHeight="1" s="828">
      <c r="A90" s="780" t="n"/>
      <c r="B90" s="781" t="n"/>
      <c r="C90" s="781" t="n"/>
      <c r="D90" s="781" t="n"/>
      <c r="E90" s="781" t="n"/>
      <c r="F90" s="781" t="n"/>
      <c r="G90" s="781" t="n"/>
      <c r="H90" s="781" t="n"/>
      <c r="I90" s="781" t="n"/>
      <c r="J90" s="781" t="n"/>
      <c r="K90" s="781" t="n"/>
      <c r="L90" s="781" t="n"/>
      <c r="M90" s="781" t="n"/>
      <c r="N90" s="1142" t="n"/>
      <c r="P90" s="864" t="n"/>
      <c r="Q90" s="303" t="n"/>
      <c r="R90" s="303" t="n"/>
    </row>
    <row r="91" ht="15.5" customHeight="1" s="828">
      <c r="A91" s="780" t="n"/>
      <c r="B91" s="781" t="n"/>
      <c r="C91" s="781" t="n"/>
      <c r="D91" s="781" t="n"/>
      <c r="E91" s="781" t="n"/>
      <c r="F91" s="781" t="n"/>
      <c r="G91" s="781" t="n"/>
      <c r="H91" s="781" t="n"/>
      <c r="I91" s="781" t="n"/>
      <c r="J91" s="781" t="n"/>
      <c r="K91" s="781" t="n"/>
      <c r="L91" s="781" t="n"/>
      <c r="M91" s="781" t="n"/>
      <c r="N91" s="1142" t="n"/>
    </row>
    <row r="92" ht="15.5" customHeight="1" s="828">
      <c r="A92" s="780" t="n"/>
      <c r="B92" s="781" t="n"/>
      <c r="C92" s="781" t="n"/>
      <c r="D92" s="781" t="n"/>
      <c r="E92" s="781" t="n"/>
      <c r="F92" s="781" t="n"/>
      <c r="G92" s="781" t="n"/>
      <c r="H92" s="781" t="n"/>
      <c r="I92" s="781" t="n"/>
      <c r="J92" s="781" t="n"/>
      <c r="K92" s="781" t="n"/>
      <c r="L92" s="781" t="n"/>
      <c r="M92" s="781" t="n"/>
      <c r="N92" s="1142" t="n"/>
    </row>
  </sheetData>
  <pageMargins left="0.7" right="0.7" top="0.75" bottom="0.75" header="0.3" footer="0.3"/>
</worksheet>
</file>

<file path=xl/worksheets/sheet19.xml><?xml version="1.0" encoding="utf-8"?>
<worksheet xmlns="http://schemas.openxmlformats.org/spreadsheetml/2006/main">
  <sheetPr>
    <tabColor rgb="FF00B0F0"/>
    <outlinePr summaryBelow="1" summaryRight="1"/>
    <pageSetUpPr/>
  </sheetPr>
  <dimension ref="A1:M84"/>
  <sheetViews>
    <sheetView workbookViewId="0">
      <selection activeCell="A1" sqref="A1"/>
    </sheetView>
  </sheetViews>
  <sheetFormatPr baseColWidth="8" defaultRowHeight="14.5"/>
  <sheetData>
    <row r="1" ht="18" customHeight="1" s="828">
      <c r="A1" s="311" t="inlineStr">
        <is>
          <t>Worksheet 1b: Number of employers submitting HR1 forms by region, GB [note 6]</t>
        </is>
      </c>
      <c r="B1" s="308" t="n"/>
      <c r="C1" s="308" t="n"/>
      <c r="D1" s="308" t="n"/>
      <c r="E1" s="308" t="n"/>
      <c r="F1" s="308" t="n"/>
      <c r="G1" s="308" t="n"/>
      <c r="H1" s="308" t="n"/>
      <c r="I1" s="308" t="n"/>
      <c r="J1" s="308" t="n"/>
      <c r="K1" s="308" t="n"/>
      <c r="L1" s="308" t="n"/>
      <c r="M1" s="308" t="n"/>
    </row>
    <row r="2" ht="15.5" customHeight="1" s="828">
      <c r="A2" s="310" t="inlineStr">
        <is>
          <t>This worksheet contains one table.</t>
        </is>
      </c>
      <c r="B2" s="308" t="n"/>
      <c r="C2" s="308" t="n"/>
      <c r="D2" s="308" t="n"/>
      <c r="E2" s="308" t="n"/>
      <c r="F2" s="308" t="n"/>
      <c r="G2" s="308" t="n"/>
      <c r="H2" s="308" t="n"/>
      <c r="I2" s="308" t="n"/>
      <c r="J2" s="308" t="n"/>
      <c r="K2" s="308" t="n"/>
      <c r="L2" s="308" t="n"/>
      <c r="M2" s="308" t="n"/>
    </row>
    <row r="3" ht="15.5" customHeight="1" s="828">
      <c r="A3" s="313" t="inlineStr">
        <is>
          <t>Some shorthand is used in this table, [c] = confidential</t>
        </is>
      </c>
      <c r="B3" s="308" t="n"/>
      <c r="C3" s="308" t="n"/>
      <c r="D3" s="308" t="n"/>
      <c r="E3" s="308" t="n"/>
      <c r="F3" s="308" t="n"/>
      <c r="G3" s="308" t="n"/>
      <c r="H3" s="308" t="n"/>
      <c r="I3" s="308" t="n"/>
      <c r="J3" s="308" t="n"/>
      <c r="K3" s="308" t="n"/>
      <c r="L3" s="308" t="n"/>
      <c r="M3" s="308" t="n"/>
    </row>
    <row r="4" ht="77.5" customHeight="1" s="828">
      <c r="A4" s="312" t="inlineStr">
        <is>
          <t>Month</t>
        </is>
      </c>
      <c r="B4" s="312" t="inlineStr">
        <is>
          <t>North East</t>
        </is>
      </c>
      <c r="C4" s="312" t="inlineStr">
        <is>
          <t>North West</t>
        </is>
      </c>
      <c r="D4" s="312" t="inlineStr">
        <is>
          <t>Yorkshire and The Humber</t>
        </is>
      </c>
      <c r="E4" s="312" t="inlineStr">
        <is>
          <t>East Midlands</t>
        </is>
      </c>
      <c r="F4" s="312" t="inlineStr">
        <is>
          <t>West Midlands</t>
        </is>
      </c>
      <c r="G4" s="312" t="inlineStr">
        <is>
          <t>East of England</t>
        </is>
      </c>
      <c r="H4" s="312" t="inlineStr">
        <is>
          <t>London</t>
        </is>
      </c>
      <c r="I4" s="312" t="inlineStr">
        <is>
          <t>South East</t>
        </is>
      </c>
      <c r="J4" s="312" t="inlineStr">
        <is>
          <t>South West</t>
        </is>
      </c>
      <c r="K4" s="312" t="inlineStr">
        <is>
          <t>Wales</t>
        </is>
      </c>
      <c r="L4" s="312" t="inlineStr">
        <is>
          <t>Scotland</t>
        </is>
      </c>
      <c r="M4" s="312" t="inlineStr">
        <is>
          <t>GB</t>
        </is>
      </c>
    </row>
    <row r="5" ht="15.5" customHeight="1" s="828">
      <c r="A5" s="780" t="n">
        <v>43556</v>
      </c>
      <c r="B5" s="781" t="n">
        <v>8</v>
      </c>
      <c r="C5" s="781" t="n">
        <v>29</v>
      </c>
      <c r="D5" s="781" t="inlineStr">
        <is>
          <t>[c]</t>
        </is>
      </c>
      <c r="E5" s="781" t="n">
        <v>12</v>
      </c>
      <c r="F5" s="781" t="n">
        <v>14</v>
      </c>
      <c r="G5" s="781" t="n">
        <v>29</v>
      </c>
      <c r="H5" s="781" t="n">
        <v>52</v>
      </c>
      <c r="I5" s="781" t="n">
        <v>38</v>
      </c>
      <c r="J5" s="781" t="n">
        <v>24</v>
      </c>
      <c r="K5" s="781" t="inlineStr">
        <is>
          <t>[c]</t>
        </is>
      </c>
      <c r="L5" s="781" t="n">
        <v>22</v>
      </c>
      <c r="M5" s="781" t="n">
        <v>256</v>
      </c>
    </row>
    <row r="6" ht="15.5" customHeight="1" s="828">
      <c r="A6" s="780" t="n">
        <v>43586</v>
      </c>
      <c r="B6" s="781" t="n">
        <v>10</v>
      </c>
      <c r="C6" s="781" t="n">
        <v>34</v>
      </c>
      <c r="D6" s="781" t="n">
        <v>30</v>
      </c>
      <c r="E6" s="781" t="n">
        <v>12</v>
      </c>
      <c r="F6" s="781" t="n">
        <v>27</v>
      </c>
      <c r="G6" s="781" t="n">
        <v>29</v>
      </c>
      <c r="H6" s="781" t="n">
        <v>65</v>
      </c>
      <c r="I6" s="781" t="n">
        <v>47</v>
      </c>
      <c r="J6" s="781" t="n">
        <v>30</v>
      </c>
      <c r="K6" s="781" t="n">
        <v>10</v>
      </c>
      <c r="L6" s="781" t="n">
        <v>21</v>
      </c>
      <c r="M6" s="781" t="n">
        <v>315</v>
      </c>
    </row>
    <row r="7" ht="15.5" customHeight="1" s="828">
      <c r="A7" s="780" t="n">
        <v>43617</v>
      </c>
      <c r="B7" s="781" t="n">
        <v>15</v>
      </c>
      <c r="C7" s="781" t="n">
        <v>29</v>
      </c>
      <c r="D7" s="781" t="n">
        <v>40</v>
      </c>
      <c r="E7" s="781" t="n">
        <v>20</v>
      </c>
      <c r="F7" s="781" t="n">
        <v>30</v>
      </c>
      <c r="G7" s="781" t="n">
        <v>17</v>
      </c>
      <c r="H7" s="781" t="n">
        <v>57</v>
      </c>
      <c r="I7" s="781" t="n">
        <v>33</v>
      </c>
      <c r="J7" s="781" t="n">
        <v>18</v>
      </c>
      <c r="K7" s="781" t="n">
        <v>13</v>
      </c>
      <c r="L7" s="781" t="n">
        <v>13</v>
      </c>
      <c r="M7" s="781" t="n">
        <v>285</v>
      </c>
    </row>
    <row r="8" ht="15.5" customHeight="1" s="828">
      <c r="A8" s="780" t="n">
        <v>43647</v>
      </c>
      <c r="B8" s="781" t="n">
        <v>10</v>
      </c>
      <c r="C8" s="781" t="n">
        <v>28</v>
      </c>
      <c r="D8" s="781" t="n">
        <v>21</v>
      </c>
      <c r="E8" s="781" t="n">
        <v>16</v>
      </c>
      <c r="F8" s="781" t="n">
        <v>25</v>
      </c>
      <c r="G8" s="781" t="n">
        <v>19</v>
      </c>
      <c r="H8" s="781" t="n">
        <v>48</v>
      </c>
      <c r="I8" s="781" t="n">
        <v>30</v>
      </c>
      <c r="J8" s="781" t="n">
        <v>16</v>
      </c>
      <c r="K8" s="781" t="n">
        <v>13</v>
      </c>
      <c r="L8" s="781" t="n">
        <v>16</v>
      </c>
      <c r="M8" s="781" t="n">
        <v>242</v>
      </c>
    </row>
    <row r="9" ht="15.5" customHeight="1" s="828">
      <c r="A9" s="780" t="n">
        <v>43678</v>
      </c>
      <c r="B9" s="781" t="inlineStr">
        <is>
          <t>[c]</t>
        </is>
      </c>
      <c r="C9" s="781" t="n">
        <v>21</v>
      </c>
      <c r="D9" s="781" t="n">
        <v>15</v>
      </c>
      <c r="E9" s="781" t="n">
        <v>9</v>
      </c>
      <c r="F9" s="781" t="n">
        <v>24</v>
      </c>
      <c r="G9" s="781" t="inlineStr">
        <is>
          <t>[c]</t>
        </is>
      </c>
      <c r="H9" s="781" t="n">
        <v>40</v>
      </c>
      <c r="I9" s="781" t="n">
        <v>17</v>
      </c>
      <c r="J9" s="781" t="n">
        <v>14</v>
      </c>
      <c r="K9" s="781" t="n">
        <v>13</v>
      </c>
      <c r="L9" s="781" t="n">
        <v>16</v>
      </c>
      <c r="M9" s="781" t="n">
        <v>186</v>
      </c>
    </row>
    <row r="10" ht="15.5" customHeight="1" s="828">
      <c r="A10" s="780" t="n"/>
      <c r="B10" s="781" t="n"/>
      <c r="C10" s="781" t="n"/>
      <c r="D10" s="781" t="n"/>
      <c r="E10" s="781" t="n"/>
      <c r="F10" s="781" t="n"/>
      <c r="G10" s="781" t="n"/>
      <c r="H10" s="781" t="n"/>
      <c r="I10" s="781" t="n"/>
      <c r="J10" s="781" t="n"/>
      <c r="K10" s="781" t="n"/>
      <c r="L10" s="781" t="n"/>
      <c r="M10" s="781" t="n"/>
    </row>
    <row r="11" ht="15.5" customHeight="1" s="828">
      <c r="A11" s="780" t="n"/>
      <c r="B11" s="781" t="n"/>
      <c r="C11" s="781" t="n"/>
      <c r="D11" s="781" t="n"/>
      <c r="E11" s="781" t="n"/>
      <c r="F11" s="781" t="n"/>
      <c r="G11" s="781" t="n"/>
      <c r="H11" s="781" t="n"/>
      <c r="I11" s="781" t="n"/>
      <c r="J11" s="781" t="n"/>
      <c r="K11" s="781" t="n"/>
      <c r="L11" s="781" t="n"/>
      <c r="M11" s="781" t="n"/>
    </row>
    <row r="12" ht="15.5" customHeight="1" s="828">
      <c r="A12" s="780" t="n"/>
      <c r="B12" s="781" t="n"/>
      <c r="C12" s="781" t="n"/>
      <c r="D12" s="781" t="n"/>
      <c r="E12" s="781" t="n"/>
      <c r="F12" s="781" t="n"/>
      <c r="G12" s="781" t="n"/>
      <c r="H12" s="781" t="n"/>
      <c r="I12" s="781" t="n"/>
      <c r="J12" s="781" t="n"/>
      <c r="K12" s="781" t="n"/>
      <c r="L12" s="781" t="n"/>
      <c r="M12" s="781" t="n"/>
    </row>
    <row r="13" ht="15.5" customHeight="1" s="828">
      <c r="A13" s="780" t="n"/>
      <c r="B13" s="781" t="n"/>
      <c r="C13" s="781" t="n"/>
      <c r="D13" s="781" t="n"/>
      <c r="E13" s="781" t="n"/>
      <c r="F13" s="781" t="n"/>
      <c r="G13" s="781" t="n"/>
      <c r="H13" s="781" t="n"/>
      <c r="I13" s="781" t="n"/>
      <c r="J13" s="781" t="n"/>
      <c r="K13" s="781" t="n"/>
      <c r="L13" s="781" t="n"/>
      <c r="M13" s="781" t="n"/>
    </row>
    <row r="14" ht="15.5" customHeight="1" s="828">
      <c r="A14" s="780" t="n"/>
      <c r="B14" s="781" t="n"/>
      <c r="C14" s="781" t="n"/>
      <c r="D14" s="781" t="n"/>
      <c r="E14" s="781" t="n"/>
      <c r="F14" s="781" t="n"/>
      <c r="G14" s="781" t="n"/>
      <c r="H14" s="781" t="n"/>
      <c r="I14" s="781" t="n"/>
      <c r="J14" s="781" t="n"/>
      <c r="K14" s="781" t="n"/>
      <c r="L14" s="781" t="n"/>
      <c r="M14" s="781" t="n"/>
    </row>
    <row r="15" ht="15.5" customHeight="1" s="828">
      <c r="A15" s="780" t="n"/>
      <c r="B15" s="781" t="n"/>
      <c r="C15" s="781" t="n"/>
      <c r="D15" s="781" t="n"/>
      <c r="E15" s="781" t="n"/>
      <c r="F15" s="781" t="n"/>
      <c r="G15" s="781" t="n"/>
      <c r="H15" s="781" t="n"/>
      <c r="I15" s="781" t="n"/>
      <c r="J15" s="781" t="n"/>
      <c r="K15" s="781" t="n"/>
      <c r="L15" s="781" t="n"/>
      <c r="M15" s="781" t="n"/>
    </row>
    <row r="16" ht="15.5" customHeight="1" s="828">
      <c r="A16" s="780" t="n"/>
      <c r="B16" s="781" t="n"/>
      <c r="C16" s="781" t="n"/>
      <c r="D16" s="781" t="n"/>
      <c r="E16" s="781" t="n"/>
      <c r="F16" s="781" t="n"/>
      <c r="G16" s="781" t="n"/>
      <c r="H16" s="781" t="n"/>
      <c r="I16" s="781" t="n"/>
      <c r="J16" s="781" t="n"/>
      <c r="K16" s="781" t="n"/>
      <c r="L16" s="781" t="n"/>
      <c r="M16" s="781" t="n"/>
    </row>
    <row r="17" ht="15.5" customHeight="1" s="828">
      <c r="A17" s="780" t="n"/>
      <c r="B17" s="781" t="n"/>
      <c r="C17" s="781" t="n"/>
      <c r="D17" s="781" t="n"/>
      <c r="E17" s="781" t="n"/>
      <c r="F17" s="781" t="n"/>
      <c r="G17" s="781" t="n"/>
      <c r="H17" s="781" t="n"/>
      <c r="I17" s="781" t="n"/>
      <c r="J17" s="781" t="n"/>
      <c r="K17" s="781" t="n"/>
      <c r="L17" s="781" t="n"/>
      <c r="M17" s="781" t="n"/>
    </row>
    <row r="18" ht="15.5" customHeight="1" s="828">
      <c r="A18" s="780" t="n"/>
      <c r="B18" s="781" t="n"/>
      <c r="C18" s="781" t="n"/>
      <c r="D18" s="781" t="n"/>
      <c r="E18" s="781" t="n"/>
      <c r="F18" s="781" t="n"/>
      <c r="G18" s="781" t="n"/>
      <c r="H18" s="781" t="n"/>
      <c r="I18" s="781" t="n"/>
      <c r="J18" s="781" t="n"/>
      <c r="K18" s="781" t="n"/>
      <c r="L18" s="781" t="n"/>
      <c r="M18" s="781" t="n"/>
    </row>
    <row r="19" ht="15.5" customHeight="1" s="828">
      <c r="A19" s="780" t="n"/>
      <c r="B19" s="781" t="n"/>
      <c r="C19" s="781" t="n"/>
      <c r="D19" s="781" t="n"/>
      <c r="E19" s="781" t="n"/>
      <c r="F19" s="781" t="n"/>
      <c r="G19" s="781" t="n"/>
      <c r="H19" s="781" t="n"/>
      <c r="I19" s="781" t="n"/>
      <c r="J19" s="781" t="n"/>
      <c r="K19" s="781" t="n"/>
      <c r="L19" s="781" t="n"/>
      <c r="M19" s="781" t="n"/>
    </row>
    <row r="20" ht="15.5" customHeight="1" s="828">
      <c r="A20" s="780" t="n"/>
      <c r="B20" s="781" t="n"/>
      <c r="C20" s="781" t="n"/>
      <c r="D20" s="781" t="n"/>
      <c r="E20" s="781" t="n"/>
      <c r="F20" s="781" t="n"/>
      <c r="G20" s="781" t="n"/>
      <c r="H20" s="781" t="n"/>
      <c r="I20" s="781" t="n"/>
      <c r="J20" s="781" t="n"/>
      <c r="K20" s="781" t="n"/>
      <c r="L20" s="781" t="n"/>
      <c r="M20" s="781" t="n"/>
    </row>
    <row r="21" ht="15.5" customHeight="1" s="828">
      <c r="A21" s="780" t="n"/>
      <c r="B21" s="781" t="n"/>
      <c r="C21" s="781" t="n"/>
      <c r="D21" s="781" t="n"/>
      <c r="E21" s="781" t="n"/>
      <c r="F21" s="781" t="n"/>
      <c r="G21" s="781" t="n"/>
      <c r="H21" s="781" t="n"/>
      <c r="I21" s="781" t="n"/>
      <c r="J21" s="781" t="n"/>
      <c r="K21" s="781" t="n"/>
      <c r="L21" s="781" t="n"/>
      <c r="M21" s="781" t="n"/>
    </row>
    <row r="22" ht="15.5" customHeight="1" s="828">
      <c r="A22" s="780" t="n"/>
      <c r="B22" s="781" t="n"/>
      <c r="C22" s="781" t="n"/>
      <c r="D22" s="781" t="n"/>
      <c r="E22" s="781" t="n"/>
      <c r="F22" s="781" t="n"/>
      <c r="G22" s="781" t="n"/>
      <c r="H22" s="781" t="n"/>
      <c r="I22" s="781" t="n"/>
      <c r="J22" s="781" t="n"/>
      <c r="K22" s="781" t="n"/>
      <c r="L22" s="781" t="n"/>
      <c r="M22" s="781" t="n"/>
    </row>
    <row r="23" ht="15.5" customHeight="1" s="828">
      <c r="A23" s="780" t="n"/>
      <c r="B23" s="781" t="n"/>
      <c r="C23" s="781" t="n"/>
      <c r="D23" s="781" t="n"/>
      <c r="E23" s="781" t="n"/>
      <c r="F23" s="781" t="n"/>
      <c r="G23" s="781" t="n"/>
      <c r="H23" s="781" t="n"/>
      <c r="I23" s="781" t="n"/>
      <c r="J23" s="781" t="n"/>
      <c r="K23" s="781" t="n"/>
      <c r="L23" s="781" t="n"/>
      <c r="M23" s="781" t="n"/>
    </row>
    <row r="24" ht="15.5" customHeight="1" s="828">
      <c r="A24" s="780" t="n"/>
      <c r="B24" s="781" t="n"/>
      <c r="C24" s="781" t="n"/>
      <c r="D24" s="781" t="n"/>
      <c r="E24" s="781" t="n"/>
      <c r="F24" s="781" t="n"/>
      <c r="G24" s="781" t="n"/>
      <c r="H24" s="781" t="n"/>
      <c r="I24" s="781" t="n"/>
      <c r="J24" s="781" t="n"/>
      <c r="K24" s="781" t="n"/>
      <c r="L24" s="781" t="n"/>
      <c r="M24" s="781" t="n"/>
    </row>
    <row r="25" ht="15.5" customHeight="1" s="828">
      <c r="A25" s="780" t="n"/>
      <c r="B25" s="781" t="n"/>
      <c r="C25" s="781" t="n"/>
      <c r="D25" s="781" t="n"/>
      <c r="E25" s="781" t="n"/>
      <c r="F25" s="781" t="n"/>
      <c r="G25" s="781" t="n"/>
      <c r="H25" s="781" t="n"/>
      <c r="I25" s="781" t="n"/>
      <c r="J25" s="781" t="n"/>
      <c r="K25" s="781" t="n"/>
      <c r="L25" s="781" t="n"/>
      <c r="M25" s="781" t="n"/>
    </row>
    <row r="26" ht="15.5" customHeight="1" s="828">
      <c r="A26" s="780" t="n"/>
      <c r="B26" s="781" t="n"/>
      <c r="C26" s="781" t="n"/>
      <c r="D26" s="781" t="n"/>
      <c r="E26" s="781" t="n"/>
      <c r="F26" s="781" t="n"/>
      <c r="G26" s="781" t="n"/>
      <c r="H26" s="781" t="n"/>
      <c r="I26" s="781" t="n"/>
      <c r="J26" s="781" t="n"/>
      <c r="K26" s="781" t="n"/>
      <c r="L26" s="781" t="n"/>
      <c r="M26" s="781" t="n"/>
    </row>
    <row r="27" ht="15.5" customHeight="1" s="828">
      <c r="A27" s="780" t="n"/>
      <c r="B27" s="781" t="n"/>
      <c r="C27" s="781" t="n"/>
      <c r="D27" s="781" t="n"/>
      <c r="E27" s="781" t="n"/>
      <c r="F27" s="781" t="n"/>
      <c r="G27" s="781" t="n"/>
      <c r="H27" s="781" t="n"/>
      <c r="I27" s="781" t="n"/>
      <c r="J27" s="781" t="n"/>
      <c r="K27" s="781" t="n"/>
      <c r="L27" s="781" t="n"/>
      <c r="M27" s="781" t="n"/>
    </row>
    <row r="28" ht="15.5" customHeight="1" s="828">
      <c r="A28" s="780" t="n"/>
      <c r="B28" s="781" t="n"/>
      <c r="C28" s="781" t="n"/>
      <c r="D28" s="781" t="n"/>
      <c r="E28" s="781" t="n"/>
      <c r="F28" s="781" t="n"/>
      <c r="G28" s="781" t="n"/>
      <c r="H28" s="781" t="n"/>
      <c r="I28" s="781" t="n"/>
      <c r="J28" s="781" t="n"/>
      <c r="K28" s="781" t="n"/>
      <c r="L28" s="781" t="n"/>
      <c r="M28" s="781" t="n"/>
    </row>
    <row r="29" ht="15.5" customHeight="1" s="828">
      <c r="A29" s="780" t="n"/>
      <c r="B29" s="781" t="n"/>
      <c r="C29" s="781" t="n"/>
      <c r="D29" s="781" t="n"/>
      <c r="E29" s="781" t="n"/>
      <c r="F29" s="781" t="n"/>
      <c r="G29" s="781" t="n"/>
      <c r="H29" s="781" t="n"/>
      <c r="I29" s="781" t="n"/>
      <c r="J29" s="781" t="n"/>
      <c r="K29" s="781" t="n"/>
      <c r="L29" s="781" t="n"/>
      <c r="M29" s="781" t="n"/>
    </row>
    <row r="30" ht="15.5" customHeight="1" s="828">
      <c r="A30" s="780" t="n"/>
      <c r="B30" s="781" t="n"/>
      <c r="C30" s="781" t="n"/>
      <c r="D30" s="781" t="n"/>
      <c r="E30" s="781" t="n"/>
      <c r="F30" s="781" t="n"/>
      <c r="G30" s="781" t="n"/>
      <c r="H30" s="781" t="n"/>
      <c r="I30" s="781" t="n"/>
      <c r="J30" s="781" t="n"/>
      <c r="K30" s="781" t="n"/>
      <c r="L30" s="781" t="n"/>
      <c r="M30" s="781" t="n"/>
    </row>
    <row r="31" ht="15.5" customHeight="1" s="828">
      <c r="A31" s="780" t="n"/>
      <c r="B31" s="781" t="n"/>
      <c r="C31" s="781" t="n"/>
      <c r="D31" s="781" t="n"/>
      <c r="E31" s="781" t="n"/>
      <c r="F31" s="781" t="n"/>
      <c r="G31" s="781" t="n"/>
      <c r="H31" s="781" t="n"/>
      <c r="I31" s="781" t="n"/>
      <c r="J31" s="781" t="n"/>
      <c r="K31" s="781" t="n"/>
      <c r="L31" s="781" t="n"/>
      <c r="M31" s="781" t="n"/>
    </row>
    <row r="32" ht="15.5" customHeight="1" s="828">
      <c r="A32" s="780" t="n"/>
      <c r="B32" s="781" t="n"/>
      <c r="C32" s="781" t="n"/>
      <c r="D32" s="781" t="n"/>
      <c r="E32" s="781" t="n"/>
      <c r="F32" s="781" t="n"/>
      <c r="G32" s="781" t="n"/>
      <c r="H32" s="781" t="n"/>
      <c r="I32" s="781" t="n"/>
      <c r="J32" s="781" t="n"/>
      <c r="K32" s="781" t="n"/>
      <c r="L32" s="781" t="n"/>
      <c r="M32" s="781" t="n"/>
    </row>
    <row r="33" ht="15.5" customHeight="1" s="828">
      <c r="A33" s="780" t="n"/>
      <c r="B33" s="781" t="n"/>
      <c r="C33" s="781" t="n"/>
      <c r="D33" s="781" t="n"/>
      <c r="E33" s="781" t="n"/>
      <c r="F33" s="781" t="n"/>
      <c r="G33" s="781" t="n"/>
      <c r="H33" s="781" t="n"/>
      <c r="I33" s="781" t="n"/>
      <c r="J33" s="781" t="n"/>
      <c r="K33" s="781" t="n"/>
      <c r="L33" s="781" t="n"/>
      <c r="M33" s="781" t="n"/>
    </row>
    <row r="34" ht="15.5" customHeight="1" s="828">
      <c r="A34" s="780" t="n"/>
      <c r="B34" s="781" t="n"/>
      <c r="C34" s="781" t="n"/>
      <c r="D34" s="781" t="n"/>
      <c r="E34" s="781" t="n"/>
      <c r="F34" s="781" t="n"/>
      <c r="G34" s="781" t="n"/>
      <c r="H34" s="781" t="n"/>
      <c r="I34" s="781" t="n"/>
      <c r="J34" s="781" t="n"/>
      <c r="K34" s="781" t="n"/>
      <c r="L34" s="781" t="n"/>
      <c r="M34" s="781" t="n"/>
    </row>
    <row r="35" ht="15.5" customHeight="1" s="828">
      <c r="A35" s="780" t="n"/>
      <c r="B35" s="781" t="n"/>
      <c r="C35" s="781" t="n"/>
      <c r="D35" s="781" t="n"/>
      <c r="E35" s="781" t="n"/>
      <c r="F35" s="781" t="n"/>
      <c r="G35" s="781" t="n"/>
      <c r="H35" s="781" t="n"/>
      <c r="I35" s="781" t="n"/>
      <c r="J35" s="781" t="n"/>
      <c r="K35" s="781" t="n"/>
      <c r="L35" s="781" t="n"/>
      <c r="M35" s="781" t="n"/>
    </row>
    <row r="36" ht="15.5" customHeight="1" s="828">
      <c r="A36" s="780" t="n"/>
      <c r="B36" s="781" t="n"/>
      <c r="C36" s="781" t="n"/>
      <c r="D36" s="781" t="n"/>
      <c r="E36" s="781" t="n"/>
      <c r="F36" s="781" t="n"/>
      <c r="G36" s="781" t="n"/>
      <c r="H36" s="781" t="n"/>
      <c r="I36" s="781" t="n"/>
      <c r="J36" s="781" t="n"/>
      <c r="K36" s="781" t="n"/>
      <c r="L36" s="781" t="n"/>
      <c r="M36" s="781" t="n"/>
    </row>
    <row r="37" ht="15.5" customHeight="1" s="828">
      <c r="A37" s="780" t="n"/>
      <c r="B37" s="781" t="n"/>
      <c r="C37" s="781" t="n"/>
      <c r="D37" s="781" t="n"/>
      <c r="E37" s="781" t="n"/>
      <c r="F37" s="781" t="n"/>
      <c r="G37" s="781" t="n"/>
      <c r="H37" s="781" t="n"/>
      <c r="I37" s="781" t="n"/>
      <c r="J37" s="781" t="n"/>
      <c r="K37" s="781" t="n"/>
      <c r="L37" s="781" t="n"/>
      <c r="M37" s="781" t="n"/>
    </row>
    <row r="38" ht="15.5" customHeight="1" s="828">
      <c r="A38" s="780" t="n"/>
      <c r="B38" s="781" t="n"/>
      <c r="C38" s="781" t="n"/>
      <c r="D38" s="781" t="n"/>
      <c r="E38" s="781" t="n"/>
      <c r="F38" s="781" t="n"/>
      <c r="G38" s="781" t="n"/>
      <c r="H38" s="781" t="n"/>
      <c r="I38" s="781" t="n"/>
      <c r="J38" s="781" t="n"/>
      <c r="K38" s="781" t="n"/>
      <c r="L38" s="781" t="n"/>
      <c r="M38" s="781" t="n"/>
    </row>
    <row r="39" ht="15.5" customHeight="1" s="828">
      <c r="A39" s="780" t="n"/>
      <c r="B39" s="781" t="n"/>
      <c r="C39" s="781" t="n"/>
      <c r="D39" s="781" t="n"/>
      <c r="E39" s="781" t="n"/>
      <c r="F39" s="781" t="n"/>
      <c r="G39" s="781" t="n"/>
      <c r="H39" s="781" t="n"/>
      <c r="I39" s="781" t="n"/>
      <c r="J39" s="781" t="n"/>
      <c r="K39" s="781" t="n"/>
      <c r="L39" s="781" t="n"/>
      <c r="M39" s="781" t="n"/>
    </row>
    <row r="40" ht="15.5" customHeight="1" s="828">
      <c r="A40" s="780" t="n"/>
      <c r="B40" s="781" t="n"/>
      <c r="C40" s="781" t="n"/>
      <c r="D40" s="781" t="n"/>
      <c r="E40" s="781" t="n"/>
      <c r="F40" s="781" t="n"/>
      <c r="G40" s="781" t="n"/>
      <c r="H40" s="781" t="n"/>
      <c r="I40" s="781" t="n"/>
      <c r="J40" s="781" t="n"/>
      <c r="K40" s="781" t="n"/>
      <c r="L40" s="781" t="n"/>
      <c r="M40" s="781" t="n"/>
    </row>
    <row r="41" ht="15.5" customHeight="1" s="828">
      <c r="A41" s="780" t="n"/>
      <c r="B41" s="781" t="n"/>
      <c r="C41" s="781" t="n"/>
      <c r="D41" s="781" t="n"/>
      <c r="E41" s="781" t="n"/>
      <c r="F41" s="781" t="n"/>
      <c r="G41" s="781" t="n"/>
      <c r="H41" s="781" t="n"/>
      <c r="I41" s="781" t="n"/>
      <c r="J41" s="781" t="n"/>
      <c r="K41" s="781" t="n"/>
      <c r="L41" s="781" t="n"/>
      <c r="M41" s="781" t="n"/>
    </row>
    <row r="42" ht="15.5" customHeight="1" s="828">
      <c r="A42" s="780" t="n"/>
      <c r="B42" s="781" t="n"/>
      <c r="C42" s="781" t="n"/>
      <c r="D42" s="781" t="n"/>
      <c r="E42" s="781" t="n"/>
      <c r="F42" s="781" t="n"/>
      <c r="G42" s="781" t="n"/>
      <c r="H42" s="781" t="n"/>
      <c r="I42" s="781" t="n"/>
      <c r="J42" s="781" t="n"/>
      <c r="K42" s="781" t="n"/>
      <c r="L42" s="781" t="n"/>
      <c r="M42" s="781" t="n"/>
    </row>
    <row r="43" ht="15.5" customHeight="1" s="828">
      <c r="A43" s="780" t="n"/>
      <c r="B43" s="781" t="n"/>
      <c r="C43" s="781" t="n"/>
      <c r="D43" s="781" t="n"/>
      <c r="E43" s="781" t="n"/>
      <c r="F43" s="781" t="n"/>
      <c r="G43" s="781" t="n"/>
      <c r="H43" s="781" t="n"/>
      <c r="I43" s="781" t="n"/>
      <c r="J43" s="781" t="n"/>
      <c r="K43" s="781" t="n"/>
      <c r="L43" s="781" t="n"/>
      <c r="M43" s="781" t="n"/>
    </row>
    <row r="44" ht="15.5" customHeight="1" s="828">
      <c r="A44" s="780" t="n"/>
      <c r="B44" s="781" t="n"/>
      <c r="C44" s="781" t="n"/>
      <c r="D44" s="781" t="n"/>
      <c r="E44" s="781" t="n"/>
      <c r="F44" s="781" t="n"/>
      <c r="G44" s="781" t="n"/>
      <c r="H44" s="781" t="n"/>
      <c r="I44" s="781" t="n"/>
      <c r="J44" s="781" t="n"/>
      <c r="K44" s="781" t="n"/>
      <c r="L44" s="781" t="n"/>
      <c r="M44" s="781" t="n"/>
    </row>
    <row r="45" ht="15.5" customHeight="1" s="828">
      <c r="A45" s="780" t="n"/>
      <c r="B45" s="781" t="n"/>
      <c r="C45" s="781" t="n"/>
      <c r="D45" s="781" t="n"/>
      <c r="E45" s="781" t="n"/>
      <c r="F45" s="781" t="n"/>
      <c r="G45" s="781" t="n"/>
      <c r="H45" s="781" t="n"/>
      <c r="I45" s="781" t="n"/>
      <c r="J45" s="781" t="n"/>
      <c r="K45" s="781" t="n"/>
      <c r="L45" s="781" t="n"/>
      <c r="M45" s="781" t="n"/>
    </row>
    <row r="46" ht="15.5" customHeight="1" s="828">
      <c r="A46" s="780" t="n"/>
      <c r="B46" s="781" t="n"/>
      <c r="C46" s="781" t="n"/>
      <c r="D46" s="781" t="n"/>
      <c r="E46" s="781" t="n"/>
      <c r="F46" s="781" t="n"/>
      <c r="G46" s="781" t="n"/>
      <c r="H46" s="781" t="n"/>
      <c r="I46" s="781" t="n"/>
      <c r="J46" s="781" t="n"/>
      <c r="K46" s="781" t="n"/>
      <c r="L46" s="781" t="n"/>
      <c r="M46" s="781" t="n"/>
    </row>
    <row r="47" ht="15.5" customHeight="1" s="828">
      <c r="A47" s="780" t="n"/>
      <c r="B47" s="781" t="n"/>
      <c r="C47" s="781" t="n"/>
      <c r="D47" s="781" t="n"/>
      <c r="E47" s="781" t="n"/>
      <c r="F47" s="781" t="n"/>
      <c r="G47" s="781" t="n"/>
      <c r="H47" s="781" t="n"/>
      <c r="I47" s="781" t="n"/>
      <c r="J47" s="781" t="n"/>
      <c r="K47" s="781" t="n"/>
      <c r="L47" s="781" t="n"/>
      <c r="M47" s="781" t="n"/>
    </row>
    <row r="48" ht="15.5" customHeight="1" s="828">
      <c r="A48" s="780" t="n"/>
      <c r="B48" s="781" t="n"/>
      <c r="C48" s="781" t="n"/>
      <c r="D48" s="781" t="n"/>
      <c r="E48" s="781" t="n"/>
      <c r="F48" s="781" t="n"/>
      <c r="G48" s="781" t="n"/>
      <c r="H48" s="781" t="n"/>
      <c r="I48" s="781" t="n"/>
      <c r="J48" s="781" t="n"/>
      <c r="K48" s="781" t="n"/>
      <c r="L48" s="781" t="n"/>
      <c r="M48" s="781" t="n"/>
    </row>
    <row r="49" ht="15.5" customHeight="1" s="828">
      <c r="A49" s="780" t="n"/>
      <c r="B49" s="781" t="n"/>
      <c r="C49" s="781" t="n"/>
      <c r="D49" s="781" t="n"/>
      <c r="E49" s="781" t="n"/>
      <c r="F49" s="781" t="n"/>
      <c r="G49" s="781" t="n"/>
      <c r="H49" s="781" t="n"/>
      <c r="I49" s="781" t="n"/>
      <c r="J49" s="781" t="n"/>
      <c r="K49" s="781" t="n"/>
      <c r="L49" s="781" t="n"/>
      <c r="M49" s="781" t="n"/>
    </row>
    <row r="50" ht="15.5" customHeight="1" s="828">
      <c r="A50" s="780" t="n"/>
      <c r="B50" s="781" t="n"/>
      <c r="C50" s="781" t="n"/>
      <c r="D50" s="781" t="n"/>
      <c r="E50" s="781" t="n"/>
      <c r="F50" s="781" t="n"/>
      <c r="G50" s="781" t="n"/>
      <c r="H50" s="781" t="n"/>
      <c r="I50" s="781" t="n"/>
      <c r="J50" s="781" t="n"/>
      <c r="K50" s="781" t="n"/>
      <c r="L50" s="781" t="n"/>
      <c r="M50" s="781" t="n"/>
    </row>
    <row r="51" ht="15.5" customHeight="1" s="828">
      <c r="A51" s="780" t="n"/>
      <c r="B51" s="781" t="n"/>
      <c r="C51" s="781" t="n"/>
      <c r="D51" s="781" t="n"/>
      <c r="E51" s="781" t="n"/>
      <c r="F51" s="781" t="n"/>
      <c r="G51" s="781" t="n"/>
      <c r="H51" s="781" t="n"/>
      <c r="I51" s="781" t="n"/>
      <c r="J51" s="781" t="n"/>
      <c r="K51" s="781" t="n"/>
      <c r="L51" s="781" t="n"/>
      <c r="M51" s="781" t="n"/>
    </row>
    <row r="52" ht="15.5" customHeight="1" s="828">
      <c r="A52" s="780" t="n"/>
      <c r="B52" s="781" t="n"/>
      <c r="C52" s="781" t="n"/>
      <c r="D52" s="781" t="n"/>
      <c r="E52" s="781" t="n"/>
      <c r="F52" s="781" t="n"/>
      <c r="G52" s="781" t="n"/>
      <c r="H52" s="781" t="n"/>
      <c r="I52" s="781" t="n"/>
      <c r="J52" s="781" t="n"/>
      <c r="K52" s="781" t="n"/>
      <c r="L52" s="781" t="n"/>
      <c r="M52" s="781" t="n"/>
    </row>
    <row r="53" ht="15.5" customHeight="1" s="828">
      <c r="A53" s="780" t="n"/>
      <c r="B53" s="781" t="n"/>
      <c r="C53" s="781" t="n"/>
      <c r="D53" s="781" t="n"/>
      <c r="E53" s="781" t="n"/>
      <c r="F53" s="781" t="n"/>
      <c r="G53" s="781" t="n"/>
      <c r="H53" s="781" t="n"/>
      <c r="I53" s="781" t="n"/>
      <c r="J53" s="781" t="n"/>
      <c r="K53" s="781" t="n"/>
      <c r="L53" s="781" t="n"/>
      <c r="M53" s="781" t="n"/>
    </row>
    <row r="54" ht="15.5" customHeight="1" s="828">
      <c r="A54" s="780" t="n"/>
      <c r="B54" s="781" t="n"/>
      <c r="C54" s="781" t="n"/>
      <c r="D54" s="781" t="n"/>
      <c r="E54" s="781" t="n"/>
      <c r="F54" s="781" t="n"/>
      <c r="G54" s="781" t="n"/>
      <c r="H54" s="781" t="n"/>
      <c r="I54" s="781" t="n"/>
      <c r="J54" s="781" t="n"/>
      <c r="K54" s="781" t="n"/>
      <c r="L54" s="781" t="n"/>
      <c r="M54" s="781" t="n"/>
    </row>
    <row r="55" ht="15.5" customHeight="1" s="828">
      <c r="A55" s="780" t="n"/>
      <c r="B55" s="781" t="n"/>
      <c r="C55" s="781" t="n"/>
      <c r="D55" s="781" t="n"/>
      <c r="E55" s="781" t="n"/>
      <c r="F55" s="781" t="n"/>
      <c r="G55" s="781" t="n"/>
      <c r="H55" s="781" t="n"/>
      <c r="I55" s="781" t="n"/>
      <c r="J55" s="781" t="n"/>
      <c r="K55" s="781" t="n"/>
      <c r="L55" s="781" t="n"/>
      <c r="M55" s="781" t="n"/>
    </row>
    <row r="56" ht="15.5" customHeight="1" s="828">
      <c r="A56" s="780" t="n"/>
      <c r="B56" s="781" t="n"/>
      <c r="C56" s="781" t="n"/>
      <c r="D56" s="781" t="n"/>
      <c r="E56" s="781" t="n"/>
      <c r="F56" s="781" t="n"/>
      <c r="G56" s="781" t="n"/>
      <c r="H56" s="781" t="n"/>
      <c r="I56" s="781" t="n"/>
      <c r="J56" s="781" t="n"/>
      <c r="K56" s="781" t="n"/>
      <c r="L56" s="781" t="n"/>
      <c r="M56" s="781" t="n"/>
    </row>
    <row r="57" ht="15.5" customHeight="1" s="828">
      <c r="A57" s="780" t="n"/>
      <c r="B57" s="781" t="n"/>
      <c r="C57" s="781" t="n"/>
      <c r="D57" s="781" t="n"/>
      <c r="E57" s="781" t="n"/>
      <c r="F57" s="781" t="n"/>
      <c r="G57" s="781" t="n"/>
      <c r="H57" s="781" t="n"/>
      <c r="I57" s="781" t="n"/>
      <c r="J57" s="781" t="n"/>
      <c r="K57" s="781" t="n"/>
      <c r="L57" s="781" t="n"/>
      <c r="M57" s="781" t="n"/>
    </row>
    <row r="58" ht="15.5" customHeight="1" s="828">
      <c r="A58" s="783" t="n"/>
      <c r="B58" s="781" t="n"/>
      <c r="C58" s="781" t="n"/>
      <c r="D58" s="781" t="n"/>
      <c r="E58" s="781" t="n"/>
      <c r="F58" s="781" t="n"/>
      <c r="G58" s="781" t="n"/>
      <c r="H58" s="781" t="n"/>
      <c r="I58" s="781" t="n"/>
      <c r="J58" s="781" t="n"/>
      <c r="K58" s="781" t="n"/>
      <c r="L58" s="781" t="n"/>
      <c r="M58" s="781" t="n"/>
    </row>
    <row r="59" ht="15.5" customHeight="1" s="828">
      <c r="A59" s="780" t="n"/>
      <c r="B59" s="781" t="n"/>
      <c r="C59" s="781" t="n"/>
      <c r="D59" s="781" t="n"/>
      <c r="E59" s="781" t="n"/>
      <c r="F59" s="781" t="n"/>
      <c r="G59" s="781" t="n"/>
      <c r="H59" s="781" t="n"/>
      <c r="I59" s="781" t="n"/>
      <c r="J59" s="781" t="n"/>
      <c r="K59" s="781" t="n"/>
      <c r="L59" s="781" t="n"/>
      <c r="M59" s="781" t="n"/>
    </row>
    <row r="60" ht="15.5" customHeight="1" s="828">
      <c r="A60" s="780" t="n"/>
      <c r="B60" s="781" t="n"/>
      <c r="C60" s="781" t="n"/>
      <c r="D60" s="781" t="n"/>
      <c r="E60" s="781" t="n"/>
      <c r="F60" s="781" t="n"/>
      <c r="G60" s="781" t="n"/>
      <c r="H60" s="781" t="n"/>
      <c r="I60" s="781" t="n"/>
      <c r="J60" s="781" t="n"/>
      <c r="K60" s="781" t="n"/>
      <c r="L60" s="781" t="n"/>
      <c r="M60" s="781" t="n"/>
    </row>
    <row r="61" ht="15.5" customHeight="1" s="828">
      <c r="A61" s="780" t="n"/>
      <c r="B61" s="781" t="n"/>
      <c r="C61" s="781" t="n"/>
      <c r="D61" s="781" t="n"/>
      <c r="E61" s="781" t="n"/>
      <c r="F61" s="781" t="n"/>
      <c r="G61" s="781" t="n"/>
      <c r="H61" s="781" t="n"/>
      <c r="I61" s="781" t="n"/>
      <c r="J61" s="781" t="n"/>
      <c r="K61" s="781" t="n"/>
      <c r="L61" s="781" t="n"/>
      <c r="M61" s="781" t="n"/>
    </row>
    <row r="62" ht="15.5" customHeight="1" s="828">
      <c r="A62" s="780" t="n"/>
      <c r="B62" s="781" t="n"/>
      <c r="C62" s="781" t="n"/>
      <c r="D62" s="781" t="n"/>
      <c r="E62" s="781" t="n"/>
      <c r="F62" s="781" t="n"/>
      <c r="G62" s="781" t="n"/>
      <c r="H62" s="781" t="n"/>
      <c r="I62" s="781" t="n"/>
      <c r="J62" s="781" t="n"/>
      <c r="K62" s="781" t="n"/>
      <c r="L62" s="781" t="n"/>
      <c r="M62" s="781" t="n"/>
    </row>
    <row r="63" ht="15.5" customHeight="1" s="828">
      <c r="A63" s="780" t="n"/>
      <c r="B63" s="781" t="n"/>
      <c r="C63" s="781" t="n"/>
      <c r="D63" s="781" t="n"/>
      <c r="E63" s="781" t="n"/>
      <c r="F63" s="781" t="n"/>
      <c r="G63" s="781" t="n"/>
      <c r="H63" s="781" t="n"/>
      <c r="I63" s="781" t="n"/>
      <c r="J63" s="781" t="n"/>
      <c r="K63" s="781" t="n"/>
      <c r="L63" s="781" t="n"/>
      <c r="M63" s="781" t="n"/>
    </row>
    <row r="64" ht="15.5" customHeight="1" s="828">
      <c r="A64" s="780" t="n"/>
      <c r="B64" s="781" t="n"/>
      <c r="C64" s="781" t="n"/>
      <c r="D64" s="781" t="n"/>
      <c r="E64" s="781" t="n"/>
      <c r="F64" s="781" t="n"/>
      <c r="G64" s="781" t="n"/>
      <c r="H64" s="781" t="n"/>
      <c r="I64" s="781" t="n"/>
      <c r="J64" s="781" t="n"/>
      <c r="K64" s="781" t="n"/>
      <c r="L64" s="781" t="n"/>
      <c r="M64" s="781" t="n"/>
    </row>
    <row r="65" ht="15.5" customHeight="1" s="828">
      <c r="A65" s="780" t="n"/>
      <c r="B65" s="781" t="n"/>
      <c r="C65" s="781" t="n"/>
      <c r="D65" s="781" t="n"/>
      <c r="E65" s="781" t="n"/>
      <c r="F65" s="781" t="n"/>
      <c r="G65" s="781" t="n"/>
      <c r="H65" s="781" t="n"/>
      <c r="I65" s="781" t="n"/>
      <c r="J65" s="781" t="n"/>
      <c r="K65" s="781" t="n"/>
      <c r="L65" s="781" t="n"/>
      <c r="M65" s="781" t="n"/>
    </row>
    <row r="66" ht="15.5" customHeight="1" s="828">
      <c r="A66" s="780" t="n"/>
      <c r="B66" s="781" t="n"/>
      <c r="C66" s="781" t="n"/>
      <c r="D66" s="781" t="n"/>
      <c r="E66" s="781" t="n"/>
      <c r="F66" s="781" t="n"/>
      <c r="G66" s="781" t="n"/>
      <c r="H66" s="781" t="n"/>
      <c r="I66" s="781" t="n"/>
      <c r="J66" s="781" t="n"/>
      <c r="K66" s="781" t="n"/>
      <c r="L66" s="781" t="n"/>
      <c r="M66" s="781" t="n"/>
    </row>
    <row r="67" ht="15.5" customHeight="1" s="828">
      <c r="A67" s="780" t="n"/>
      <c r="B67" s="781" t="n"/>
      <c r="C67" s="781" t="n"/>
      <c r="D67" s="781" t="n"/>
      <c r="E67" s="781" t="n"/>
      <c r="F67" s="781" t="n"/>
      <c r="G67" s="781" t="n"/>
      <c r="H67" s="781" t="n"/>
      <c r="I67" s="781" t="n"/>
      <c r="J67" s="781" t="n"/>
      <c r="K67" s="781" t="n"/>
      <c r="L67" s="781" t="n"/>
      <c r="M67" s="781" t="n"/>
    </row>
    <row r="68" ht="15.5" customHeight="1" s="828">
      <c r="A68" s="780" t="n"/>
      <c r="B68" s="781" t="n"/>
      <c r="C68" s="781" t="n"/>
      <c r="D68" s="781" t="n"/>
      <c r="E68" s="781" t="n"/>
      <c r="F68" s="781" t="n"/>
      <c r="G68" s="781" t="n"/>
      <c r="H68" s="781" t="n"/>
      <c r="I68" s="781" t="n"/>
      <c r="J68" s="781" t="n"/>
      <c r="K68" s="781" t="n"/>
      <c r="L68" s="781" t="n"/>
      <c r="M68" s="781" t="n"/>
    </row>
    <row r="69" ht="15.5" customHeight="1" s="828">
      <c r="A69" s="780" t="n"/>
      <c r="B69" s="781" t="n"/>
      <c r="C69" s="781" t="n"/>
      <c r="D69" s="781" t="n"/>
      <c r="E69" s="781" t="n"/>
      <c r="F69" s="781" t="n"/>
      <c r="G69" s="781" t="n"/>
      <c r="H69" s="781" t="n"/>
      <c r="I69" s="781" t="n"/>
      <c r="J69" s="781" t="n"/>
      <c r="K69" s="781" t="n"/>
      <c r="L69" s="781" t="n"/>
      <c r="M69" s="781" t="n"/>
    </row>
    <row r="70" ht="15.5" customHeight="1" s="828">
      <c r="A70" s="782" t="n"/>
      <c r="B70" s="781" t="n"/>
      <c r="C70" s="781" t="n"/>
      <c r="D70" s="781" t="n"/>
      <c r="E70" s="781" t="n"/>
      <c r="F70" s="781" t="n"/>
      <c r="G70" s="781" t="n"/>
      <c r="H70" s="781" t="n"/>
      <c r="I70" s="781" t="n"/>
      <c r="J70" s="781" t="n"/>
      <c r="K70" s="781" t="n"/>
      <c r="L70" s="781" t="n"/>
      <c r="M70" s="781" t="n"/>
    </row>
    <row r="71" ht="15.5" customHeight="1" s="828">
      <c r="A71" s="780" t="n"/>
      <c r="B71" s="781" t="n"/>
      <c r="C71" s="781" t="n"/>
      <c r="D71" s="781" t="n"/>
      <c r="E71" s="781" t="n"/>
      <c r="F71" s="781" t="n"/>
      <c r="G71" s="781" t="n"/>
      <c r="H71" s="781" t="n"/>
      <c r="I71" s="781" t="n"/>
      <c r="J71" s="781" t="n"/>
      <c r="K71" s="781" t="n"/>
      <c r="L71" s="781" t="n"/>
      <c r="M71" s="781" t="n"/>
    </row>
    <row r="72" ht="15.5" customHeight="1" s="828">
      <c r="A72" s="780" t="n"/>
      <c r="B72" s="781" t="n"/>
      <c r="C72" s="781" t="n"/>
      <c r="D72" s="781" t="n"/>
      <c r="E72" s="781" t="n"/>
      <c r="F72" s="781" t="n"/>
      <c r="G72" s="781" t="n"/>
      <c r="H72" s="781" t="n"/>
      <c r="I72" s="781" t="n"/>
      <c r="J72" s="781" t="n"/>
      <c r="K72" s="781" t="n"/>
      <c r="L72" s="781" t="n"/>
      <c r="M72" s="781" t="n"/>
    </row>
    <row r="73" ht="15.5" customHeight="1" s="828">
      <c r="A73" s="780" t="n"/>
      <c r="B73" s="781" t="n"/>
      <c r="C73" s="781" t="n"/>
      <c r="D73" s="781" t="n"/>
      <c r="E73" s="781" t="n"/>
      <c r="F73" s="781" t="n"/>
      <c r="G73" s="781" t="n"/>
      <c r="H73" s="781" t="n"/>
      <c r="I73" s="781" t="n"/>
      <c r="J73" s="781" t="n"/>
      <c r="K73" s="781" t="n"/>
      <c r="L73" s="781" t="n"/>
      <c r="M73" s="781" t="n"/>
    </row>
    <row r="74" ht="15.5" customHeight="1" s="828">
      <c r="A74" s="780" t="n"/>
      <c r="B74" s="781" t="n"/>
      <c r="C74" s="781" t="n"/>
      <c r="D74" s="781" t="n"/>
      <c r="E74" s="781" t="n"/>
      <c r="F74" s="781" t="n"/>
      <c r="G74" s="781" t="n"/>
      <c r="H74" s="781" t="n"/>
      <c r="I74" s="781" t="n"/>
      <c r="J74" s="781" t="n"/>
      <c r="K74" s="781" t="n"/>
      <c r="L74" s="781" t="n"/>
      <c r="M74" s="781" t="n"/>
    </row>
    <row r="75" ht="15.5" customHeight="1" s="828">
      <c r="A75" s="780" t="n"/>
      <c r="B75" s="781" t="n"/>
      <c r="C75" s="781" t="n"/>
      <c r="D75" s="781" t="n"/>
      <c r="E75" s="781" t="n"/>
      <c r="F75" s="781" t="n"/>
      <c r="G75" s="781" t="n"/>
      <c r="H75" s="781" t="n"/>
      <c r="I75" s="781" t="n"/>
      <c r="J75" s="781" t="n"/>
      <c r="K75" s="781" t="n"/>
      <c r="L75" s="781" t="n"/>
      <c r="M75" s="781" t="n"/>
    </row>
    <row r="76" ht="15.5" customHeight="1" s="828">
      <c r="A76" s="780" t="n"/>
      <c r="B76" s="781" t="n"/>
      <c r="C76" s="781" t="n"/>
      <c r="D76" s="781" t="n"/>
      <c r="E76" s="781" t="n"/>
      <c r="F76" s="781" t="n"/>
      <c r="G76" s="781" t="n"/>
      <c r="H76" s="781" t="n"/>
      <c r="I76" s="781" t="n"/>
      <c r="J76" s="781" t="n"/>
      <c r="K76" s="781" t="n"/>
      <c r="L76" s="781" t="n"/>
      <c r="M76" s="781" t="n"/>
    </row>
    <row r="77" ht="15.5" customHeight="1" s="828">
      <c r="A77" s="780" t="n"/>
      <c r="B77" s="781" t="n"/>
      <c r="C77" s="781" t="n"/>
      <c r="D77" s="781" t="n"/>
      <c r="E77" s="781" t="n"/>
      <c r="F77" s="781" t="n"/>
      <c r="G77" s="781" t="n"/>
      <c r="H77" s="781" t="n"/>
      <c r="I77" s="781" t="n"/>
      <c r="J77" s="781" t="n"/>
      <c r="K77" s="781" t="n"/>
      <c r="L77" s="781" t="n"/>
      <c r="M77" s="781" t="n"/>
    </row>
    <row r="78" ht="15.5" customHeight="1" s="828">
      <c r="A78" s="780" t="n"/>
      <c r="B78" s="781" t="n"/>
      <c r="C78" s="781" t="n"/>
      <c r="D78" s="781" t="n"/>
      <c r="E78" s="781" t="n"/>
      <c r="F78" s="781" t="n"/>
      <c r="G78" s="781" t="n"/>
      <c r="H78" s="781" t="n"/>
      <c r="I78" s="781" t="n"/>
      <c r="J78" s="781" t="n"/>
      <c r="K78" s="781" t="n"/>
      <c r="L78" s="781" t="n"/>
      <c r="M78" s="781" t="n"/>
    </row>
    <row r="79" ht="15.5" customHeight="1" s="828">
      <c r="A79" s="780" t="n"/>
      <c r="B79" s="781" t="n"/>
      <c r="C79" s="781" t="n"/>
      <c r="D79" s="781" t="n"/>
      <c r="E79" s="781" t="n"/>
      <c r="F79" s="781" t="n"/>
      <c r="G79" s="781" t="n"/>
      <c r="H79" s="781" t="n"/>
      <c r="I79" s="781" t="n"/>
      <c r="J79" s="781" t="n"/>
      <c r="K79" s="781" t="n"/>
      <c r="L79" s="781" t="n"/>
      <c r="M79" s="781" t="n"/>
    </row>
    <row r="80" ht="15.5" customHeight="1" s="828">
      <c r="A80" s="780" t="n"/>
      <c r="B80" s="781" t="n"/>
      <c r="C80" s="781" t="n"/>
      <c r="D80" s="781" t="n"/>
      <c r="E80" s="781" t="n"/>
      <c r="F80" s="781" t="n"/>
      <c r="G80" s="781" t="n"/>
      <c r="H80" s="781" t="n"/>
      <c r="I80" s="781" t="n"/>
      <c r="J80" s="781" t="n"/>
      <c r="K80" s="781" t="n"/>
      <c r="L80" s="781" t="n"/>
      <c r="M80" s="781" t="n"/>
    </row>
    <row r="81" ht="15.5" customHeight="1" s="828">
      <c r="A81" s="780" t="n"/>
      <c r="B81" s="781" t="n"/>
      <c r="C81" s="781" t="n"/>
      <c r="D81" s="781" t="n"/>
      <c r="E81" s="781" t="n"/>
      <c r="F81" s="781" t="n"/>
      <c r="G81" s="781" t="n"/>
      <c r="H81" s="781" t="n"/>
      <c r="I81" s="781" t="n"/>
      <c r="J81" s="781" t="n"/>
      <c r="K81" s="781" t="n"/>
      <c r="L81" s="781" t="n"/>
      <c r="M81" s="781" t="n"/>
    </row>
    <row r="82" ht="15.5" customHeight="1" s="828">
      <c r="A82" s="780" t="n"/>
      <c r="B82" s="781" t="n"/>
      <c r="C82" s="781" t="n"/>
      <c r="D82" s="781" t="n"/>
      <c r="E82" s="781" t="n"/>
      <c r="F82" s="781" t="n"/>
      <c r="G82" s="781" t="n"/>
      <c r="H82" s="781" t="n"/>
      <c r="I82" s="781" t="n"/>
      <c r="J82" s="781" t="n"/>
      <c r="K82" s="781" t="n"/>
      <c r="L82" s="781" t="n"/>
      <c r="M82" s="781" t="n"/>
    </row>
    <row r="83" ht="15.5" customHeight="1" s="828">
      <c r="A83" s="780" t="n"/>
      <c r="B83" s="781" t="n"/>
      <c r="C83" s="781" t="n"/>
      <c r="D83" s="781" t="n"/>
      <c r="E83" s="781" t="n"/>
      <c r="F83" s="781" t="n"/>
      <c r="G83" s="781" t="n"/>
      <c r="H83" s="781" t="n"/>
      <c r="I83" s="781" t="n"/>
      <c r="J83" s="781" t="n"/>
      <c r="K83" s="781" t="n"/>
      <c r="L83" s="781" t="n"/>
      <c r="M83" s="781" t="n"/>
    </row>
    <row r="84" ht="15.5" customHeight="1" s="828">
      <c r="A84" s="780" t="n"/>
      <c r="B84" s="781" t="n"/>
      <c r="C84" s="781" t="n"/>
      <c r="D84" s="781" t="n"/>
      <c r="E84" s="781" t="n"/>
      <c r="F84" s="781" t="n"/>
      <c r="G84" s="781" t="n"/>
      <c r="H84" s="781" t="n"/>
      <c r="I84" s="781" t="n"/>
      <c r="J84" s="781" t="n"/>
      <c r="K84" s="781" t="n"/>
      <c r="L84" s="781" t="n"/>
      <c r="M84" s="781" t="n"/>
    </row>
  </sheetData>
  <pageMargins left="0.7" right="0.7" top="0.75" bottom="0.75" header="0.3" footer="0.3"/>
</worksheet>
</file>

<file path=xl/worksheets/sheet20.xml><?xml version="1.0" encoding="utf-8"?>
<worksheet xmlns="http://schemas.openxmlformats.org/spreadsheetml/2006/main">
  <sheetPr>
    <tabColor rgb="FF00B0F0"/>
    <outlinePr summaryBelow="1" summaryRight="1"/>
    <pageSetUpPr/>
  </sheetPr>
  <dimension ref="A1:J84"/>
  <sheetViews>
    <sheetView workbookViewId="0">
      <selection activeCell="A1" sqref="A1"/>
    </sheetView>
  </sheetViews>
  <sheetFormatPr baseColWidth="8" defaultRowHeight="14.5"/>
  <sheetData>
    <row r="1" ht="18" customHeight="1" s="828">
      <c r="A1" s="311" t="inlineStr">
        <is>
          <t>Worksheet 2a: Number of potential redundancies from HR1 forms by combined industries, GB [note 6] [note 7]</t>
        </is>
      </c>
      <c r="B1" s="308" t="n"/>
      <c r="C1" s="308" t="n"/>
      <c r="D1" s="308" t="n"/>
      <c r="E1" s="308" t="n"/>
      <c r="F1" s="308" t="n"/>
      <c r="G1" s="308" t="n"/>
      <c r="H1" s="308" t="n"/>
      <c r="I1" s="308" t="n"/>
      <c r="J1" s="308" t="n"/>
    </row>
    <row r="2" ht="15.5" customHeight="1" s="828">
      <c r="A2" s="310" t="inlineStr">
        <is>
          <t>This worksheet contains one table.</t>
        </is>
      </c>
      <c r="B2" s="308" t="n"/>
      <c r="C2" s="308" t="n"/>
      <c r="D2" s="308" t="n"/>
      <c r="E2" s="308" t="n"/>
      <c r="F2" s="308" t="n"/>
      <c r="G2" s="308" t="n"/>
      <c r="H2" s="308" t="n"/>
      <c r="I2" s="308" t="n"/>
      <c r="J2" s="308" t="n"/>
    </row>
    <row r="3" ht="15.5" customHeight="1" s="828">
      <c r="A3" s="313" t="inlineStr">
        <is>
          <t>Some shorthand is used in this table, [c] = confidential</t>
        </is>
      </c>
      <c r="B3" s="308" t="n"/>
      <c r="C3" s="308" t="n"/>
      <c r="D3" s="308" t="n"/>
      <c r="E3" s="308" t="n"/>
      <c r="F3" s="308" t="n"/>
      <c r="G3" s="308" t="n"/>
      <c r="H3" s="308" t="n"/>
      <c r="I3" s="308" t="n"/>
      <c r="J3" s="308" t="n"/>
    </row>
    <row r="4" ht="93" customHeight="1" s="828">
      <c r="A4" s="312" t="inlineStr">
        <is>
          <t>Month</t>
        </is>
      </c>
      <c r="B4" s="312" t="inlineStr">
        <is>
          <t>Manufacturing</t>
        </is>
      </c>
      <c r="C4" s="312" t="inlineStr">
        <is>
          <t>Energy and Water</t>
        </is>
      </c>
      <c r="D4" s="312" t="inlineStr">
        <is>
          <t>Construction</t>
        </is>
      </c>
      <c r="E4" s="312" t="inlineStr">
        <is>
          <t>Transport and Communication</t>
        </is>
      </c>
      <c r="F4" s="312" t="inlineStr">
        <is>
          <t>Distribution, Hotels and Restaurants</t>
        </is>
      </c>
      <c r="G4" s="312" t="inlineStr">
        <is>
          <t>Banking and Finance</t>
        </is>
      </c>
      <c r="H4" s="312" t="inlineStr">
        <is>
          <t>Public Admin, Education and Health</t>
        </is>
      </c>
      <c r="I4" s="312" t="inlineStr">
        <is>
          <t>Other Services</t>
        </is>
      </c>
      <c r="J4" s="312" t="inlineStr">
        <is>
          <t>GB</t>
        </is>
      </c>
    </row>
    <row r="5" ht="15.5" customHeight="1" s="828">
      <c r="A5" s="780" t="n">
        <v>43556</v>
      </c>
      <c r="B5" s="781" t="n">
        <v>2067</v>
      </c>
      <c r="C5" s="781" t="inlineStr">
        <is>
          <t>[c]</t>
        </is>
      </c>
      <c r="D5" s="781" t="n">
        <v>659</v>
      </c>
      <c r="E5" s="781" t="n">
        <v>1666</v>
      </c>
      <c r="F5" s="781" t="inlineStr">
        <is>
          <t>[c]</t>
        </is>
      </c>
      <c r="G5" s="781" t="n">
        <v>3517</v>
      </c>
      <c r="H5" s="781" t="n">
        <v>3100</v>
      </c>
      <c r="I5" s="781" t="n">
        <v>401</v>
      </c>
      <c r="J5" s="781" t="n">
        <v>82454</v>
      </c>
    </row>
    <row r="6" ht="15.5" customHeight="1" s="828">
      <c r="A6" s="780" t="n">
        <v>43586</v>
      </c>
      <c r="B6" s="781" t="n">
        <v>8362</v>
      </c>
      <c r="C6" s="781" t="n">
        <v>1177</v>
      </c>
      <c r="D6" s="781" t="n">
        <v>1107</v>
      </c>
      <c r="E6" s="781" t="n">
        <v>3570</v>
      </c>
      <c r="F6" s="781" t="n">
        <v>3998</v>
      </c>
      <c r="G6" s="781" t="n">
        <v>5877</v>
      </c>
      <c r="H6" s="781" t="n">
        <v>3286</v>
      </c>
      <c r="I6" s="781" t="n">
        <v>519</v>
      </c>
      <c r="J6" s="781" t="n">
        <v>27896</v>
      </c>
    </row>
    <row r="7" ht="15.5" customHeight="1" s="828">
      <c r="A7" s="780" t="n">
        <v>43617</v>
      </c>
      <c r="B7" s="781" t="n">
        <v>4594</v>
      </c>
      <c r="C7" s="781" t="n">
        <v>440</v>
      </c>
      <c r="D7" s="781" t="n">
        <v>903</v>
      </c>
      <c r="E7" s="781" t="n">
        <v>1642</v>
      </c>
      <c r="F7" s="781" t="n">
        <v>2322</v>
      </c>
      <c r="G7" s="781" t="n">
        <v>6505</v>
      </c>
      <c r="H7" s="781" t="n">
        <v>3629</v>
      </c>
      <c r="I7" s="781" t="n">
        <v>282</v>
      </c>
      <c r="J7" s="781" t="n">
        <v>20317</v>
      </c>
    </row>
    <row r="8" ht="15.5" customHeight="1" s="828">
      <c r="A8" s="780" t="n">
        <v>43647</v>
      </c>
      <c r="B8" s="781" t="n">
        <v>4441</v>
      </c>
      <c r="C8" s="781" t="n">
        <v>1011</v>
      </c>
      <c r="D8" s="781" t="n">
        <v>1330</v>
      </c>
      <c r="E8" s="781" t="n">
        <v>1827</v>
      </c>
      <c r="F8" s="781" t="n">
        <v>2045</v>
      </c>
      <c r="G8" s="781" t="n">
        <v>3807</v>
      </c>
      <c r="H8" s="781" t="n">
        <v>2374</v>
      </c>
      <c r="I8" s="781" t="n">
        <v>661</v>
      </c>
      <c r="J8" s="781" t="n">
        <v>17496</v>
      </c>
    </row>
    <row r="9" ht="15.5" customHeight="1" s="828">
      <c r="A9" s="780" t="n">
        <v>43678</v>
      </c>
      <c r="B9" s="781" t="n">
        <v>3151</v>
      </c>
      <c r="C9" s="781" t="n">
        <v>610</v>
      </c>
      <c r="D9" s="781" t="n">
        <v>591</v>
      </c>
      <c r="E9" s="781" t="n">
        <v>1282</v>
      </c>
      <c r="F9" s="781" t="n">
        <v>9468</v>
      </c>
      <c r="G9" s="781" t="n">
        <v>4015</v>
      </c>
      <c r="H9" s="781" t="n">
        <v>2400</v>
      </c>
      <c r="I9" s="781" t="n">
        <v>562</v>
      </c>
      <c r="J9" s="781" t="n">
        <v>22079</v>
      </c>
    </row>
    <row r="10" ht="15.5" customHeight="1" s="828">
      <c r="A10" s="780" t="n">
        <v>43709</v>
      </c>
      <c r="B10" s="781" t="n">
        <v>2894</v>
      </c>
      <c r="C10" s="781" t="n">
        <v>778</v>
      </c>
      <c r="D10" s="781" t="n">
        <v>1422</v>
      </c>
      <c r="E10" s="781" t="n">
        <v>4493</v>
      </c>
      <c r="F10" s="781" t="n">
        <v>2373</v>
      </c>
      <c r="G10" s="781" t="n">
        <v>7686</v>
      </c>
      <c r="H10" s="781" t="n">
        <v>4904</v>
      </c>
      <c r="I10" s="781" t="n">
        <v>418</v>
      </c>
      <c r="J10" s="781" t="n">
        <v>24968</v>
      </c>
    </row>
    <row r="11" ht="15.5" customHeight="1" s="828">
      <c r="A11" s="780" t="n">
        <v>43739</v>
      </c>
      <c r="B11" s="781" t="n">
        <v>4376</v>
      </c>
      <c r="C11" s="781" t="n">
        <v>995</v>
      </c>
      <c r="D11" s="781" t="n">
        <v>1433</v>
      </c>
      <c r="E11" s="781" t="n">
        <v>2260</v>
      </c>
      <c r="F11" s="781" t="n">
        <v>3949</v>
      </c>
      <c r="G11" s="781" t="n">
        <v>4254</v>
      </c>
      <c r="H11" s="781" t="n">
        <v>1882</v>
      </c>
      <c r="I11" s="781" t="n">
        <v>1795</v>
      </c>
      <c r="J11" s="781" t="n">
        <v>20944</v>
      </c>
    </row>
    <row r="12" ht="15.5" customHeight="1" s="828">
      <c r="A12" s="780" t="n">
        <v>43770</v>
      </c>
      <c r="B12" s="781" t="n">
        <v>3000</v>
      </c>
      <c r="C12" s="781" t="n">
        <v>150</v>
      </c>
      <c r="D12" s="781" t="n">
        <v>407</v>
      </c>
      <c r="E12" s="781" t="n">
        <v>2515</v>
      </c>
      <c r="F12" s="781" t="n">
        <v>4308</v>
      </c>
      <c r="G12" s="781" t="n">
        <v>5579</v>
      </c>
      <c r="H12" s="781" t="n">
        <v>1771</v>
      </c>
      <c r="I12" s="781" t="n">
        <v>516</v>
      </c>
      <c r="J12" s="781" t="n">
        <v>18246</v>
      </c>
    </row>
    <row r="13" ht="15.5" customHeight="1" s="828">
      <c r="A13" s="780" t="n">
        <v>43800</v>
      </c>
      <c r="B13" s="781" t="n">
        <v>2195</v>
      </c>
      <c r="C13" s="781" t="inlineStr">
        <is>
          <t>[c]</t>
        </is>
      </c>
      <c r="D13" s="781" t="n">
        <v>843</v>
      </c>
      <c r="E13" s="781" t="n">
        <v>915</v>
      </c>
      <c r="F13" s="781" t="n">
        <v>1762</v>
      </c>
      <c r="G13" s="781" t="n">
        <v>3721</v>
      </c>
      <c r="H13" s="781" t="n">
        <v>2079</v>
      </c>
      <c r="I13" s="781" t="inlineStr">
        <is>
          <t>[c]</t>
        </is>
      </c>
      <c r="J13" s="781" t="n">
        <v>16619</v>
      </c>
    </row>
    <row r="14" ht="15.5" customHeight="1" s="828">
      <c r="A14" s="780" t="n">
        <v>43831</v>
      </c>
      <c r="B14" s="781" t="n">
        <v>5611</v>
      </c>
      <c r="C14" s="781" t="n">
        <v>166</v>
      </c>
      <c r="D14" s="781" t="n">
        <v>1057</v>
      </c>
      <c r="E14" s="781" t="n">
        <v>1990</v>
      </c>
      <c r="F14" s="781" t="n">
        <v>7967</v>
      </c>
      <c r="G14" s="781" t="n">
        <v>4106</v>
      </c>
      <c r="H14" s="781" t="n">
        <v>4572</v>
      </c>
      <c r="I14" s="781" t="n">
        <v>1590</v>
      </c>
      <c r="J14" s="781" t="n">
        <v>27059</v>
      </c>
    </row>
    <row r="15" ht="15.5" customHeight="1" s="828">
      <c r="A15" s="780" t="n">
        <v>43862</v>
      </c>
      <c r="B15" s="781" t="n">
        <v>4256</v>
      </c>
      <c r="C15" s="781" t="inlineStr">
        <is>
          <t>[c]</t>
        </is>
      </c>
      <c r="D15" s="781" t="n">
        <v>1384</v>
      </c>
      <c r="E15" s="781" t="n">
        <v>2586</v>
      </c>
      <c r="F15" s="781" t="n">
        <v>8021</v>
      </c>
      <c r="G15" s="781" t="n">
        <v>5964</v>
      </c>
      <c r="H15" s="781" t="n">
        <v>2455</v>
      </c>
      <c r="I15" s="781" t="inlineStr">
        <is>
          <t>[c]</t>
        </is>
      </c>
      <c r="J15" s="781" t="n">
        <v>25140</v>
      </c>
    </row>
    <row r="16" ht="15.5" customHeight="1" s="828">
      <c r="A16" s="780" t="n">
        <v>43891</v>
      </c>
      <c r="B16" s="781" t="n">
        <v>4649</v>
      </c>
      <c r="C16" s="781" t="n">
        <v>369</v>
      </c>
      <c r="D16" s="781" t="n">
        <v>1711</v>
      </c>
      <c r="E16" s="781" t="n">
        <v>7707</v>
      </c>
      <c r="F16" s="781" t="n">
        <v>12436</v>
      </c>
      <c r="G16" s="781" t="n">
        <v>8504</v>
      </c>
      <c r="H16" s="781" t="n">
        <v>2661</v>
      </c>
      <c r="I16" s="781" t="n">
        <v>1250</v>
      </c>
      <c r="J16" s="781" t="n">
        <v>39287</v>
      </c>
    </row>
    <row r="17" ht="15.5" customHeight="1" s="828">
      <c r="A17" s="780" t="n">
        <v>43922</v>
      </c>
      <c r="B17" s="781" t="n">
        <v>3350</v>
      </c>
      <c r="C17" s="781" t="n">
        <v>2200</v>
      </c>
      <c r="D17" s="781" t="n">
        <v>2802</v>
      </c>
      <c r="E17" s="781" t="n">
        <v>16872</v>
      </c>
      <c r="F17" s="781" t="n">
        <v>20143</v>
      </c>
      <c r="G17" s="781" t="n">
        <v>7473</v>
      </c>
      <c r="H17" s="781" t="n">
        <v>1956</v>
      </c>
      <c r="I17" s="781" t="n">
        <v>1079</v>
      </c>
      <c r="J17" s="781" t="n">
        <v>55875</v>
      </c>
    </row>
    <row r="18" ht="15.5" customHeight="1" s="828">
      <c r="A18" s="780" t="n">
        <v>43952</v>
      </c>
      <c r="B18" s="781" t="n">
        <v>19792</v>
      </c>
      <c r="C18" s="781" t="n">
        <v>1739</v>
      </c>
      <c r="D18" s="781" t="n">
        <v>2290</v>
      </c>
      <c r="E18" s="781" t="n">
        <v>14801</v>
      </c>
      <c r="F18" s="781" t="n">
        <v>14523</v>
      </c>
      <c r="G18" s="781" t="n">
        <v>9962</v>
      </c>
      <c r="H18" s="781" t="n">
        <v>2702</v>
      </c>
      <c r="I18" s="781" t="n">
        <v>3481</v>
      </c>
      <c r="J18" s="781" t="n">
        <v>69290</v>
      </c>
    </row>
    <row r="19" ht="15.5" customHeight="1" s="828">
      <c r="A19" s="780" t="n">
        <v>43983</v>
      </c>
      <c r="B19" s="781" t="n">
        <v>23082</v>
      </c>
      <c r="C19" s="781" t="n">
        <v>4628</v>
      </c>
      <c r="D19" s="781" t="n">
        <v>4237</v>
      </c>
      <c r="E19" s="781" t="n">
        <v>33324</v>
      </c>
      <c r="F19" s="781" t="n">
        <v>40307</v>
      </c>
      <c r="G19" s="781" t="n">
        <v>26034</v>
      </c>
      <c r="H19" s="781" t="n">
        <v>5203</v>
      </c>
      <c r="I19" s="781" t="n">
        <v>8123</v>
      </c>
      <c r="J19" s="781" t="n">
        <v>144938</v>
      </c>
    </row>
    <row r="20" ht="15.5" customHeight="1" s="828">
      <c r="A20" s="780" t="n">
        <v>44013</v>
      </c>
      <c r="B20" s="781" t="n">
        <v>15452</v>
      </c>
      <c r="C20" s="781" t="n">
        <v>928</v>
      </c>
      <c r="D20" s="781" t="n">
        <v>2547</v>
      </c>
      <c r="E20" s="781" t="n">
        <v>11622</v>
      </c>
      <c r="F20" s="781" t="n">
        <v>38576</v>
      </c>
      <c r="G20" s="781" t="n">
        <v>22569</v>
      </c>
      <c r="H20" s="781" t="n">
        <v>5584</v>
      </c>
      <c r="I20" s="781" t="n">
        <v>11597</v>
      </c>
      <c r="J20" s="781" t="n">
        <v>108875</v>
      </c>
    </row>
    <row r="21" ht="15.5" customHeight="1" s="828">
      <c r="A21" s="780" t="n">
        <v>44044</v>
      </c>
      <c r="B21" s="781" t="n">
        <v>6569</v>
      </c>
      <c r="C21" s="781" t="n">
        <v>419</v>
      </c>
      <c r="D21" s="781" t="n">
        <v>1616</v>
      </c>
      <c r="E21" s="781" t="n">
        <v>5223</v>
      </c>
      <c r="F21" s="781" t="n">
        <v>13169</v>
      </c>
      <c r="G21" s="781" t="n">
        <v>12419</v>
      </c>
      <c r="H21" s="781" t="n">
        <v>3325</v>
      </c>
      <c r="I21" s="781" t="n">
        <v>7316</v>
      </c>
      <c r="J21" s="781" t="n">
        <v>50056</v>
      </c>
    </row>
    <row r="22" ht="15.5" customHeight="1" s="828">
      <c r="A22" s="780" t="n">
        <v>44075</v>
      </c>
      <c r="B22" s="781" t="n">
        <v>6560</v>
      </c>
      <c r="C22" s="781" t="n">
        <v>302</v>
      </c>
      <c r="D22" s="781" t="n">
        <v>762</v>
      </c>
      <c r="E22" s="781" t="n">
        <v>7626</v>
      </c>
      <c r="F22" s="781" t="n">
        <v>33858</v>
      </c>
      <c r="G22" s="781" t="n">
        <v>11565</v>
      </c>
      <c r="H22" s="781" t="n">
        <v>4370</v>
      </c>
      <c r="I22" s="781" t="n">
        <v>3147</v>
      </c>
      <c r="J22" s="781" t="n">
        <v>68190</v>
      </c>
    </row>
    <row r="23" ht="15.5" customHeight="1" s="828">
      <c r="A23" s="780" t="n">
        <v>44105</v>
      </c>
      <c r="B23" s="781" t="n">
        <v>5188</v>
      </c>
      <c r="C23" s="781" t="n">
        <v>857</v>
      </c>
      <c r="D23" s="781" t="n">
        <v>1407</v>
      </c>
      <c r="E23" s="781" t="n">
        <v>10573</v>
      </c>
      <c r="F23" s="781" t="n">
        <v>10636</v>
      </c>
      <c r="G23" s="781" t="n">
        <v>11319</v>
      </c>
      <c r="H23" s="781" t="n">
        <v>2907</v>
      </c>
      <c r="I23" s="781" t="n">
        <v>3215</v>
      </c>
      <c r="J23" s="781" t="n">
        <v>46102</v>
      </c>
    </row>
    <row r="24" ht="15.5" customHeight="1" s="828">
      <c r="A24" s="780" t="n">
        <v>44136</v>
      </c>
      <c r="B24" s="781" t="n">
        <v>6155</v>
      </c>
      <c r="C24" s="781" t="n">
        <v>371</v>
      </c>
      <c r="D24" s="781" t="n">
        <v>867</v>
      </c>
      <c r="E24" s="781" t="n">
        <v>3410</v>
      </c>
      <c r="F24" s="781" t="n">
        <v>12011</v>
      </c>
      <c r="G24" s="781" t="n">
        <v>5805</v>
      </c>
      <c r="H24" s="781" t="n">
        <v>3558</v>
      </c>
      <c r="I24" s="781" t="n">
        <v>751</v>
      </c>
      <c r="J24" s="781" t="n">
        <v>32928</v>
      </c>
    </row>
    <row r="25" ht="15.5" customHeight="1" s="828">
      <c r="A25" s="780" t="n">
        <v>44166</v>
      </c>
      <c r="B25" s="781" t="n">
        <v>1298</v>
      </c>
      <c r="C25" s="781" t="n">
        <v>295</v>
      </c>
      <c r="D25" s="781" t="n">
        <v>724</v>
      </c>
      <c r="E25" s="781" t="n">
        <v>2392</v>
      </c>
      <c r="F25" s="781" t="n">
        <v>10913</v>
      </c>
      <c r="G25" s="781" t="n">
        <v>2924</v>
      </c>
      <c r="H25" s="781" t="n">
        <v>1361</v>
      </c>
      <c r="I25" s="781" t="n">
        <v>380</v>
      </c>
      <c r="J25" s="781" t="n">
        <v>20287</v>
      </c>
    </row>
    <row r="26" ht="15.5" customHeight="1" s="828">
      <c r="A26" s="780" t="n">
        <v>44197</v>
      </c>
      <c r="B26" s="781" t="n">
        <v>2001</v>
      </c>
      <c r="C26" s="781" t="n">
        <v>4160</v>
      </c>
      <c r="D26" s="781" t="n">
        <v>375</v>
      </c>
      <c r="E26" s="781" t="n">
        <v>1866</v>
      </c>
      <c r="F26" s="781" t="n">
        <v>2741</v>
      </c>
      <c r="G26" s="781" t="n">
        <v>12593</v>
      </c>
      <c r="H26" s="781" t="n">
        <v>2647</v>
      </c>
      <c r="I26" s="781" t="n">
        <v>480</v>
      </c>
      <c r="J26" s="781" t="n">
        <v>26863</v>
      </c>
    </row>
    <row r="27" ht="15.5" customHeight="1" s="828">
      <c r="A27" s="780" t="n">
        <v>44228</v>
      </c>
      <c r="B27" s="781" t="n">
        <v>5459</v>
      </c>
      <c r="C27" s="781" t="n">
        <v>1196</v>
      </c>
      <c r="D27" s="781" t="n">
        <v>469</v>
      </c>
      <c r="E27" s="781" t="n">
        <v>3654</v>
      </c>
      <c r="F27" s="781" t="n">
        <v>5244</v>
      </c>
      <c r="G27" s="781" t="n">
        <v>4203</v>
      </c>
      <c r="H27" s="781" t="n">
        <v>1942</v>
      </c>
      <c r="I27" s="781" t="n">
        <v>517</v>
      </c>
      <c r="J27" s="781" t="n">
        <v>22684</v>
      </c>
    </row>
    <row r="28" ht="15.5" customHeight="1" s="828">
      <c r="A28" s="780" t="n">
        <v>44256</v>
      </c>
      <c r="B28" s="781" t="n">
        <v>3772</v>
      </c>
      <c r="C28" s="781" t="n">
        <v>326</v>
      </c>
      <c r="D28" s="781" t="n">
        <v>697</v>
      </c>
      <c r="E28" s="781" t="n">
        <v>3605</v>
      </c>
      <c r="F28" s="781" t="n">
        <v>5134</v>
      </c>
      <c r="G28" s="781" t="n">
        <v>3772</v>
      </c>
      <c r="H28" s="781" t="n">
        <v>3223</v>
      </c>
      <c r="I28" s="781" t="n">
        <v>605</v>
      </c>
      <c r="J28" s="781" t="n">
        <v>21134</v>
      </c>
    </row>
    <row r="29" ht="15.5" customHeight="1" s="828">
      <c r="A29" s="780" t="n">
        <v>44287</v>
      </c>
      <c r="B29" s="781" t="n">
        <v>1992</v>
      </c>
      <c r="C29" s="781" t="n">
        <v>650</v>
      </c>
      <c r="D29" s="781" t="n">
        <v>729</v>
      </c>
      <c r="E29" s="781" t="n">
        <v>1061</v>
      </c>
      <c r="F29" s="781" t="n">
        <v>3245</v>
      </c>
      <c r="G29" s="781" t="n">
        <v>3102</v>
      </c>
      <c r="H29" s="781" t="n">
        <v>4031</v>
      </c>
      <c r="I29" s="781" t="n">
        <v>339</v>
      </c>
      <c r="J29" s="781" t="n">
        <v>15149</v>
      </c>
    </row>
    <row r="30" ht="15.5" customHeight="1" s="828">
      <c r="A30" s="780" t="n">
        <v>44317</v>
      </c>
      <c r="B30" s="781" t="n">
        <v>4265</v>
      </c>
      <c r="C30" s="781" t="n">
        <v>1749</v>
      </c>
      <c r="D30" s="781" t="n">
        <v>520</v>
      </c>
      <c r="E30" s="781" t="n">
        <v>739</v>
      </c>
      <c r="F30" s="781" t="n">
        <v>1712</v>
      </c>
      <c r="G30" s="781" t="n">
        <v>5072</v>
      </c>
      <c r="H30" s="781" t="n">
        <v>2882</v>
      </c>
      <c r="I30" s="781" t="n">
        <v>461</v>
      </c>
      <c r="J30" s="781" t="n">
        <v>17400</v>
      </c>
    </row>
    <row r="31" ht="15.5" customHeight="1" s="828">
      <c r="A31" s="780" t="n">
        <v>44348</v>
      </c>
      <c r="B31" s="781" t="n">
        <v>4083</v>
      </c>
      <c r="C31" s="781" t="inlineStr">
        <is>
          <t>[c]</t>
        </is>
      </c>
      <c r="D31" s="781" t="n">
        <v>462</v>
      </c>
      <c r="E31" s="781" t="n">
        <v>1122</v>
      </c>
      <c r="F31" s="781" t="n">
        <v>933</v>
      </c>
      <c r="G31" s="781" t="n">
        <v>1214</v>
      </c>
      <c r="H31" s="781" t="n">
        <v>4689</v>
      </c>
      <c r="I31" s="781" t="inlineStr">
        <is>
          <t>[c]</t>
        </is>
      </c>
      <c r="J31" s="781" t="n">
        <v>12922</v>
      </c>
    </row>
    <row r="32" ht="15.5" customHeight="1" s="828">
      <c r="A32" s="780" t="n">
        <v>44378</v>
      </c>
      <c r="B32" s="781" t="n">
        <v>1881</v>
      </c>
      <c r="C32" s="781" t="n">
        <v>189</v>
      </c>
      <c r="D32" s="781" t="n">
        <v>272</v>
      </c>
      <c r="E32" s="781" t="n">
        <v>3837</v>
      </c>
      <c r="F32" s="781" t="n">
        <v>1177</v>
      </c>
      <c r="G32" s="781" t="n">
        <v>2677</v>
      </c>
      <c r="H32" s="781" t="n">
        <v>2328</v>
      </c>
      <c r="I32" s="781" t="n">
        <v>101</v>
      </c>
      <c r="J32" s="781" t="n">
        <v>12462</v>
      </c>
    </row>
    <row r="33" ht="15.5" customHeight="1" s="828">
      <c r="A33" s="780" t="n">
        <v>44409</v>
      </c>
      <c r="B33" s="781" t="n">
        <v>1820</v>
      </c>
      <c r="C33" s="781" t="n">
        <v>489</v>
      </c>
      <c r="D33" s="781" t="n">
        <v>224</v>
      </c>
      <c r="E33" s="781" t="n">
        <v>800</v>
      </c>
      <c r="F33" s="781" t="n">
        <v>2365</v>
      </c>
      <c r="G33" s="781" t="n">
        <v>1788</v>
      </c>
      <c r="H33" s="781" t="n">
        <v>2641</v>
      </c>
      <c r="I33" s="781" t="n">
        <v>319</v>
      </c>
      <c r="J33" s="781" t="n">
        <v>10446</v>
      </c>
    </row>
    <row r="34" ht="15.5" customHeight="1" s="828">
      <c r="A34" s="780" t="n">
        <v>44440</v>
      </c>
      <c r="B34" s="781" t="n">
        <v>1458</v>
      </c>
      <c r="C34" s="781" t="n">
        <v>579</v>
      </c>
      <c r="D34" s="781" t="n">
        <v>392</v>
      </c>
      <c r="E34" s="781" t="n">
        <v>534</v>
      </c>
      <c r="F34" s="781" t="n">
        <v>2540</v>
      </c>
      <c r="G34" s="781" t="n">
        <v>2006</v>
      </c>
      <c r="H34" s="781" t="n">
        <v>3232</v>
      </c>
      <c r="I34" s="781" t="n">
        <v>260</v>
      </c>
      <c r="J34" s="781" t="n">
        <v>11001</v>
      </c>
    </row>
    <row r="35" ht="15.5" customHeight="1" s="828">
      <c r="A35" s="780" t="n">
        <v>44470</v>
      </c>
      <c r="B35" s="781" t="n">
        <v>2234</v>
      </c>
      <c r="C35" s="781" t="n">
        <v>583</v>
      </c>
      <c r="D35" s="781" t="n">
        <v>566</v>
      </c>
      <c r="E35" s="781" t="n">
        <v>2231</v>
      </c>
      <c r="F35" s="781" t="n">
        <v>1766</v>
      </c>
      <c r="G35" s="781" t="n">
        <v>2908</v>
      </c>
      <c r="H35" s="781" t="n">
        <v>1622</v>
      </c>
      <c r="I35" s="781" t="n">
        <v>261</v>
      </c>
      <c r="J35" s="781" t="n">
        <v>12171</v>
      </c>
    </row>
    <row r="36" ht="15.5" customHeight="1" s="828">
      <c r="A36" s="780" t="n">
        <v>44501</v>
      </c>
      <c r="B36" s="781" t="n">
        <v>899</v>
      </c>
      <c r="C36" s="781" t="inlineStr">
        <is>
          <t>[c]</t>
        </is>
      </c>
      <c r="D36" s="781" t="n">
        <v>386</v>
      </c>
      <c r="E36" s="781" t="n">
        <v>452</v>
      </c>
      <c r="F36" s="781" t="n">
        <v>1089</v>
      </c>
      <c r="G36" s="781" t="n">
        <v>5928</v>
      </c>
      <c r="H36" s="781" t="n">
        <v>2852</v>
      </c>
      <c r="I36" s="781" t="inlineStr">
        <is>
          <t>[c]</t>
        </is>
      </c>
      <c r="J36" s="781" t="n">
        <v>12124</v>
      </c>
    </row>
    <row r="37" ht="15.5" customHeight="1" s="828">
      <c r="A37" s="780" t="n">
        <v>44531</v>
      </c>
      <c r="B37" s="781" t="n">
        <v>772</v>
      </c>
      <c r="C37" s="781" t="inlineStr">
        <is>
          <t>[c]</t>
        </is>
      </c>
      <c r="D37" s="781" t="n">
        <v>417</v>
      </c>
      <c r="E37" s="781" t="n">
        <v>355</v>
      </c>
      <c r="F37" s="781" t="n">
        <v>318</v>
      </c>
      <c r="G37" s="781" t="n">
        <v>1678</v>
      </c>
      <c r="H37" s="781" t="n">
        <v>2518</v>
      </c>
      <c r="I37" s="781" t="inlineStr">
        <is>
          <t>[c]</t>
        </is>
      </c>
      <c r="J37" s="781" t="n">
        <v>6209</v>
      </c>
    </row>
    <row r="38" ht="15.5" customHeight="1" s="828">
      <c r="A38" s="780" t="n">
        <v>44562</v>
      </c>
      <c r="B38" s="781" t="n">
        <v>1149</v>
      </c>
      <c r="C38" s="781" t="inlineStr">
        <is>
          <t>[c]</t>
        </is>
      </c>
      <c r="D38" s="781" t="inlineStr">
        <is>
          <t>[c]</t>
        </is>
      </c>
      <c r="E38" s="781" t="n">
        <v>1923</v>
      </c>
      <c r="F38" s="781" t="n">
        <v>1632</v>
      </c>
      <c r="G38" s="781" t="n">
        <v>1346</v>
      </c>
      <c r="H38" s="781" t="n">
        <v>1885</v>
      </c>
      <c r="I38" s="781" t="n">
        <v>508</v>
      </c>
      <c r="J38" s="781" t="n">
        <v>8869</v>
      </c>
    </row>
    <row r="39" ht="15.5" customHeight="1" s="828">
      <c r="A39" s="780" t="n">
        <v>44593</v>
      </c>
      <c r="B39" s="781" t="n">
        <v>1696</v>
      </c>
      <c r="C39" s="781" t="inlineStr">
        <is>
          <t>[c]</t>
        </is>
      </c>
      <c r="D39" s="781" t="n">
        <v>853</v>
      </c>
      <c r="E39" s="781" t="n">
        <v>3279</v>
      </c>
      <c r="F39" s="781" t="n">
        <v>2177</v>
      </c>
      <c r="G39" s="781" t="n">
        <v>5466</v>
      </c>
      <c r="H39" s="781" t="n">
        <v>4168</v>
      </c>
      <c r="I39" s="781" t="inlineStr">
        <is>
          <t>[c]</t>
        </is>
      </c>
      <c r="J39" s="781" t="n">
        <v>18103</v>
      </c>
    </row>
    <row r="40" ht="15.5" customHeight="1" s="828">
      <c r="A40" s="780" t="n">
        <v>44621</v>
      </c>
      <c r="B40" s="781" t="n">
        <v>2922</v>
      </c>
      <c r="C40" s="781" t="n">
        <v>1669</v>
      </c>
      <c r="D40" s="781" t="n">
        <v>608</v>
      </c>
      <c r="E40" s="781" t="n">
        <v>1026</v>
      </c>
      <c r="F40" s="781" t="n">
        <v>2904</v>
      </c>
      <c r="G40" s="781" t="n">
        <v>8998</v>
      </c>
      <c r="H40" s="781" t="n">
        <v>4604</v>
      </c>
      <c r="I40" s="781" t="n">
        <v>679</v>
      </c>
      <c r="J40" s="781" t="n">
        <v>23410</v>
      </c>
    </row>
    <row r="41" ht="15.5" customHeight="1" s="828">
      <c r="A41" s="780" t="n">
        <v>44652</v>
      </c>
      <c r="B41" s="781" t="n">
        <v>2161</v>
      </c>
      <c r="C41" s="781" t="n">
        <v>114</v>
      </c>
      <c r="D41" s="781" t="n">
        <v>732</v>
      </c>
      <c r="E41" s="781" t="n">
        <v>955</v>
      </c>
      <c r="F41" s="781" t="n">
        <v>5417</v>
      </c>
      <c r="G41" s="781" t="n">
        <v>2934</v>
      </c>
      <c r="H41" s="781" t="n">
        <v>1866</v>
      </c>
      <c r="I41" s="781" t="n">
        <v>472</v>
      </c>
      <c r="J41" s="781" t="n">
        <v>14651</v>
      </c>
    </row>
    <row r="42" ht="15.5" customHeight="1" s="828">
      <c r="A42" s="780" t="n">
        <v>44682</v>
      </c>
      <c r="B42" s="781" t="n">
        <v>1904</v>
      </c>
      <c r="C42" s="781" t="n">
        <v>83</v>
      </c>
      <c r="D42" s="781" t="n">
        <v>1268</v>
      </c>
      <c r="E42" s="781" t="n">
        <v>1870</v>
      </c>
      <c r="F42" s="781" t="n">
        <v>3525</v>
      </c>
      <c r="G42" s="781" t="n">
        <v>2268</v>
      </c>
      <c r="H42" s="781" t="n">
        <v>3398</v>
      </c>
      <c r="I42" s="781" t="n">
        <v>702</v>
      </c>
      <c r="J42" s="781" t="n">
        <v>15018</v>
      </c>
    </row>
    <row r="43" ht="15.5" customHeight="1" s="828">
      <c r="A43" s="780" t="n">
        <v>44713</v>
      </c>
      <c r="B43" s="781" t="n">
        <v>1661</v>
      </c>
      <c r="C43" s="781" t="inlineStr">
        <is>
          <t>[c]</t>
        </is>
      </c>
      <c r="D43" s="781" t="n">
        <v>239</v>
      </c>
      <c r="E43" s="781" t="n">
        <v>1222</v>
      </c>
      <c r="F43" s="781" t="n">
        <v>1839</v>
      </c>
      <c r="G43" s="781" t="n">
        <v>1863</v>
      </c>
      <c r="H43" s="781" t="n">
        <v>2613</v>
      </c>
      <c r="I43" s="781" t="inlineStr">
        <is>
          <t>[c]</t>
        </is>
      </c>
      <c r="J43" s="781" t="n">
        <v>10000</v>
      </c>
    </row>
    <row r="44" ht="15.5" customHeight="1" s="828">
      <c r="A44" s="780" t="n">
        <v>44743</v>
      </c>
      <c r="B44" s="781" t="n">
        <v>2343</v>
      </c>
      <c r="C44" s="781" t="inlineStr">
        <is>
          <t>[c]</t>
        </is>
      </c>
      <c r="D44" s="781" t="n">
        <v>735</v>
      </c>
      <c r="E44" s="781" t="n">
        <v>2248</v>
      </c>
      <c r="F44" s="781" t="n">
        <v>1789</v>
      </c>
      <c r="G44" s="781" t="n">
        <v>2206</v>
      </c>
      <c r="H44" s="781" t="n">
        <v>1708</v>
      </c>
      <c r="I44" s="781" t="inlineStr">
        <is>
          <t>[c]</t>
        </is>
      </c>
      <c r="J44" s="781" t="n">
        <v>11633</v>
      </c>
    </row>
    <row r="45" ht="15.5" customHeight="1" s="828">
      <c r="A45" s="780" t="n">
        <v>44774</v>
      </c>
      <c r="B45" s="781" t="n">
        <v>2938</v>
      </c>
      <c r="C45" s="781" t="inlineStr">
        <is>
          <t>[c]</t>
        </is>
      </c>
      <c r="D45" s="781" t="n">
        <v>2362</v>
      </c>
      <c r="E45" s="781" t="n">
        <v>1504</v>
      </c>
      <c r="F45" s="781" t="n">
        <v>2007</v>
      </c>
      <c r="G45" s="781" t="n">
        <v>2941</v>
      </c>
      <c r="H45" s="781" t="n">
        <v>2329</v>
      </c>
      <c r="I45" s="781" t="inlineStr">
        <is>
          <t>[c]</t>
        </is>
      </c>
      <c r="J45" s="781" t="n">
        <v>14706</v>
      </c>
    </row>
    <row r="46" ht="15.5" customHeight="1" s="828">
      <c r="A46" s="780" t="n">
        <v>44805</v>
      </c>
      <c r="B46" s="781" t="n">
        <v>3666</v>
      </c>
      <c r="C46" s="781" t="inlineStr">
        <is>
          <t>[c]</t>
        </is>
      </c>
      <c r="D46" s="781" t="inlineStr">
        <is>
          <t>[c]</t>
        </is>
      </c>
      <c r="E46" s="781" t="n">
        <v>1880</v>
      </c>
      <c r="F46" s="781" t="n">
        <v>2327</v>
      </c>
      <c r="G46" s="781" t="n">
        <v>2667</v>
      </c>
      <c r="H46" s="781" t="n">
        <v>2193</v>
      </c>
      <c r="I46" s="781" t="n">
        <v>424</v>
      </c>
      <c r="J46" s="781" t="n">
        <v>13694</v>
      </c>
    </row>
    <row r="47" ht="15.5" customHeight="1" s="828">
      <c r="A47" s="780" t="n">
        <v>44835</v>
      </c>
      <c r="B47" s="781" t="n">
        <v>3094</v>
      </c>
      <c r="C47" s="781" t="n">
        <v>157</v>
      </c>
      <c r="D47" s="781" t="n">
        <v>434</v>
      </c>
      <c r="E47" s="781" t="n">
        <v>1998</v>
      </c>
      <c r="F47" s="781" t="n">
        <v>1624</v>
      </c>
      <c r="G47" s="781" t="n">
        <v>3641</v>
      </c>
      <c r="H47" s="781" t="n">
        <v>1868</v>
      </c>
      <c r="I47" s="781" t="n">
        <v>754</v>
      </c>
      <c r="J47" s="781" t="n">
        <v>13570</v>
      </c>
    </row>
    <row r="48" ht="15.5" customHeight="1" s="828">
      <c r="A48" s="780" t="n">
        <v>44866</v>
      </c>
      <c r="B48" s="781" t="n">
        <v>4376</v>
      </c>
      <c r="C48" s="781" t="n">
        <v>268</v>
      </c>
      <c r="D48" s="781" t="n">
        <v>599</v>
      </c>
      <c r="E48" s="781" t="n">
        <v>5571</v>
      </c>
      <c r="F48" s="781" t="n">
        <v>1573</v>
      </c>
      <c r="G48" s="781" t="n">
        <v>3280</v>
      </c>
      <c r="H48" s="781" t="n">
        <v>4089</v>
      </c>
      <c r="I48" s="781" t="n">
        <v>507</v>
      </c>
      <c r="J48" s="781" t="n">
        <v>20263</v>
      </c>
    </row>
    <row r="49" ht="15.5" customHeight="1" s="828">
      <c r="A49" s="780" t="n">
        <v>44896</v>
      </c>
      <c r="B49" s="781" t="n">
        <v>937</v>
      </c>
      <c r="C49" s="781" t="inlineStr">
        <is>
          <t>[c]</t>
        </is>
      </c>
      <c r="D49" s="781" t="n">
        <v>238</v>
      </c>
      <c r="E49" s="781" t="n">
        <v>1435</v>
      </c>
      <c r="F49" s="781" t="n">
        <v>2782</v>
      </c>
      <c r="G49" s="781" t="n">
        <v>3017</v>
      </c>
      <c r="H49" s="781" t="n">
        <v>3619</v>
      </c>
      <c r="I49" s="781" t="inlineStr">
        <is>
          <t>[c]</t>
        </is>
      </c>
      <c r="J49" s="781" t="n">
        <v>12232</v>
      </c>
    </row>
    <row r="50" ht="15.5" customHeight="1" s="828">
      <c r="A50" s="780" t="n">
        <v>44927</v>
      </c>
      <c r="B50" s="781" t="n">
        <v>5432</v>
      </c>
      <c r="C50" s="781" t="inlineStr">
        <is>
          <t>[c]</t>
        </is>
      </c>
      <c r="D50" s="781" t="n">
        <v>608</v>
      </c>
      <c r="E50" s="781" t="n">
        <v>2768</v>
      </c>
      <c r="F50" s="781" t="n">
        <v>8446</v>
      </c>
      <c r="G50" s="781" t="n">
        <v>5240</v>
      </c>
      <c r="H50" s="781" t="n">
        <v>1635</v>
      </c>
      <c r="I50" s="781" t="inlineStr">
        <is>
          <t>[c]</t>
        </is>
      </c>
      <c r="J50" s="781" t="n">
        <v>24482</v>
      </c>
    </row>
    <row r="51" ht="15.5" customHeight="1" s="828">
      <c r="A51" s="780" t="n">
        <v>44958</v>
      </c>
      <c r="B51" s="781" t="n">
        <v>4389</v>
      </c>
      <c r="C51" s="781" t="inlineStr">
        <is>
          <t>[c]</t>
        </is>
      </c>
      <c r="D51" s="781" t="n">
        <v>1973</v>
      </c>
      <c r="E51" s="781" t="n">
        <v>6309</v>
      </c>
      <c r="F51" s="781" t="n">
        <v>5720</v>
      </c>
      <c r="G51" s="781" t="n">
        <v>5152</v>
      </c>
      <c r="H51" s="781" t="n">
        <v>8678</v>
      </c>
      <c r="I51" s="781" t="inlineStr">
        <is>
          <t>[c]</t>
        </is>
      </c>
      <c r="J51" s="781" t="n">
        <v>32892</v>
      </c>
    </row>
    <row r="52" ht="15.5" customHeight="1" s="828">
      <c r="A52" s="780" t="n">
        <v>44986</v>
      </c>
      <c r="B52" s="781" t="n">
        <v>4300</v>
      </c>
      <c r="C52" s="781" t="n">
        <v>302</v>
      </c>
      <c r="D52" s="781" t="n">
        <v>690</v>
      </c>
      <c r="E52" s="781" t="n">
        <v>3729</v>
      </c>
      <c r="F52" s="781" t="n">
        <v>3361</v>
      </c>
      <c r="G52" s="781" t="n">
        <v>5199</v>
      </c>
      <c r="H52" s="781" t="n">
        <v>4255</v>
      </c>
      <c r="I52" s="781" t="n">
        <v>732</v>
      </c>
      <c r="J52" s="781" t="n">
        <v>22568</v>
      </c>
    </row>
    <row r="53" ht="15.5" customHeight="1" s="828">
      <c r="A53" s="780" t="n">
        <v>45017</v>
      </c>
      <c r="B53" s="781" t="n">
        <v>4060</v>
      </c>
      <c r="C53" s="781" t="n">
        <v>394</v>
      </c>
      <c r="D53" s="781" t="n">
        <v>732</v>
      </c>
      <c r="E53" s="781" t="n">
        <v>2089</v>
      </c>
      <c r="F53" s="781" t="n">
        <v>2419</v>
      </c>
      <c r="G53" s="781" t="n">
        <v>6712</v>
      </c>
      <c r="H53" s="781" t="n">
        <v>1860</v>
      </c>
      <c r="I53" s="781" t="n">
        <v>390</v>
      </c>
      <c r="J53" s="781" t="n">
        <v>18656</v>
      </c>
    </row>
    <row r="54" ht="15.5" customHeight="1" s="828">
      <c r="A54" s="780" t="n">
        <v>45047</v>
      </c>
      <c r="B54" s="781" t="n">
        <v>3813</v>
      </c>
      <c r="C54" s="781" t="n">
        <v>125</v>
      </c>
      <c r="D54" s="781" t="n">
        <v>544</v>
      </c>
      <c r="E54" s="781" t="n">
        <v>2435</v>
      </c>
      <c r="F54" s="781" t="n">
        <v>2417</v>
      </c>
      <c r="G54" s="781" t="n">
        <v>4258</v>
      </c>
      <c r="H54" s="781" t="n">
        <v>3635</v>
      </c>
      <c r="I54" s="781" t="n">
        <v>227</v>
      </c>
      <c r="J54" s="781" t="n">
        <v>17454</v>
      </c>
    </row>
    <row r="55" ht="15.5" customHeight="1" s="828">
      <c r="A55" s="780" t="n">
        <v>45078</v>
      </c>
      <c r="B55" s="781" t="n">
        <v>4431</v>
      </c>
      <c r="C55" s="781" t="n">
        <v>189</v>
      </c>
      <c r="D55" s="781" t="n">
        <v>735</v>
      </c>
      <c r="E55" s="781" t="n">
        <v>6988</v>
      </c>
      <c r="F55" s="781" t="n">
        <v>1660</v>
      </c>
      <c r="G55" s="781" t="n">
        <v>4730</v>
      </c>
      <c r="H55" s="781" t="n">
        <v>3009</v>
      </c>
      <c r="I55" s="781" t="n">
        <v>783</v>
      </c>
      <c r="J55" s="781" t="n">
        <v>22525</v>
      </c>
    </row>
    <row r="56" ht="15.5" customHeight="1" s="828">
      <c r="A56" s="780" t="n">
        <v>45108</v>
      </c>
      <c r="B56" s="781" t="n">
        <v>3399</v>
      </c>
      <c r="C56" s="781" t="inlineStr">
        <is>
          <t>[c]</t>
        </is>
      </c>
      <c r="D56" s="781" t="n">
        <v>1365</v>
      </c>
      <c r="E56" s="781" t="n">
        <v>3734</v>
      </c>
      <c r="F56" s="781" t="n">
        <v>3617</v>
      </c>
      <c r="G56" s="781" t="n">
        <v>6902</v>
      </c>
      <c r="H56" s="781" t="n">
        <v>4066</v>
      </c>
      <c r="I56" s="781" t="inlineStr">
        <is>
          <t>[c]</t>
        </is>
      </c>
      <c r="J56" s="781" t="n">
        <v>23975</v>
      </c>
    </row>
    <row r="57" ht="15.5" customHeight="1" s="828">
      <c r="A57" s="780" t="n">
        <v>45139</v>
      </c>
      <c r="B57" s="781" t="n">
        <v>2519</v>
      </c>
      <c r="C57" s="781" t="inlineStr">
        <is>
          <t>[c]</t>
        </is>
      </c>
      <c r="D57" s="781" t="n">
        <v>639</v>
      </c>
      <c r="E57" s="781" t="n">
        <v>3154</v>
      </c>
      <c r="F57" s="781" t="n">
        <v>13652</v>
      </c>
      <c r="G57" s="781" t="n">
        <v>4075</v>
      </c>
      <c r="H57" s="781" t="n">
        <v>3220</v>
      </c>
      <c r="I57" s="781" t="inlineStr">
        <is>
          <t>[c]</t>
        </is>
      </c>
      <c r="J57" s="781" t="n">
        <v>27942</v>
      </c>
    </row>
    <row r="58" ht="15.5" customHeight="1" s="828">
      <c r="A58" s="783" t="n">
        <v>45170</v>
      </c>
      <c r="B58" s="781" t="n">
        <v>2854</v>
      </c>
      <c r="C58" s="781" t="inlineStr">
        <is>
          <t>[c]</t>
        </is>
      </c>
      <c r="D58" s="781" t="n">
        <v>393</v>
      </c>
      <c r="E58" s="781" t="n">
        <v>2501</v>
      </c>
      <c r="F58" s="781" t="n">
        <v>2208</v>
      </c>
      <c r="G58" s="781" t="n">
        <v>6668</v>
      </c>
      <c r="H58" s="781" t="n">
        <v>2080</v>
      </c>
      <c r="I58" s="781" t="inlineStr">
        <is>
          <t>[c]</t>
        </is>
      </c>
      <c r="J58" s="781" t="n">
        <v>17150</v>
      </c>
    </row>
    <row r="59" ht="15.5" customHeight="1" s="828">
      <c r="A59" s="780" t="n">
        <v>45200</v>
      </c>
      <c r="B59" s="781" t="n">
        <v>4555</v>
      </c>
      <c r="C59" s="781" t="n">
        <v>269</v>
      </c>
      <c r="D59" s="781" t="n">
        <v>1278</v>
      </c>
      <c r="E59" s="781" t="n">
        <v>3768</v>
      </c>
      <c r="F59" s="781" t="n">
        <v>1862</v>
      </c>
      <c r="G59" s="781" t="n">
        <v>5721</v>
      </c>
      <c r="H59" s="781" t="n">
        <v>3350</v>
      </c>
      <c r="I59" s="781" t="n">
        <v>803</v>
      </c>
      <c r="J59" s="781" t="n">
        <v>21606</v>
      </c>
    </row>
    <row r="60" ht="15.5" customHeight="1" s="828">
      <c r="A60" s="780" t="n">
        <v>45231</v>
      </c>
      <c r="B60" s="781" t="n">
        <v>5203</v>
      </c>
      <c r="C60" s="781" t="inlineStr">
        <is>
          <t>[c]</t>
        </is>
      </c>
      <c r="D60" s="781" t="n">
        <v>801</v>
      </c>
      <c r="E60" s="781" t="n">
        <v>3632</v>
      </c>
      <c r="F60" s="781" t="n">
        <v>3802</v>
      </c>
      <c r="G60" s="781" t="n">
        <v>15502</v>
      </c>
      <c r="H60" s="781" t="n">
        <v>3046</v>
      </c>
      <c r="I60" s="781" t="inlineStr">
        <is>
          <t>[c]</t>
        </is>
      </c>
      <c r="J60" s="781" t="n">
        <v>32694</v>
      </c>
    </row>
    <row r="61" ht="15.5" customHeight="1" s="828">
      <c r="A61" s="780" t="n">
        <v>45261</v>
      </c>
      <c r="B61" s="781" t="n">
        <v>2404</v>
      </c>
      <c r="C61" s="781" t="inlineStr">
        <is>
          <t>[c]</t>
        </is>
      </c>
      <c r="D61" s="781" t="n">
        <v>797</v>
      </c>
      <c r="E61" s="781" t="n">
        <v>2118</v>
      </c>
      <c r="F61" s="781" t="n">
        <v>2108</v>
      </c>
      <c r="G61" s="781" t="n">
        <v>3583</v>
      </c>
      <c r="H61" s="781" t="n">
        <v>4553</v>
      </c>
      <c r="I61" s="781" t="inlineStr">
        <is>
          <t>[c]</t>
        </is>
      </c>
      <c r="J61" s="781" t="n">
        <v>16233</v>
      </c>
    </row>
    <row r="62" ht="15.5" customHeight="1" s="828">
      <c r="A62" s="780" t="n">
        <v>45292</v>
      </c>
      <c r="B62" s="781" t="n">
        <v>4088</v>
      </c>
      <c r="C62" s="781" t="inlineStr">
        <is>
          <t>[c]</t>
        </is>
      </c>
      <c r="D62" s="781" t="n">
        <v>1348</v>
      </c>
      <c r="E62" s="781" t="n">
        <v>3629</v>
      </c>
      <c r="F62" s="781" t="n">
        <v>4243</v>
      </c>
      <c r="G62" s="781" t="n">
        <v>5246</v>
      </c>
      <c r="H62" s="781" t="n">
        <v>3577</v>
      </c>
      <c r="I62" s="781" t="inlineStr">
        <is>
          <t>[c]</t>
        </is>
      </c>
      <c r="J62" s="781" t="n">
        <v>23591</v>
      </c>
    </row>
    <row r="63" ht="15.5" customHeight="1" s="828">
      <c r="A63" s="780" t="n">
        <v>45323</v>
      </c>
      <c r="B63" s="781" t="n">
        <v>5261</v>
      </c>
      <c r="C63" s="781" t="n">
        <v>338</v>
      </c>
      <c r="D63" s="781" t="n">
        <v>788</v>
      </c>
      <c r="E63" s="781" t="n">
        <v>5477</v>
      </c>
      <c r="F63" s="781" t="n">
        <v>3376</v>
      </c>
      <c r="G63" s="781" t="n">
        <v>7365</v>
      </c>
      <c r="H63" s="781" t="n">
        <v>4962</v>
      </c>
      <c r="I63" s="781" t="n">
        <v>178</v>
      </c>
      <c r="J63" s="781" t="n">
        <v>27745</v>
      </c>
    </row>
    <row r="64" ht="15.5" customHeight="1" s="828">
      <c r="A64" s="780" t="n">
        <v>45352</v>
      </c>
      <c r="B64" s="781" t="n">
        <v>3338</v>
      </c>
      <c r="C64" s="781" t="inlineStr">
        <is>
          <t>[c]</t>
        </is>
      </c>
      <c r="D64" s="781" t="n">
        <v>614</v>
      </c>
      <c r="E64" s="781" t="n">
        <v>4435</v>
      </c>
      <c r="F64" s="781" t="n">
        <v>7044</v>
      </c>
      <c r="G64" s="781" t="n">
        <v>5134</v>
      </c>
      <c r="H64" s="781" t="n">
        <v>2812</v>
      </c>
      <c r="I64" s="781" t="inlineStr">
        <is>
          <t>[c]</t>
        </is>
      </c>
      <c r="J64" s="781" t="n">
        <v>23845</v>
      </c>
    </row>
    <row r="65" ht="15.5" customHeight="1" s="828">
      <c r="A65" s="780" t="n">
        <v>45383</v>
      </c>
      <c r="B65" s="781" t="n">
        <v>2489</v>
      </c>
      <c r="C65" s="781" t="n">
        <v>257</v>
      </c>
      <c r="D65" s="781" t="n">
        <v>562</v>
      </c>
      <c r="E65" s="781" t="n">
        <v>3215</v>
      </c>
      <c r="F65" s="781" t="n">
        <v>3100</v>
      </c>
      <c r="G65" s="781" t="n">
        <v>4590</v>
      </c>
      <c r="H65" s="781" t="n">
        <v>3014</v>
      </c>
      <c r="I65" s="781" t="n">
        <v>745</v>
      </c>
      <c r="J65" s="781" t="n">
        <v>17972</v>
      </c>
    </row>
    <row r="66" ht="15.5" customHeight="1" s="828">
      <c r="A66" s="780" t="n">
        <v>45413</v>
      </c>
      <c r="B66" s="781" t="n">
        <v>3103</v>
      </c>
      <c r="C66" s="781" t="n">
        <v>247</v>
      </c>
      <c r="D66" s="781" t="n">
        <v>1351</v>
      </c>
      <c r="E66" s="781" t="n">
        <v>2692</v>
      </c>
      <c r="F66" s="781" t="n">
        <v>5750</v>
      </c>
      <c r="G66" s="781" t="n">
        <v>4976</v>
      </c>
      <c r="H66" s="781" t="n">
        <v>5187</v>
      </c>
      <c r="I66" s="781" t="n">
        <v>450</v>
      </c>
      <c r="J66" s="781" t="n">
        <v>23756</v>
      </c>
    </row>
    <row r="67" ht="15.5" customHeight="1" s="828">
      <c r="A67" s="780" t="n">
        <v>45444</v>
      </c>
      <c r="B67" s="781" t="n">
        <v>2631</v>
      </c>
      <c r="C67" s="781" t="n">
        <v>234</v>
      </c>
      <c r="D67" s="781" t="n">
        <v>987</v>
      </c>
      <c r="E67" s="781" t="n">
        <v>4070</v>
      </c>
      <c r="F67" s="781" t="n">
        <v>2255</v>
      </c>
      <c r="G67" s="781" t="n">
        <v>3557</v>
      </c>
      <c r="H67" s="781" t="n">
        <v>1441</v>
      </c>
      <c r="I67" s="781" t="n">
        <v>524</v>
      </c>
      <c r="J67" s="781" t="n">
        <v>15699</v>
      </c>
    </row>
    <row r="68" ht="15.5" customHeight="1" s="828">
      <c r="A68" s="780" t="n">
        <v>45474</v>
      </c>
      <c r="B68" s="781" t="n">
        <v>4276</v>
      </c>
      <c r="C68" s="781" t="n">
        <v>1093</v>
      </c>
      <c r="D68" s="781" t="n">
        <v>1181</v>
      </c>
      <c r="E68" s="781" t="n">
        <v>4141</v>
      </c>
      <c r="F68" s="781" t="n">
        <v>2924</v>
      </c>
      <c r="G68" s="781" t="n">
        <v>3386</v>
      </c>
      <c r="H68" s="781" t="n">
        <v>2327</v>
      </c>
      <c r="I68" s="781" t="n">
        <v>872</v>
      </c>
      <c r="J68" s="781" t="n">
        <v>20200</v>
      </c>
    </row>
    <row r="69" ht="15.5" customHeight="1" s="828">
      <c r="A69" s="780" t="n">
        <v>45505</v>
      </c>
      <c r="B69" s="781" t="n">
        <v>2713</v>
      </c>
      <c r="C69" s="781" t="inlineStr">
        <is>
          <t>[c]</t>
        </is>
      </c>
      <c r="D69" s="781" t="n">
        <v>437</v>
      </c>
      <c r="E69" s="781" t="n">
        <v>1831</v>
      </c>
      <c r="F69" s="781" t="n">
        <v>2342</v>
      </c>
      <c r="G69" s="781" t="n">
        <v>3608</v>
      </c>
      <c r="H69" s="781" t="n">
        <v>2314</v>
      </c>
      <c r="I69" s="781" t="inlineStr">
        <is>
          <t>[c]</t>
        </is>
      </c>
      <c r="J69" s="781" t="n">
        <v>13700</v>
      </c>
    </row>
    <row r="70" ht="15.5" customHeight="1" s="828">
      <c r="A70" s="782" t="inlineStr">
        <is>
          <t xml:space="preserve"> Sep-24</t>
        </is>
      </c>
      <c r="B70" s="781" t="n">
        <v>3865</v>
      </c>
      <c r="C70" s="781" t="n">
        <v>211</v>
      </c>
      <c r="D70" s="781" t="n">
        <v>2694</v>
      </c>
      <c r="E70" s="781" t="n">
        <v>2333</v>
      </c>
      <c r="F70" s="781" t="n">
        <v>2840</v>
      </c>
      <c r="G70" s="781" t="n">
        <v>5259</v>
      </c>
      <c r="H70" s="781" t="n">
        <v>2693</v>
      </c>
      <c r="I70" s="781" t="n">
        <v>336</v>
      </c>
      <c r="J70" s="781" t="n">
        <v>20231</v>
      </c>
    </row>
    <row r="71" ht="15.5" customHeight="1" s="828">
      <c r="A71" s="780" t="n">
        <v>45566</v>
      </c>
      <c r="B71" s="781" t="n">
        <v>3270</v>
      </c>
      <c r="C71" s="781" t="n">
        <v>741</v>
      </c>
      <c r="D71" s="781" t="n">
        <v>719</v>
      </c>
      <c r="E71" s="781" t="n">
        <v>2202</v>
      </c>
      <c r="F71" s="781" t="n">
        <v>2547</v>
      </c>
      <c r="G71" s="781" t="n">
        <v>6138</v>
      </c>
      <c r="H71" s="781" t="n">
        <v>2930</v>
      </c>
      <c r="I71" s="781" t="n">
        <v>137</v>
      </c>
      <c r="J71" s="781" t="n">
        <v>18684</v>
      </c>
    </row>
    <row r="72" ht="15.5" customHeight="1" s="828">
      <c r="A72" s="780" t="n">
        <v>45597</v>
      </c>
      <c r="B72" s="781" t="n">
        <v>4456</v>
      </c>
      <c r="C72" s="781" t="n">
        <v>535</v>
      </c>
      <c r="D72" s="781" t="n">
        <v>459</v>
      </c>
      <c r="E72" s="781" t="n">
        <v>1794</v>
      </c>
      <c r="F72" s="781" t="n">
        <v>5884</v>
      </c>
      <c r="G72" s="781" t="n">
        <v>5820</v>
      </c>
      <c r="H72" s="781" t="n">
        <v>3197</v>
      </c>
      <c r="I72" s="781" t="n">
        <v>623</v>
      </c>
      <c r="J72" s="781" t="n">
        <v>22768</v>
      </c>
    </row>
    <row r="73" ht="15.5" customHeight="1" s="828">
      <c r="A73" s="780" t="n">
        <v>45627</v>
      </c>
      <c r="B73" s="781" t="n">
        <v>2497</v>
      </c>
      <c r="C73" s="781" t="n">
        <v>354</v>
      </c>
      <c r="D73" s="781" t="n">
        <v>435</v>
      </c>
      <c r="E73" s="781" t="n">
        <v>2127</v>
      </c>
      <c r="F73" s="781" t="n">
        <v>1091</v>
      </c>
      <c r="G73" s="781" t="n">
        <v>10104</v>
      </c>
      <c r="H73" s="781" t="n">
        <v>2207</v>
      </c>
      <c r="I73" s="781" t="n">
        <v>484</v>
      </c>
      <c r="J73" s="781" t="n">
        <v>19299</v>
      </c>
    </row>
    <row r="74" ht="15.5" customHeight="1" s="828">
      <c r="A74" s="780" t="n">
        <v>45658</v>
      </c>
      <c r="B74" s="781" t="n">
        <v>3594</v>
      </c>
      <c r="C74" s="781" t="n">
        <v>206</v>
      </c>
      <c r="D74" s="781" t="n">
        <v>1401</v>
      </c>
      <c r="E74" s="781" t="n">
        <v>3492</v>
      </c>
      <c r="F74" s="781" t="n">
        <v>4902</v>
      </c>
      <c r="G74" s="781" t="n">
        <v>4935</v>
      </c>
      <c r="H74" s="781" t="n">
        <v>3261</v>
      </c>
      <c r="I74" s="781" t="n">
        <v>573</v>
      </c>
      <c r="J74" s="781" t="n">
        <v>22364</v>
      </c>
    </row>
    <row r="75" ht="15.5" customHeight="1" s="828">
      <c r="A75" s="780" t="n">
        <v>45689</v>
      </c>
      <c r="B75" s="781" t="n">
        <v>3588</v>
      </c>
      <c r="C75" s="781" t="n">
        <v>275</v>
      </c>
      <c r="D75" s="781" t="n">
        <v>1759</v>
      </c>
      <c r="E75" s="781" t="n">
        <v>4400</v>
      </c>
      <c r="F75" s="781" t="n">
        <v>2456</v>
      </c>
      <c r="G75" s="781" t="n">
        <v>6062</v>
      </c>
      <c r="H75" s="781" t="n">
        <v>5867</v>
      </c>
      <c r="I75" s="781" t="n">
        <v>2331</v>
      </c>
      <c r="J75" s="781" t="n">
        <v>26738</v>
      </c>
    </row>
    <row r="76" ht="15.5" customHeight="1" s="828">
      <c r="A76" s="780" t="n">
        <v>45717</v>
      </c>
      <c r="B76" s="781" t="n">
        <v>5556</v>
      </c>
      <c r="C76" s="781" t="n">
        <v>1190</v>
      </c>
      <c r="D76" s="781" t="n">
        <v>900</v>
      </c>
      <c r="E76" s="781" t="n">
        <v>3646</v>
      </c>
      <c r="F76" s="781" t="n">
        <v>5353</v>
      </c>
      <c r="G76" s="781" t="n">
        <v>4811</v>
      </c>
      <c r="H76" s="781" t="n">
        <v>7053</v>
      </c>
      <c r="I76" s="781" t="n">
        <v>534</v>
      </c>
      <c r="J76" s="781" t="n">
        <v>29043</v>
      </c>
    </row>
    <row r="77" ht="15.5" customHeight="1" s="828">
      <c r="A77" s="780" t="n">
        <v>45748</v>
      </c>
      <c r="B77" s="781" t="n">
        <v>4096</v>
      </c>
      <c r="C77" s="781" t="n">
        <v>684</v>
      </c>
      <c r="D77" s="781" t="n">
        <v>565</v>
      </c>
      <c r="E77" s="781" t="n">
        <v>2171</v>
      </c>
      <c r="F77" s="781" t="n">
        <v>2690</v>
      </c>
      <c r="G77" s="781" t="n">
        <v>5259</v>
      </c>
      <c r="H77" s="781" t="n">
        <v>4395</v>
      </c>
      <c r="I77" s="781" t="n">
        <v>2907</v>
      </c>
      <c r="J77" s="781" t="n">
        <v>22767</v>
      </c>
    </row>
    <row r="78" ht="15.5" customHeight="1" s="828">
      <c r="A78" s="780" t="n">
        <v>45778</v>
      </c>
      <c r="B78" s="781" t="n">
        <v>2626</v>
      </c>
      <c r="C78" s="781" t="n">
        <v>508</v>
      </c>
      <c r="D78" s="781" t="n">
        <v>789</v>
      </c>
      <c r="E78" s="781" t="n">
        <v>2704</v>
      </c>
      <c r="F78" s="781" t="n">
        <v>2892</v>
      </c>
      <c r="G78" s="781" t="n">
        <v>6289</v>
      </c>
      <c r="H78" s="781" t="n">
        <v>6345</v>
      </c>
      <c r="I78" s="781" t="n">
        <v>542</v>
      </c>
      <c r="J78" s="781" t="n">
        <v>22695</v>
      </c>
    </row>
    <row r="79" ht="15.5" customHeight="1" s="828">
      <c r="A79" s="780" t="n">
        <v>45809</v>
      </c>
      <c r="B79" s="781" t="n">
        <v>3779</v>
      </c>
      <c r="C79" s="781" t="n">
        <v>597</v>
      </c>
      <c r="D79" s="781" t="n">
        <v>1200</v>
      </c>
      <c r="E79" s="781" t="n">
        <v>2835</v>
      </c>
      <c r="F79" s="781" t="n">
        <v>4238</v>
      </c>
      <c r="G79" s="781" t="n">
        <v>8713</v>
      </c>
      <c r="H79" s="781" t="n">
        <v>4173</v>
      </c>
      <c r="I79" s="781" t="n">
        <v>916</v>
      </c>
      <c r="J79" s="781" t="n">
        <v>26451</v>
      </c>
    </row>
    <row r="80" ht="15.5" customHeight="1" s="828">
      <c r="A80" s="780" t="n">
        <v>45839</v>
      </c>
      <c r="B80" s="781" t="n">
        <v>4274</v>
      </c>
      <c r="C80" s="781" t="n">
        <v>392</v>
      </c>
      <c r="D80" s="781" t="n">
        <v>1633</v>
      </c>
      <c r="E80" s="781" t="n">
        <v>3309</v>
      </c>
      <c r="F80" s="781" t="n">
        <v>4011</v>
      </c>
      <c r="G80" s="781" t="n">
        <v>5303</v>
      </c>
      <c r="H80" s="781" t="n">
        <v>2842</v>
      </c>
      <c r="I80" s="781" t="n">
        <v>1397</v>
      </c>
      <c r="J80" s="781" t="n">
        <v>23161</v>
      </c>
    </row>
    <row r="81" ht="15.5" customHeight="1" s="828">
      <c r="A81" s="780" t="n">
        <v>45870</v>
      </c>
      <c r="B81" s="781" t="n">
        <v>4110</v>
      </c>
      <c r="C81" s="781" t="n">
        <v>447</v>
      </c>
      <c r="D81" s="781" t="n">
        <v>240</v>
      </c>
      <c r="E81" s="781" t="n">
        <v>1747</v>
      </c>
      <c r="F81" s="781" t="n">
        <v>2382</v>
      </c>
      <c r="G81" s="781" t="n">
        <v>5472</v>
      </c>
      <c r="H81" s="781" t="n">
        <v>4752</v>
      </c>
      <c r="I81" s="781" t="n">
        <v>279</v>
      </c>
      <c r="J81" s="781" t="n">
        <v>19429</v>
      </c>
    </row>
    <row r="82" ht="15.5" customHeight="1" s="828">
      <c r="A82" s="780" t="n">
        <v>45901</v>
      </c>
      <c r="B82" s="781" t="n">
        <v>3260</v>
      </c>
      <c r="C82" s="781" t="n">
        <v>392</v>
      </c>
      <c r="D82" s="781" t="n">
        <v>759</v>
      </c>
      <c r="E82" s="781" t="n">
        <v>2606</v>
      </c>
      <c r="F82" s="781" t="n">
        <v>3342</v>
      </c>
      <c r="G82" s="781" t="n">
        <v>7177</v>
      </c>
      <c r="H82" s="781" t="n">
        <v>5902</v>
      </c>
      <c r="I82" s="781" t="n">
        <v>412</v>
      </c>
      <c r="J82" s="781" t="n">
        <v>23850</v>
      </c>
    </row>
    <row r="83" ht="15.5" customHeight="1" s="828">
      <c r="A83" s="780" t="n">
        <v>45931</v>
      </c>
      <c r="B83" s="781" t="n">
        <v>2435</v>
      </c>
      <c r="C83" s="781" t="n">
        <v>1039</v>
      </c>
      <c r="D83" s="781" t="n">
        <v>777</v>
      </c>
      <c r="E83" s="781" t="n">
        <v>3732</v>
      </c>
      <c r="F83" s="781" t="n">
        <v>3623</v>
      </c>
      <c r="G83" s="781" t="n">
        <v>8011</v>
      </c>
      <c r="H83" s="781" t="n">
        <v>3491</v>
      </c>
      <c r="I83" s="781" t="n">
        <v>1122</v>
      </c>
      <c r="J83" s="781" t="n">
        <v>24230</v>
      </c>
    </row>
    <row r="84" ht="15.5" customHeight="1" s="828">
      <c r="A84" s="780" t="n">
        <v>45962</v>
      </c>
      <c r="B84" s="781" t="n">
        <v>4195</v>
      </c>
      <c r="C84" s="781" t="n">
        <v>1578</v>
      </c>
      <c r="D84" s="781" t="n">
        <v>1025</v>
      </c>
      <c r="E84" s="781" t="n">
        <v>2871</v>
      </c>
      <c r="F84" s="781" t="n">
        <v>2462</v>
      </c>
      <c r="G84" s="781" t="n">
        <v>5350</v>
      </c>
      <c r="H84" s="781" t="n">
        <v>11442</v>
      </c>
      <c r="I84" s="781" t="n">
        <v>810</v>
      </c>
      <c r="J84" s="781" t="n">
        <v>29733</v>
      </c>
    </row>
  </sheetData>
  <pageMargins left="0.7" right="0.7" top="0.75" bottom="0.75" header="0.3" footer="0.3"/>
</worksheet>
</file>

<file path=xl/worksheets/sheet21.xml><?xml version="1.0" encoding="utf-8"?>
<worksheet xmlns="http://schemas.openxmlformats.org/spreadsheetml/2006/main">
  <sheetPr>
    <tabColor rgb="FF00B0F0"/>
    <outlinePr summaryBelow="1" summaryRight="1"/>
    <pageSetUpPr/>
  </sheetPr>
  <dimension ref="A1:J84"/>
  <sheetViews>
    <sheetView workbookViewId="0">
      <selection activeCell="A1" sqref="A1"/>
    </sheetView>
  </sheetViews>
  <sheetFormatPr baseColWidth="8" defaultRowHeight="14.5"/>
  <sheetData>
    <row r="1" ht="18" customHeight="1" s="828">
      <c r="A1" s="311" t="inlineStr">
        <is>
          <t>Worksheet 2b: Number of employers submitting HR1 forms by combined industries, GB [note 6] [note 7]</t>
        </is>
      </c>
      <c r="B1" s="308" t="n"/>
      <c r="C1" s="308" t="n"/>
      <c r="D1" s="308" t="n"/>
      <c r="E1" s="308" t="n"/>
      <c r="F1" s="308" t="n"/>
      <c r="G1" s="308" t="n"/>
      <c r="H1" s="308" t="n"/>
      <c r="I1" s="308" t="n"/>
      <c r="J1" s="308" t="n"/>
    </row>
    <row r="2" ht="15.5" customHeight="1" s="828">
      <c r="A2" s="310" t="inlineStr">
        <is>
          <t>This worksheet contains one table.</t>
        </is>
      </c>
      <c r="B2" s="308" t="n"/>
      <c r="C2" s="308" t="n"/>
      <c r="D2" s="308" t="n"/>
      <c r="E2" s="308" t="n"/>
      <c r="F2" s="308" t="n"/>
      <c r="G2" s="308" t="n"/>
      <c r="H2" s="308" t="n"/>
      <c r="I2" s="308" t="n"/>
      <c r="J2" s="308" t="n"/>
    </row>
    <row r="3" ht="15.5" customHeight="1" s="828">
      <c r="A3" s="313" t="inlineStr">
        <is>
          <t>Some shorthand is used in this table, [c] = confidential</t>
        </is>
      </c>
      <c r="B3" s="308" t="n"/>
      <c r="C3" s="308" t="n"/>
      <c r="D3" s="308" t="n"/>
      <c r="E3" s="308" t="n"/>
      <c r="F3" s="308" t="n"/>
      <c r="G3" s="308" t="n"/>
      <c r="H3" s="308" t="n"/>
      <c r="I3" s="308" t="n"/>
      <c r="J3" s="308" t="n"/>
    </row>
    <row r="4" ht="93" customHeight="1" s="828">
      <c r="A4" s="312" t="inlineStr">
        <is>
          <t>Month</t>
        </is>
      </c>
      <c r="B4" s="312" t="inlineStr">
        <is>
          <t>Manufacturing</t>
        </is>
      </c>
      <c r="C4" s="312" t="inlineStr">
        <is>
          <t>Energy and Water</t>
        </is>
      </c>
      <c r="D4" s="312" t="inlineStr">
        <is>
          <t>Construction</t>
        </is>
      </c>
      <c r="E4" s="312" t="inlineStr">
        <is>
          <t>Transport and Communication</t>
        </is>
      </c>
      <c r="F4" s="312" t="inlineStr">
        <is>
          <t>Distribution, Hotels and Restaurants</t>
        </is>
      </c>
      <c r="G4" s="312" t="inlineStr">
        <is>
          <t>Banking and Finance</t>
        </is>
      </c>
      <c r="H4" s="312" t="inlineStr">
        <is>
          <t>Public Admin, Education and Health</t>
        </is>
      </c>
      <c r="I4" s="312" t="inlineStr">
        <is>
          <t>Other Services</t>
        </is>
      </c>
      <c r="J4" s="312" t="inlineStr">
        <is>
          <t>GB</t>
        </is>
      </c>
    </row>
    <row r="5" ht="15.5" customHeight="1" s="828">
      <c r="A5" s="780" t="n">
        <v>43556</v>
      </c>
      <c r="B5" s="781" t="n">
        <v>37</v>
      </c>
      <c r="C5" s="781" t="inlineStr">
        <is>
          <t>[c]</t>
        </is>
      </c>
      <c r="D5" s="781" t="n">
        <v>14</v>
      </c>
      <c r="E5" s="781" t="n">
        <v>32</v>
      </c>
      <c r="F5" s="781" t="inlineStr">
        <is>
          <t>[c]</t>
        </is>
      </c>
      <c r="G5" s="781" t="n">
        <v>63</v>
      </c>
      <c r="H5" s="781" t="n">
        <v>50</v>
      </c>
      <c r="I5" s="781" t="n">
        <v>9</v>
      </c>
      <c r="J5" s="781" t="n">
        <v>256</v>
      </c>
    </row>
    <row r="6" ht="15.5" customHeight="1" s="828">
      <c r="A6" s="780" t="n">
        <v>43586</v>
      </c>
      <c r="B6" s="781" t="n">
        <v>55</v>
      </c>
      <c r="C6" s="781" t="n">
        <v>8</v>
      </c>
      <c r="D6" s="781" t="n">
        <v>14</v>
      </c>
      <c r="E6" s="781" t="n">
        <v>31</v>
      </c>
      <c r="F6" s="781" t="n">
        <v>60</v>
      </c>
      <c r="G6" s="781" t="n">
        <v>86</v>
      </c>
      <c r="H6" s="781" t="n">
        <v>53</v>
      </c>
      <c r="I6" s="781" t="n">
        <v>8</v>
      </c>
      <c r="J6" s="781" t="n">
        <v>315</v>
      </c>
    </row>
    <row r="7" ht="15.5" customHeight="1" s="828">
      <c r="A7" s="780" t="n">
        <v>43617</v>
      </c>
      <c r="B7" s="781" t="n">
        <v>54</v>
      </c>
      <c r="C7" s="781" t="n">
        <v>3</v>
      </c>
      <c r="D7" s="781" t="n">
        <v>17</v>
      </c>
      <c r="E7" s="781" t="n">
        <v>24</v>
      </c>
      <c r="F7" s="781" t="n">
        <v>48</v>
      </c>
      <c r="G7" s="781" t="n">
        <v>89</v>
      </c>
      <c r="H7" s="781" t="n">
        <v>41</v>
      </c>
      <c r="I7" s="781" t="n">
        <v>9</v>
      </c>
      <c r="J7" s="781" t="n">
        <v>285</v>
      </c>
    </row>
    <row r="8" ht="15.5" customHeight="1" s="828">
      <c r="A8" s="780" t="n">
        <v>43647</v>
      </c>
      <c r="B8" s="781" t="n">
        <v>41</v>
      </c>
      <c r="C8" s="781" t="n">
        <v>4</v>
      </c>
      <c r="D8" s="781" t="n">
        <v>23</v>
      </c>
      <c r="E8" s="781" t="n">
        <v>32</v>
      </c>
      <c r="F8" s="781" t="n">
        <v>41</v>
      </c>
      <c r="G8" s="781" t="n">
        <v>57</v>
      </c>
      <c r="H8" s="781" t="n">
        <v>34</v>
      </c>
      <c r="I8" s="781" t="n">
        <v>10</v>
      </c>
      <c r="J8" s="781" t="n">
        <v>242</v>
      </c>
    </row>
    <row r="9" ht="15.5" customHeight="1" s="828">
      <c r="A9" s="780" t="n">
        <v>43678</v>
      </c>
      <c r="B9" s="781" t="n">
        <v>37</v>
      </c>
      <c r="C9" s="781" t="n">
        <v>5</v>
      </c>
      <c r="D9" s="781" t="n">
        <v>12</v>
      </c>
      <c r="E9" s="781" t="n">
        <v>16</v>
      </c>
      <c r="F9" s="781" t="n">
        <v>36</v>
      </c>
      <c r="G9" s="781" t="n">
        <v>48</v>
      </c>
      <c r="H9" s="781" t="n">
        <v>28</v>
      </c>
      <c r="I9" s="781" t="n">
        <v>4</v>
      </c>
      <c r="J9" s="781" t="n">
        <v>186</v>
      </c>
    </row>
    <row r="10" ht="15.5" customHeight="1" s="828">
      <c r="A10" s="780" t="n">
        <v>43709</v>
      </c>
      <c r="B10" s="781" t="n">
        <v>51</v>
      </c>
      <c r="C10" s="781" t="n">
        <v>7</v>
      </c>
      <c r="D10" s="781" t="n">
        <v>14</v>
      </c>
      <c r="E10" s="781" t="n">
        <v>32</v>
      </c>
      <c r="F10" s="781" t="n">
        <v>46</v>
      </c>
      <c r="G10" s="781" t="n">
        <v>46</v>
      </c>
      <c r="H10" s="781" t="n">
        <v>38</v>
      </c>
      <c r="I10" s="781" t="n">
        <v>10</v>
      </c>
      <c r="J10" s="781" t="n">
        <v>244</v>
      </c>
    </row>
    <row r="11" ht="15.5" customHeight="1" s="828">
      <c r="A11" s="780" t="n">
        <v>43739</v>
      </c>
      <c r="B11" s="781" t="n">
        <v>62</v>
      </c>
      <c r="C11" s="781" t="n">
        <v>16</v>
      </c>
      <c r="D11" s="781" t="n">
        <v>22</v>
      </c>
      <c r="E11" s="781" t="n">
        <v>30</v>
      </c>
      <c r="F11" s="781" t="n">
        <v>55</v>
      </c>
      <c r="G11" s="781" t="n">
        <v>58</v>
      </c>
      <c r="H11" s="781" t="n">
        <v>30</v>
      </c>
      <c r="I11" s="781" t="n">
        <v>14</v>
      </c>
      <c r="J11" s="781" t="n">
        <v>287</v>
      </c>
    </row>
    <row r="12" ht="15.5" customHeight="1" s="828">
      <c r="A12" s="780" t="n">
        <v>43770</v>
      </c>
      <c r="B12" s="781" t="n">
        <v>47</v>
      </c>
      <c r="C12" s="781" t="n">
        <v>4</v>
      </c>
      <c r="D12" s="781" t="n">
        <v>12</v>
      </c>
      <c r="E12" s="781" t="n">
        <v>35</v>
      </c>
      <c r="F12" s="781" t="n">
        <v>37</v>
      </c>
      <c r="G12" s="781" t="n">
        <v>79</v>
      </c>
      <c r="H12" s="781" t="n">
        <v>31</v>
      </c>
      <c r="I12" s="781" t="n">
        <v>9</v>
      </c>
      <c r="J12" s="781" t="n">
        <v>254</v>
      </c>
    </row>
    <row r="13" ht="15.5" customHeight="1" s="828">
      <c r="A13" s="780" t="n">
        <v>43800</v>
      </c>
      <c r="B13" s="781" t="n">
        <v>34</v>
      </c>
      <c r="C13" s="781" t="inlineStr">
        <is>
          <t>[c]</t>
        </is>
      </c>
      <c r="D13" s="781" t="n">
        <v>12</v>
      </c>
      <c r="E13" s="781" t="n">
        <v>14</v>
      </c>
      <c r="F13" s="781" t="n">
        <v>34</v>
      </c>
      <c r="G13" s="781" t="n">
        <v>44</v>
      </c>
      <c r="H13" s="781" t="n">
        <v>19</v>
      </c>
      <c r="I13" s="781" t="inlineStr">
        <is>
          <t>[c]</t>
        </is>
      </c>
      <c r="J13" s="781" t="n">
        <v>164</v>
      </c>
    </row>
    <row r="14" ht="15.5" customHeight="1" s="828">
      <c r="A14" s="780" t="n">
        <v>43831</v>
      </c>
      <c r="B14" s="781" t="n">
        <v>66</v>
      </c>
      <c r="C14" s="781" t="n">
        <v>3</v>
      </c>
      <c r="D14" s="781" t="n">
        <v>12</v>
      </c>
      <c r="E14" s="781" t="n">
        <v>36</v>
      </c>
      <c r="F14" s="781" t="n">
        <v>68</v>
      </c>
      <c r="G14" s="781" t="n">
        <v>72</v>
      </c>
      <c r="H14" s="781" t="n">
        <v>42</v>
      </c>
      <c r="I14" s="781" t="n">
        <v>11</v>
      </c>
      <c r="J14" s="781" t="n">
        <v>310</v>
      </c>
    </row>
    <row r="15" ht="15.5" customHeight="1" s="828">
      <c r="A15" s="780" t="n">
        <v>43862</v>
      </c>
      <c r="B15" s="781" t="n">
        <v>63</v>
      </c>
      <c r="C15" s="781" t="inlineStr">
        <is>
          <t>[c]</t>
        </is>
      </c>
      <c r="D15" s="781" t="n">
        <v>18</v>
      </c>
      <c r="E15" s="781" t="n">
        <v>45</v>
      </c>
      <c r="F15" s="781" t="n">
        <v>40</v>
      </c>
      <c r="G15" s="781" t="n">
        <v>72</v>
      </c>
      <c r="H15" s="781" t="n">
        <v>42</v>
      </c>
      <c r="I15" s="781" t="inlineStr">
        <is>
          <t>[c]</t>
        </is>
      </c>
      <c r="J15" s="781" t="n">
        <v>288</v>
      </c>
    </row>
    <row r="16" ht="15.5" customHeight="1" s="828">
      <c r="A16" s="780" t="n">
        <v>43891</v>
      </c>
      <c r="B16" s="781" t="n">
        <v>56</v>
      </c>
      <c r="C16" s="781" t="n">
        <v>6</v>
      </c>
      <c r="D16" s="781" t="n">
        <v>29</v>
      </c>
      <c r="E16" s="781" t="n">
        <v>54</v>
      </c>
      <c r="F16" s="781" t="n">
        <v>90</v>
      </c>
      <c r="G16" s="781" t="n">
        <v>92</v>
      </c>
      <c r="H16" s="781" t="n">
        <v>37</v>
      </c>
      <c r="I16" s="781" t="n">
        <v>18</v>
      </c>
      <c r="J16" s="781" t="n">
        <v>382</v>
      </c>
    </row>
    <row r="17" ht="15.5" customHeight="1" s="828">
      <c r="A17" s="780" t="n">
        <v>43922</v>
      </c>
      <c r="B17" s="781" t="n">
        <v>47</v>
      </c>
      <c r="C17" s="781" t="n">
        <v>19</v>
      </c>
      <c r="D17" s="781" t="n">
        <v>21</v>
      </c>
      <c r="E17" s="781" t="n">
        <v>49</v>
      </c>
      <c r="F17" s="781" t="n">
        <v>57</v>
      </c>
      <c r="G17" s="781" t="n">
        <v>89</v>
      </c>
      <c r="H17" s="781" t="n">
        <v>18</v>
      </c>
      <c r="I17" s="781" t="n">
        <v>16</v>
      </c>
      <c r="J17" s="781" t="n">
        <v>316</v>
      </c>
    </row>
    <row r="18" ht="15.5" customHeight="1" s="828">
      <c r="A18" s="780" t="n">
        <v>43952</v>
      </c>
      <c r="B18" s="781" t="n">
        <v>182</v>
      </c>
      <c r="C18" s="781" t="n">
        <v>16</v>
      </c>
      <c r="D18" s="781" t="n">
        <v>39</v>
      </c>
      <c r="E18" s="781" t="n">
        <v>99</v>
      </c>
      <c r="F18" s="781" t="n">
        <v>136</v>
      </c>
      <c r="G18" s="781" t="n">
        <v>147</v>
      </c>
      <c r="H18" s="781" t="n">
        <v>31</v>
      </c>
      <c r="I18" s="781" t="n">
        <v>50</v>
      </c>
      <c r="J18" s="781" t="n">
        <v>700</v>
      </c>
    </row>
    <row r="19" ht="15.5" customHeight="1" s="828">
      <c r="A19" s="780" t="n">
        <v>43983</v>
      </c>
      <c r="B19" s="781" t="n">
        <v>280</v>
      </c>
      <c r="C19" s="781" t="n">
        <v>22</v>
      </c>
      <c r="D19" s="781" t="n">
        <v>67</v>
      </c>
      <c r="E19" s="781" t="n">
        <v>124</v>
      </c>
      <c r="F19" s="781" t="n">
        <v>495</v>
      </c>
      <c r="G19" s="781" t="n">
        <v>299</v>
      </c>
      <c r="H19" s="781" t="n">
        <v>85</v>
      </c>
      <c r="I19" s="781" t="n">
        <v>102</v>
      </c>
      <c r="J19" s="781" t="n">
        <v>1474</v>
      </c>
    </row>
    <row r="20" ht="15.5" customHeight="1" s="828">
      <c r="A20" s="780" t="n">
        <v>44013</v>
      </c>
      <c r="B20" s="781" t="n">
        <v>214</v>
      </c>
      <c r="C20" s="781" t="n">
        <v>13</v>
      </c>
      <c r="D20" s="781" t="n">
        <v>53</v>
      </c>
      <c r="E20" s="781" t="n">
        <v>131</v>
      </c>
      <c r="F20" s="781" t="n">
        <v>366</v>
      </c>
      <c r="G20" s="781" t="n">
        <v>304</v>
      </c>
      <c r="H20" s="781" t="n">
        <v>63</v>
      </c>
      <c r="I20" s="781" t="n">
        <v>106</v>
      </c>
      <c r="J20" s="781" t="n">
        <v>1250</v>
      </c>
    </row>
    <row r="21" ht="15.5" customHeight="1" s="828">
      <c r="A21" s="780" t="n">
        <v>44044</v>
      </c>
      <c r="B21" s="781" t="n">
        <v>97</v>
      </c>
      <c r="C21" s="781" t="n">
        <v>11</v>
      </c>
      <c r="D21" s="781" t="n">
        <v>31</v>
      </c>
      <c r="E21" s="781" t="n">
        <v>67</v>
      </c>
      <c r="F21" s="781" t="n">
        <v>212</v>
      </c>
      <c r="G21" s="781" t="n">
        <v>184</v>
      </c>
      <c r="H21" s="781" t="n">
        <v>49</v>
      </c>
      <c r="I21" s="781" t="n">
        <v>79</v>
      </c>
      <c r="J21" s="781" t="n">
        <v>730</v>
      </c>
    </row>
    <row r="22" ht="15.5" customHeight="1" s="828">
      <c r="A22" s="780" t="n">
        <v>44075</v>
      </c>
      <c r="B22" s="781" t="n">
        <v>110</v>
      </c>
      <c r="C22" s="781" t="n">
        <v>6</v>
      </c>
      <c r="D22" s="781" t="n">
        <v>18</v>
      </c>
      <c r="E22" s="781" t="n">
        <v>58</v>
      </c>
      <c r="F22" s="781" t="n">
        <v>214</v>
      </c>
      <c r="G22" s="781" t="n">
        <v>167</v>
      </c>
      <c r="H22" s="781" t="n">
        <v>54</v>
      </c>
      <c r="I22" s="781" t="n">
        <v>55</v>
      </c>
      <c r="J22" s="781" t="n">
        <v>682</v>
      </c>
    </row>
    <row r="23" ht="15.5" customHeight="1" s="828">
      <c r="A23" s="780" t="n">
        <v>44105</v>
      </c>
      <c r="B23" s="781" t="n">
        <v>86</v>
      </c>
      <c r="C23" s="781" t="n">
        <v>13</v>
      </c>
      <c r="D23" s="781" t="n">
        <v>18</v>
      </c>
      <c r="E23" s="781" t="n">
        <v>86</v>
      </c>
      <c r="F23" s="781" t="n">
        <v>164</v>
      </c>
      <c r="G23" s="781" t="n">
        <v>184</v>
      </c>
      <c r="H23" s="781" t="n">
        <v>39</v>
      </c>
      <c r="I23" s="781" t="n">
        <v>65</v>
      </c>
      <c r="J23" s="781" t="n">
        <v>655</v>
      </c>
    </row>
    <row r="24" ht="15.5" customHeight="1" s="828">
      <c r="A24" s="780" t="n">
        <v>44136</v>
      </c>
      <c r="B24" s="781" t="n">
        <v>51</v>
      </c>
      <c r="C24" s="781" t="n">
        <v>7</v>
      </c>
      <c r="D24" s="781" t="n">
        <v>16</v>
      </c>
      <c r="E24" s="781" t="n">
        <v>41</v>
      </c>
      <c r="F24" s="781" t="n">
        <v>89</v>
      </c>
      <c r="G24" s="781" t="n">
        <v>92</v>
      </c>
      <c r="H24" s="781" t="n">
        <v>40</v>
      </c>
      <c r="I24" s="781" t="n">
        <v>14</v>
      </c>
      <c r="J24" s="781" t="n">
        <v>350</v>
      </c>
    </row>
    <row r="25" ht="15.5" customHeight="1" s="828">
      <c r="A25" s="780" t="n">
        <v>44166</v>
      </c>
      <c r="B25" s="781" t="n">
        <v>24</v>
      </c>
      <c r="C25" s="781" t="n">
        <v>5</v>
      </c>
      <c r="D25" s="781" t="n">
        <v>8</v>
      </c>
      <c r="E25" s="781" t="n">
        <v>22</v>
      </c>
      <c r="F25" s="781" t="n">
        <v>71</v>
      </c>
      <c r="G25" s="781" t="n">
        <v>43</v>
      </c>
      <c r="H25" s="781" t="n">
        <v>24</v>
      </c>
      <c r="I25" s="781" t="n">
        <v>6</v>
      </c>
      <c r="J25" s="781" t="n">
        <v>203</v>
      </c>
    </row>
    <row r="26" ht="15.5" customHeight="1" s="828">
      <c r="A26" s="780" t="n">
        <v>44197</v>
      </c>
      <c r="B26" s="781" t="n">
        <v>35</v>
      </c>
      <c r="C26" s="781" t="n">
        <v>6</v>
      </c>
      <c r="D26" s="781" t="n">
        <v>8</v>
      </c>
      <c r="E26" s="781" t="n">
        <v>28</v>
      </c>
      <c r="F26" s="781" t="n">
        <v>50</v>
      </c>
      <c r="G26" s="781" t="n">
        <v>70</v>
      </c>
      <c r="H26" s="781" t="n">
        <v>37</v>
      </c>
      <c r="I26" s="781" t="n">
        <v>8</v>
      </c>
      <c r="J26" s="781" t="n">
        <v>242</v>
      </c>
    </row>
    <row r="27" ht="15.5" customHeight="1" s="828">
      <c r="A27" s="780" t="n">
        <v>44228</v>
      </c>
      <c r="B27" s="781" t="n">
        <v>47</v>
      </c>
      <c r="C27" s="781" t="n">
        <v>9</v>
      </c>
      <c r="D27" s="781" t="n">
        <v>10</v>
      </c>
      <c r="E27" s="781" t="n">
        <v>37</v>
      </c>
      <c r="F27" s="781" t="n">
        <v>41</v>
      </c>
      <c r="G27" s="781" t="n">
        <v>76</v>
      </c>
      <c r="H27" s="781" t="n">
        <v>35</v>
      </c>
      <c r="I27" s="781" t="n">
        <v>7</v>
      </c>
      <c r="J27" s="781" t="n">
        <v>262</v>
      </c>
    </row>
    <row r="28" ht="15.5" customHeight="1" s="828">
      <c r="A28" s="780" t="n">
        <v>44256</v>
      </c>
      <c r="B28" s="781" t="n">
        <v>53</v>
      </c>
      <c r="C28" s="781" t="n">
        <v>6</v>
      </c>
      <c r="D28" s="781" t="n">
        <v>12</v>
      </c>
      <c r="E28" s="781" t="n">
        <v>43</v>
      </c>
      <c r="F28" s="781" t="n">
        <v>53</v>
      </c>
      <c r="G28" s="781" t="n">
        <v>65</v>
      </c>
      <c r="H28" s="781" t="n">
        <v>40</v>
      </c>
      <c r="I28" s="781" t="n">
        <v>13</v>
      </c>
      <c r="J28" s="781" t="n">
        <v>285</v>
      </c>
    </row>
    <row r="29" ht="15.5" customHeight="1" s="828">
      <c r="A29" s="780" t="n">
        <v>44287</v>
      </c>
      <c r="B29" s="781" t="n">
        <v>32</v>
      </c>
      <c r="C29" s="781" t="n">
        <v>8</v>
      </c>
      <c r="D29" s="781" t="n">
        <v>13</v>
      </c>
      <c r="E29" s="781" t="n">
        <v>15</v>
      </c>
      <c r="F29" s="781" t="n">
        <v>38</v>
      </c>
      <c r="G29" s="781" t="n">
        <v>57</v>
      </c>
      <c r="H29" s="781" t="n">
        <v>37</v>
      </c>
      <c r="I29" s="781" t="n">
        <v>8</v>
      </c>
      <c r="J29" s="781" t="n">
        <v>208</v>
      </c>
    </row>
    <row r="30" ht="15.5" customHeight="1" s="828">
      <c r="A30" s="780" t="n">
        <v>44317</v>
      </c>
      <c r="B30" s="781" t="n">
        <v>41</v>
      </c>
      <c r="C30" s="781" t="n">
        <v>6</v>
      </c>
      <c r="D30" s="781" t="n">
        <v>8</v>
      </c>
      <c r="E30" s="781" t="n">
        <v>16</v>
      </c>
      <c r="F30" s="781" t="n">
        <v>33</v>
      </c>
      <c r="G30" s="781" t="n">
        <v>57</v>
      </c>
      <c r="H30" s="781" t="n">
        <v>40</v>
      </c>
      <c r="I30" s="781" t="n">
        <v>6</v>
      </c>
      <c r="J30" s="781" t="n">
        <v>207</v>
      </c>
    </row>
    <row r="31" ht="15.5" customHeight="1" s="828">
      <c r="A31" s="780" t="n">
        <v>44348</v>
      </c>
      <c r="B31" s="781" t="n">
        <v>21</v>
      </c>
      <c r="C31" s="781" t="inlineStr">
        <is>
          <t>[c]</t>
        </is>
      </c>
      <c r="D31" s="781" t="n">
        <v>9</v>
      </c>
      <c r="E31" s="781" t="n">
        <v>23</v>
      </c>
      <c r="F31" s="781" t="n">
        <v>21</v>
      </c>
      <c r="G31" s="781" t="n">
        <v>26</v>
      </c>
      <c r="H31" s="781" t="n">
        <v>40</v>
      </c>
      <c r="I31" s="781" t="inlineStr">
        <is>
          <t>[c]</t>
        </is>
      </c>
      <c r="J31" s="781" t="n">
        <v>150</v>
      </c>
    </row>
    <row r="32" ht="15.5" customHeight="1" s="828">
      <c r="A32" s="780" t="n">
        <v>44378</v>
      </c>
      <c r="B32" s="781" t="n">
        <v>22</v>
      </c>
      <c r="C32" s="781" t="n">
        <v>4</v>
      </c>
      <c r="D32" s="781" t="n">
        <v>6</v>
      </c>
      <c r="E32" s="781" t="n">
        <v>15</v>
      </c>
      <c r="F32" s="781" t="n">
        <v>22</v>
      </c>
      <c r="G32" s="781" t="n">
        <v>49</v>
      </c>
      <c r="H32" s="781" t="n">
        <v>28</v>
      </c>
      <c r="I32" s="781" t="n">
        <v>4</v>
      </c>
      <c r="J32" s="781" t="n">
        <v>150</v>
      </c>
    </row>
    <row r="33" ht="15.5" customHeight="1" s="828">
      <c r="A33" s="780" t="n">
        <v>44409</v>
      </c>
      <c r="B33" s="781" t="n">
        <v>22</v>
      </c>
      <c r="C33" s="781" t="n">
        <v>7</v>
      </c>
      <c r="D33" s="781" t="n">
        <v>6</v>
      </c>
      <c r="E33" s="781" t="n">
        <v>14</v>
      </c>
      <c r="F33" s="781" t="n">
        <v>33</v>
      </c>
      <c r="G33" s="781" t="n">
        <v>37</v>
      </c>
      <c r="H33" s="781" t="n">
        <v>35</v>
      </c>
      <c r="I33" s="781" t="n">
        <v>7</v>
      </c>
      <c r="J33" s="781" t="n">
        <v>161</v>
      </c>
    </row>
    <row r="34" ht="15.5" customHeight="1" s="828">
      <c r="A34" s="780" t="n">
        <v>44440</v>
      </c>
      <c r="B34" s="781" t="n">
        <v>25</v>
      </c>
      <c r="C34" s="781" t="n">
        <v>10</v>
      </c>
      <c r="D34" s="781" t="n">
        <v>9</v>
      </c>
      <c r="E34" s="781" t="n">
        <v>12</v>
      </c>
      <c r="F34" s="781" t="n">
        <v>38</v>
      </c>
      <c r="G34" s="781" t="n">
        <v>38</v>
      </c>
      <c r="H34" s="781" t="n">
        <v>23</v>
      </c>
      <c r="I34" s="781" t="n">
        <v>4</v>
      </c>
      <c r="J34" s="781" t="n">
        <v>159</v>
      </c>
    </row>
    <row r="35" ht="15.5" customHeight="1" s="828">
      <c r="A35" s="780" t="n">
        <v>44470</v>
      </c>
      <c r="B35" s="781" t="n">
        <v>30</v>
      </c>
      <c r="C35" s="781" t="n">
        <v>7</v>
      </c>
      <c r="D35" s="781" t="n">
        <v>5</v>
      </c>
      <c r="E35" s="781" t="n">
        <v>28</v>
      </c>
      <c r="F35" s="781" t="n">
        <v>24</v>
      </c>
      <c r="G35" s="781" t="n">
        <v>29</v>
      </c>
      <c r="H35" s="781" t="n">
        <v>23</v>
      </c>
      <c r="I35" s="781" t="n">
        <v>6</v>
      </c>
      <c r="J35" s="781" t="n">
        <v>152</v>
      </c>
    </row>
    <row r="36" ht="15.5" customHeight="1" s="828">
      <c r="A36" s="780" t="n">
        <v>44501</v>
      </c>
      <c r="B36" s="781" t="n">
        <v>15</v>
      </c>
      <c r="C36" s="781" t="inlineStr">
        <is>
          <t>[c]</t>
        </is>
      </c>
      <c r="D36" s="781" t="n">
        <v>6</v>
      </c>
      <c r="E36" s="781" t="n">
        <v>11</v>
      </c>
      <c r="F36" s="781" t="n">
        <v>23</v>
      </c>
      <c r="G36" s="781" t="n">
        <v>54</v>
      </c>
      <c r="H36" s="781" t="n">
        <v>20</v>
      </c>
      <c r="I36" s="781" t="inlineStr">
        <is>
          <t>[c]</t>
        </is>
      </c>
      <c r="J36" s="781" t="n">
        <v>136</v>
      </c>
    </row>
    <row r="37" ht="15.5" customHeight="1" s="828">
      <c r="A37" s="780" t="n">
        <v>44531</v>
      </c>
      <c r="B37" s="781" t="n">
        <v>13</v>
      </c>
      <c r="C37" s="781" t="inlineStr">
        <is>
          <t>[c]</t>
        </is>
      </c>
      <c r="D37" s="781" t="n">
        <v>9</v>
      </c>
      <c r="E37" s="781" t="n">
        <v>6</v>
      </c>
      <c r="F37" s="781" t="n">
        <v>8</v>
      </c>
      <c r="G37" s="781" t="n">
        <v>24</v>
      </c>
      <c r="H37" s="781" t="n">
        <v>16</v>
      </c>
      <c r="I37" s="781" t="inlineStr">
        <is>
          <t>[c]</t>
        </is>
      </c>
      <c r="J37" s="781" t="n">
        <v>80</v>
      </c>
    </row>
    <row r="38" ht="15.5" customHeight="1" s="828">
      <c r="A38" s="780" t="n">
        <v>44562</v>
      </c>
      <c r="B38" s="781" t="n">
        <v>21</v>
      </c>
      <c r="C38" s="781" t="inlineStr">
        <is>
          <t>[c]</t>
        </is>
      </c>
      <c r="D38" s="781" t="inlineStr">
        <is>
          <t>[c]</t>
        </is>
      </c>
      <c r="E38" s="781" t="n">
        <v>17</v>
      </c>
      <c r="F38" s="781" t="n">
        <v>35</v>
      </c>
      <c r="G38" s="781" t="n">
        <v>31</v>
      </c>
      <c r="H38" s="781" t="n">
        <v>21</v>
      </c>
      <c r="I38" s="781" t="n">
        <v>7</v>
      </c>
      <c r="J38" s="781" t="n">
        <v>140</v>
      </c>
    </row>
    <row r="39" ht="15.5" customHeight="1" s="828">
      <c r="A39" s="780" t="n">
        <v>44593</v>
      </c>
      <c r="B39" s="781" t="n">
        <v>27</v>
      </c>
      <c r="C39" s="781" t="inlineStr">
        <is>
          <t>[c]</t>
        </is>
      </c>
      <c r="D39" s="781" t="n">
        <v>13</v>
      </c>
      <c r="E39" s="781" t="n">
        <v>27</v>
      </c>
      <c r="F39" s="781" t="n">
        <v>27</v>
      </c>
      <c r="G39" s="781" t="n">
        <v>57</v>
      </c>
      <c r="H39" s="781" t="n">
        <v>40</v>
      </c>
      <c r="I39" s="781" t="inlineStr">
        <is>
          <t>[c]</t>
        </is>
      </c>
      <c r="J39" s="781" t="n">
        <v>201</v>
      </c>
    </row>
    <row r="40" ht="15.5" customHeight="1" s="828">
      <c r="A40" s="780" t="n">
        <v>44621</v>
      </c>
      <c r="B40" s="781" t="n">
        <v>39</v>
      </c>
      <c r="C40" s="781" t="n">
        <v>4</v>
      </c>
      <c r="D40" s="781" t="n">
        <v>10</v>
      </c>
      <c r="E40" s="781" t="n">
        <v>22</v>
      </c>
      <c r="F40" s="781" t="n">
        <v>44</v>
      </c>
      <c r="G40" s="781" t="n">
        <v>66</v>
      </c>
      <c r="H40" s="781" t="n">
        <v>29</v>
      </c>
      <c r="I40" s="781" t="n">
        <v>9</v>
      </c>
      <c r="J40" s="781" t="n">
        <v>223</v>
      </c>
    </row>
    <row r="41" ht="15.5" customHeight="1" s="828">
      <c r="A41" s="780" t="n">
        <v>44652</v>
      </c>
      <c r="B41" s="781" t="n">
        <v>32</v>
      </c>
      <c r="C41" s="781" t="n">
        <v>3</v>
      </c>
      <c r="D41" s="781" t="n">
        <v>12</v>
      </c>
      <c r="E41" s="781" t="n">
        <v>15</v>
      </c>
      <c r="F41" s="781" t="n">
        <v>35</v>
      </c>
      <c r="G41" s="781" t="n">
        <v>46</v>
      </c>
      <c r="H41" s="781" t="n">
        <v>19</v>
      </c>
      <c r="I41" s="781" t="n">
        <v>9</v>
      </c>
      <c r="J41" s="781" t="n">
        <v>171</v>
      </c>
    </row>
    <row r="42" ht="15.5" customHeight="1" s="828">
      <c r="A42" s="780" t="n">
        <v>44682</v>
      </c>
      <c r="B42" s="781" t="n">
        <v>37</v>
      </c>
      <c r="C42" s="781" t="n">
        <v>3</v>
      </c>
      <c r="D42" s="781" t="n">
        <v>14</v>
      </c>
      <c r="E42" s="781" t="n">
        <v>25</v>
      </c>
      <c r="F42" s="781" t="n">
        <v>51</v>
      </c>
      <c r="G42" s="781" t="n">
        <v>42</v>
      </c>
      <c r="H42" s="781" t="n">
        <v>28</v>
      </c>
      <c r="I42" s="781" t="n">
        <v>5</v>
      </c>
      <c r="J42" s="781" t="n">
        <v>205</v>
      </c>
    </row>
    <row r="43" ht="15.5" customHeight="1" s="828">
      <c r="A43" s="780" t="n">
        <v>44713</v>
      </c>
      <c r="B43" s="781" t="n">
        <v>28</v>
      </c>
      <c r="C43" s="781" t="inlineStr">
        <is>
          <t>[c]</t>
        </is>
      </c>
      <c r="D43" s="781" t="n">
        <v>5</v>
      </c>
      <c r="E43" s="781" t="n">
        <v>14</v>
      </c>
      <c r="F43" s="781" t="n">
        <v>33</v>
      </c>
      <c r="G43" s="781" t="n">
        <v>42</v>
      </c>
      <c r="H43" s="781" t="n">
        <v>40</v>
      </c>
      <c r="I43" s="781" t="inlineStr">
        <is>
          <t>[c]</t>
        </is>
      </c>
      <c r="J43" s="781" t="n">
        <v>167</v>
      </c>
    </row>
    <row r="44" ht="15.5" customHeight="1" s="828">
      <c r="A44" s="780" t="n">
        <v>44743</v>
      </c>
      <c r="B44" s="781" t="n">
        <v>34</v>
      </c>
      <c r="C44" s="781" t="inlineStr">
        <is>
          <t>[c]</t>
        </is>
      </c>
      <c r="D44" s="781" t="n">
        <v>17</v>
      </c>
      <c r="E44" s="781" t="n">
        <v>27</v>
      </c>
      <c r="F44" s="781" t="n">
        <v>28</v>
      </c>
      <c r="G44" s="781" t="n">
        <v>38</v>
      </c>
      <c r="H44" s="781" t="n">
        <v>27</v>
      </c>
      <c r="I44" s="781" t="inlineStr">
        <is>
          <t>[c]</t>
        </is>
      </c>
      <c r="J44" s="781" t="n">
        <v>178</v>
      </c>
    </row>
    <row r="45" ht="15.5" customHeight="1" s="828">
      <c r="A45" s="780" t="n">
        <v>44774</v>
      </c>
      <c r="B45" s="781" t="n">
        <v>42</v>
      </c>
      <c r="C45" s="781" t="inlineStr">
        <is>
          <t>[c]</t>
        </is>
      </c>
      <c r="D45" s="781" t="n">
        <v>19</v>
      </c>
      <c r="E45" s="781" t="n">
        <v>26</v>
      </c>
      <c r="F45" s="781" t="n">
        <v>35</v>
      </c>
      <c r="G45" s="781" t="n">
        <v>52</v>
      </c>
      <c r="H45" s="781" t="n">
        <v>21</v>
      </c>
      <c r="I45" s="781" t="inlineStr">
        <is>
          <t>[c]</t>
        </is>
      </c>
      <c r="J45" s="781" t="n">
        <v>205</v>
      </c>
    </row>
    <row r="46" ht="15.5" customHeight="1" s="828">
      <c r="A46" s="780" t="n">
        <v>44805</v>
      </c>
      <c r="B46" s="781" t="n">
        <v>45</v>
      </c>
      <c r="C46" s="781" t="inlineStr">
        <is>
          <t>[c]</t>
        </is>
      </c>
      <c r="D46" s="781" t="inlineStr">
        <is>
          <t>[c]</t>
        </is>
      </c>
      <c r="E46" s="781" t="n">
        <v>33</v>
      </c>
      <c r="F46" s="781" t="n">
        <v>32</v>
      </c>
      <c r="G46" s="781" t="n">
        <v>46</v>
      </c>
      <c r="H46" s="781" t="n">
        <v>30</v>
      </c>
      <c r="I46" s="781" t="n">
        <v>10</v>
      </c>
      <c r="J46" s="781" t="n">
        <v>207</v>
      </c>
    </row>
    <row r="47" ht="15.5" customHeight="1" s="828">
      <c r="A47" s="780" t="n">
        <v>44835</v>
      </c>
      <c r="B47" s="781" t="n">
        <v>45</v>
      </c>
      <c r="C47" s="781" t="n">
        <v>4</v>
      </c>
      <c r="D47" s="781" t="n">
        <v>10</v>
      </c>
      <c r="E47" s="781" t="n">
        <v>31</v>
      </c>
      <c r="F47" s="781" t="n">
        <v>39</v>
      </c>
      <c r="G47" s="781" t="n">
        <v>65</v>
      </c>
      <c r="H47" s="781" t="n">
        <v>22</v>
      </c>
      <c r="I47" s="781" t="n">
        <v>13</v>
      </c>
      <c r="J47" s="781" t="n">
        <v>229</v>
      </c>
    </row>
    <row r="48" ht="15.5" customHeight="1" s="828">
      <c r="A48" s="780" t="n">
        <v>44866</v>
      </c>
      <c r="B48" s="781" t="n">
        <v>57</v>
      </c>
      <c r="C48" s="781" t="n">
        <v>7</v>
      </c>
      <c r="D48" s="781" t="n">
        <v>16</v>
      </c>
      <c r="E48" s="781" t="n">
        <v>48</v>
      </c>
      <c r="F48" s="781" t="n">
        <v>31</v>
      </c>
      <c r="G48" s="781" t="n">
        <v>45</v>
      </c>
      <c r="H48" s="781" t="n">
        <v>37</v>
      </c>
      <c r="I48" s="781" t="n">
        <v>9</v>
      </c>
      <c r="J48" s="781" t="n">
        <v>250</v>
      </c>
    </row>
    <row r="49" ht="15.5" customHeight="1" s="828">
      <c r="A49" s="780" t="n">
        <v>44896</v>
      </c>
      <c r="B49" s="781" t="n">
        <v>19</v>
      </c>
      <c r="C49" s="781" t="inlineStr">
        <is>
          <t>[c]</t>
        </is>
      </c>
      <c r="D49" s="781" t="n">
        <v>6</v>
      </c>
      <c r="E49" s="781" t="n">
        <v>33</v>
      </c>
      <c r="F49" s="781" t="n">
        <v>37</v>
      </c>
      <c r="G49" s="781" t="n">
        <v>46</v>
      </c>
      <c r="H49" s="781" t="n">
        <v>26</v>
      </c>
      <c r="I49" s="781" t="inlineStr">
        <is>
          <t>[c]</t>
        </is>
      </c>
      <c r="J49" s="781" t="n">
        <v>173</v>
      </c>
    </row>
    <row r="50" ht="15.5" customHeight="1" s="828">
      <c r="A50" s="780" t="n">
        <v>44927</v>
      </c>
      <c r="B50" s="781" t="n">
        <v>60</v>
      </c>
      <c r="C50" s="781" t="inlineStr">
        <is>
          <t>[c]</t>
        </is>
      </c>
      <c r="D50" s="781" t="n">
        <v>16</v>
      </c>
      <c r="E50" s="781" t="n">
        <v>42</v>
      </c>
      <c r="F50" s="781" t="n">
        <v>68</v>
      </c>
      <c r="G50" s="781" t="n">
        <v>70</v>
      </c>
      <c r="H50" s="781" t="n">
        <v>35</v>
      </c>
      <c r="I50" s="781" t="inlineStr">
        <is>
          <t>[c]</t>
        </is>
      </c>
      <c r="J50" s="781" t="n">
        <v>302</v>
      </c>
    </row>
    <row r="51" ht="15.5" customHeight="1" s="828">
      <c r="A51" s="780" t="n">
        <v>44958</v>
      </c>
      <c r="B51" s="781" t="n">
        <v>54</v>
      </c>
      <c r="C51" s="781" t="n">
        <v>3</v>
      </c>
      <c r="D51" s="781" t="n">
        <v>23</v>
      </c>
      <c r="E51" s="781" t="n">
        <v>59</v>
      </c>
      <c r="F51" s="781" t="n">
        <v>49</v>
      </c>
      <c r="G51" s="781" t="n">
        <v>70</v>
      </c>
      <c r="H51" s="781" t="n">
        <v>43</v>
      </c>
      <c r="I51" s="781" t="n">
        <v>9</v>
      </c>
      <c r="J51" s="781" t="n">
        <v>310</v>
      </c>
    </row>
    <row r="52" ht="15.5" customHeight="1" s="828">
      <c r="A52" s="780" t="n">
        <v>44986</v>
      </c>
      <c r="B52" s="781" t="n">
        <v>56</v>
      </c>
      <c r="C52" s="781" t="n">
        <v>5</v>
      </c>
      <c r="D52" s="781" t="n">
        <v>16</v>
      </c>
      <c r="E52" s="781" t="n">
        <v>53</v>
      </c>
      <c r="F52" s="781" t="n">
        <v>69</v>
      </c>
      <c r="G52" s="781" t="n">
        <v>92</v>
      </c>
      <c r="H52" s="781" t="n">
        <v>39</v>
      </c>
      <c r="I52" s="781" t="n">
        <v>10</v>
      </c>
      <c r="J52" s="781" t="n">
        <v>340</v>
      </c>
    </row>
    <row r="53" ht="15.5" customHeight="1" s="828">
      <c r="A53" s="780" t="n">
        <v>45017</v>
      </c>
      <c r="B53" s="781" t="n">
        <v>51</v>
      </c>
      <c r="C53" s="781" t="n">
        <v>6</v>
      </c>
      <c r="D53" s="781" t="n">
        <v>17</v>
      </c>
      <c r="E53" s="781" t="n">
        <v>42</v>
      </c>
      <c r="F53" s="781" t="n">
        <v>49</v>
      </c>
      <c r="G53" s="781" t="n">
        <v>71</v>
      </c>
      <c r="H53" s="781" t="n">
        <v>35</v>
      </c>
      <c r="I53" s="781" t="n">
        <v>7</v>
      </c>
      <c r="J53" s="781" t="n">
        <v>278</v>
      </c>
    </row>
    <row r="54" ht="15.5" customHeight="1" s="828">
      <c r="A54" s="780" t="n">
        <v>45047</v>
      </c>
      <c r="B54" s="781" t="n">
        <v>53</v>
      </c>
      <c r="C54" s="781" t="n">
        <v>3</v>
      </c>
      <c r="D54" s="781" t="n">
        <v>11</v>
      </c>
      <c r="E54" s="781" t="n">
        <v>39</v>
      </c>
      <c r="F54" s="781" t="n">
        <v>49</v>
      </c>
      <c r="G54" s="781" t="n">
        <v>73</v>
      </c>
      <c r="H54" s="781" t="n">
        <v>36</v>
      </c>
      <c r="I54" s="781" t="n">
        <v>5</v>
      </c>
      <c r="J54" s="781" t="n">
        <v>269</v>
      </c>
    </row>
    <row r="55" ht="15.5" customHeight="1" s="828">
      <c r="A55" s="780" t="n">
        <v>45078</v>
      </c>
      <c r="B55" s="781" t="n">
        <v>49</v>
      </c>
      <c r="C55" s="781" t="n">
        <v>4</v>
      </c>
      <c r="D55" s="781" t="n">
        <v>15</v>
      </c>
      <c r="E55" s="781" t="n">
        <v>54</v>
      </c>
      <c r="F55" s="781" t="n">
        <v>31</v>
      </c>
      <c r="G55" s="781" t="n">
        <v>74</v>
      </c>
      <c r="H55" s="781" t="n">
        <v>50</v>
      </c>
      <c r="I55" s="781" t="n">
        <v>12</v>
      </c>
      <c r="J55" s="781" t="n">
        <v>289</v>
      </c>
    </row>
    <row r="56" ht="15.5" customHeight="1" s="828">
      <c r="A56" s="780" t="n">
        <v>45108</v>
      </c>
      <c r="B56" s="781" t="n">
        <v>42</v>
      </c>
      <c r="C56" s="781" t="inlineStr">
        <is>
          <t>[c]</t>
        </is>
      </c>
      <c r="D56" s="781" t="n">
        <v>20</v>
      </c>
      <c r="E56" s="781" t="n">
        <v>47</v>
      </c>
      <c r="F56" s="781" t="n">
        <v>48</v>
      </c>
      <c r="G56" s="781" t="n">
        <v>50</v>
      </c>
      <c r="H56" s="781" t="n">
        <v>42</v>
      </c>
      <c r="I56" s="781" t="inlineStr">
        <is>
          <t>[c]</t>
        </is>
      </c>
      <c r="J56" s="781" t="n">
        <v>260</v>
      </c>
    </row>
    <row r="57" ht="15.5" customHeight="1" s="828">
      <c r="A57" s="780" t="n">
        <v>45139</v>
      </c>
      <c r="B57" s="781" t="n">
        <v>39</v>
      </c>
      <c r="C57" s="781" t="n">
        <v>4</v>
      </c>
      <c r="D57" s="781" t="n">
        <v>12</v>
      </c>
      <c r="E57" s="781" t="n">
        <v>46</v>
      </c>
      <c r="F57" s="781" t="n">
        <v>32</v>
      </c>
      <c r="G57" s="781" t="n">
        <v>64</v>
      </c>
      <c r="H57" s="781" t="n">
        <v>38</v>
      </c>
      <c r="I57" s="781" t="n">
        <v>8</v>
      </c>
      <c r="J57" s="781" t="n">
        <v>243</v>
      </c>
    </row>
    <row r="58" ht="15.5" customHeight="1" s="828">
      <c r="A58" s="783" t="n">
        <v>45170</v>
      </c>
      <c r="B58" s="781" t="n">
        <v>43</v>
      </c>
      <c r="C58" s="781" t="inlineStr">
        <is>
          <t>[c]</t>
        </is>
      </c>
      <c r="D58" s="781" t="n">
        <v>7</v>
      </c>
      <c r="E58" s="781" t="n">
        <v>36</v>
      </c>
      <c r="F58" s="781" t="n">
        <v>52</v>
      </c>
      <c r="G58" s="781" t="n">
        <v>105</v>
      </c>
      <c r="H58" s="781" t="n">
        <v>38</v>
      </c>
      <c r="I58" s="781" t="inlineStr">
        <is>
          <t>[c]</t>
        </is>
      </c>
      <c r="J58" s="781" t="n">
        <v>288</v>
      </c>
    </row>
    <row r="59" ht="15.5" customHeight="1" s="828">
      <c r="A59" s="780" t="n">
        <v>45200</v>
      </c>
      <c r="B59" s="781" t="n">
        <v>48</v>
      </c>
      <c r="C59" s="781" t="n">
        <v>3</v>
      </c>
      <c r="D59" s="781" t="n">
        <v>21</v>
      </c>
      <c r="E59" s="781" t="n">
        <v>63</v>
      </c>
      <c r="F59" s="781" t="n">
        <v>36</v>
      </c>
      <c r="G59" s="781" t="n">
        <v>94</v>
      </c>
      <c r="H59" s="781" t="n">
        <v>29</v>
      </c>
      <c r="I59" s="781" t="n">
        <v>10</v>
      </c>
      <c r="J59" s="781" t="n">
        <v>304</v>
      </c>
    </row>
    <row r="60" ht="15.5" customHeight="1" s="828">
      <c r="A60" s="780" t="n">
        <v>45231</v>
      </c>
      <c r="B60" s="781" t="n">
        <v>65</v>
      </c>
      <c r="C60" s="781" t="inlineStr">
        <is>
          <t>[c]</t>
        </is>
      </c>
      <c r="D60" s="781" t="n">
        <v>16</v>
      </c>
      <c r="E60" s="781" t="n">
        <v>57</v>
      </c>
      <c r="F60" s="781" t="n">
        <v>52</v>
      </c>
      <c r="G60" s="781" t="n">
        <v>98</v>
      </c>
      <c r="H60" s="781" t="n">
        <v>39</v>
      </c>
      <c r="I60" s="781" t="inlineStr">
        <is>
          <t>[c]</t>
        </is>
      </c>
      <c r="J60" s="781" t="n">
        <v>340</v>
      </c>
    </row>
    <row r="61" ht="15.5" customHeight="1" s="828">
      <c r="A61" s="780" t="n">
        <v>45261</v>
      </c>
      <c r="B61" s="781" t="n">
        <v>39</v>
      </c>
      <c r="C61" s="781" t="inlineStr">
        <is>
          <t>[c]</t>
        </is>
      </c>
      <c r="D61" s="781" t="n">
        <v>9</v>
      </c>
      <c r="E61" s="781" t="n">
        <v>23</v>
      </c>
      <c r="F61" s="781" t="n">
        <v>33</v>
      </c>
      <c r="G61" s="781" t="n">
        <v>50</v>
      </c>
      <c r="H61" s="781" t="n">
        <v>28</v>
      </c>
      <c r="I61" s="781" t="inlineStr">
        <is>
          <t>[c]</t>
        </is>
      </c>
      <c r="J61" s="781" t="n">
        <v>190</v>
      </c>
    </row>
    <row r="62" ht="15.5" customHeight="1" s="828">
      <c r="A62" s="780" t="n">
        <v>45292</v>
      </c>
      <c r="B62" s="781" t="n">
        <v>51</v>
      </c>
      <c r="C62" s="781" t="n">
        <v>5</v>
      </c>
      <c r="D62" s="781" t="n">
        <v>20</v>
      </c>
      <c r="E62" s="781" t="n">
        <v>52</v>
      </c>
      <c r="F62" s="781" t="n">
        <v>85</v>
      </c>
      <c r="G62" s="781" t="n">
        <v>74</v>
      </c>
      <c r="H62" s="781" t="n">
        <v>49</v>
      </c>
      <c r="I62" s="781" t="n">
        <v>12</v>
      </c>
      <c r="J62" s="781" t="n">
        <v>348</v>
      </c>
    </row>
    <row r="63" ht="15.5" customHeight="1" s="828">
      <c r="A63" s="780" t="n">
        <v>45323</v>
      </c>
      <c r="B63" s="781" t="n">
        <v>50</v>
      </c>
      <c r="C63" s="781" t="n">
        <v>6</v>
      </c>
      <c r="D63" s="781" t="n">
        <v>18</v>
      </c>
      <c r="E63" s="781" t="n">
        <v>71</v>
      </c>
      <c r="F63" s="781" t="n">
        <v>56</v>
      </c>
      <c r="G63" s="781" t="n">
        <v>105</v>
      </c>
      <c r="H63" s="781" t="n">
        <v>54</v>
      </c>
      <c r="I63" s="781" t="n">
        <v>5</v>
      </c>
      <c r="J63" s="781" t="n">
        <v>365</v>
      </c>
    </row>
    <row r="64" ht="15.5" customHeight="1" s="828">
      <c r="A64" s="780" t="n">
        <v>45352</v>
      </c>
      <c r="B64" s="781" t="n">
        <v>53</v>
      </c>
      <c r="C64" s="781" t="inlineStr">
        <is>
          <t>[c]</t>
        </is>
      </c>
      <c r="D64" s="781" t="n">
        <v>13</v>
      </c>
      <c r="E64" s="781" t="n">
        <v>55</v>
      </c>
      <c r="F64" s="781" t="n">
        <v>85</v>
      </c>
      <c r="G64" s="781" t="n">
        <v>75</v>
      </c>
      <c r="H64" s="781" t="n">
        <v>50</v>
      </c>
      <c r="I64" s="781" t="inlineStr">
        <is>
          <t>[c]</t>
        </is>
      </c>
      <c r="J64" s="781" t="n">
        <v>344</v>
      </c>
    </row>
    <row r="65" ht="15.5" customHeight="1" s="828">
      <c r="A65" s="780" t="n">
        <v>45383</v>
      </c>
      <c r="B65" s="781" t="n">
        <v>48</v>
      </c>
      <c r="C65" s="781" t="n">
        <v>5</v>
      </c>
      <c r="D65" s="781" t="n">
        <v>12</v>
      </c>
      <c r="E65" s="781" t="n">
        <v>44</v>
      </c>
      <c r="F65" s="781" t="n">
        <v>45</v>
      </c>
      <c r="G65" s="781" t="n">
        <v>76</v>
      </c>
      <c r="H65" s="781" t="n">
        <v>42</v>
      </c>
      <c r="I65" s="781" t="n">
        <v>6</v>
      </c>
      <c r="J65" s="781" t="n">
        <v>278</v>
      </c>
    </row>
    <row r="66" ht="15.5" customHeight="1" s="828">
      <c r="A66" s="780" t="n">
        <v>45413</v>
      </c>
      <c r="B66" s="781" t="n">
        <v>49</v>
      </c>
      <c r="C66" s="781" t="n">
        <v>4</v>
      </c>
      <c r="D66" s="781" t="n">
        <v>17</v>
      </c>
      <c r="E66" s="781" t="n">
        <v>41</v>
      </c>
      <c r="F66" s="781" t="n">
        <v>71</v>
      </c>
      <c r="G66" s="781" t="n">
        <v>98</v>
      </c>
      <c r="H66" s="781" t="n">
        <v>59</v>
      </c>
      <c r="I66" s="781" t="n">
        <v>10</v>
      </c>
      <c r="J66" s="781" t="n">
        <v>349</v>
      </c>
    </row>
    <row r="67" ht="15.5" customHeight="1" s="828">
      <c r="A67" s="780" t="n">
        <v>45444</v>
      </c>
      <c r="B67" s="781" t="n">
        <v>36</v>
      </c>
      <c r="C67" s="781" t="n">
        <v>4</v>
      </c>
      <c r="D67" s="781" t="n">
        <v>17</v>
      </c>
      <c r="E67" s="781" t="n">
        <v>53</v>
      </c>
      <c r="F67" s="781" t="n">
        <v>36</v>
      </c>
      <c r="G67" s="781" t="n">
        <v>62</v>
      </c>
      <c r="H67" s="781" t="n">
        <v>24</v>
      </c>
      <c r="I67" s="781" t="n">
        <v>5</v>
      </c>
      <c r="J67" s="781" t="n">
        <v>237</v>
      </c>
    </row>
    <row r="68" ht="15.5" customHeight="1" s="828">
      <c r="A68" s="780" t="n">
        <v>45474</v>
      </c>
      <c r="B68" s="781" t="n">
        <v>52</v>
      </c>
      <c r="C68" s="781" t="n">
        <v>11</v>
      </c>
      <c r="D68" s="781" t="n">
        <v>19</v>
      </c>
      <c r="E68" s="781" t="n">
        <v>62</v>
      </c>
      <c r="F68" s="781" t="n">
        <v>51</v>
      </c>
      <c r="G68" s="781" t="n">
        <v>67</v>
      </c>
      <c r="H68" s="781" t="n">
        <v>42</v>
      </c>
      <c r="I68" s="781" t="n">
        <v>11</v>
      </c>
      <c r="J68" s="781" t="n">
        <v>315</v>
      </c>
    </row>
    <row r="69" ht="15.5" customHeight="1" s="828">
      <c r="A69" s="780" t="n">
        <v>45505</v>
      </c>
      <c r="B69" s="781" t="n">
        <v>42</v>
      </c>
      <c r="C69" s="781" t="inlineStr">
        <is>
          <t>[c]</t>
        </is>
      </c>
      <c r="D69" s="781" t="n">
        <v>12</v>
      </c>
      <c r="E69" s="781" t="n">
        <v>29</v>
      </c>
      <c r="F69" s="781" t="n">
        <v>45</v>
      </c>
      <c r="G69" s="781" t="n">
        <v>64</v>
      </c>
      <c r="H69" s="781" t="n">
        <v>38</v>
      </c>
      <c r="I69" s="781" t="inlineStr">
        <is>
          <t>[c]</t>
        </is>
      </c>
      <c r="J69" s="781" t="n">
        <v>240</v>
      </c>
    </row>
    <row r="70" ht="15.5" customHeight="1" s="828">
      <c r="A70" s="782" t="inlineStr">
        <is>
          <t xml:space="preserve"> Sep-24</t>
        </is>
      </c>
      <c r="B70" s="781" t="n">
        <v>43</v>
      </c>
      <c r="C70" s="781" t="n">
        <v>3</v>
      </c>
      <c r="D70" s="781" t="n">
        <v>15</v>
      </c>
      <c r="E70" s="781" t="n">
        <v>42</v>
      </c>
      <c r="F70" s="781" t="n">
        <v>43</v>
      </c>
      <c r="G70" s="781" t="n">
        <v>85</v>
      </c>
      <c r="H70" s="781" t="n">
        <v>34</v>
      </c>
      <c r="I70" s="781" t="n">
        <v>8</v>
      </c>
      <c r="J70" s="781" t="n">
        <v>273</v>
      </c>
    </row>
    <row r="71" ht="15.5" customHeight="1" s="828">
      <c r="A71" s="780" t="n">
        <v>45566</v>
      </c>
      <c r="B71" s="781" t="n">
        <v>60</v>
      </c>
      <c r="C71" s="781" t="n">
        <v>7</v>
      </c>
      <c r="D71" s="781" t="n">
        <v>18</v>
      </c>
      <c r="E71" s="781" t="n">
        <v>43</v>
      </c>
      <c r="F71" s="781" t="n">
        <v>46</v>
      </c>
      <c r="G71" s="781" t="n">
        <v>97</v>
      </c>
      <c r="H71" s="781" t="n">
        <v>39</v>
      </c>
      <c r="I71" s="781" t="n">
        <v>4</v>
      </c>
      <c r="J71" s="781" t="n">
        <v>314</v>
      </c>
    </row>
    <row r="72" ht="15.5" customHeight="1" s="828">
      <c r="A72" s="780" t="n">
        <v>45597</v>
      </c>
      <c r="B72" s="781" t="n">
        <v>51</v>
      </c>
      <c r="C72" s="781" t="n">
        <v>5</v>
      </c>
      <c r="D72" s="781" t="n">
        <v>9</v>
      </c>
      <c r="E72" s="781" t="n">
        <v>38</v>
      </c>
      <c r="F72" s="781" t="n">
        <v>37</v>
      </c>
      <c r="G72" s="781" t="n">
        <v>68</v>
      </c>
      <c r="H72" s="781" t="n">
        <v>39</v>
      </c>
      <c r="I72" s="781" t="n">
        <v>14</v>
      </c>
      <c r="J72" s="781" t="n">
        <v>261</v>
      </c>
    </row>
    <row r="73" ht="15.5" customHeight="1" s="828">
      <c r="A73" s="780" t="n">
        <v>45627</v>
      </c>
      <c r="B73" s="781" t="n">
        <v>44</v>
      </c>
      <c r="C73" s="781" t="n">
        <v>6</v>
      </c>
      <c r="D73" s="781" t="n">
        <v>7</v>
      </c>
      <c r="E73" s="781" t="n">
        <v>29</v>
      </c>
      <c r="F73" s="781" t="n">
        <v>28</v>
      </c>
      <c r="G73" s="781" t="n">
        <v>57</v>
      </c>
      <c r="H73" s="781" t="n">
        <v>33</v>
      </c>
      <c r="I73" s="781" t="n">
        <v>11</v>
      </c>
      <c r="J73" s="781" t="n">
        <v>215</v>
      </c>
    </row>
    <row r="74" ht="15.5" customHeight="1" s="828">
      <c r="A74" s="780" t="n">
        <v>45658</v>
      </c>
      <c r="B74" s="781" t="n">
        <v>56</v>
      </c>
      <c r="C74" s="781" t="n">
        <v>4</v>
      </c>
      <c r="D74" s="781" t="n">
        <v>15</v>
      </c>
      <c r="E74" s="781" t="n">
        <v>55</v>
      </c>
      <c r="F74" s="781" t="n">
        <v>69</v>
      </c>
      <c r="G74" s="781" t="n">
        <v>79</v>
      </c>
      <c r="H74" s="781" t="n">
        <v>57</v>
      </c>
      <c r="I74" s="781" t="n">
        <v>13</v>
      </c>
      <c r="J74" s="781" t="n">
        <v>348</v>
      </c>
    </row>
    <row r="75" ht="15.5" customHeight="1" s="828">
      <c r="A75" s="780" t="n">
        <v>45689</v>
      </c>
      <c r="B75" s="781" t="n">
        <v>58</v>
      </c>
      <c r="C75" s="781" t="n">
        <v>6</v>
      </c>
      <c r="D75" s="781" t="n">
        <v>25</v>
      </c>
      <c r="E75" s="781" t="n">
        <v>69</v>
      </c>
      <c r="F75" s="781" t="n">
        <v>49</v>
      </c>
      <c r="G75" s="781" t="n">
        <v>91</v>
      </c>
      <c r="H75" s="781" t="n">
        <v>52</v>
      </c>
      <c r="I75" s="781" t="n">
        <v>15</v>
      </c>
      <c r="J75" s="781" t="n">
        <v>365</v>
      </c>
    </row>
    <row r="76" ht="15.5" customHeight="1" s="828">
      <c r="A76" s="780" t="n">
        <v>45717</v>
      </c>
      <c r="B76" s="781" t="n">
        <v>59</v>
      </c>
      <c r="C76" s="781" t="n">
        <v>16</v>
      </c>
      <c r="D76" s="781" t="n">
        <v>21</v>
      </c>
      <c r="E76" s="781" t="n">
        <v>51</v>
      </c>
      <c r="F76" s="781" t="n">
        <v>69</v>
      </c>
      <c r="G76" s="781" t="n">
        <v>99</v>
      </c>
      <c r="H76" s="781" t="n">
        <v>68</v>
      </c>
      <c r="I76" s="781" t="n">
        <v>12</v>
      </c>
      <c r="J76" s="781" t="n">
        <v>395</v>
      </c>
    </row>
    <row r="77" ht="15.5" customHeight="1" s="828">
      <c r="A77" s="780" t="n">
        <v>45748</v>
      </c>
      <c r="B77" s="781" t="n">
        <v>56</v>
      </c>
      <c r="C77" s="781" t="n">
        <v>11</v>
      </c>
      <c r="D77" s="781" t="n">
        <v>11</v>
      </c>
      <c r="E77" s="781" t="n">
        <v>41</v>
      </c>
      <c r="F77" s="781" t="n">
        <v>48</v>
      </c>
      <c r="G77" s="781" t="n">
        <v>75</v>
      </c>
      <c r="H77" s="781" t="n">
        <v>59</v>
      </c>
      <c r="I77" s="781" t="n">
        <v>19</v>
      </c>
      <c r="J77" s="781" t="n">
        <v>320</v>
      </c>
    </row>
    <row r="78" ht="15.5" customHeight="1" s="828">
      <c r="A78" s="780" t="n">
        <v>45778</v>
      </c>
      <c r="B78" s="781" t="n">
        <v>49</v>
      </c>
      <c r="C78" s="781" t="n">
        <v>8</v>
      </c>
      <c r="D78" s="781" t="n">
        <v>12</v>
      </c>
      <c r="E78" s="781" t="n">
        <v>48</v>
      </c>
      <c r="F78" s="781" t="n">
        <v>45</v>
      </c>
      <c r="G78" s="781" t="n">
        <v>95</v>
      </c>
      <c r="H78" s="781" t="n">
        <v>65</v>
      </c>
      <c r="I78" s="781" t="n">
        <v>10</v>
      </c>
      <c r="J78" s="781" t="n">
        <v>332</v>
      </c>
    </row>
    <row r="79" ht="15.5" customHeight="1" s="828">
      <c r="A79" s="780" t="n">
        <v>45809</v>
      </c>
      <c r="B79" s="781" t="n">
        <v>60</v>
      </c>
      <c r="C79" s="781" t="n">
        <v>9</v>
      </c>
      <c r="D79" s="781" t="n">
        <v>14</v>
      </c>
      <c r="E79" s="781" t="n">
        <v>43</v>
      </c>
      <c r="F79" s="781" t="n">
        <v>50</v>
      </c>
      <c r="G79" s="781" t="n">
        <v>91</v>
      </c>
      <c r="H79" s="781" t="n">
        <v>58</v>
      </c>
      <c r="I79" s="781" t="n">
        <v>12</v>
      </c>
      <c r="J79" s="781" t="n">
        <v>337</v>
      </c>
    </row>
    <row r="80" ht="15.5" customHeight="1" s="828">
      <c r="A80" s="780" t="n">
        <v>45839</v>
      </c>
      <c r="B80" s="781" t="n">
        <v>44</v>
      </c>
      <c r="C80" s="781" t="n">
        <v>6</v>
      </c>
      <c r="D80" s="781" t="n">
        <v>13</v>
      </c>
      <c r="E80" s="781" t="n">
        <v>54</v>
      </c>
      <c r="F80" s="781" t="n">
        <v>67</v>
      </c>
      <c r="G80" s="781" t="n">
        <v>91</v>
      </c>
      <c r="H80" s="781" t="n">
        <v>45</v>
      </c>
      <c r="I80" s="781" t="n">
        <v>24</v>
      </c>
      <c r="J80" s="781" t="n">
        <v>344</v>
      </c>
    </row>
    <row r="81" ht="15.5" customHeight="1" s="828">
      <c r="A81" s="780" t="n">
        <v>45870</v>
      </c>
      <c r="B81" s="781" t="n">
        <v>42</v>
      </c>
      <c r="C81" s="781" t="n">
        <v>5</v>
      </c>
      <c r="D81" s="781" t="n">
        <v>6</v>
      </c>
      <c r="E81" s="781" t="n">
        <v>32</v>
      </c>
      <c r="F81" s="781" t="n">
        <v>37</v>
      </c>
      <c r="G81" s="781" t="n">
        <v>73</v>
      </c>
      <c r="H81" s="781" t="n">
        <v>39</v>
      </c>
      <c r="I81" s="781" t="n">
        <v>8</v>
      </c>
      <c r="J81" s="781" t="n">
        <v>242</v>
      </c>
    </row>
    <row r="82" ht="15.5" customHeight="1" s="828">
      <c r="A82" s="780" t="n">
        <v>45901</v>
      </c>
      <c r="B82" s="781" t="n">
        <v>45</v>
      </c>
      <c r="C82" s="781" t="n">
        <v>4</v>
      </c>
      <c r="D82" s="781" t="n">
        <v>17</v>
      </c>
      <c r="E82" s="781" t="n">
        <v>47</v>
      </c>
      <c r="F82" s="781" t="n">
        <v>47</v>
      </c>
      <c r="G82" s="781" t="n">
        <v>112</v>
      </c>
      <c r="H82" s="781" t="n">
        <v>33</v>
      </c>
      <c r="I82" s="781" t="n">
        <v>7</v>
      </c>
      <c r="J82" s="781" t="n">
        <v>312</v>
      </c>
    </row>
    <row r="83" ht="15.5" customHeight="1" s="828">
      <c r="A83" s="780" t="n">
        <v>45931</v>
      </c>
      <c r="B83" s="781" t="n">
        <v>52</v>
      </c>
      <c r="C83" s="781" t="n">
        <v>15</v>
      </c>
      <c r="D83" s="781" t="n">
        <v>13</v>
      </c>
      <c r="E83" s="781" t="n">
        <v>37</v>
      </c>
      <c r="F83" s="781" t="n">
        <v>57</v>
      </c>
      <c r="G83" s="781" t="n">
        <v>124</v>
      </c>
      <c r="H83" s="781" t="n">
        <v>44</v>
      </c>
      <c r="I83" s="781" t="n">
        <v>19</v>
      </c>
      <c r="J83" s="781" t="n">
        <v>361</v>
      </c>
    </row>
    <row r="84" ht="15.5" customHeight="1" s="828">
      <c r="A84" s="780" t="n">
        <v>45962</v>
      </c>
      <c r="B84" s="781" t="n">
        <v>54</v>
      </c>
      <c r="C84" s="781" t="n">
        <v>5</v>
      </c>
      <c r="D84" s="781" t="n">
        <v>17</v>
      </c>
      <c r="E84" s="781" t="n">
        <v>44</v>
      </c>
      <c r="F84" s="781" t="n">
        <v>52</v>
      </c>
      <c r="G84" s="781" t="n">
        <v>82</v>
      </c>
      <c r="H84" s="781" t="n">
        <v>81</v>
      </c>
      <c r="I84" s="781" t="n">
        <v>15</v>
      </c>
      <c r="J84" s="781" t="n">
        <v>350</v>
      </c>
    </row>
  </sheetData>
  <pageMargins left="0.7" right="0.7" top="0.75" bottom="0.75" header="0.3" footer="0.3"/>
</worksheet>
</file>

<file path=xl/worksheets/sheet22.xml><?xml version="1.0" encoding="utf-8"?>
<worksheet xmlns="http://schemas.openxmlformats.org/spreadsheetml/2006/main">
  <sheetPr>
    <tabColor rgb="FF00B050"/>
    <outlinePr summaryBelow="1" summaryRight="1"/>
    <pageSetUpPr/>
  </sheetPr>
  <dimension ref="A1:A1"/>
  <sheetViews>
    <sheetView workbookViewId="0">
      <selection activeCell="A1" sqref="A1"/>
    </sheetView>
  </sheetViews>
  <sheetFormatPr baseColWidth="8" defaultRowHeight="14.5"/>
  <sheetData/>
  <pageMargins left="0.7" right="0.7" top="0.75" bottom="0.75" header="0.3" footer="0.3"/>
</worksheet>
</file>

<file path=xl/worksheets/sheet23.xml><?xml version="1.0" encoding="utf-8"?>
<worksheet xmlns="http://schemas.openxmlformats.org/spreadsheetml/2006/main">
  <sheetPr codeName="Sheet7">
    <tabColor rgb="FF00B0F0"/>
    <outlinePr summaryBelow="1" summaryRight="1"/>
    <pageSetUpPr autoPageBreaks="0"/>
  </sheetPr>
  <dimension ref="A1:BL111"/>
  <sheetViews>
    <sheetView workbookViewId="0">
      <selection activeCell="A1" sqref="A1"/>
    </sheetView>
  </sheetViews>
  <sheetFormatPr baseColWidth="8" defaultColWidth="9.453125" defaultRowHeight="12.5"/>
  <cols>
    <col width="10.453125" bestFit="1" customWidth="1" style="20" min="1" max="1"/>
    <col width="15.453125" customWidth="1" style="20" min="2" max="2"/>
    <col width="13.54296875" customWidth="1" style="20" min="3" max="3"/>
    <col width="15.453125" customWidth="1" style="20" min="4" max="4"/>
    <col width="13.54296875" customWidth="1" style="20" min="5" max="9"/>
    <col width="4.453125" customWidth="1" style="519" min="10" max="10"/>
    <col width="13.54296875" customWidth="1" style="519" min="11" max="12"/>
    <col width="4.453125" customWidth="1" style="20" min="13" max="13"/>
    <col width="14.54296875" customWidth="1" style="20" min="14" max="14"/>
    <col width="13.54296875" customWidth="1" style="20" min="15" max="15"/>
    <col width="15" customWidth="1" style="20" min="16" max="16"/>
    <col width="14.54296875" customWidth="1" style="20" min="17" max="17"/>
    <col width="15.453125" customWidth="1" style="20" min="18" max="18"/>
    <col width="15" customWidth="1" style="20" min="19" max="19"/>
    <col width="15.54296875" customWidth="1" style="20" min="20" max="20"/>
    <col width="4.453125" customWidth="1" style="20" min="21" max="21"/>
    <col width="13.54296875" customWidth="1" style="20" min="22" max="23"/>
    <col width="14.54296875" customWidth="1" style="20" min="24" max="24"/>
    <col width="13.54296875" customWidth="1" style="20" min="25" max="28"/>
    <col width="1.453125" customWidth="1" style="20" min="29" max="29"/>
    <col width="9.453125" customWidth="1" style="20" min="30" max="30"/>
    <col width="12.54296875" customWidth="1" style="20" min="31" max="31"/>
    <col width="13.453125" customWidth="1" style="20" min="32" max="32"/>
    <col width="17.54296875" bestFit="1" customWidth="1" style="20" min="33" max="33"/>
    <col width="13.453125" customWidth="1" style="20" min="34" max="35"/>
    <col width="9.453125" customWidth="1" style="20" min="36" max="48"/>
    <col width="22.1796875" customWidth="1" style="20" min="49" max="49"/>
    <col width="28.1796875" customWidth="1" style="20" min="50" max="50"/>
    <col width="7.54296875" customWidth="1" style="20" min="51" max="51"/>
    <col width="9.81640625" customWidth="1" style="20" min="52" max="52"/>
    <col width="21" customWidth="1" style="20" min="53" max="53"/>
    <col width="9.453125" customWidth="1" style="20" min="54" max="16384"/>
  </cols>
  <sheetData>
    <row r="1" ht="20" customHeight="1" s="828">
      <c r="B1" s="538" t="inlineStr">
        <is>
          <t>X02: Labour Market Flows (designated as official statistics in development)</t>
        </is>
      </c>
      <c r="J1" s="20" t="n"/>
      <c r="K1" s="20" t="n"/>
      <c r="L1" s="20" t="n"/>
    </row>
    <row r="2" ht="20" customHeight="1" s="828">
      <c r="B2" s="537" t="n"/>
      <c r="J2" s="20" t="n"/>
      <c r="K2" s="20" t="n"/>
      <c r="L2" s="20" t="n"/>
    </row>
    <row r="3" ht="15.5" customHeight="1" s="828">
      <c r="B3" s="536" t="inlineStr">
        <is>
          <t>Seasonally adjusted, people aged 16-64, UK (thousands)</t>
        </is>
      </c>
      <c r="C3" s="183" t="n"/>
      <c r="J3" s="20" t="n"/>
      <c r="K3" s="20" t="n"/>
      <c r="L3" s="20" t="n"/>
    </row>
    <row r="4">
      <c r="B4" s="534" t="n"/>
      <c r="C4" s="534" t="n"/>
      <c r="G4" s="535" t="n"/>
      <c r="H4" s="535" t="n"/>
      <c r="J4" s="20" t="n"/>
      <c r="K4" s="20" t="n"/>
      <c r="L4" s="20" t="n"/>
    </row>
    <row r="5" ht="15" customHeight="1" s="828">
      <c r="B5" s="534" t="n"/>
      <c r="C5" s="873" t="inlineStr">
        <is>
          <t xml:space="preserve">Employment </t>
        </is>
      </c>
      <c r="J5" s="20" t="n"/>
      <c r="K5" s="873" t="inlineStr">
        <is>
          <t>Job to Job1 (aged 16 to 69)</t>
        </is>
      </c>
      <c r="N5" s="873" t="inlineStr">
        <is>
          <t>Unemployment</t>
        </is>
      </c>
      <c r="V5" s="873" t="inlineStr">
        <is>
          <t>Economic Inactivity</t>
        </is>
      </c>
    </row>
    <row r="6">
      <c r="J6" s="20" t="n"/>
      <c r="K6" s="533" t="n"/>
      <c r="L6" s="533" t="n"/>
    </row>
    <row r="7" ht="69" customHeight="1" s="828">
      <c r="C7" s="530" t="inlineStr">
        <is>
          <t>Still in Employment</t>
        </is>
      </c>
      <c r="D7" s="530" t="inlineStr">
        <is>
          <t>Employment to Unemployment</t>
        </is>
      </c>
      <c r="E7" s="530" t="inlineStr">
        <is>
          <t>Employment to Economic Inactivity</t>
        </is>
      </c>
      <c r="F7" s="530" t="inlineStr">
        <is>
          <t>Employment Gross Inflow</t>
        </is>
      </c>
      <c r="G7" s="530" t="inlineStr">
        <is>
          <t>Employment Gross Outflow</t>
        </is>
      </c>
      <c r="H7" s="530" t="inlineStr">
        <is>
          <t>Employment Net Flow</t>
        </is>
      </c>
      <c r="I7" s="530" t="inlineStr">
        <is>
          <t>Employment Quarterly Change in Stock</t>
        </is>
      </c>
      <c r="J7" s="532" t="n"/>
      <c r="K7" s="530" t="inlineStr">
        <is>
          <t>Levels</t>
        </is>
      </c>
      <c r="L7" s="530" t="inlineStr">
        <is>
          <t>Rates</t>
        </is>
      </c>
      <c r="M7" s="532" t="n"/>
      <c r="N7" s="530" t="inlineStr">
        <is>
          <t>Still in Unemployment</t>
        </is>
      </c>
      <c r="O7" s="530" t="inlineStr">
        <is>
          <t>Unemployment to Employment</t>
        </is>
      </c>
      <c r="P7" s="530" t="inlineStr">
        <is>
          <t>Unemployment to Economic Inactivity</t>
        </is>
      </c>
      <c r="Q7" s="530" t="inlineStr">
        <is>
          <t>Unemployment Gross Inflow</t>
        </is>
      </c>
      <c r="R7" s="530" t="inlineStr">
        <is>
          <t>Unemployment Gross Outflow</t>
        </is>
      </c>
      <c r="S7" s="530" t="inlineStr">
        <is>
          <t>Unemployment Net Flow</t>
        </is>
      </c>
      <c r="T7" s="530" t="inlineStr">
        <is>
          <t>Unemployment Quarterly Change in Stock</t>
        </is>
      </c>
      <c r="U7" s="532" t="n"/>
      <c r="V7" s="531" t="inlineStr">
        <is>
          <t>Still in Economic Inactivity</t>
        </is>
      </c>
      <c r="W7" s="530" t="inlineStr">
        <is>
          <t>Economic Inactivity to Employment</t>
        </is>
      </c>
      <c r="X7" s="530" t="inlineStr">
        <is>
          <t>Economic Inactivity to Unemployment</t>
        </is>
      </c>
      <c r="Y7" s="530" t="inlineStr">
        <is>
          <t>Economic Inactivity Gross Inflow</t>
        </is>
      </c>
      <c r="Z7" s="530" t="inlineStr">
        <is>
          <t>Economic Inactivity Gross Outflow</t>
        </is>
      </c>
      <c r="AA7" s="530" t="inlineStr">
        <is>
          <t>Economic Inactivity Net Flow</t>
        </is>
      </c>
      <c r="AB7" s="530" t="inlineStr">
        <is>
          <t>Economic Inactivity Quarterly Change in Stock</t>
        </is>
      </c>
      <c r="AC7" s="529" t="n"/>
      <c r="AE7" s="540" t="inlineStr">
        <is>
          <t>% of people moving from inactivity to employment</t>
        </is>
      </c>
      <c r="AF7" s="540" t="inlineStr">
        <is>
          <t>% of people moving from inactivity to unemployment</t>
        </is>
      </c>
      <c r="AG7" s="540" t="n"/>
      <c r="AH7" s="540" t="inlineStr">
        <is>
          <t>% of people moving from inactivity to unemployment</t>
        </is>
      </c>
      <c r="AI7" s="540" t="inlineStr">
        <is>
          <t>% of people moving from employment to unemployment</t>
        </is>
      </c>
    </row>
    <row r="8" ht="13" customHeight="1" s="828">
      <c r="A8" s="541">
        <f>DATE(2001,10,1)</f>
        <v/>
      </c>
      <c r="B8" s="599" t="inlineStr">
        <is>
          <t>Oct-Dec 2001</t>
        </is>
      </c>
      <c r="C8" s="1149" t="n">
        <v>26375755.3091892</v>
      </c>
      <c r="D8" s="1149" t="n">
        <v>363624.027254327</v>
      </c>
      <c r="E8" s="1149" t="n">
        <v>543004.6272708731</v>
      </c>
      <c r="F8" s="1149" t="n">
        <v>915392.662568848</v>
      </c>
      <c r="G8" s="1149" t="n">
        <v>906628.6545252001</v>
      </c>
      <c r="H8" s="1149" t="n">
        <v>8764.00804364786</v>
      </c>
      <c r="I8" s="1149" t="n">
        <v>66356.9190062061</v>
      </c>
      <c r="J8" s="1149" t="n"/>
      <c r="K8" s="1149" t="n">
        <v>821003.280548694</v>
      </c>
      <c r="L8" s="1150" t="n">
        <v>3.080761630954688</v>
      </c>
      <c r="M8" s="1149" t="n"/>
      <c r="N8" s="1149" t="n">
        <v>792239.970995623</v>
      </c>
      <c r="O8" s="1149" t="n">
        <v>417425.18852802</v>
      </c>
      <c r="P8" s="1149" t="n">
        <v>261623.455547627</v>
      </c>
      <c r="Q8" s="1149" t="n">
        <v>688747.6865045649</v>
      </c>
      <c r="R8" s="1149" t="n">
        <v>679048.644075647</v>
      </c>
      <c r="S8" s="1149" t="n">
        <v>9699.04242891795</v>
      </c>
      <c r="T8" s="1149" t="n">
        <v>31472.99456123379</v>
      </c>
      <c r="U8" s="1149" t="n"/>
      <c r="V8" s="1149" t="n">
        <v>7873641.54435562</v>
      </c>
      <c r="W8" s="1149" t="n">
        <v>497967.474040828</v>
      </c>
      <c r="X8" s="1149" t="n">
        <v>325123.659250238</v>
      </c>
      <c r="Y8" s="1149" t="n">
        <v>804628.0828185</v>
      </c>
      <c r="Z8" s="1149" t="n">
        <v>823091.1332910659</v>
      </c>
      <c r="AA8" s="1149" t="n">
        <v>-18463.05047256593</v>
      </c>
      <c r="AB8" s="1149" t="n">
        <v>-33477.91356744617</v>
      </c>
      <c r="AE8" s="999">
        <f>W8/Z8</f>
        <v/>
      </c>
      <c r="AF8" s="999">
        <f>X8/Z8</f>
        <v/>
      </c>
      <c r="AG8" s="999" t="n"/>
      <c r="AH8" s="999">
        <f>X8/$Q8</f>
        <v/>
      </c>
      <c r="AI8" s="999">
        <f>D8/$Q8</f>
        <v/>
      </c>
      <c r="AV8" s="26" t="inlineStr">
        <is>
          <t>Using July-September to April-June quarters</t>
        </is>
      </c>
    </row>
    <row r="9">
      <c r="A9" s="541">
        <f>EDATE(A8, 3)</f>
        <v/>
      </c>
      <c r="B9" s="599" t="inlineStr">
        <is>
          <t>Jan-Mar 2002</t>
        </is>
      </c>
      <c r="C9" s="1149" t="n">
        <v>26375457.90484</v>
      </c>
      <c r="D9" s="1149" t="n">
        <v>354867.772283269</v>
      </c>
      <c r="E9" s="1149" t="n">
        <v>570290.398492298</v>
      </c>
      <c r="F9" s="1149" t="n">
        <v>904665.615203511</v>
      </c>
      <c r="G9" s="1149" t="n">
        <v>925158.1707755669</v>
      </c>
      <c r="H9" s="1149" t="n">
        <v>-20492.55557205598</v>
      </c>
      <c r="I9" s="1149" t="n">
        <v>-1086.492689903826</v>
      </c>
      <c r="J9" s="1149" t="n"/>
      <c r="K9" s="1149" t="n">
        <v>813983.073191938</v>
      </c>
      <c r="L9" s="1150" t="n">
        <v>3.05462100527836</v>
      </c>
      <c r="M9" s="1149" t="n"/>
      <c r="N9" s="1149" t="n">
        <v>799291.660033307</v>
      </c>
      <c r="O9" s="1149" t="n">
        <v>441693.360110882</v>
      </c>
      <c r="P9" s="1149" t="n">
        <v>265444.091113819</v>
      </c>
      <c r="Q9" s="1149" t="n">
        <v>680605.996048691</v>
      </c>
      <c r="R9" s="1149" t="n">
        <v>707137.451224701</v>
      </c>
      <c r="S9" s="1149" t="n">
        <v>-26531.45517601003</v>
      </c>
      <c r="T9" s="1149" t="n">
        <v>-7313.211343435338</v>
      </c>
      <c r="U9" s="1149" t="n"/>
      <c r="V9" s="1149" t="n">
        <v>7911050.75627208</v>
      </c>
      <c r="W9" s="1149" t="n">
        <v>462972.255092629</v>
      </c>
      <c r="X9" s="1149" t="n">
        <v>325738.223765422</v>
      </c>
      <c r="Y9" s="1149" t="n">
        <v>835734.4896061169</v>
      </c>
      <c r="Z9" s="1149" t="n">
        <v>788710.478858051</v>
      </c>
      <c r="AA9" s="1149" t="n">
        <v>47024.01074806589</v>
      </c>
      <c r="AB9" s="1149" t="n">
        <v>71725.70403333567</v>
      </c>
      <c r="AE9" s="999">
        <f>W9/Z9</f>
        <v/>
      </c>
      <c r="AF9" s="999">
        <f>X9/Z9</f>
        <v/>
      </c>
      <c r="AG9" s="999" t="n"/>
      <c r="AH9" s="999">
        <f>X9/$Q9</f>
        <v/>
      </c>
      <c r="AI9" s="999">
        <f>D9/$Q9</f>
        <v/>
      </c>
      <c r="AW9" s="20">
        <f>D7</f>
        <v/>
      </c>
      <c r="AX9" s="20">
        <f>E7</f>
        <v/>
      </c>
      <c r="AY9" s="20">
        <f>O7</f>
        <v/>
      </c>
      <c r="AZ9" s="20">
        <f>P7</f>
        <v/>
      </c>
      <c r="BA9" s="20">
        <f>W7</f>
        <v/>
      </c>
      <c r="BB9" s="20">
        <f>X7</f>
        <v/>
      </c>
      <c r="BC9" s="20" t="inlineStr">
        <is>
          <t>Job to job changes</t>
        </is>
      </c>
    </row>
    <row r="10" ht="14.5" customHeight="1" s="828">
      <c r="A10" s="541">
        <f>EDATE(A9, 3)</f>
        <v/>
      </c>
      <c r="B10" s="599" t="inlineStr">
        <is>
          <t>Apr-Jun 2002</t>
        </is>
      </c>
      <c r="C10" s="1149" t="n">
        <v>26423872.5510135</v>
      </c>
      <c r="D10" s="1149" t="n">
        <v>353757.507587674</v>
      </c>
      <c r="E10" s="1149" t="n">
        <v>521247.647327204</v>
      </c>
      <c r="F10" s="1149" t="n">
        <v>1019781.285720114</v>
      </c>
      <c r="G10" s="1149" t="n">
        <v>875005.1549148781</v>
      </c>
      <c r="H10" s="1149" t="n">
        <v>144776.1308052359</v>
      </c>
      <c r="I10" s="1149" t="n">
        <v>133016.5259679817</v>
      </c>
      <c r="J10" s="1149" t="n"/>
      <c r="K10" s="1149" t="n">
        <v>781956.59957757</v>
      </c>
      <c r="L10" s="1150" t="n">
        <v>2.929034656438402</v>
      </c>
      <c r="M10" s="1149" t="n"/>
      <c r="N10" s="1149" t="n">
        <v>773623.442075136</v>
      </c>
      <c r="O10" s="1149" t="n">
        <v>479712.073818338</v>
      </c>
      <c r="P10" s="1149" t="n">
        <v>258239.091288371</v>
      </c>
      <c r="Q10" s="1149" t="n">
        <v>720654.430512456</v>
      </c>
      <c r="R10" s="1149" t="n">
        <v>737951.165106709</v>
      </c>
      <c r="S10" s="1149" t="n">
        <v>-17296.73459425301</v>
      </c>
      <c r="T10" s="1149" t="n">
        <v>2939.199445785489</v>
      </c>
      <c r="U10" s="1149" t="n"/>
      <c r="V10" s="1149" t="n">
        <v>7879987.02859919</v>
      </c>
      <c r="W10" s="1149" t="n">
        <v>540069.211901776</v>
      </c>
      <c r="X10" s="1149" t="n">
        <v>366896.922924782</v>
      </c>
      <c r="Y10" s="1149" t="n">
        <v>779486.738615575</v>
      </c>
      <c r="Z10" s="1149" t="n">
        <v>906966.1348265579</v>
      </c>
      <c r="AA10" s="1149" t="n">
        <v>-127479.3962109829</v>
      </c>
      <c r="AB10" s="1149" t="n">
        <v>-71244.72541376948</v>
      </c>
      <c r="AE10" s="999">
        <f>W10/Z10</f>
        <v/>
      </c>
      <c r="AF10" s="999">
        <f>X10/Z10</f>
        <v/>
      </c>
      <c r="AG10" s="999" t="n"/>
      <c r="AH10" s="999">
        <f>X10/$Q10</f>
        <v/>
      </c>
      <c r="AI10" s="999">
        <f>D10/$Q10</f>
        <v/>
      </c>
      <c r="AV10" s="20" t="inlineStr">
        <is>
          <t>Avg Jul-Sep 2015 to Apr-Jun 2020</t>
        </is>
      </c>
      <c r="AW10" s="1151">
        <f>AVERAGE(D63:D82)</f>
        <v/>
      </c>
      <c r="AX10" s="1151">
        <f>AVERAGE(E63:E82)</f>
        <v/>
      </c>
      <c r="AY10" s="1151">
        <f>AVERAGE(O63:O82)</f>
        <v/>
      </c>
      <c r="AZ10" s="1151">
        <f>AVERAGE(P63:P82)</f>
        <v/>
      </c>
      <c r="BA10" s="1151">
        <f>AVERAGE(W63:W82)</f>
        <v/>
      </c>
      <c r="BB10" s="1151">
        <f>AVERAGE(X63:X82)</f>
        <v/>
      </c>
      <c r="BC10" s="1151">
        <f>AVERAGE(K63:K82)</f>
        <v/>
      </c>
    </row>
    <row r="11">
      <c r="A11" s="541">
        <f>EDATE(A10, 3)</f>
        <v/>
      </c>
      <c r="B11" s="599" t="inlineStr">
        <is>
          <t>Jul-Sep 2002</t>
        </is>
      </c>
      <c r="C11" s="1149" t="n">
        <v>26525576.0309297</v>
      </c>
      <c r="D11" s="1149" t="n">
        <v>374961.333252856</v>
      </c>
      <c r="E11" s="1149" t="n">
        <v>533018.420319333</v>
      </c>
      <c r="F11" s="1149" t="n">
        <v>943941.838135295</v>
      </c>
      <c r="G11" s="1149" t="n">
        <v>907979.753572189</v>
      </c>
      <c r="H11" s="1149" t="n">
        <v>35962.08456310595</v>
      </c>
      <c r="I11" s="1149" t="n">
        <v>1869.670413792133</v>
      </c>
      <c r="J11" s="1149" t="n"/>
      <c r="K11" s="1149" t="n">
        <v>763238.371703416</v>
      </c>
      <c r="L11" s="1150" t="n">
        <v>2.847630372997034</v>
      </c>
      <c r="M11" s="1149" t="n"/>
      <c r="N11" s="1149" t="n">
        <v>789597.985462667</v>
      </c>
      <c r="O11" s="1149" t="n">
        <v>454993.214170456</v>
      </c>
      <c r="P11" s="1149" t="n">
        <v>254818.513094476</v>
      </c>
      <c r="Q11" s="1149" t="n">
        <v>721720.552089192</v>
      </c>
      <c r="R11" s="1149" t="n">
        <v>709811.727264932</v>
      </c>
      <c r="S11" s="1149" t="n">
        <v>11908.82482425997</v>
      </c>
      <c r="T11" s="1149" t="n">
        <v>47036.11124023679</v>
      </c>
      <c r="U11" s="1149" t="n"/>
      <c r="V11" s="1149" t="n">
        <v>7873631.96848136</v>
      </c>
      <c r="W11" s="1149" t="n">
        <v>488948.623964839</v>
      </c>
      <c r="X11" s="1149" t="n">
        <v>346759.218836336</v>
      </c>
      <c r="Y11" s="1149" t="n">
        <v>787836.9334138089</v>
      </c>
      <c r="Z11" s="1149" t="n">
        <v>835707.842801175</v>
      </c>
      <c r="AA11" s="1149" t="n">
        <v>-47870.90938736603</v>
      </c>
      <c r="AB11" s="1149" t="n">
        <v>12561.21834597923</v>
      </c>
      <c r="AE11" s="999">
        <f>W11/Z11</f>
        <v/>
      </c>
      <c r="AF11" s="999">
        <f>X11/Z11</f>
        <v/>
      </c>
      <c r="AG11" s="999" t="n"/>
      <c r="AH11" s="999">
        <f>X11/$Q11</f>
        <v/>
      </c>
      <c r="AI11" s="999">
        <f>D11/$Q11</f>
        <v/>
      </c>
      <c r="AV11" s="20" t="inlineStr">
        <is>
          <t>2020/21</t>
        </is>
      </c>
      <c r="AW11" s="1151">
        <f>AVERAGE(D83:D86)</f>
        <v/>
      </c>
      <c r="AX11" s="1151">
        <f>AVERAGE(E83:E86)</f>
        <v/>
      </c>
      <c r="AY11" s="1151">
        <f>AVERAGE(O83:O86)</f>
        <v/>
      </c>
      <c r="AZ11" s="1151">
        <f>AVERAGE(P83:P86)</f>
        <v/>
      </c>
      <c r="BA11" s="1151">
        <f>AVERAGE(W83:W86)</f>
        <v/>
      </c>
      <c r="BB11" s="1151">
        <f>AVERAGE(X83:X86)</f>
        <v/>
      </c>
      <c r="BC11" s="1151">
        <f>AVERAGE(K83:K86)</f>
        <v/>
      </c>
    </row>
    <row r="12">
      <c r="A12" s="541">
        <f>EDATE(A11, 3)</f>
        <v/>
      </c>
      <c r="B12" s="599" t="inlineStr">
        <is>
          <t>Oct-Dec 2002</t>
        </is>
      </c>
      <c r="C12" s="1149" t="n">
        <v>26617720.5462218</v>
      </c>
      <c r="D12" s="1149" t="n">
        <v>342048.203941249</v>
      </c>
      <c r="E12" s="1149" t="n">
        <v>517078.503208597</v>
      </c>
      <c r="F12" s="1149" t="n">
        <v>960046.940064355</v>
      </c>
      <c r="G12" s="1149" t="n">
        <v>859126.707149846</v>
      </c>
      <c r="H12" s="1149" t="n">
        <v>100920.232914509</v>
      </c>
      <c r="I12" s="1149" t="n">
        <v>159113.0805799887</v>
      </c>
      <c r="J12" s="1149" t="n"/>
      <c r="K12" s="1149" t="n">
        <v>760258.705349513</v>
      </c>
      <c r="L12" s="1150" t="n">
        <v>2.825145773857054</v>
      </c>
      <c r="M12" s="1149" t="n"/>
      <c r="N12" s="1149" t="n">
        <v>774123.89612087</v>
      </c>
      <c r="O12" s="1149" t="n">
        <v>471555.140794601</v>
      </c>
      <c r="P12" s="1149" t="n">
        <v>293335.418486428</v>
      </c>
      <c r="Q12" s="1149" t="n">
        <v>715880.51803425</v>
      </c>
      <c r="R12" s="1149" t="n">
        <v>764890.559281029</v>
      </c>
      <c r="S12" s="1149" t="n">
        <v>-49010.04124677903</v>
      </c>
      <c r="T12" s="1149" t="n">
        <v>-45899.48395698797</v>
      </c>
      <c r="U12" s="1149" t="n"/>
      <c r="V12" s="1149" t="n">
        <v>7831995.74188022</v>
      </c>
      <c r="W12" s="1149" t="n">
        <v>488491.799269754</v>
      </c>
      <c r="X12" s="1149" t="n">
        <v>373832.314093001</v>
      </c>
      <c r="Y12" s="1149" t="n">
        <v>810413.9216950249</v>
      </c>
      <c r="Z12" s="1149" t="n">
        <v>862324.1133627549</v>
      </c>
      <c r="AA12" s="1149" t="n">
        <v>-51910.19166772999</v>
      </c>
      <c r="AB12" s="1149" t="n">
        <v>-50848.59662300535</v>
      </c>
      <c r="AE12" s="999">
        <f>W12/Z12</f>
        <v/>
      </c>
      <c r="AF12" s="999">
        <f>X12/Z12</f>
        <v/>
      </c>
      <c r="AG12" s="999" t="n"/>
      <c r="AH12" s="999">
        <f>X12/$Q12</f>
        <v/>
      </c>
      <c r="AI12" s="999">
        <f>D12/$Q12</f>
        <v/>
      </c>
      <c r="AV12" s="20" t="inlineStr">
        <is>
          <t>2021/22</t>
        </is>
      </c>
      <c r="AW12" s="1151">
        <f>AVERAGE(D87:D90)</f>
        <v/>
      </c>
      <c r="AX12" s="1151">
        <f>AVERAGE(E87:E90)</f>
        <v/>
      </c>
      <c r="AY12" s="1151">
        <f>AVERAGE(O87:O90)</f>
        <v/>
      </c>
      <c r="AZ12" s="1151">
        <f>AVERAGE(P87:P90)</f>
        <v/>
      </c>
      <c r="BA12" s="1151">
        <f>AVERAGE(W87:W90)</f>
        <v/>
      </c>
      <c r="BB12" s="1151">
        <f>AVERAGE(X87:X90)</f>
        <v/>
      </c>
      <c r="BC12" s="1151">
        <f>AVERAGE(K87:K90)</f>
        <v/>
      </c>
    </row>
    <row r="13">
      <c r="A13" s="541">
        <f>EDATE(A12, 3)</f>
        <v/>
      </c>
      <c r="B13" s="599" t="inlineStr">
        <is>
          <t>Jan-Mar 2003</t>
        </is>
      </c>
      <c r="C13" s="1149" t="n">
        <v>26630949.0626036</v>
      </c>
      <c r="D13" s="1149" t="n">
        <v>363908.703441798</v>
      </c>
      <c r="E13" s="1149" t="n">
        <v>573074.6821067519</v>
      </c>
      <c r="F13" s="1149" t="n">
        <v>908641.118746395</v>
      </c>
      <c r="G13" s="1149" t="n">
        <v>936983.3855485499</v>
      </c>
      <c r="H13" s="1149" t="n">
        <v>-28342.26680215495</v>
      </c>
      <c r="I13" s="1149" t="n">
        <v>-27511.41111885756</v>
      </c>
      <c r="J13" s="1149" t="n"/>
      <c r="K13" s="1149" t="n">
        <v>785181.97726781</v>
      </c>
      <c r="L13" s="1150" t="n">
        <v>2.913955621336097</v>
      </c>
      <c r="M13" s="1149" t="n"/>
      <c r="N13" s="1149" t="n">
        <v>778271.582193754</v>
      </c>
      <c r="O13" s="1149" t="n">
        <v>437895.318442691</v>
      </c>
      <c r="P13" s="1149" t="n">
        <v>288919.529067812</v>
      </c>
      <c r="Q13" s="1149" t="n">
        <v>710818.930552975</v>
      </c>
      <c r="R13" s="1149" t="n">
        <v>726814.847510503</v>
      </c>
      <c r="S13" s="1149" t="n">
        <v>-15995.91695752798</v>
      </c>
      <c r="T13" s="1149" t="n">
        <v>11927.32345401263</v>
      </c>
      <c r="U13" s="1149" t="n"/>
      <c r="V13" s="1149" t="n">
        <v>7847553.55908914</v>
      </c>
      <c r="W13" s="1149" t="n">
        <v>470745.800303704</v>
      </c>
      <c r="X13" s="1149" t="n">
        <v>346910.227111177</v>
      </c>
      <c r="Y13" s="1149" t="n">
        <v>861994.211174564</v>
      </c>
      <c r="Z13" s="1149" t="n">
        <v>817656.0274148809</v>
      </c>
      <c r="AA13" s="1149" t="n">
        <v>44338.18375968304</v>
      </c>
      <c r="AB13" s="1149" t="n">
        <v>77279.08766485378</v>
      </c>
      <c r="AE13" s="999">
        <f>W13/Z13</f>
        <v/>
      </c>
      <c r="AF13" s="999">
        <f>X13/Z13</f>
        <v/>
      </c>
      <c r="AG13" s="999" t="n"/>
      <c r="AH13" s="999">
        <f>X13/$Q13</f>
        <v/>
      </c>
      <c r="AI13" s="999">
        <f>D13/$Q13</f>
        <v/>
      </c>
      <c r="AV13" s="20" t="inlineStr">
        <is>
          <t>2022/23</t>
        </is>
      </c>
      <c r="AW13" s="1151">
        <f>AVERAGE(D91:D94)</f>
        <v/>
      </c>
      <c r="AX13" s="1151">
        <f>AVERAGE(E91:E94)</f>
        <v/>
      </c>
      <c r="AY13" s="1151">
        <f>AVERAGE(O91:O94)</f>
        <v/>
      </c>
      <c r="AZ13" s="1151">
        <f>AVERAGE(P91:P94)</f>
        <v/>
      </c>
      <c r="BA13" s="1151">
        <f>AVERAGE(W91:W94)</f>
        <v/>
      </c>
      <c r="BB13" s="1151">
        <f>AVERAGE(X91:X94)</f>
        <v/>
      </c>
      <c r="BC13" s="1151">
        <f>AVERAGE(K91:K94)</f>
        <v/>
      </c>
    </row>
    <row r="14">
      <c r="A14" s="541">
        <f>EDATE(A13, 3)</f>
        <v/>
      </c>
      <c r="B14" s="599" t="inlineStr">
        <is>
          <t>Apr-Jun 2003</t>
        </is>
      </c>
      <c r="C14" s="1149" t="n">
        <v>26708542.3807963</v>
      </c>
      <c r="D14" s="1149" t="n">
        <v>317973.61817039</v>
      </c>
      <c r="E14" s="1149" t="n">
        <v>529745.580530719</v>
      </c>
      <c r="F14" s="1149" t="n">
        <v>976696.264230384</v>
      </c>
      <c r="G14" s="1149" t="n">
        <v>847719.198701109</v>
      </c>
      <c r="H14" s="1149" t="n">
        <v>128977.065529275</v>
      </c>
      <c r="I14" s="1149" t="n">
        <v>121063.1754351407</v>
      </c>
      <c r="J14" s="1149" t="n"/>
      <c r="K14" s="1149" t="n">
        <v>760447.232533788</v>
      </c>
      <c r="L14" s="1150" t="n">
        <v>2.814414741120103</v>
      </c>
      <c r="M14" s="1149" t="n"/>
      <c r="N14" s="1149" t="n">
        <v>768852.123749424</v>
      </c>
      <c r="O14" s="1149" t="n">
        <v>473491.963237306</v>
      </c>
      <c r="P14" s="1149" t="n">
        <v>279592.245324525</v>
      </c>
      <c r="Q14" s="1149" t="n">
        <v>666067.949244602</v>
      </c>
      <c r="R14" s="1149" t="n">
        <v>753084.2085618309</v>
      </c>
      <c r="S14" s="1149" t="n">
        <v>-87016.25931722892</v>
      </c>
      <c r="T14" s="1149" t="n">
        <v>-65262.09297017963</v>
      </c>
      <c r="U14" s="1149" t="n"/>
      <c r="V14" s="1149" t="n">
        <v>7910519.80231763</v>
      </c>
      <c r="W14" s="1149" t="n">
        <v>503204.300993078</v>
      </c>
      <c r="X14" s="1149" t="n">
        <v>348094.331074212</v>
      </c>
      <c r="Y14" s="1149" t="n">
        <v>809337.825855244</v>
      </c>
      <c r="Z14" s="1149" t="n">
        <v>851298.6320672899</v>
      </c>
      <c r="AA14" s="1149" t="n">
        <v>-41960.80621204595</v>
      </c>
      <c r="AB14" s="1149" t="n">
        <v>6008.91753503494</v>
      </c>
      <c r="AE14" s="999">
        <f>W14/Z14</f>
        <v/>
      </c>
      <c r="AF14" s="999">
        <f>X14/Z14</f>
        <v/>
      </c>
      <c r="AG14" s="999" t="n"/>
      <c r="AH14" s="999">
        <f>X14/$Q14</f>
        <v/>
      </c>
      <c r="AI14" s="999">
        <f>D14/$Q14</f>
        <v/>
      </c>
      <c r="AV14" s="20" t="inlineStr">
        <is>
          <t>2023/24</t>
        </is>
      </c>
      <c r="AW14" s="1151">
        <f>AVERAGE(D95:D98)</f>
        <v/>
      </c>
      <c r="AX14" s="1151">
        <f>AVERAGE(E95:E98)</f>
        <v/>
      </c>
      <c r="AY14" s="1151">
        <f>AVERAGE(O95:O98)</f>
        <v/>
      </c>
      <c r="AZ14" s="1151">
        <f>AVERAGE(P95:P98)</f>
        <v/>
      </c>
      <c r="BA14" s="1151">
        <f>AVERAGE(W95:W98)</f>
        <v/>
      </c>
      <c r="BB14" s="1151">
        <f>AVERAGE(X95:X98)</f>
        <v/>
      </c>
      <c r="BC14" s="1151">
        <f>AVERAGE(K95:K98)</f>
        <v/>
      </c>
    </row>
    <row r="15">
      <c r="A15" s="541">
        <f>EDATE(A14, 3)</f>
        <v/>
      </c>
      <c r="B15" s="599" t="inlineStr">
        <is>
          <t>Jul-Sep 2003</t>
        </is>
      </c>
      <c r="C15" s="1149" t="n">
        <v>26781003.6859474</v>
      </c>
      <c r="D15" s="1149" t="n">
        <v>339608.355186896</v>
      </c>
      <c r="E15" s="1149" t="n">
        <v>558200.873893037</v>
      </c>
      <c r="F15" s="1149" t="n">
        <v>930504.652688218</v>
      </c>
      <c r="G15" s="1149" t="n">
        <v>897809.2290799329</v>
      </c>
      <c r="H15" s="1149" t="n">
        <v>32695.42360828514</v>
      </c>
      <c r="I15" s="1149" t="n">
        <v>12668.80534850806</v>
      </c>
      <c r="J15" s="1149" t="n"/>
      <c r="K15" s="1149" t="n">
        <v>794633.403665079</v>
      </c>
      <c r="L15" s="1150" t="n">
        <v>2.931692389428696</v>
      </c>
      <c r="M15" s="1149" t="n"/>
      <c r="N15" s="1149" t="n">
        <v>757575.937041403</v>
      </c>
      <c r="O15" s="1149" t="n">
        <v>419667.997382606</v>
      </c>
      <c r="P15" s="1149" t="n">
        <v>264946.137544819</v>
      </c>
      <c r="Q15" s="1149" t="n">
        <v>689270.463972775</v>
      </c>
      <c r="R15" s="1149" t="n">
        <v>684614.134927425</v>
      </c>
      <c r="S15" s="1149" t="n">
        <v>4656.329045350081</v>
      </c>
      <c r="T15" s="1149" t="n">
        <v>36602.71396580385</v>
      </c>
      <c r="U15" s="1149" t="n"/>
      <c r="V15" s="1149" t="n">
        <v>7903008.09300834</v>
      </c>
      <c r="W15" s="1149" t="n">
        <v>510836.655305612</v>
      </c>
      <c r="X15" s="1149" t="n">
        <v>349662.108785879</v>
      </c>
      <c r="Y15" s="1149" t="n">
        <v>823147.0114378559</v>
      </c>
      <c r="Z15" s="1149" t="n">
        <v>860498.764091491</v>
      </c>
      <c r="AA15" s="1149" t="n">
        <v>-37351.75265363511</v>
      </c>
      <c r="AB15" s="1149" t="n">
        <v>21108.48068568669</v>
      </c>
      <c r="AE15" s="999">
        <f>W15/Z15</f>
        <v/>
      </c>
      <c r="AF15" s="999">
        <f>X15/Z15</f>
        <v/>
      </c>
      <c r="AG15" s="999" t="n"/>
      <c r="AH15" s="999">
        <f>X15/$Q15</f>
        <v/>
      </c>
      <c r="AI15" s="999">
        <f>D15/$Q15</f>
        <v/>
      </c>
      <c r="AV15" s="20" t="inlineStr">
        <is>
          <t>2024/25</t>
        </is>
      </c>
      <c r="AW15" s="1151">
        <f>AVERAGE(D99:D102)</f>
        <v/>
      </c>
      <c r="AX15" s="1151">
        <f>AVERAGE(E99:E102)</f>
        <v/>
      </c>
      <c r="AY15" s="1151">
        <f>AVERAGE(O99:O102)</f>
        <v/>
      </c>
      <c r="AZ15" s="1151">
        <f>AVERAGE(P99:P102)</f>
        <v/>
      </c>
      <c r="BA15" s="1151">
        <f>AVERAGE(W99:W102)</f>
        <v/>
      </c>
      <c r="BB15" s="1151">
        <f>AVERAGE(X99:X102)</f>
        <v/>
      </c>
      <c r="BC15" s="1151">
        <f>AVERAGE(K99:K102)</f>
        <v/>
      </c>
    </row>
    <row r="16">
      <c r="A16" s="541">
        <f>EDATE(A15, 3)</f>
        <v/>
      </c>
      <c r="B16" s="599" t="inlineStr">
        <is>
          <t>Oct-Dec 2003</t>
        </is>
      </c>
      <c r="C16" s="1149" t="n">
        <v>26795033.4307723</v>
      </c>
      <c r="D16" s="1149" t="n">
        <v>315907.746094763</v>
      </c>
      <c r="E16" s="1149" t="n">
        <v>596366.460540026</v>
      </c>
      <c r="F16" s="1149" t="n">
        <v>948238.2659055931</v>
      </c>
      <c r="G16" s="1149" t="n">
        <v>912274.206634789</v>
      </c>
      <c r="H16" s="1149" t="n">
        <v>35964.05927080405</v>
      </c>
      <c r="I16" s="1149" t="n">
        <v>49559.92886775732</v>
      </c>
      <c r="J16" s="1149" t="n"/>
      <c r="K16" s="1149" t="n">
        <v>765635.880521927</v>
      </c>
      <c r="L16" s="1150" t="n">
        <v>2.822033891658609</v>
      </c>
      <c r="M16" s="1149" t="n"/>
      <c r="N16" s="1149" t="n">
        <v>762557.434583222</v>
      </c>
      <c r="O16" s="1149" t="n">
        <v>445167.725904162</v>
      </c>
      <c r="P16" s="1149" t="n">
        <v>274492.904068836</v>
      </c>
      <c r="Q16" s="1149" t="n">
        <v>660451.4010638311</v>
      </c>
      <c r="R16" s="1149" t="n">
        <v>719660.6299729981</v>
      </c>
      <c r="S16" s="1149" t="n">
        <v>-59209.228909167</v>
      </c>
      <c r="T16" s="1149" t="n">
        <v>-48415.61580116954</v>
      </c>
      <c r="U16" s="1149" t="n"/>
      <c r="V16" s="1149" t="n">
        <v>7939276.76855373</v>
      </c>
      <c r="W16" s="1149" t="n">
        <v>503070.540001431</v>
      </c>
      <c r="X16" s="1149" t="n">
        <v>344543.654969068</v>
      </c>
      <c r="Y16" s="1149" t="n">
        <v>870859.364608862</v>
      </c>
      <c r="Z16" s="1149" t="n">
        <v>847614.194970499</v>
      </c>
      <c r="AA16" s="1149" t="n">
        <v>23245.16963836295</v>
      </c>
      <c r="AB16" s="1149" t="n">
        <v>72964.68693341501</v>
      </c>
      <c r="AE16" s="999">
        <f>W16/Z16</f>
        <v/>
      </c>
      <c r="AF16" s="999">
        <f>X16/Z16</f>
        <v/>
      </c>
      <c r="AG16" s="999" t="n"/>
      <c r="AH16" s="999">
        <f>X16/$Q16</f>
        <v/>
      </c>
      <c r="AI16" s="999">
        <f>D16/$Q16</f>
        <v/>
      </c>
    </row>
    <row r="17" ht="13" customHeight="1" s="828">
      <c r="A17" s="541">
        <f>EDATE(A16, 3)</f>
        <v/>
      </c>
      <c r="B17" s="599" t="inlineStr">
        <is>
          <t>Jan-Mar 2004</t>
        </is>
      </c>
      <c r="C17" s="1149" t="n">
        <v>26910077.7687555</v>
      </c>
      <c r="D17" s="1149" t="n">
        <v>315237.935070868</v>
      </c>
      <c r="E17" s="1149" t="n">
        <v>533447.689461226</v>
      </c>
      <c r="F17" s="1149" t="n">
        <v>994673.226091576</v>
      </c>
      <c r="G17" s="1149" t="n">
        <v>848685.624532094</v>
      </c>
      <c r="H17" s="1149" t="n">
        <v>145987.601559482</v>
      </c>
      <c r="I17" s="1149" t="n">
        <v>155336.5501334295</v>
      </c>
      <c r="J17" s="1149" t="n"/>
      <c r="K17" s="1149" t="n">
        <v>787934.182620246</v>
      </c>
      <c r="L17" s="1150" t="n">
        <v>2.894724325749864</v>
      </c>
      <c r="M17" s="1149" t="n"/>
      <c r="N17" s="1149" t="n">
        <v>728141.8779567101</v>
      </c>
      <c r="O17" s="1149" t="n">
        <v>453428.154833266</v>
      </c>
      <c r="P17" s="1149" t="n">
        <v>262482.597177908</v>
      </c>
      <c r="Q17" s="1149" t="n">
        <v>672312.563138905</v>
      </c>
      <c r="R17" s="1149" t="n">
        <v>715910.752011174</v>
      </c>
      <c r="S17" s="1149" t="n">
        <v>-43598.18887226901</v>
      </c>
      <c r="T17" s="1149" t="n">
        <v>-20737.83888547705</v>
      </c>
      <c r="U17" s="1149" t="n"/>
      <c r="V17" s="1149" t="n">
        <v>7938074.11805292</v>
      </c>
      <c r="W17" s="1149" t="n">
        <v>541245.07125831</v>
      </c>
      <c r="X17" s="1149" t="n">
        <v>357074.628068037</v>
      </c>
      <c r="Y17" s="1149" t="n">
        <v>795930.2866391339</v>
      </c>
      <c r="Z17" s="1149" t="n">
        <v>898319.699326347</v>
      </c>
      <c r="AA17" s="1149" t="n">
        <v>-102389.412687213</v>
      </c>
      <c r="AB17" s="1149" t="n">
        <v>-60700.71124795079</v>
      </c>
      <c r="AE17" s="999">
        <f>W17/Z17</f>
        <v/>
      </c>
      <c r="AF17" s="999">
        <f>X17/Z17</f>
        <v/>
      </c>
      <c r="AG17" s="999" t="n"/>
      <c r="AH17" s="999">
        <f>X17/$Q17</f>
        <v/>
      </c>
      <c r="AI17" s="999">
        <f>D17/$Q17</f>
        <v/>
      </c>
      <c r="AV17" s="26" t="inlineStr">
        <is>
          <t>Using calendar years</t>
        </is>
      </c>
    </row>
    <row r="18">
      <c r="A18" s="541">
        <f>EDATE(A17, 3)</f>
        <v/>
      </c>
      <c r="B18" s="599" t="inlineStr">
        <is>
          <t>Apr-Jun 2004</t>
        </is>
      </c>
      <c r="C18" s="1149" t="n">
        <v>26954424.2969618</v>
      </c>
      <c r="D18" s="1149" t="n">
        <v>346209.540534367</v>
      </c>
      <c r="E18" s="1149" t="n">
        <v>610590.75011431</v>
      </c>
      <c r="F18" s="1149" t="n">
        <v>943905.470638894</v>
      </c>
      <c r="G18" s="1149" t="n">
        <v>956800.2906486769</v>
      </c>
      <c r="H18" s="1149" t="n">
        <v>-12894.82000978291</v>
      </c>
      <c r="I18" s="1149" t="n">
        <v>-5117.156712509692</v>
      </c>
      <c r="J18" s="1149" t="n"/>
      <c r="K18" s="1149" t="n">
        <v>796685.916695292</v>
      </c>
      <c r="L18" s="1150" t="n">
        <v>2.92145142644987</v>
      </c>
      <c r="M18" s="1149" t="n"/>
      <c r="N18" s="1149" t="n">
        <v>715122.084459818</v>
      </c>
      <c r="O18" s="1149" t="n">
        <v>437832.94446731</v>
      </c>
      <c r="P18" s="1149" t="n">
        <v>271637.155670927</v>
      </c>
      <c r="Q18" s="1149" t="n">
        <v>694021.86146354</v>
      </c>
      <c r="R18" s="1149" t="n">
        <v>709470.100138237</v>
      </c>
      <c r="S18" s="1149" t="n">
        <v>-15448.238674697</v>
      </c>
      <c r="T18" s="1149" t="n">
        <v>4623.696065779077</v>
      </c>
      <c r="U18" s="1149" t="n"/>
      <c r="V18" s="1149" t="n">
        <v>7928548.96669143</v>
      </c>
      <c r="W18" s="1149" t="n">
        <v>506072.526171584</v>
      </c>
      <c r="X18" s="1149" t="n">
        <v>347812.320929173</v>
      </c>
      <c r="Y18" s="1149" t="n">
        <v>882227.905785237</v>
      </c>
      <c r="Z18" s="1149" t="n">
        <v>853884.8471007569</v>
      </c>
      <c r="AA18" s="1149" t="n">
        <v>28343.05868448003</v>
      </c>
      <c r="AB18" s="1149" t="n">
        <v>75182.46064672805</v>
      </c>
      <c r="AE18" s="999">
        <f>W18/Z18</f>
        <v/>
      </c>
      <c r="AF18" s="999">
        <f>X18/Z18</f>
        <v/>
      </c>
      <c r="AG18" s="999" t="n"/>
      <c r="AH18" s="999">
        <f>X18/$Q18</f>
        <v/>
      </c>
      <c r="AI18" s="999">
        <f>D18/$Q18</f>
        <v/>
      </c>
      <c r="AW18" s="20">
        <f>AW9</f>
        <v/>
      </c>
      <c r="AX18" s="20">
        <f>AX9</f>
        <v/>
      </c>
      <c r="AY18" s="20">
        <f>AY9</f>
        <v/>
      </c>
      <c r="AZ18" s="20">
        <f>AZ9</f>
        <v/>
      </c>
      <c r="BA18" s="20">
        <f>BA9</f>
        <v/>
      </c>
      <c r="BB18" s="20">
        <f>BB9</f>
        <v/>
      </c>
      <c r="BC18" s="20">
        <f>BC9</f>
        <v/>
      </c>
    </row>
    <row r="19">
      <c r="A19" s="541">
        <f>EDATE(A18, 3)</f>
        <v/>
      </c>
      <c r="B19" s="599" t="inlineStr">
        <is>
          <t>Jul-Sep 2004</t>
        </is>
      </c>
      <c r="C19" s="1149" t="n">
        <v>27006393.0556453</v>
      </c>
      <c r="D19" s="1149" t="n">
        <v>293441.883008379</v>
      </c>
      <c r="E19" s="1149" t="n">
        <v>607440.137913062</v>
      </c>
      <c r="F19" s="1149" t="n">
        <v>962462.4395526289</v>
      </c>
      <c r="G19" s="1149" t="n">
        <v>900882.020921441</v>
      </c>
      <c r="H19" s="1149" t="n">
        <v>61580.41863118787</v>
      </c>
      <c r="I19" s="1149" t="n">
        <v>63542.61100147665</v>
      </c>
      <c r="J19" s="1149" t="n"/>
      <c r="K19" s="1149" t="n">
        <v>813684.531252176</v>
      </c>
      <c r="L19" s="1150" t="n">
        <v>2.977987270443135</v>
      </c>
      <c r="M19" s="1149" t="n"/>
      <c r="N19" s="1149" t="n">
        <v>696455.207657784</v>
      </c>
      <c r="O19" s="1149" t="n">
        <v>429090.264958188</v>
      </c>
      <c r="P19" s="1149" t="n">
        <v>288105.375163547</v>
      </c>
      <c r="Q19" s="1149" t="n">
        <v>658157.624521938</v>
      </c>
      <c r="R19" s="1149" t="n">
        <v>717195.6401217349</v>
      </c>
      <c r="S19" s="1149" t="n">
        <v>-59038.0155997969</v>
      </c>
      <c r="T19" s="1149" t="n">
        <v>-34235.0967602937</v>
      </c>
      <c r="U19" s="1149" t="n"/>
      <c r="V19" s="1149" t="n">
        <v>7986000.60746529</v>
      </c>
      <c r="W19" s="1149" t="n">
        <v>533372.174594441</v>
      </c>
      <c r="X19" s="1149" t="n">
        <v>364715.741513559</v>
      </c>
      <c r="Y19" s="1149" t="n">
        <v>895545.513076609</v>
      </c>
      <c r="Z19" s="1149" t="n">
        <v>898087.916108</v>
      </c>
      <c r="AA19" s="1149" t="n">
        <v>-2542.403031390975</v>
      </c>
      <c r="AB19" s="1149" t="n">
        <v>63868.48575881124</v>
      </c>
      <c r="AE19" s="999">
        <f>W19/Z19</f>
        <v/>
      </c>
      <c r="AF19" s="999">
        <f>X19/Z19</f>
        <v/>
      </c>
      <c r="AG19" s="999" t="n"/>
      <c r="AH19" s="999">
        <f>X19/$Q19</f>
        <v/>
      </c>
      <c r="AI19" s="999">
        <f>D19/$Q19</f>
        <v/>
      </c>
      <c r="AV19" s="20" t="inlineStr">
        <is>
          <t>Avg 2015-2019</t>
        </is>
      </c>
      <c r="AW19" s="1151">
        <f>AVERAGE(D61:D80)</f>
        <v/>
      </c>
      <c r="AX19" s="1151">
        <f>AVERAGE(E61:E80)</f>
        <v/>
      </c>
      <c r="AY19" s="1151">
        <f>AVERAGE(O61:O80)</f>
        <v/>
      </c>
      <c r="AZ19" s="1151">
        <f>AVERAGE(P61:P80)</f>
        <v/>
      </c>
      <c r="BA19" s="1151">
        <f>AVERAGE(W61:W80)</f>
        <v/>
      </c>
      <c r="BB19" s="1151">
        <f>AVERAGE(X61:X80)</f>
        <v/>
      </c>
      <c r="BC19" s="1151">
        <f>AVERAGE(K61:K80)</f>
        <v/>
      </c>
    </row>
    <row r="20">
      <c r="A20" s="541">
        <f>EDATE(A19, 3)</f>
        <v/>
      </c>
      <c r="B20" s="599" t="inlineStr">
        <is>
          <t>Oct-Dec 2004</t>
        </is>
      </c>
      <c r="C20" s="1149" t="n">
        <v>27107388.2658337</v>
      </c>
      <c r="D20" s="1149" t="n">
        <v>342022.965956887</v>
      </c>
      <c r="E20" s="1149" t="n">
        <v>550921.481951842</v>
      </c>
      <c r="F20" s="1149" t="n">
        <v>1014126.671352245</v>
      </c>
      <c r="G20" s="1149" t="n">
        <v>892944.447908729</v>
      </c>
      <c r="H20" s="1149" t="n">
        <v>121182.2234435159</v>
      </c>
      <c r="I20" s="1149" t="n">
        <v>142010.4036003239</v>
      </c>
      <c r="J20" s="1149" t="n"/>
      <c r="K20" s="1149" t="n">
        <v>794833.678644235</v>
      </c>
      <c r="L20" s="1150" t="n">
        <v>2.89778968287556</v>
      </c>
      <c r="M20" s="1149" t="n"/>
      <c r="N20" s="1149" t="n">
        <v>698815.467569098</v>
      </c>
      <c r="O20" s="1149" t="n">
        <v>425464.052584915</v>
      </c>
      <c r="P20" s="1149" t="n">
        <v>268342.790534194</v>
      </c>
      <c r="Q20" s="1149" t="n">
        <v>691973.379669404</v>
      </c>
      <c r="R20" s="1149" t="n">
        <v>693806.843119109</v>
      </c>
      <c r="S20" s="1149" t="n">
        <v>-1833.463449705043</v>
      </c>
      <c r="T20" s="1149" t="n">
        <v>16617.80776197091</v>
      </c>
      <c r="U20" s="1149" t="n"/>
      <c r="V20" s="1149" t="n">
        <v>8021336.77667711</v>
      </c>
      <c r="W20" s="1149" t="n">
        <v>588662.61876733</v>
      </c>
      <c r="X20" s="1149" t="n">
        <v>349950.413712517</v>
      </c>
      <c r="Y20" s="1149" t="n">
        <v>819264.2724860359</v>
      </c>
      <c r="Z20" s="1149" t="n">
        <v>938613.032479847</v>
      </c>
      <c r="AA20" s="1149" t="n">
        <v>-119348.759993811</v>
      </c>
      <c r="AB20" s="1149" t="n">
        <v>-55634.2113622874</v>
      </c>
      <c r="AE20" s="999">
        <f>W20/Z20</f>
        <v/>
      </c>
      <c r="AF20" s="999">
        <f>X20/Z20</f>
        <v/>
      </c>
      <c r="AG20" s="999" t="n"/>
      <c r="AH20" s="999">
        <f>X20/$Q20</f>
        <v/>
      </c>
      <c r="AI20" s="999">
        <f>D20/$Q20</f>
        <v/>
      </c>
      <c r="AV20" s="20" t="n">
        <v>2020</v>
      </c>
      <c r="AW20" s="1151">
        <f>AVERAGE(D81:D84)</f>
        <v/>
      </c>
      <c r="AX20" s="1151">
        <f>AVERAGE(E81:E84)</f>
        <v/>
      </c>
      <c r="AY20" s="1151">
        <f>AVERAGE(O81:O84)</f>
        <v/>
      </c>
      <c r="AZ20" s="1151">
        <f>AVERAGE(P81:P84)</f>
        <v/>
      </c>
      <c r="BA20" s="1151">
        <f>AVERAGE(W81:W84)</f>
        <v/>
      </c>
      <c r="BB20" s="1151">
        <f>AVERAGE(X81:X84)</f>
        <v/>
      </c>
      <c r="BC20" s="1151">
        <f>AVERAGE(K81:K84)</f>
        <v/>
      </c>
    </row>
    <row r="21">
      <c r="A21" s="541">
        <f>EDATE(A20, 3)</f>
        <v/>
      </c>
      <c r="B21" s="599" t="inlineStr">
        <is>
          <t>Jan-Mar 2005</t>
        </is>
      </c>
      <c r="C21" s="1149" t="n">
        <v>27229877.1752339</v>
      </c>
      <c r="D21" s="1149" t="n">
        <v>334294.464740256</v>
      </c>
      <c r="E21" s="1149" t="n">
        <v>533906.252252305</v>
      </c>
      <c r="F21" s="1149" t="n">
        <v>984873.751242944</v>
      </c>
      <c r="G21" s="1149" t="n">
        <v>868200.716992561</v>
      </c>
      <c r="H21" s="1149" t="n">
        <v>116673.034250383</v>
      </c>
      <c r="I21" s="1149" t="n">
        <v>90606.54622708634</v>
      </c>
      <c r="J21" s="1149" t="n"/>
      <c r="K21" s="1149" t="n">
        <v>722522.731030928</v>
      </c>
      <c r="L21" s="1150" t="n">
        <v>2.620745103849428</v>
      </c>
      <c r="M21" s="1149" t="n"/>
      <c r="N21" s="1149" t="n">
        <v>673492.069915157</v>
      </c>
      <c r="O21" s="1149" t="n">
        <v>435515.473981031</v>
      </c>
      <c r="P21" s="1149" t="n">
        <v>301008.435785694</v>
      </c>
      <c r="Q21" s="1149" t="n">
        <v>707075.4508394781</v>
      </c>
      <c r="R21" s="1149" t="n">
        <v>736523.909766725</v>
      </c>
      <c r="S21" s="1149" t="n">
        <v>-29448.45892724697</v>
      </c>
      <c r="T21" s="1149" t="n">
        <v>-5220.149762435351</v>
      </c>
      <c r="U21" s="1149" t="n"/>
      <c r="V21" s="1149" t="n">
        <v>7985219.48562972</v>
      </c>
      <c r="W21" s="1149" t="n">
        <v>549358.2772619131</v>
      </c>
      <c r="X21" s="1149" t="n">
        <v>372780.986099222</v>
      </c>
      <c r="Y21" s="1149" t="n">
        <v>834914.688037999</v>
      </c>
      <c r="Z21" s="1149" t="n">
        <v>922139.263361135</v>
      </c>
      <c r="AA21" s="1149" t="n">
        <v>-87224.57532313606</v>
      </c>
      <c r="AB21" s="1149" t="n">
        <v>19550.60353534669</v>
      </c>
      <c r="AE21" s="999">
        <f>W21/Z21</f>
        <v/>
      </c>
      <c r="AF21" s="999">
        <f>X21/Z21</f>
        <v/>
      </c>
      <c r="AG21" s="999" t="n"/>
      <c r="AH21" s="999">
        <f>X21/$Q21</f>
        <v/>
      </c>
      <c r="AI21" s="999">
        <f>D21/$Q21</f>
        <v/>
      </c>
      <c r="AV21" s="20" t="n">
        <v>2021</v>
      </c>
      <c r="AW21" s="1151">
        <f>AVERAGE(D85:D88)</f>
        <v/>
      </c>
      <c r="AX21" s="1151">
        <f>AVERAGE(E85:E88)</f>
        <v/>
      </c>
      <c r="AY21" s="1151">
        <f>AVERAGE(O85:O88)</f>
        <v/>
      </c>
      <c r="AZ21" s="1151">
        <f>AVERAGE(P85:P88)</f>
        <v/>
      </c>
      <c r="BA21" s="1151">
        <f>AVERAGE(W85:W88)</f>
        <v/>
      </c>
      <c r="BB21" s="1151">
        <f>AVERAGE(X85:X88)</f>
        <v/>
      </c>
      <c r="BC21" s="1151">
        <f>AVERAGE(K85:K88)</f>
        <v/>
      </c>
    </row>
    <row r="22">
      <c r="A22" s="541">
        <f>EDATE(A21, 3)</f>
        <v/>
      </c>
      <c r="B22" s="599" t="inlineStr">
        <is>
          <t>Apr-Jun 2005</t>
        </is>
      </c>
      <c r="C22" s="1149" t="n">
        <v>27279072.3461324</v>
      </c>
      <c r="D22" s="1149" t="n">
        <v>340199.396249918</v>
      </c>
      <c r="E22" s="1149" t="n">
        <v>578926.074005059</v>
      </c>
      <c r="F22" s="1149" t="n">
        <v>936266.01319658</v>
      </c>
      <c r="G22" s="1149" t="n">
        <v>919125.470254977</v>
      </c>
      <c r="H22" s="1149" t="n">
        <v>17140.54294160299</v>
      </c>
      <c r="I22" s="1149" t="n">
        <v>4757.081271827221</v>
      </c>
      <c r="J22" s="1149" t="n"/>
      <c r="K22" s="1149" t="n">
        <v>726723.947699933</v>
      </c>
      <c r="L22" s="1150" t="n">
        <v>2.629850982483517</v>
      </c>
      <c r="M22" s="1149" t="n"/>
      <c r="N22" s="1149" t="n">
        <v>722411.103684458</v>
      </c>
      <c r="O22" s="1149" t="n">
        <v>418717.628691879</v>
      </c>
      <c r="P22" s="1149" t="n">
        <v>265190.266741552</v>
      </c>
      <c r="Q22" s="1149" t="n">
        <v>688119.453994123</v>
      </c>
      <c r="R22" s="1149" t="n">
        <v>683907.895433431</v>
      </c>
      <c r="S22" s="1149" t="n">
        <v>4211.558560692007</v>
      </c>
      <c r="T22" s="1149" t="n">
        <v>23271.71314975224</v>
      </c>
      <c r="U22" s="1149" t="n"/>
      <c r="V22" s="1149" t="n">
        <v>8074087.36075886</v>
      </c>
      <c r="W22" s="1149" t="n">
        <v>517548.384504701</v>
      </c>
      <c r="X22" s="1149" t="n">
        <v>347920.057744205</v>
      </c>
      <c r="Y22" s="1149" t="n">
        <v>844116.3407466109</v>
      </c>
      <c r="Z22" s="1149" t="n">
        <v>865468.442248906</v>
      </c>
      <c r="AA22" s="1149" t="n">
        <v>-21352.10150229512</v>
      </c>
      <c r="AB22" s="1149" t="n">
        <v>75181.20557842404</v>
      </c>
      <c r="AE22" s="999">
        <f>W22/Z22</f>
        <v/>
      </c>
      <c r="AF22" s="999">
        <f>X22/Z22</f>
        <v/>
      </c>
      <c r="AG22" s="999" t="n"/>
      <c r="AH22" s="999">
        <f>X22/$Q22</f>
        <v/>
      </c>
      <c r="AI22" s="999">
        <f>D22/$Q22</f>
        <v/>
      </c>
      <c r="AV22" s="20" t="n">
        <v>2022</v>
      </c>
      <c r="AW22" s="1151">
        <f>AVERAGE(D89:D92)</f>
        <v/>
      </c>
      <c r="AX22" s="1151">
        <f>AVERAGE(E89:E92)</f>
        <v/>
      </c>
      <c r="AY22" s="1151">
        <f>AVERAGE(O89:O92)</f>
        <v/>
      </c>
      <c r="AZ22" s="1151">
        <f>AVERAGE(P89:P92)</f>
        <v/>
      </c>
      <c r="BA22" s="1151">
        <f>AVERAGE(W89:W92)</f>
        <v/>
      </c>
      <c r="BB22" s="1151">
        <f>AVERAGE(X89:X92)</f>
        <v/>
      </c>
      <c r="BC22" s="1151">
        <f>AVERAGE(K89:K92)</f>
        <v/>
      </c>
    </row>
    <row r="23">
      <c r="A23" s="541">
        <f>EDATE(A22, 3)</f>
        <v/>
      </c>
      <c r="B23" s="599" t="inlineStr">
        <is>
          <t>Jul-Sep 2005</t>
        </is>
      </c>
      <c r="C23" s="1149" t="n">
        <v>27360393.6141271</v>
      </c>
      <c r="D23" s="1149" t="n">
        <v>314894.301058598</v>
      </c>
      <c r="E23" s="1149" t="n">
        <v>509249.973039847</v>
      </c>
      <c r="F23" s="1149" t="n">
        <v>971556.497861824</v>
      </c>
      <c r="G23" s="1149" t="n">
        <v>824144.274098445</v>
      </c>
      <c r="H23" s="1149" t="n">
        <v>147412.223763379</v>
      </c>
      <c r="I23" s="1149" t="n">
        <v>130671.6843751483</v>
      </c>
      <c r="J23" s="1149" t="n"/>
      <c r="K23" s="1149" t="n">
        <v>695708.581419181</v>
      </c>
      <c r="L23" s="1150" t="n">
        <v>2.510394355735043</v>
      </c>
      <c r="M23" s="1149" t="n"/>
      <c r="N23" s="1149" t="n">
        <v>677393.32197649</v>
      </c>
      <c r="O23" s="1149" t="n">
        <v>452841.606817119</v>
      </c>
      <c r="P23" s="1149" t="n">
        <v>280237.007331343</v>
      </c>
      <c r="Q23" s="1149" t="n">
        <v>698835.531022884</v>
      </c>
      <c r="R23" s="1149" t="n">
        <v>733078.614148462</v>
      </c>
      <c r="S23" s="1149" t="n">
        <v>-34243.08312557801</v>
      </c>
      <c r="T23" s="1149" t="n">
        <v>-4627.899041312048</v>
      </c>
      <c r="U23" s="1149" t="n"/>
      <c r="V23" s="1149" t="n">
        <v>8088313.84452114</v>
      </c>
      <c r="W23" s="1149" t="n">
        <v>518714.891044705</v>
      </c>
      <c r="X23" s="1149" t="n">
        <v>383941.229964286</v>
      </c>
      <c r="Y23" s="1149" t="n">
        <v>789486.98037119</v>
      </c>
      <c r="Z23" s="1149" t="n">
        <v>902656.121008991</v>
      </c>
      <c r="AA23" s="1149" t="n">
        <v>-113169.140637801</v>
      </c>
      <c r="AB23" s="1149" t="n">
        <v>-26835.78533383831</v>
      </c>
      <c r="AE23" s="999">
        <f>W23/Z23</f>
        <v/>
      </c>
      <c r="AF23" s="999">
        <f>X23/Z23</f>
        <v/>
      </c>
      <c r="AG23" s="999" t="n"/>
      <c r="AH23" s="999">
        <f>X23/$Q23</f>
        <v/>
      </c>
      <c r="AI23" s="999">
        <f>D23/$Q23</f>
        <v/>
      </c>
      <c r="AV23" s="20" t="n">
        <v>2023</v>
      </c>
      <c r="AW23" s="1151">
        <f>AVERAGE(D93:D96)</f>
        <v/>
      </c>
      <c r="AX23" s="1151">
        <f>AVERAGE(E93:E96)</f>
        <v/>
      </c>
      <c r="AY23" s="1151">
        <f>AVERAGE(O93:O96)</f>
        <v/>
      </c>
      <c r="AZ23" s="1151">
        <f>AVERAGE(P93:P96)</f>
        <v/>
      </c>
      <c r="BA23" s="1151">
        <f>AVERAGE(W93:W96)</f>
        <v/>
      </c>
      <c r="BB23" s="1151">
        <f>AVERAGE(X93:X96)</f>
        <v/>
      </c>
      <c r="BC23" s="1151">
        <f>AVERAGE(K93:K96)</f>
        <v/>
      </c>
      <c r="BF23" s="1151" t="inlineStr">
        <is>
          <t>Employment to Unemployment</t>
        </is>
      </c>
      <c r="BG23" s="20" t="inlineStr">
        <is>
          <t>Employment to Economic Inactivity</t>
        </is>
      </c>
      <c r="BH23" s="20" t="inlineStr">
        <is>
          <t>Unemployment to Employment</t>
        </is>
      </c>
      <c r="BI23" s="20" t="inlineStr">
        <is>
          <t>Unemployment to Economic Inactivity</t>
        </is>
      </c>
      <c r="BJ23" s="20" t="inlineStr">
        <is>
          <t>Economic Inactivity to Employment</t>
        </is>
      </c>
      <c r="BK23" s="20" t="inlineStr">
        <is>
          <t>Economic Inactivity to Unemployment</t>
        </is>
      </c>
      <c r="BL23" s="20" t="inlineStr">
        <is>
          <t>Job to job changes</t>
        </is>
      </c>
    </row>
    <row r="24">
      <c r="A24" s="541">
        <f>EDATE(A23, 3)</f>
        <v/>
      </c>
      <c r="B24" s="599" t="inlineStr">
        <is>
          <t>Oct-Dec 2005</t>
        </is>
      </c>
      <c r="C24" s="1149" t="n">
        <v>27375439.3085436</v>
      </c>
      <c r="D24" s="1149" t="n">
        <v>380987.914223437</v>
      </c>
      <c r="E24" s="1149" t="n">
        <v>574908.232656267</v>
      </c>
      <c r="F24" s="1149" t="n">
        <v>903253.6862788179</v>
      </c>
      <c r="G24" s="1149" t="n">
        <v>955896.146879704</v>
      </c>
      <c r="H24" s="1149" t="n">
        <v>-52642.46060088603</v>
      </c>
      <c r="I24" s="1149" t="n">
        <v>-74267.40371381119</v>
      </c>
      <c r="J24" s="1149" t="n"/>
      <c r="K24" s="1149" t="n">
        <v>685361.445123974</v>
      </c>
      <c r="L24" s="1150" t="n">
        <v>2.4712726597636</v>
      </c>
      <c r="M24" s="1149" t="n"/>
      <c r="N24" s="1149" t="n">
        <v>777116.3280322551</v>
      </c>
      <c r="O24" s="1149" t="n">
        <v>390287.275973252</v>
      </c>
      <c r="P24" s="1149" t="n">
        <v>268934.90437066</v>
      </c>
      <c r="Q24" s="1149" t="n">
        <v>760430.283749925</v>
      </c>
      <c r="R24" s="1149" t="n">
        <v>659222.180343912</v>
      </c>
      <c r="S24" s="1149" t="n">
        <v>101208.103406013</v>
      </c>
      <c r="T24" s="1149" t="n">
        <v>128463.8867857661</v>
      </c>
      <c r="U24" s="1149" t="n"/>
      <c r="V24" s="1149" t="n">
        <v>8090435.70295163</v>
      </c>
      <c r="W24" s="1149" t="n">
        <v>512966.410305566</v>
      </c>
      <c r="X24" s="1149" t="n">
        <v>379442.369526488</v>
      </c>
      <c r="Y24" s="1149" t="n">
        <v>843843.137026927</v>
      </c>
      <c r="Z24" s="1149" t="n">
        <v>892408.7798320539</v>
      </c>
      <c r="AA24" s="1149" t="n">
        <v>-48565.64280512696</v>
      </c>
      <c r="AB24" s="1149" t="n">
        <v>42035.51692804694</v>
      </c>
      <c r="AE24" s="999">
        <f>W24/Z24</f>
        <v/>
      </c>
      <c r="AF24" s="999">
        <f>X24/Z24</f>
        <v/>
      </c>
      <c r="AG24" s="999" t="n"/>
      <c r="AH24" s="999">
        <f>X24/$Q24</f>
        <v/>
      </c>
      <c r="AI24" s="999">
        <f>D24/$Q24</f>
        <v/>
      </c>
      <c r="AV24" s="20" t="n">
        <v>2024</v>
      </c>
      <c r="AW24" s="1151">
        <f>AVERAGE(D97:D100)</f>
        <v/>
      </c>
      <c r="AX24" s="1151">
        <f>AVERAGE(E97:E100)</f>
        <v/>
      </c>
      <c r="AY24" s="1151">
        <f>AVERAGE(O97:O100)</f>
        <v/>
      </c>
      <c r="AZ24" s="1151">
        <f>AVERAGE(P97:P100)</f>
        <v/>
      </c>
      <c r="BA24" s="1151">
        <f>AVERAGE(W97:W100)</f>
        <v/>
      </c>
      <c r="BB24" s="1151">
        <f>AVERAGE(X97:X100)</f>
        <v/>
      </c>
      <c r="BC24" s="1151">
        <f>AVERAGE(K97:K100)</f>
        <v/>
      </c>
      <c r="BE24" s="20" t="inlineStr">
        <is>
          <t>2015-2024 average</t>
        </is>
      </c>
      <c r="BF24" s="1151">
        <f>AVERAGE(D61:D100)</f>
        <v/>
      </c>
      <c r="BG24" s="1151">
        <f>AVERAGE(E61:E100)</f>
        <v/>
      </c>
      <c r="BH24" s="1151">
        <f>AVERAGE(O61:O100)</f>
        <v/>
      </c>
      <c r="BI24" s="1151">
        <f>AVERAGE(P61:P100)</f>
        <v/>
      </c>
      <c r="BJ24" s="1151">
        <f>AVERAGE(W61:W100)</f>
        <v/>
      </c>
      <c r="BK24" s="1151">
        <f>AVERAGE(X61:X100)</f>
        <v/>
      </c>
      <c r="BL24" s="1151">
        <f>AVERAGE(K61:K100)</f>
        <v/>
      </c>
    </row>
    <row r="25">
      <c r="A25" s="541">
        <f>EDATE(A24, 3)</f>
        <v/>
      </c>
      <c r="B25" s="599" t="inlineStr">
        <is>
          <t>Jan-Mar 2006</t>
        </is>
      </c>
      <c r="C25" s="1149" t="n">
        <v>27460659.646438</v>
      </c>
      <c r="D25" s="1149" t="n">
        <v>320567.140976629</v>
      </c>
      <c r="E25" s="1149" t="n">
        <v>475711.798185532</v>
      </c>
      <c r="F25" s="1149" t="n">
        <v>976779.979924632</v>
      </c>
      <c r="G25" s="1149" t="n">
        <v>796278.939162161</v>
      </c>
      <c r="H25" s="1149" t="n">
        <v>180501.040762471</v>
      </c>
      <c r="I25" s="1149" t="n">
        <v>160252.4889143184</v>
      </c>
      <c r="J25" s="1149" t="n"/>
      <c r="K25" s="1149" t="n">
        <v>687873.33474627</v>
      </c>
      <c r="L25" s="1150" t="n">
        <v>2.473081783480655</v>
      </c>
      <c r="M25" s="1149" t="n"/>
      <c r="N25" s="1149" t="n">
        <v>847489.261033794</v>
      </c>
      <c r="O25" s="1149" t="n">
        <v>418290.656637843</v>
      </c>
      <c r="P25" s="1149" t="n">
        <v>280004.366082477</v>
      </c>
      <c r="Q25" s="1149" t="n">
        <v>713419.3291573711</v>
      </c>
      <c r="R25" s="1149" t="n">
        <v>698295.0227203199</v>
      </c>
      <c r="S25" s="1149" t="n">
        <v>15124.30643705116</v>
      </c>
      <c r="T25" s="1149" t="n">
        <v>39122.93574933382</v>
      </c>
      <c r="U25" s="1149" t="n"/>
      <c r="V25" s="1149" t="n">
        <v>8050564.53652202</v>
      </c>
      <c r="W25" s="1149" t="n">
        <v>558489.323286789</v>
      </c>
      <c r="X25" s="1149" t="n">
        <v>392852.188180742</v>
      </c>
      <c r="Y25" s="1149" t="n">
        <v>755716.1642680089</v>
      </c>
      <c r="Z25" s="1149" t="n">
        <v>951341.5114675311</v>
      </c>
      <c r="AA25" s="1149" t="n">
        <v>-195625.3471995222</v>
      </c>
      <c r="AB25" s="1149" t="n">
        <v>-102600.4246636517</v>
      </c>
      <c r="AE25" s="999">
        <f>W25/Z25</f>
        <v/>
      </c>
      <c r="AF25" s="999">
        <f>X25/Z25</f>
        <v/>
      </c>
      <c r="AG25" s="999" t="n"/>
      <c r="AH25" s="999">
        <f>X25/$Q25</f>
        <v/>
      </c>
      <c r="AI25" s="999">
        <f>D25/$Q25</f>
        <v/>
      </c>
      <c r="AV25" s="20" t="inlineStr">
        <is>
          <t>Q1, Q2 and Q3 2025</t>
        </is>
      </c>
      <c r="AW25" s="1151">
        <f>AVERAGE($D$101:$D$104)</f>
        <v/>
      </c>
      <c r="AX25" s="1151">
        <f>AVERAGE($E$101:$E$104)</f>
        <v/>
      </c>
      <c r="AY25" s="1151">
        <f>AVERAGE($O$101:$O$104)</f>
        <v/>
      </c>
      <c r="AZ25" s="1151">
        <f>AVERAGE($P$101:$P$104)</f>
        <v/>
      </c>
      <c r="BA25" s="1151">
        <f>AVERAGE($W$101:$W$104)</f>
        <v/>
      </c>
      <c r="BB25" s="1151">
        <f>AVERAGE($X$101:$X$104)</f>
        <v/>
      </c>
      <c r="BC25" s="1151">
        <f>AVERAGE($K$101:$K$104)</f>
        <v/>
      </c>
      <c r="BE25" s="20" t="inlineStr">
        <is>
          <t>Q1/Q2/Q3 2025 average</t>
        </is>
      </c>
      <c r="BF25" s="1151">
        <f>AVERAGE($D$101:$D$104)</f>
        <v/>
      </c>
      <c r="BG25" s="1151">
        <f>AVERAGE($E$101:$E$104)</f>
        <v/>
      </c>
      <c r="BH25" s="1151">
        <f>AVERAGE($O$101:$O$104)</f>
        <v/>
      </c>
      <c r="BI25" s="1151">
        <f>AVERAGE($P$101:$P$104)</f>
        <v/>
      </c>
      <c r="BJ25" s="1151">
        <f>AVERAGE($W$101:$W$104)</f>
        <v/>
      </c>
      <c r="BK25" s="1151">
        <f>AVERAGE($X$101:$X$104)</f>
        <v/>
      </c>
      <c r="BL25" s="1151">
        <f>AVERAGE($K$101:$K$104)</f>
        <v/>
      </c>
    </row>
    <row r="26">
      <c r="A26" s="541">
        <f>EDATE(A25, 3)</f>
        <v/>
      </c>
      <c r="B26" s="599" t="inlineStr">
        <is>
          <t>Apr-Jun 2006</t>
        </is>
      </c>
      <c r="C26" s="1149" t="n">
        <v>27555934.3266798</v>
      </c>
      <c r="D26" s="1149" t="n">
        <v>350208.389655314</v>
      </c>
      <c r="E26" s="1149" t="n">
        <v>525010.806200901</v>
      </c>
      <c r="F26" s="1149" t="n">
        <v>933416.180399538</v>
      </c>
      <c r="G26" s="1149" t="n">
        <v>875219.195856215</v>
      </c>
      <c r="H26" s="1149" t="n">
        <v>58196.98454332305</v>
      </c>
      <c r="I26" s="1149" t="n">
        <v>46238.04122332484</v>
      </c>
      <c r="J26" s="1149" t="n"/>
      <c r="K26" s="1149" t="n">
        <v>730765.85006939</v>
      </c>
      <c r="L26" s="1150" t="n">
        <v>2.618051009068346</v>
      </c>
      <c r="M26" s="1149" t="n"/>
      <c r="N26" s="1149" t="n">
        <v>868285.216106047</v>
      </c>
      <c r="O26" s="1149" t="n">
        <v>421066.621313467</v>
      </c>
      <c r="P26" s="1149" t="n">
        <v>302261.430730813</v>
      </c>
      <c r="Q26" s="1149" t="n">
        <v>801185.932264144</v>
      </c>
      <c r="R26" s="1149" t="n">
        <v>723328.05204428</v>
      </c>
      <c r="S26" s="1149" t="n">
        <v>77857.88021986396</v>
      </c>
      <c r="T26" s="1149" t="n">
        <v>80825.42950128554</v>
      </c>
      <c r="U26" s="1149" t="n"/>
      <c r="V26" s="1149" t="n">
        <v>7957874.20387498</v>
      </c>
      <c r="W26" s="1149" t="n">
        <v>512349.559086071</v>
      </c>
      <c r="X26" s="1149" t="n">
        <v>450977.54260883</v>
      </c>
      <c r="Y26" s="1149" t="n">
        <v>827272.236931714</v>
      </c>
      <c r="Z26" s="1149" t="n">
        <v>963327.101694901</v>
      </c>
      <c r="AA26" s="1149" t="n">
        <v>-136054.864763187</v>
      </c>
      <c r="AB26" s="1149" t="n">
        <v>-31138.47072461434</v>
      </c>
      <c r="AE26" s="999">
        <f>W26/Z26</f>
        <v/>
      </c>
      <c r="AF26" s="999">
        <f>X26/Z26</f>
        <v/>
      </c>
      <c r="AG26" s="999" t="n"/>
      <c r="AH26" s="999">
        <f>X26/$Q26</f>
        <v/>
      </c>
      <c r="AI26" s="999">
        <f>D26/$Q26</f>
        <v/>
      </c>
      <c r="BA26" s="1151" t="n"/>
    </row>
    <row r="27">
      <c r="A27" s="541">
        <f>EDATE(A26, 3)</f>
        <v/>
      </c>
      <c r="B27" s="599" t="inlineStr">
        <is>
          <t>Jul-Sep 2006</t>
        </is>
      </c>
      <c r="C27" s="1149" t="n">
        <v>27558238.7757409</v>
      </c>
      <c r="D27" s="1149" t="n">
        <v>372630.256467045</v>
      </c>
      <c r="E27" s="1149" t="n">
        <v>530756.7281735539</v>
      </c>
      <c r="F27" s="1149" t="n">
        <v>994250.5684732869</v>
      </c>
      <c r="G27" s="1149" t="n">
        <v>903386.984640599</v>
      </c>
      <c r="H27" s="1149" t="n">
        <v>90863.58383268793</v>
      </c>
      <c r="I27" s="1149" t="n">
        <v>60796.03950679302</v>
      </c>
      <c r="J27" s="1149" t="n"/>
      <c r="K27" s="1149" t="n">
        <v>635428.0978646789</v>
      </c>
      <c r="L27" s="1150" t="n">
        <v>2.274902923239296</v>
      </c>
      <c r="M27" s="1149" t="n"/>
      <c r="N27" s="1149" t="n">
        <v>890117.3473196219</v>
      </c>
      <c r="O27" s="1149" t="n">
        <v>465132.256181644</v>
      </c>
      <c r="P27" s="1149" t="n">
        <v>301653.175558834</v>
      </c>
      <c r="Q27" s="1149" t="n">
        <v>750420.044126478</v>
      </c>
      <c r="R27" s="1149" t="n">
        <v>766785.4317404779</v>
      </c>
      <c r="S27" s="1149" t="n">
        <v>-16365.38761399989</v>
      </c>
      <c r="T27" s="1149" t="n">
        <v>7073.386977380374</v>
      </c>
      <c r="U27" s="1149" t="n"/>
      <c r="V27" s="1149" t="n">
        <v>7961985.22239515</v>
      </c>
      <c r="W27" s="1149" t="n">
        <v>529118.312291643</v>
      </c>
      <c r="X27" s="1149" t="n">
        <v>377789.787659433</v>
      </c>
      <c r="Y27" s="1149" t="n">
        <v>832409.9037323879</v>
      </c>
      <c r="Z27" s="1149" t="n">
        <v>906908.099951076</v>
      </c>
      <c r="AA27" s="1149" t="n">
        <v>-74498.19621868804</v>
      </c>
      <c r="AB27" s="1149" t="n">
        <v>29876.5735158287</v>
      </c>
      <c r="AE27" s="999">
        <f>W27/Z27</f>
        <v/>
      </c>
      <c r="AF27" s="999">
        <f>X27/Z27</f>
        <v/>
      </c>
      <c r="AG27" s="999" t="n"/>
      <c r="AH27" s="999">
        <f>X27/$Q27</f>
        <v/>
      </c>
      <c r="AI27" s="999">
        <f>D27/$Q27</f>
        <v/>
      </c>
      <c r="BA27" s="206" t="n"/>
    </row>
    <row r="28">
      <c r="A28" s="541">
        <f>EDATE(A27, 3)</f>
        <v/>
      </c>
      <c r="B28" s="599" t="inlineStr">
        <is>
          <t>Oct-Dec 2006</t>
        </is>
      </c>
      <c r="C28" s="1149" t="n">
        <v>27639711.4784652</v>
      </c>
      <c r="D28" s="1149" t="n">
        <v>345805.423649016</v>
      </c>
      <c r="E28" s="1149" t="n">
        <v>558730.128206627</v>
      </c>
      <c r="F28" s="1149" t="n">
        <v>930381.555790609</v>
      </c>
      <c r="G28" s="1149" t="n">
        <v>904535.551855643</v>
      </c>
      <c r="H28" s="1149" t="n">
        <v>25846.00393496593</v>
      </c>
      <c r="I28" s="1149" t="n">
        <v>27996.82684691995</v>
      </c>
      <c r="J28" s="1149" t="n"/>
      <c r="K28" s="1149" t="n">
        <v>711247.343915094</v>
      </c>
      <c r="L28" s="1150" t="n">
        <v>2.536844618155507</v>
      </c>
      <c r="M28" s="1149" t="n"/>
      <c r="N28" s="1149" t="n">
        <v>934743.970766384</v>
      </c>
      <c r="O28" s="1149" t="n">
        <v>446447.31469399</v>
      </c>
      <c r="P28" s="1149" t="n">
        <v>299127.392160336</v>
      </c>
      <c r="Q28" s="1149" t="n">
        <v>733682.108502496</v>
      </c>
      <c r="R28" s="1149" t="n">
        <v>745574.706854326</v>
      </c>
      <c r="S28" s="1149" t="n">
        <v>-11892.59835182992</v>
      </c>
      <c r="T28" s="1149" t="n">
        <v>12729.91725010867</v>
      </c>
      <c r="U28" s="1149" t="n"/>
      <c r="V28" s="1149" t="n">
        <v>8024169.52966122</v>
      </c>
      <c r="W28" s="1149" t="n">
        <v>483934.241096619</v>
      </c>
      <c r="X28" s="1149" t="n">
        <v>387876.68485348</v>
      </c>
      <c r="Y28" s="1149" t="n">
        <v>857857.520366963</v>
      </c>
      <c r="Z28" s="1149" t="n">
        <v>871810.925950099</v>
      </c>
      <c r="AA28" s="1149" t="n">
        <v>-13953.40558313602</v>
      </c>
      <c r="AB28" s="1149" t="n">
        <v>56880.25590297207</v>
      </c>
      <c r="AE28" s="999">
        <f>W28/Z28</f>
        <v/>
      </c>
      <c r="AF28" s="999">
        <f>X28/Z28</f>
        <v/>
      </c>
      <c r="AG28" s="999" t="n"/>
      <c r="AH28" s="999">
        <f>X28/$Q28</f>
        <v/>
      </c>
      <c r="AI28" s="999">
        <f>D28/$Q28</f>
        <v/>
      </c>
      <c r="BA28" s="206" t="n"/>
    </row>
    <row r="29">
      <c r="A29" s="541">
        <f>EDATE(A28, 3)</f>
        <v/>
      </c>
      <c r="B29" s="599" t="inlineStr">
        <is>
          <t>Jan-Mar 2007</t>
        </is>
      </c>
      <c r="C29" s="1149" t="n">
        <v>27586968.5098558</v>
      </c>
      <c r="D29" s="1149" t="n">
        <v>344451.660997843</v>
      </c>
      <c r="E29" s="1149" t="n">
        <v>616256.478389892</v>
      </c>
      <c r="F29" s="1149" t="n">
        <v>931220.572233282</v>
      </c>
      <c r="G29" s="1149" t="n">
        <v>960708.139387735</v>
      </c>
      <c r="H29" s="1149" t="n">
        <v>-29487.56715445302</v>
      </c>
      <c r="I29" s="1149" t="n">
        <v>-10109.06668067351</v>
      </c>
      <c r="J29" s="1149" t="n"/>
      <c r="K29" s="1149" t="n">
        <v>702361.260214285</v>
      </c>
      <c r="L29" s="1150" t="n">
        <v>2.510555352075527</v>
      </c>
      <c r="M29" s="1149" t="n"/>
      <c r="N29" s="1149" t="n">
        <v>896813.9828266141</v>
      </c>
      <c r="O29" s="1149" t="n">
        <v>441437.148762152</v>
      </c>
      <c r="P29" s="1149" t="n">
        <v>347362.243801475</v>
      </c>
      <c r="Q29" s="1149" t="n">
        <v>762998.056549772</v>
      </c>
      <c r="R29" s="1149" t="n">
        <v>788799.392563627</v>
      </c>
      <c r="S29" s="1149" t="n">
        <v>-25801.33601385495</v>
      </c>
      <c r="T29" s="1149" t="n">
        <v>-883.9984527735505</v>
      </c>
      <c r="U29" s="1149" t="n"/>
      <c r="V29" s="1149" t="n">
        <v>8040103.72821811</v>
      </c>
      <c r="W29" s="1149" t="n">
        <v>489783.42347113</v>
      </c>
      <c r="X29" s="1149" t="n">
        <v>418546.395551929</v>
      </c>
      <c r="Y29" s="1149" t="n">
        <v>963618.7221913671</v>
      </c>
      <c r="Z29" s="1149" t="n">
        <v>908329.819023059</v>
      </c>
      <c r="AA29" s="1149" t="n">
        <v>55288.90316830808</v>
      </c>
      <c r="AB29" s="1149" t="n">
        <v>108179.0651334412</v>
      </c>
      <c r="AE29" s="999">
        <f>W29/Z29</f>
        <v/>
      </c>
      <c r="AF29" s="999">
        <f>X29/Z29</f>
        <v/>
      </c>
      <c r="AG29" s="999" t="n"/>
      <c r="AH29" s="999">
        <f>X29/$Q29</f>
        <v/>
      </c>
      <c r="AI29" s="999">
        <f>D29/$Q29</f>
        <v/>
      </c>
    </row>
    <row r="30">
      <c r="A30" s="541">
        <f>EDATE(A29, 3)</f>
        <v/>
      </c>
      <c r="B30" s="599" t="inlineStr">
        <is>
          <t>Apr-Jun 2007</t>
        </is>
      </c>
      <c r="C30" s="1149" t="n">
        <v>27683313.5807051</v>
      </c>
      <c r="D30" s="1149" t="n">
        <v>320581.170621364</v>
      </c>
      <c r="E30" s="1149" t="n">
        <v>534555.08514329</v>
      </c>
      <c r="F30" s="1149" t="n">
        <v>1006447.354344494</v>
      </c>
      <c r="G30" s="1149" t="n">
        <v>855136.255764654</v>
      </c>
      <c r="H30" s="1149" t="n">
        <v>151311.0985798399</v>
      </c>
      <c r="I30" s="1149" t="n">
        <v>129549.1100079678</v>
      </c>
      <c r="J30" s="1149" t="n"/>
      <c r="K30" s="1149" t="n">
        <v>749595.433171898</v>
      </c>
      <c r="L30" s="1150" t="n">
        <v>2.672642668166464</v>
      </c>
      <c r="M30" s="1149" t="n"/>
      <c r="N30" s="1149" t="n">
        <v>885889.82477066</v>
      </c>
      <c r="O30" s="1149" t="n">
        <v>463867.747009947</v>
      </c>
      <c r="P30" s="1149" t="n">
        <v>345344.404476054</v>
      </c>
      <c r="Q30" s="1149" t="n">
        <v>742979.769541282</v>
      </c>
      <c r="R30" s="1149" t="n">
        <v>809212.151486001</v>
      </c>
      <c r="S30" s="1149" t="n">
        <v>-66232.381944719</v>
      </c>
      <c r="T30" s="1149" t="n">
        <v>-49157.46796729811</v>
      </c>
      <c r="U30" s="1149" t="n"/>
      <c r="V30" s="1149" t="n">
        <v>8110919.94418598</v>
      </c>
      <c r="W30" s="1149" t="n">
        <v>542579.607334547</v>
      </c>
      <c r="X30" s="1149" t="n">
        <v>422398.598919918</v>
      </c>
      <c r="Y30" s="1149" t="n">
        <v>879899.489619344</v>
      </c>
      <c r="Z30" s="1149" t="n">
        <v>964978.206254465</v>
      </c>
      <c r="AA30" s="1149" t="n">
        <v>-85078.71663512103</v>
      </c>
      <c r="AB30" s="1149" t="n">
        <v>17361.35795933381</v>
      </c>
      <c r="AE30" s="999">
        <f>W30/Z30</f>
        <v/>
      </c>
      <c r="AF30" s="999">
        <f>X30/Z30</f>
        <v/>
      </c>
      <c r="AG30" s="999" t="n"/>
      <c r="AH30" s="999">
        <f>X30/$Q30</f>
        <v/>
      </c>
      <c r="AI30" s="999">
        <f>D30/$Q30</f>
        <v/>
      </c>
    </row>
    <row r="31">
      <c r="A31" s="541">
        <f>EDATE(A30, 3)</f>
        <v/>
      </c>
      <c r="B31" s="599" t="inlineStr">
        <is>
          <t>Jul-Sep 2007</t>
        </is>
      </c>
      <c r="C31" s="1149" t="n">
        <v>27742423.5507992</v>
      </c>
      <c r="D31" s="1149" t="n">
        <v>331586.47781569</v>
      </c>
      <c r="E31" s="1149" t="n">
        <v>563019.363606355</v>
      </c>
      <c r="F31" s="1149" t="n">
        <v>1001968.559608104</v>
      </c>
      <c r="G31" s="1149" t="n">
        <v>894605.841422045</v>
      </c>
      <c r="H31" s="1149" t="n">
        <v>107362.7181860589</v>
      </c>
      <c r="I31" s="1149" t="n">
        <v>74741.09704801068</v>
      </c>
      <c r="J31" s="1149" t="n"/>
      <c r="K31" s="1149" t="n">
        <v>710882.295919697</v>
      </c>
      <c r="L31" s="1150" t="n">
        <v>2.52771024168372</v>
      </c>
      <c r="M31" s="1149" t="n"/>
      <c r="N31" s="1149" t="n">
        <v>866409.533500088</v>
      </c>
      <c r="O31" s="1149" t="n">
        <v>451880.131114411</v>
      </c>
      <c r="P31" s="1149" t="n">
        <v>302953.925986709</v>
      </c>
      <c r="Q31" s="1149" t="n">
        <v>742795.700600459</v>
      </c>
      <c r="R31" s="1149" t="n">
        <v>754834.05710112</v>
      </c>
      <c r="S31" s="1149" t="n">
        <v>-12038.356500661</v>
      </c>
      <c r="T31" s="1149" t="n">
        <v>-1950.766978802392</v>
      </c>
      <c r="U31" s="1149" t="n"/>
      <c r="V31" s="1149" t="n">
        <v>8127670.63967929</v>
      </c>
      <c r="W31" s="1149" t="n">
        <v>550088.428493693</v>
      </c>
      <c r="X31" s="1149" t="n">
        <v>411209.222784769</v>
      </c>
      <c r="Y31" s="1149" t="n">
        <v>865973.289593064</v>
      </c>
      <c r="Z31" s="1149" t="n">
        <v>961297.651278462</v>
      </c>
      <c r="AA31" s="1149" t="n">
        <v>-95324.36168539803</v>
      </c>
      <c r="AB31" s="1149" t="n">
        <v>12849.66993079334</v>
      </c>
      <c r="AE31" s="999">
        <f>W31/Z31</f>
        <v/>
      </c>
      <c r="AF31" s="999">
        <f>X31/Z31</f>
        <v/>
      </c>
      <c r="AG31" s="999" t="n"/>
      <c r="AH31" s="999">
        <f>X31/$Q31</f>
        <v/>
      </c>
      <c r="AI31" s="999">
        <f>D31/$Q31</f>
        <v/>
      </c>
    </row>
    <row r="32">
      <c r="A32" s="541">
        <f>EDATE(A31, 3)</f>
        <v/>
      </c>
      <c r="B32" s="599" t="inlineStr">
        <is>
          <t>Oct-Dec 2007</t>
        </is>
      </c>
      <c r="C32" s="1149" t="n">
        <v>27876285.3631551</v>
      </c>
      <c r="D32" s="1149" t="n">
        <v>318118.216647026</v>
      </c>
      <c r="E32" s="1149" t="n">
        <v>562923.486507593</v>
      </c>
      <c r="F32" s="1149" t="n">
        <v>1041272.828564518</v>
      </c>
      <c r="G32" s="1149" t="n">
        <v>881041.703154619</v>
      </c>
      <c r="H32" s="1149" t="n">
        <v>160231.125409899</v>
      </c>
      <c r="I32" s="1149" t="n">
        <v>146447.0264688097</v>
      </c>
      <c r="J32" s="1149" t="n"/>
      <c r="K32" s="1149" t="n">
        <v>734951.61665385</v>
      </c>
      <c r="L32" s="1150" t="n">
        <v>2.599679148903407</v>
      </c>
      <c r="M32" s="1149" t="n"/>
      <c r="N32" s="1149" t="n">
        <v>817640.5606094321</v>
      </c>
      <c r="O32" s="1149" t="n">
        <v>497748.479284041</v>
      </c>
      <c r="P32" s="1149" t="n">
        <v>317848.411761527</v>
      </c>
      <c r="Q32" s="1149" t="n">
        <v>755777.962071467</v>
      </c>
      <c r="R32" s="1149" t="n">
        <v>815596.891045568</v>
      </c>
      <c r="S32" s="1149" t="n">
        <v>-59818.92897410109</v>
      </c>
      <c r="T32" s="1149" t="n">
        <v>-38767.11207891628</v>
      </c>
      <c r="U32" s="1149" t="n"/>
      <c r="V32" s="1149" t="n">
        <v>8096524.96445628</v>
      </c>
      <c r="W32" s="1149" t="n">
        <v>543524.349280477</v>
      </c>
      <c r="X32" s="1149" t="n">
        <v>437659.745424441</v>
      </c>
      <c r="Y32" s="1149" t="n">
        <v>880771.8982691199</v>
      </c>
      <c r="Z32" s="1149" t="n">
        <v>981184.0947049181</v>
      </c>
      <c r="AA32" s="1149" t="n">
        <v>-100412.1964357982</v>
      </c>
      <c r="AB32" s="1149" t="n">
        <v>-29688.91438989528</v>
      </c>
      <c r="AE32" s="999">
        <f>W32/Z32</f>
        <v/>
      </c>
      <c r="AF32" s="999">
        <f>X32/Z32</f>
        <v/>
      </c>
      <c r="AG32" s="999" t="n"/>
      <c r="AH32" s="999">
        <f>X32/$Q32</f>
        <v/>
      </c>
      <c r="AI32" s="999">
        <f>D32/$Q32</f>
        <v/>
      </c>
    </row>
    <row r="33">
      <c r="A33" s="541">
        <f>EDATE(A32, 3)</f>
        <v/>
      </c>
      <c r="B33" s="599" t="inlineStr">
        <is>
          <t>Jan-Mar 2008</t>
        </is>
      </c>
      <c r="C33" s="1149" t="n">
        <v>27965849.2795199</v>
      </c>
      <c r="D33" s="1149" t="n">
        <v>330631.219321517</v>
      </c>
      <c r="E33" s="1149" t="n">
        <v>590213.28414754</v>
      </c>
      <c r="F33" s="1149" t="n">
        <v>1042197.355703779</v>
      </c>
      <c r="G33" s="1149" t="n">
        <v>920844.5034690569</v>
      </c>
      <c r="H33" s="1149" t="n">
        <v>121352.8522347221</v>
      </c>
      <c r="I33" s="1149" t="n">
        <v>83899.04416722432</v>
      </c>
      <c r="J33" s="1149" t="n"/>
      <c r="K33" s="1149" t="n">
        <v>792781.737174564</v>
      </c>
      <c r="L33" s="1150" t="n">
        <v>2.795327817971637</v>
      </c>
      <c r="M33" s="1149" t="n"/>
      <c r="N33" s="1149" t="n">
        <v>852496.733322227</v>
      </c>
      <c r="O33" s="1149" t="n">
        <v>471023.35767257</v>
      </c>
      <c r="P33" s="1149" t="n">
        <v>282930.822965595</v>
      </c>
      <c r="Q33" s="1149" t="n">
        <v>737869.666500415</v>
      </c>
      <c r="R33" s="1149" t="n">
        <v>753954.180638165</v>
      </c>
      <c r="S33" s="1149" t="n">
        <v>-16084.51413775003</v>
      </c>
      <c r="T33" s="1149" t="n">
        <v>10230.34471901041</v>
      </c>
      <c r="U33" s="1149" t="n"/>
      <c r="V33" s="1149" t="n">
        <v>8080394.41940791</v>
      </c>
      <c r="W33" s="1149" t="n">
        <v>571173.998031209</v>
      </c>
      <c r="X33" s="1149" t="n">
        <v>407238.447178898</v>
      </c>
      <c r="Y33" s="1149" t="n">
        <v>873144.107113135</v>
      </c>
      <c r="Z33" s="1149" t="n">
        <v>978412.4452101069</v>
      </c>
      <c r="AA33" s="1149" t="n">
        <v>-105268.3380969719</v>
      </c>
      <c r="AB33" s="1149" t="n">
        <v>-15430.38888623193</v>
      </c>
      <c r="AE33" s="999">
        <f>W33/Z33</f>
        <v/>
      </c>
      <c r="AF33" s="999">
        <f>X33/Z33</f>
        <v/>
      </c>
      <c r="AG33" s="999" t="n"/>
      <c r="AH33" s="999">
        <f>X33/$Q33</f>
        <v/>
      </c>
      <c r="AI33" s="999">
        <f>D33/$Q33</f>
        <v/>
      </c>
    </row>
    <row r="34">
      <c r="A34" s="541">
        <f>EDATE(A33, 3)</f>
        <v/>
      </c>
      <c r="B34" s="599" t="inlineStr">
        <is>
          <t>Apr-Jun 2008</t>
        </is>
      </c>
      <c r="C34" s="1149" t="n">
        <v>28060992.3369726</v>
      </c>
      <c r="D34" s="1149" t="n">
        <v>342192.983948157</v>
      </c>
      <c r="E34" s="1149" t="n">
        <v>555586.0661199</v>
      </c>
      <c r="F34" s="1149" t="n">
        <v>946190.942782457</v>
      </c>
      <c r="G34" s="1149" t="n">
        <v>897779.0500680569</v>
      </c>
      <c r="H34" s="1149" t="n">
        <v>48411.89271440008</v>
      </c>
      <c r="I34" s="1149" t="n">
        <v>27298.56023820117</v>
      </c>
      <c r="J34" s="1149" t="n"/>
      <c r="K34" s="1149" t="n">
        <v>706835.2610389279</v>
      </c>
      <c r="L34" s="1150" t="n">
        <v>2.482534114497279</v>
      </c>
      <c r="M34" s="1149" t="n"/>
      <c r="N34" s="1149" t="n">
        <v>862364.7250678031</v>
      </c>
      <c r="O34" s="1149" t="n">
        <v>436075.361039544</v>
      </c>
      <c r="P34" s="1149" t="n">
        <v>312722.313530347</v>
      </c>
      <c r="Q34" s="1149" t="n">
        <v>791759.964535936</v>
      </c>
      <c r="R34" s="1149" t="n">
        <v>748797.6745698911</v>
      </c>
      <c r="S34" s="1149" t="n">
        <v>42962.28996604495</v>
      </c>
      <c r="T34" s="1149" t="n">
        <v>55846.28665770218</v>
      </c>
      <c r="U34" s="1149" t="n"/>
      <c r="V34" s="1149" t="n">
        <v>8111584.08184875</v>
      </c>
      <c r="W34" s="1149" t="n">
        <v>510115.581742913</v>
      </c>
      <c r="X34" s="1149" t="n">
        <v>449566.980587779</v>
      </c>
      <c r="Y34" s="1149" t="n">
        <v>868308.3796502471</v>
      </c>
      <c r="Z34" s="1149" t="n">
        <v>959682.5623306921</v>
      </c>
      <c r="AA34" s="1149" t="n">
        <v>-91374.18268044502</v>
      </c>
      <c r="AB34" s="1149" t="n">
        <v>-4377.846895907074</v>
      </c>
      <c r="AE34" s="999">
        <f>W34/Z34</f>
        <v/>
      </c>
      <c r="AF34" s="999">
        <f>X34/Z34</f>
        <v/>
      </c>
      <c r="AG34" s="999" t="n"/>
      <c r="AH34" s="999">
        <f>X34/$Q34</f>
        <v/>
      </c>
      <c r="AI34" s="999">
        <f>D34/$Q34</f>
        <v/>
      </c>
    </row>
    <row r="35">
      <c r="A35" s="541">
        <f>EDATE(A34, 3)</f>
        <v/>
      </c>
      <c r="B35" s="599" t="inlineStr">
        <is>
          <t>Jul-Sep 2008</t>
        </is>
      </c>
      <c r="C35" s="1149" t="n">
        <v>27986884.0087109</v>
      </c>
      <c r="D35" s="1149" t="n">
        <v>421748.601073638</v>
      </c>
      <c r="E35" s="1149" t="n">
        <v>561114.334490645</v>
      </c>
      <c r="F35" s="1149" t="n">
        <v>909037.0320767041</v>
      </c>
      <c r="G35" s="1149" t="n">
        <v>982862.935564283</v>
      </c>
      <c r="H35" s="1149" t="n">
        <v>-73825.90348757897</v>
      </c>
      <c r="I35" s="1149" t="n">
        <v>-140690.8032847159</v>
      </c>
      <c r="J35" s="1149" t="n"/>
      <c r="K35" s="1149" t="n">
        <v>651046.9242433331</v>
      </c>
      <c r="L35" s="1150" t="n">
        <v>2.2924789386295</v>
      </c>
      <c r="M35" s="1149" t="n"/>
      <c r="N35" s="1149" t="n">
        <v>892821.522539775</v>
      </c>
      <c r="O35" s="1149" t="n">
        <v>401034.542125347</v>
      </c>
      <c r="P35" s="1149" t="n">
        <v>355696.749129501</v>
      </c>
      <c r="Q35" s="1149" t="n">
        <v>889231.737298016</v>
      </c>
      <c r="R35" s="1149" t="n">
        <v>756731.291254848</v>
      </c>
      <c r="S35" s="1149" t="n">
        <v>132500.446043168</v>
      </c>
      <c r="T35" s="1149" t="n">
        <v>155996.5840487541</v>
      </c>
      <c r="U35" s="1149" t="n"/>
      <c r="V35" s="1149" t="n">
        <v>8058873.341909</v>
      </c>
      <c r="W35" s="1149" t="n">
        <v>508002.489951357</v>
      </c>
      <c r="X35" s="1149" t="n">
        <v>467483.136224378</v>
      </c>
      <c r="Y35" s="1149" t="n">
        <v>916811.0836201459</v>
      </c>
      <c r="Z35" s="1149" t="n">
        <v>975485.626175735</v>
      </c>
      <c r="AA35" s="1149" t="n">
        <v>-58674.54255558911</v>
      </c>
      <c r="AB35" s="1149" t="n">
        <v>45219.21923595853</v>
      </c>
      <c r="AE35" s="999">
        <f>W35/Z35</f>
        <v/>
      </c>
      <c r="AF35" s="999">
        <f>X35/Z35</f>
        <v/>
      </c>
      <c r="AG35" s="999" t="n"/>
      <c r="AH35" s="999">
        <f>X35/$Q35</f>
        <v/>
      </c>
      <c r="AI35" s="999">
        <f>D35/$Q35</f>
        <v/>
      </c>
    </row>
    <row r="36">
      <c r="A36" s="541">
        <f>EDATE(A35, 3)</f>
        <v/>
      </c>
      <c r="B36" s="599" t="inlineStr">
        <is>
          <t>Oct-Dec 2008</t>
        </is>
      </c>
      <c r="C36" s="1149" t="n">
        <v>27820108.1168374</v>
      </c>
      <c r="D36" s="1149" t="n">
        <v>464872.169253952</v>
      </c>
      <c r="E36" s="1149" t="n">
        <v>580473.830207553</v>
      </c>
      <c r="F36" s="1149" t="n">
        <v>1003944.249758155</v>
      </c>
      <c r="G36" s="1149" t="n">
        <v>1045345.999461505</v>
      </c>
      <c r="H36" s="1149" t="n">
        <v>-41401.74970334989</v>
      </c>
      <c r="I36" s="1149" t="n">
        <v>-67188.03108973429</v>
      </c>
      <c r="J36" s="1149" t="n"/>
      <c r="K36" s="1149" t="n">
        <v>611098.141575904</v>
      </c>
      <c r="L36" s="1150" t="n">
        <v>2.162503779747124</v>
      </c>
      <c r="M36" s="1149" t="n"/>
      <c r="N36" s="1149" t="n">
        <v>1005920.61076368</v>
      </c>
      <c r="O36" s="1149" t="n">
        <v>482833.44305086</v>
      </c>
      <c r="P36" s="1149" t="n">
        <v>334563.565227978</v>
      </c>
      <c r="Q36" s="1149" t="n">
        <v>951085.332171588</v>
      </c>
      <c r="R36" s="1149" t="n">
        <v>817397.008278838</v>
      </c>
      <c r="S36" s="1149" t="n">
        <v>133688.32389275</v>
      </c>
      <c r="T36" s="1149" t="n">
        <v>165048.2550177064</v>
      </c>
      <c r="U36" s="1149" t="n"/>
      <c r="V36" s="1149" t="n">
        <v>8016537.75057665</v>
      </c>
      <c r="W36" s="1149" t="n">
        <v>521110.806707295</v>
      </c>
      <c r="X36" s="1149" t="n">
        <v>486213.162917636</v>
      </c>
      <c r="Y36" s="1149" t="n">
        <v>915037.3954355309</v>
      </c>
      <c r="Z36" s="1149" t="n">
        <v>1007323.969624931</v>
      </c>
      <c r="AA36" s="1149" t="n">
        <v>-92286.57418940007</v>
      </c>
      <c r="AB36" s="1149" t="n">
        <v>-46117.22392796911</v>
      </c>
      <c r="AE36" s="999">
        <f>W36/Z36</f>
        <v/>
      </c>
      <c r="AF36" s="999">
        <f>X36/Z36</f>
        <v/>
      </c>
      <c r="AG36" s="999" t="n"/>
      <c r="AH36" s="999">
        <f>X36/$Q36</f>
        <v/>
      </c>
      <c r="AI36" s="999">
        <f>D36/$Q36</f>
        <v/>
      </c>
    </row>
    <row r="37">
      <c r="A37" s="541">
        <f>EDATE(A36, 3)</f>
        <v/>
      </c>
      <c r="B37" s="599" t="inlineStr">
        <is>
          <t>Jan-Mar 2009</t>
        </is>
      </c>
      <c r="C37" s="1149" t="n">
        <v>27738572.349405</v>
      </c>
      <c r="D37" s="1149" t="n">
        <v>536333.446740785</v>
      </c>
      <c r="E37" s="1149" t="n">
        <v>475731.041052617</v>
      </c>
      <c r="F37" s="1149" t="n">
        <v>895436.813411074</v>
      </c>
      <c r="G37" s="1149" t="n">
        <v>1012064.487793402</v>
      </c>
      <c r="H37" s="1149" t="n">
        <v>-116627.6743823281</v>
      </c>
      <c r="I37" s="1149" t="n">
        <v>-162915.6519354135</v>
      </c>
      <c r="J37" s="1149" t="n"/>
      <c r="K37" s="1149" t="n">
        <v>527847.6858234979</v>
      </c>
      <c r="L37" s="1150" t="n">
        <v>1.872351181303687</v>
      </c>
      <c r="M37" s="1149" t="n"/>
      <c r="N37" s="1149" t="n">
        <v>1191275.77765586</v>
      </c>
      <c r="O37" s="1149" t="n">
        <v>438653.067026906</v>
      </c>
      <c r="P37" s="1149" t="n">
        <v>350836.76156691</v>
      </c>
      <c r="Q37" s="1149" t="n">
        <v>989369.541426733</v>
      </c>
      <c r="R37" s="1149" t="n">
        <v>789489.828593816</v>
      </c>
      <c r="S37" s="1149" t="n">
        <v>199879.712832917</v>
      </c>
      <c r="T37" s="1149" t="n">
        <v>228787.7040721297</v>
      </c>
      <c r="U37" s="1149" t="n"/>
      <c r="V37" s="1149" t="n">
        <v>8113362.08985724</v>
      </c>
      <c r="W37" s="1149" t="n">
        <v>456783.746384168</v>
      </c>
      <c r="X37" s="1149" t="n">
        <v>453036.094685948</v>
      </c>
      <c r="Y37" s="1149" t="n">
        <v>826567.8026195271</v>
      </c>
      <c r="Z37" s="1149" t="n">
        <v>909819.841070116</v>
      </c>
      <c r="AA37" s="1149" t="n">
        <v>-83252.03845058894</v>
      </c>
      <c r="AB37" s="1149" t="n">
        <v>-14171.0521367155</v>
      </c>
      <c r="AE37" s="999">
        <f>W37/Z37</f>
        <v/>
      </c>
      <c r="AF37" s="999">
        <f>X37/Z37</f>
        <v/>
      </c>
      <c r="AG37" s="999" t="n"/>
      <c r="AH37" s="999">
        <f>X37/$Q37</f>
        <v/>
      </c>
      <c r="AI37" s="999">
        <f>D37/$Q37</f>
        <v/>
      </c>
    </row>
    <row r="38">
      <c r="A38" s="541">
        <f>EDATE(A37, 3)</f>
        <v/>
      </c>
      <c r="B38" s="599" t="inlineStr">
        <is>
          <t>Apr-Jun 2009</t>
        </is>
      </c>
      <c r="C38" s="1149" t="n">
        <v>27487287.5428727</v>
      </c>
      <c r="D38" s="1149" t="n">
        <v>551004.984961433</v>
      </c>
      <c r="E38" s="1149" t="n">
        <v>551213.336107717</v>
      </c>
      <c r="F38" s="1149" t="n">
        <v>830615.7985813741</v>
      </c>
      <c r="G38" s="1149" t="n">
        <v>1102218.32106915</v>
      </c>
      <c r="H38" s="1149" t="n">
        <v>-271602.5224877759</v>
      </c>
      <c r="I38" s="1149" t="n">
        <v>-297123.5430807918</v>
      </c>
      <c r="J38" s="1149" t="n"/>
      <c r="K38" s="1149" t="n">
        <v>465720.900259422</v>
      </c>
      <c r="L38" s="1150" t="n">
        <v>1.665948425860115</v>
      </c>
      <c r="M38" s="1149" t="n"/>
      <c r="N38" s="1149" t="n">
        <v>1381740.34544405</v>
      </c>
      <c r="O38" s="1149" t="n">
        <v>461977.404748128</v>
      </c>
      <c r="P38" s="1149" t="n">
        <v>364907.087291319</v>
      </c>
      <c r="Q38" s="1149" t="n">
        <v>1034164.342541953</v>
      </c>
      <c r="R38" s="1149" t="n">
        <v>826884.492039447</v>
      </c>
      <c r="S38" s="1149" t="n">
        <v>207279.850502506</v>
      </c>
      <c r="T38" s="1149" t="n">
        <v>211614.0671345694</v>
      </c>
      <c r="U38" s="1149" t="n"/>
      <c r="V38" s="1149" t="n">
        <v>8185260.4421656</v>
      </c>
      <c r="W38" s="1149" t="n">
        <v>368638.393833246</v>
      </c>
      <c r="X38" s="1149" t="n">
        <v>483159.35758052</v>
      </c>
      <c r="Y38" s="1149" t="n">
        <v>916120.4233990361</v>
      </c>
      <c r="Z38" s="1149" t="n">
        <v>851797.7514137661</v>
      </c>
      <c r="AA38" s="1149" t="n">
        <v>64322.67198526999</v>
      </c>
      <c r="AB38" s="1149" t="n">
        <v>136434.4759462178</v>
      </c>
      <c r="AE38" s="999">
        <f>W38/Z38</f>
        <v/>
      </c>
      <c r="AF38" s="999">
        <f>X38/Z38</f>
        <v/>
      </c>
      <c r="AG38" s="999" t="n"/>
      <c r="AH38" s="999">
        <f>X38/$Q38</f>
        <v/>
      </c>
      <c r="AI38" s="999">
        <f>D38/$Q38</f>
        <v/>
      </c>
    </row>
    <row r="39">
      <c r="A39" s="541">
        <f>EDATE(A38, 3)</f>
        <v/>
      </c>
      <c r="B39" s="599" t="inlineStr">
        <is>
          <t>Jul-Sep 2009</t>
        </is>
      </c>
      <c r="C39" s="1149" t="n">
        <v>27329490.5788585</v>
      </c>
      <c r="D39" s="1149" t="n">
        <v>434350.712816135</v>
      </c>
      <c r="E39" s="1149" t="n">
        <v>520119.247107392</v>
      </c>
      <c r="F39" s="1149" t="n">
        <v>984696.143129405</v>
      </c>
      <c r="G39" s="1149" t="n">
        <v>954469.959923527</v>
      </c>
      <c r="H39" s="1149" t="n">
        <v>30226.18320587801</v>
      </c>
      <c r="I39" s="1149" t="n">
        <v>-47754.65818371624</v>
      </c>
      <c r="J39" s="1149" t="n"/>
      <c r="K39" s="1149" t="n">
        <v>463465.996194616</v>
      </c>
      <c r="L39" s="1150" t="n">
        <v>1.666860287083685</v>
      </c>
      <c r="M39" s="1149" t="n"/>
      <c r="N39" s="1149" t="n">
        <v>1464895.89701876</v>
      </c>
      <c r="O39" s="1149" t="n">
        <v>543526.895693093</v>
      </c>
      <c r="P39" s="1149" t="n">
        <v>409531.222453758</v>
      </c>
      <c r="Q39" s="1149" t="n">
        <v>942745.669693552</v>
      </c>
      <c r="R39" s="1149" t="n">
        <v>953058.118146851</v>
      </c>
      <c r="S39" s="1149" t="n">
        <v>-10312.448453299</v>
      </c>
      <c r="T39" s="1149" t="n">
        <v>23971.03038594732</v>
      </c>
      <c r="U39" s="1149" t="n"/>
      <c r="V39" s="1149" t="n">
        <v>8225487.94895091</v>
      </c>
      <c r="W39" s="1149" t="n">
        <v>441169.247436312</v>
      </c>
      <c r="X39" s="1149" t="n">
        <v>508394.956877417</v>
      </c>
      <c r="Y39" s="1149" t="n">
        <v>929650.4695611501</v>
      </c>
      <c r="Z39" s="1149" t="n">
        <v>949564.204313729</v>
      </c>
      <c r="AA39" s="1149" t="n">
        <v>-19913.73475257889</v>
      </c>
      <c r="AB39" s="1149" t="n">
        <v>82923.62779777683</v>
      </c>
      <c r="AE39" s="999">
        <f>W39/Z39</f>
        <v/>
      </c>
      <c r="AF39" s="999">
        <f>X39/Z39</f>
        <v/>
      </c>
      <c r="AG39" s="999" t="n"/>
      <c r="AH39" s="999">
        <f>X39/$Q39</f>
        <v/>
      </c>
      <c r="AI39" s="999">
        <f>D39/$Q39</f>
        <v/>
      </c>
    </row>
    <row r="40">
      <c r="A40" s="541">
        <f>EDATE(A39, 3)</f>
        <v/>
      </c>
      <c r="B40" s="599" t="inlineStr">
        <is>
          <t>Oct-Dec 2009</t>
        </is>
      </c>
      <c r="C40" s="1149" t="n">
        <v>27402143.7703257</v>
      </c>
      <c r="D40" s="1149" t="n">
        <v>415588.055436992</v>
      </c>
      <c r="E40" s="1149" t="n">
        <v>469229.932105809</v>
      </c>
      <c r="F40" s="1149" t="n">
        <v>925670.669445016</v>
      </c>
      <c r="G40" s="1149" t="n">
        <v>884817.9875428011</v>
      </c>
      <c r="H40" s="1149" t="n">
        <v>40852.68190221488</v>
      </c>
      <c r="I40" s="1149" t="n">
        <v>18386.69568950683</v>
      </c>
      <c r="J40" s="1149" t="n"/>
      <c r="K40" s="1149" t="n">
        <v>475606.439621391</v>
      </c>
      <c r="L40" s="1150" t="n">
        <v>1.704249870815532</v>
      </c>
      <c r="M40" s="1149" t="n"/>
      <c r="N40" s="1149" t="n">
        <v>1492296.77423174</v>
      </c>
      <c r="O40" s="1149" t="n">
        <v>513633.753477626</v>
      </c>
      <c r="P40" s="1149" t="n">
        <v>445481.334487074</v>
      </c>
      <c r="Q40" s="1149" t="n">
        <v>917319.0556241791</v>
      </c>
      <c r="R40" s="1149" t="n">
        <v>959115.0879647001</v>
      </c>
      <c r="S40" s="1149" t="n">
        <v>-41796.03234052099</v>
      </c>
      <c r="T40" s="1149" t="n">
        <v>-20976.88673174987</v>
      </c>
      <c r="U40" s="1149" t="n"/>
      <c r="V40" s="1149" t="n">
        <v>8339289.90522244</v>
      </c>
      <c r="W40" s="1149" t="n">
        <v>412036.91596739</v>
      </c>
      <c r="X40" s="1149" t="n">
        <v>501731.000187187</v>
      </c>
      <c r="Y40" s="1149" t="n">
        <v>914711.266592883</v>
      </c>
      <c r="Z40" s="1149" t="n">
        <v>913767.9161545769</v>
      </c>
      <c r="AA40" s="1149" t="n">
        <v>943.3504383061081</v>
      </c>
      <c r="AB40" s="1149" t="n">
        <v>65438.19104224071</v>
      </c>
      <c r="AE40" s="999">
        <f>W40/Z40</f>
        <v/>
      </c>
      <c r="AF40" s="999">
        <f>X40/Z40</f>
        <v/>
      </c>
      <c r="AG40" s="999" t="n"/>
      <c r="AH40" s="999">
        <f>X40/$Q40</f>
        <v/>
      </c>
      <c r="AI40" s="999">
        <f>D40/$Q40</f>
        <v/>
      </c>
    </row>
    <row r="41">
      <c r="A41" s="541">
        <f>EDATE(A40, 3)</f>
        <v/>
      </c>
      <c r="B41" s="599" t="inlineStr">
        <is>
          <t>Jan-Mar 2010</t>
        </is>
      </c>
      <c r="C41" s="1149" t="n">
        <v>27286107.9471797</v>
      </c>
      <c r="D41" s="1149" t="n">
        <v>416158.784107444</v>
      </c>
      <c r="E41" s="1149" t="n">
        <v>568250.31736539</v>
      </c>
      <c r="F41" s="1149" t="n">
        <v>934970.638975914</v>
      </c>
      <c r="G41" s="1149" t="n">
        <v>984409.101472834</v>
      </c>
      <c r="H41" s="1149" t="n">
        <v>-49438.46249692002</v>
      </c>
      <c r="I41" s="1149" t="n">
        <v>-99534.08079836518</v>
      </c>
      <c r="J41" s="1149" t="n"/>
      <c r="K41" s="1149" t="n">
        <v>532220.281620638</v>
      </c>
      <c r="L41" s="1150" t="n">
        <v>1.914942860952348</v>
      </c>
      <c r="M41" s="1149" t="n"/>
      <c r="N41" s="1149" t="n">
        <v>1529180.16921562</v>
      </c>
      <c r="O41" s="1149" t="n">
        <v>484577.250651869</v>
      </c>
      <c r="P41" s="1149" t="n">
        <v>407576.066816841</v>
      </c>
      <c r="Q41" s="1149" t="n">
        <v>956660.648953008</v>
      </c>
      <c r="R41" s="1149" t="n">
        <v>892153.31746871</v>
      </c>
      <c r="S41" s="1149" t="n">
        <v>64507.33148429799</v>
      </c>
      <c r="T41" s="1149" t="n">
        <v>70489.20833465923</v>
      </c>
      <c r="U41" s="1149" t="n"/>
      <c r="V41" s="1149" t="n">
        <v>8341880.0121889</v>
      </c>
      <c r="W41" s="1149" t="n">
        <v>450393.388324045</v>
      </c>
      <c r="X41" s="1149" t="n">
        <v>540501.864845564</v>
      </c>
      <c r="Y41" s="1149" t="n">
        <v>975826.384182231</v>
      </c>
      <c r="Z41" s="1149" t="n">
        <v>990895.253169609</v>
      </c>
      <c r="AA41" s="1149" t="n">
        <v>-15068.86898737797</v>
      </c>
      <c r="AB41" s="1149" t="n">
        <v>91318.87246370502</v>
      </c>
      <c r="AE41" s="999">
        <f>W41/Z41</f>
        <v/>
      </c>
      <c r="AF41" s="999">
        <f>X41/Z41</f>
        <v/>
      </c>
      <c r="AG41" s="999" t="n"/>
      <c r="AH41" s="999">
        <f>X41/$Q41</f>
        <v/>
      </c>
      <c r="AI41" s="999">
        <f>D41/$Q41</f>
        <v/>
      </c>
    </row>
    <row r="42">
      <c r="A42" s="541">
        <f>EDATE(A41, 3)</f>
        <v/>
      </c>
      <c r="B42" s="599" t="inlineStr">
        <is>
          <t>Apr-Jun 2010</t>
        </is>
      </c>
      <c r="C42" s="1149" t="n">
        <v>27259865.3797338</v>
      </c>
      <c r="D42" s="1149" t="n">
        <v>417653.39769934</v>
      </c>
      <c r="E42" s="1149" t="n">
        <v>500384.883787388</v>
      </c>
      <c r="F42" s="1149" t="n">
        <v>1080957.874713897</v>
      </c>
      <c r="G42" s="1149" t="n">
        <v>918038.281486728</v>
      </c>
      <c r="H42" s="1149" t="n">
        <v>162919.593227169</v>
      </c>
      <c r="I42" s="1149" t="n">
        <v>135836.3859165311</v>
      </c>
      <c r="J42" s="1149" t="n"/>
      <c r="K42" s="1149" t="n">
        <v>501110.558156996</v>
      </c>
      <c r="L42" s="1150" t="n">
        <v>1.803838481573204</v>
      </c>
      <c r="M42" s="1149" t="n"/>
      <c r="N42" s="1149" t="n">
        <v>1516857.78756062</v>
      </c>
      <c r="O42" s="1149" t="n">
        <v>584151.167340433</v>
      </c>
      <c r="P42" s="1149" t="n">
        <v>391872.746000167</v>
      </c>
      <c r="Q42" s="1149" t="n">
        <v>934969.8232227659</v>
      </c>
      <c r="R42" s="1149" t="n">
        <v>976023.9133406</v>
      </c>
      <c r="S42" s="1149" t="n">
        <v>-41054.09011783404</v>
      </c>
      <c r="T42" s="1149" t="n">
        <v>-32590.3694477696</v>
      </c>
      <c r="U42" s="1149" t="n"/>
      <c r="V42" s="1149" t="n">
        <v>8371310.13417946</v>
      </c>
      <c r="W42" s="1149" t="n">
        <v>496806.707373464</v>
      </c>
      <c r="X42" s="1149" t="n">
        <v>517316.425523426</v>
      </c>
      <c r="Y42" s="1149" t="n">
        <v>892257.629787555</v>
      </c>
      <c r="Z42" s="1149" t="n">
        <v>1014123.13289689</v>
      </c>
      <c r="AA42" s="1149" t="n">
        <v>-121865.503109335</v>
      </c>
      <c r="AB42" s="1149" t="n">
        <v>-40345.01646875963</v>
      </c>
      <c r="AE42" s="999">
        <f>W42/Z42</f>
        <v/>
      </c>
      <c r="AF42" s="999">
        <f>X42/Z42</f>
        <v/>
      </c>
      <c r="AG42" s="999" t="n"/>
      <c r="AH42" s="999">
        <f>X42/$Q42</f>
        <v/>
      </c>
      <c r="AI42" s="999">
        <f>D42/$Q42</f>
        <v/>
      </c>
    </row>
    <row r="43">
      <c r="A43" s="541">
        <f>EDATE(A42, 3)</f>
        <v/>
      </c>
      <c r="B43" s="599" t="inlineStr">
        <is>
          <t>Jul-Sep 2010</t>
        </is>
      </c>
      <c r="C43" s="1149" t="n">
        <v>27432568.1486536</v>
      </c>
      <c r="D43" s="1149" t="n">
        <v>408013.673262423</v>
      </c>
      <c r="E43" s="1149" t="n">
        <v>460392.564921068</v>
      </c>
      <c r="F43" s="1149" t="n">
        <v>1078967.905107053</v>
      </c>
      <c r="G43" s="1149" t="n">
        <v>868406.238183491</v>
      </c>
      <c r="H43" s="1149" t="n">
        <v>210561.6669235619</v>
      </c>
      <c r="I43" s="1149" t="n">
        <v>158826.6032401584</v>
      </c>
      <c r="J43" s="1149" t="n"/>
      <c r="K43" s="1149" t="n">
        <v>539461.152049149</v>
      </c>
      <c r="L43" s="1150" t="n">
        <v>1.927901620176695</v>
      </c>
      <c r="M43" s="1149" t="n"/>
      <c r="N43" s="1149" t="n">
        <v>1472060.14359571</v>
      </c>
      <c r="O43" s="1149" t="n">
        <v>590634.826355754</v>
      </c>
      <c r="P43" s="1149" t="n">
        <v>403751.857828825</v>
      </c>
      <c r="Q43" s="1149" t="n">
        <v>937164.9685493211</v>
      </c>
      <c r="R43" s="1149" t="n">
        <v>994386.6841845791</v>
      </c>
      <c r="S43" s="1149" t="n">
        <v>-57221.71563525801</v>
      </c>
      <c r="T43" s="1149" t="n">
        <v>-16800.90991703188</v>
      </c>
      <c r="U43" s="1149" t="n"/>
      <c r="V43" s="1149" t="n">
        <v>8346336.65875935</v>
      </c>
      <c r="W43" s="1149" t="n">
        <v>488333.078751299</v>
      </c>
      <c r="X43" s="1149" t="n">
        <v>529151.295286898</v>
      </c>
      <c r="Y43" s="1149" t="n">
        <v>864144.422749893</v>
      </c>
      <c r="Z43" s="1149" t="n">
        <v>1017484.374038197</v>
      </c>
      <c r="AA43" s="1149" t="n">
        <v>-153339.9512883041</v>
      </c>
      <c r="AB43" s="1149" t="n">
        <v>-78469.69332312606</v>
      </c>
      <c r="AE43" s="999">
        <f>W43/Z43</f>
        <v/>
      </c>
      <c r="AF43" s="999">
        <f>X43/Z43</f>
        <v/>
      </c>
      <c r="AG43" s="999" t="n"/>
      <c r="AH43" s="999">
        <f>X43/$Q43</f>
        <v/>
      </c>
      <c r="AI43" s="999">
        <f>D43/$Q43</f>
        <v/>
      </c>
    </row>
    <row r="44">
      <c r="A44" s="541">
        <f>EDATE(A43, 3)</f>
        <v/>
      </c>
      <c r="B44" s="599" t="inlineStr">
        <is>
          <t>Oct-Dec 2010</t>
        </is>
      </c>
      <c r="C44" s="1149" t="n">
        <v>27449233.7894328</v>
      </c>
      <c r="D44" s="1149" t="n">
        <v>423674.642943626</v>
      </c>
      <c r="E44" s="1149" t="n">
        <v>601373.278696919</v>
      </c>
      <c r="F44" s="1149" t="n">
        <v>986010.766115492</v>
      </c>
      <c r="G44" s="1149" t="n">
        <v>1025047.921640545</v>
      </c>
      <c r="H44" s="1149" t="n">
        <v>-39037.15552505292</v>
      </c>
      <c r="I44" s="1149" t="n">
        <v>-82061.24050912634</v>
      </c>
      <c r="J44" s="1149" t="n"/>
      <c r="K44" s="1149" t="n">
        <v>540853.558136623</v>
      </c>
      <c r="L44" s="1150" t="n">
        <v>1.930660765553971</v>
      </c>
      <c r="M44" s="1149" t="n"/>
      <c r="N44" s="1149" t="n">
        <v>1490998.66155626</v>
      </c>
      <c r="O44" s="1149" t="n">
        <v>537323.741682409</v>
      </c>
      <c r="P44" s="1149" t="n">
        <v>426297.43970021</v>
      </c>
      <c r="Q44" s="1149" t="n">
        <v>977667.9053860221</v>
      </c>
      <c r="R44" s="1149" t="n">
        <v>963621.181382619</v>
      </c>
      <c r="S44" s="1149" t="n">
        <v>14046.7240034031</v>
      </c>
      <c r="T44" s="1149" t="n">
        <v>30740.95751128718</v>
      </c>
      <c r="U44" s="1149" t="n"/>
      <c r="V44" s="1149" t="n">
        <v>8300130.63756727</v>
      </c>
      <c r="W44" s="1149" t="n">
        <v>448687.024433083</v>
      </c>
      <c r="X44" s="1149" t="n">
        <v>553993.262442396</v>
      </c>
      <c r="Y44" s="1149" t="n">
        <v>1027670.718397129</v>
      </c>
      <c r="Z44" s="1149" t="n">
        <v>1002680.286875479</v>
      </c>
      <c r="AA44" s="1149" t="n">
        <v>24990.43152164994</v>
      </c>
      <c r="AB44" s="1149" t="n">
        <v>115602.2829978373</v>
      </c>
      <c r="AE44" s="999">
        <f>W44/Z44</f>
        <v/>
      </c>
      <c r="AF44" s="999">
        <f>X44/Z44</f>
        <v/>
      </c>
      <c r="AG44" s="999" t="n"/>
      <c r="AH44" s="999">
        <f>X44/$Q44</f>
        <v/>
      </c>
      <c r="AI44" s="999">
        <f>D44/$Q44</f>
        <v/>
      </c>
    </row>
    <row r="45">
      <c r="A45" s="541">
        <f>EDATE(A44, 3)</f>
        <v/>
      </c>
      <c r="B45" s="599" t="inlineStr">
        <is>
          <t>Jan-Mar 2011</t>
        </is>
      </c>
      <c r="C45" s="1149" t="n">
        <v>27497593.2199965</v>
      </c>
      <c r="D45" s="1149" t="n">
        <v>393899.211258264</v>
      </c>
      <c r="E45" s="1149" t="n">
        <v>474497.842235639</v>
      </c>
      <c r="F45" s="1149" t="n">
        <v>1026258.92584358</v>
      </c>
      <c r="G45" s="1149" t="n">
        <v>868397.053493903</v>
      </c>
      <c r="H45" s="1149" t="n">
        <v>157861.8723496769</v>
      </c>
      <c r="I45" s="1149" t="n">
        <v>107938.1205383241</v>
      </c>
      <c r="J45" s="1149" t="n"/>
      <c r="K45" s="1149" t="n">
        <v>482047.785397148</v>
      </c>
      <c r="L45" s="1150" t="n">
        <v>1.718943694367491</v>
      </c>
      <c r="M45" s="1149" t="n"/>
      <c r="N45" s="1149" t="n">
        <v>1498024.60119391</v>
      </c>
      <c r="O45" s="1149" t="n">
        <v>555326.263050074</v>
      </c>
      <c r="P45" s="1149" t="n">
        <v>426402.692526359</v>
      </c>
      <c r="Q45" s="1149" t="n">
        <v>957053.708085326</v>
      </c>
      <c r="R45" s="1149" t="n">
        <v>981728.955576433</v>
      </c>
      <c r="S45" s="1149" t="n">
        <v>-24675.24749110697</v>
      </c>
      <c r="T45" s="1149" t="n">
        <v>-15661.9941166318</v>
      </c>
      <c r="U45" s="1149" t="n"/>
      <c r="V45" s="1149" t="n">
        <v>8422582.785871349</v>
      </c>
      <c r="W45" s="1149" t="n">
        <v>470932.662793506</v>
      </c>
      <c r="X45" s="1149" t="n">
        <v>563154.496827062</v>
      </c>
      <c r="Y45" s="1149" t="n">
        <v>900900.534761998</v>
      </c>
      <c r="Z45" s="1149" t="n">
        <v>1034087.159620568</v>
      </c>
      <c r="AA45" s="1149" t="n">
        <v>-133186.6248585699</v>
      </c>
      <c r="AB45" s="1149" t="n">
        <v>-28801.12642168999</v>
      </c>
      <c r="AE45" s="999">
        <f>W45/Z45</f>
        <v/>
      </c>
      <c r="AF45" s="999">
        <f>X45/Z45</f>
        <v/>
      </c>
      <c r="AG45" s="999" t="n"/>
      <c r="AH45" s="999">
        <f>X45/$Q45</f>
        <v/>
      </c>
      <c r="AI45" s="999">
        <f>D45/$Q45</f>
        <v/>
      </c>
    </row>
    <row r="46">
      <c r="A46" s="541">
        <f>EDATE(A45, 3)</f>
        <v/>
      </c>
      <c r="B46" s="599" t="inlineStr">
        <is>
          <t>Apr-Jun 2011</t>
        </is>
      </c>
      <c r="C46" s="1149" t="n">
        <v>27544381.4676986</v>
      </c>
      <c r="D46" s="1149" t="n">
        <v>463832.739666853</v>
      </c>
      <c r="E46" s="1149" t="n">
        <v>473304.627651961</v>
      </c>
      <c r="F46" s="1149" t="n">
        <v>970460.583951426</v>
      </c>
      <c r="G46" s="1149" t="n">
        <v>937137.3673188139</v>
      </c>
      <c r="H46" s="1149" t="n">
        <v>33323.21663261205</v>
      </c>
      <c r="I46" s="1149" t="n">
        <v>6289.202352777123</v>
      </c>
      <c r="J46" s="1149" t="n"/>
      <c r="K46" s="1149" t="n">
        <v>501198.793905082</v>
      </c>
      <c r="L46" s="1150" t="n">
        <v>1.782683482172594</v>
      </c>
      <c r="M46" s="1149" t="n"/>
      <c r="N46" s="1149" t="n">
        <v>1500758.55744756</v>
      </c>
      <c r="O46" s="1149" t="n">
        <v>535818.2540943529</v>
      </c>
      <c r="P46" s="1149" t="n">
        <v>422456.753876297</v>
      </c>
      <c r="Q46" s="1149" t="n">
        <v>999957.7706327019</v>
      </c>
      <c r="R46" s="1149" t="n">
        <v>958275.00797065</v>
      </c>
      <c r="S46" s="1149" t="n">
        <v>41682.76266205194</v>
      </c>
      <c r="T46" s="1149" t="n">
        <v>55541.75778861204</v>
      </c>
      <c r="U46" s="1149" t="n"/>
      <c r="V46" s="1149" t="n">
        <v>8399529.543430891</v>
      </c>
      <c r="W46" s="1149" t="n">
        <v>434642.329857073</v>
      </c>
      <c r="X46" s="1149" t="n">
        <v>536125.0309658489</v>
      </c>
      <c r="Y46" s="1149" t="n">
        <v>895761.381528258</v>
      </c>
      <c r="Z46" s="1149" t="n">
        <v>970767.360822922</v>
      </c>
      <c r="AA46" s="1149" t="n">
        <v>-75005.97929466399</v>
      </c>
      <c r="AB46" s="1149" t="n">
        <v>2066.039858607575</v>
      </c>
      <c r="AE46" s="999">
        <f>W46/Z46</f>
        <v/>
      </c>
      <c r="AF46" s="999">
        <f>X46/Z46</f>
        <v/>
      </c>
      <c r="AG46" s="999" t="n"/>
      <c r="AH46" s="999">
        <f>X46/$Q46</f>
        <v/>
      </c>
      <c r="AI46" s="999">
        <f>D46/$Q46</f>
        <v/>
      </c>
    </row>
    <row r="47">
      <c r="A47" s="541">
        <f>EDATE(A46, 3)</f>
        <v/>
      </c>
      <c r="B47" s="599" t="inlineStr">
        <is>
          <t>Jul-Sep 2011</t>
        </is>
      </c>
      <c r="C47" s="1149" t="n">
        <v>27504956.7018724</v>
      </c>
      <c r="D47" s="1149" t="n">
        <v>413201.268563931</v>
      </c>
      <c r="E47" s="1149" t="n">
        <v>547402.79421362</v>
      </c>
      <c r="F47" s="1149" t="n">
        <v>895406.134266213</v>
      </c>
      <c r="G47" s="1149" t="n">
        <v>960604.062777551</v>
      </c>
      <c r="H47" s="1149" t="n">
        <v>-65197.92851133796</v>
      </c>
      <c r="I47" s="1149" t="n">
        <v>-132213.6839570701</v>
      </c>
      <c r="J47" s="1149" t="n"/>
      <c r="K47" s="1149" t="n">
        <v>526065.2579803549</v>
      </c>
      <c r="L47" s="1150" t="n">
        <v>1.873803383305927</v>
      </c>
      <c r="M47" s="1149" t="n"/>
      <c r="N47" s="1149" t="n">
        <v>1651021.28175652</v>
      </c>
      <c r="O47" s="1149" t="n">
        <v>514719.83471221</v>
      </c>
      <c r="P47" s="1149" t="n">
        <v>345187.62054446</v>
      </c>
      <c r="Q47" s="1149" t="n">
        <v>947367.103602606</v>
      </c>
      <c r="R47" s="1149" t="n">
        <v>859907.45525667</v>
      </c>
      <c r="S47" s="1149" t="n">
        <v>87459.64834593597</v>
      </c>
      <c r="T47" s="1149" t="n">
        <v>112686.2788245035</v>
      </c>
      <c r="U47" s="1149" t="n"/>
      <c r="V47" s="1149" t="n">
        <v>8459133.788072091</v>
      </c>
      <c r="W47" s="1149" t="n">
        <v>380686.299554003</v>
      </c>
      <c r="X47" s="1149" t="n">
        <v>534165.835038675</v>
      </c>
      <c r="Y47" s="1149" t="n">
        <v>892590.41475808</v>
      </c>
      <c r="Z47" s="1149" t="n">
        <v>914852.1345926779</v>
      </c>
      <c r="AA47" s="1149" t="n">
        <v>-22261.7198345979</v>
      </c>
      <c r="AB47" s="1149" t="n">
        <v>30488.40513256937</v>
      </c>
      <c r="AE47" s="999">
        <f>W47/Z47</f>
        <v/>
      </c>
      <c r="AF47" s="999">
        <f>X47/Z47</f>
        <v/>
      </c>
      <c r="AG47" s="999" t="n"/>
      <c r="AH47" s="999">
        <f>X47/$Q47</f>
        <v/>
      </c>
      <c r="AI47" s="999">
        <f>D47/$Q47</f>
        <v/>
      </c>
    </row>
    <row r="48">
      <c r="A48" s="541">
        <f>EDATE(A47, 3)</f>
        <v/>
      </c>
      <c r="B48" s="599" t="inlineStr">
        <is>
          <t>Oct-Dec 2011</t>
        </is>
      </c>
      <c r="C48" s="1149" t="n">
        <v>27461972.7726547</v>
      </c>
      <c r="D48" s="1149" t="n">
        <v>431596.376149189</v>
      </c>
      <c r="E48" s="1149" t="n">
        <v>485318.606063004</v>
      </c>
      <c r="F48" s="1149" t="n">
        <v>996023.048812661</v>
      </c>
      <c r="G48" s="1149" t="n">
        <v>916914.9822121931</v>
      </c>
      <c r="H48" s="1149" t="n">
        <v>79108.06660046789</v>
      </c>
      <c r="I48" s="1149" t="n">
        <v>34541.8139731586</v>
      </c>
      <c r="J48" s="1149" t="n"/>
      <c r="K48" s="1149" t="n">
        <v>513620.51608192</v>
      </c>
      <c r="L48" s="1150" t="n">
        <v>1.832957535104367</v>
      </c>
      <c r="M48" s="1149" t="n"/>
      <c r="N48" s="1149" t="n">
        <v>1750251.6370161</v>
      </c>
      <c r="O48" s="1149" t="n">
        <v>544842.224752344</v>
      </c>
      <c r="P48" s="1149" t="n">
        <v>357913.572784997</v>
      </c>
      <c r="Q48" s="1149" t="n">
        <v>910047.925451222</v>
      </c>
      <c r="R48" s="1149" t="n">
        <v>902755.797537341</v>
      </c>
      <c r="S48" s="1149" t="n">
        <v>7292.127913880977</v>
      </c>
      <c r="T48" s="1149" t="n">
        <v>27051.25055856816</v>
      </c>
      <c r="U48" s="1149" t="n"/>
      <c r="V48" s="1149" t="n">
        <v>8425898.479418829</v>
      </c>
      <c r="W48" s="1149" t="n">
        <v>451180.824060317</v>
      </c>
      <c r="X48" s="1149" t="n">
        <v>478451.549302033</v>
      </c>
      <c r="Y48" s="1149" t="n">
        <v>843232.1788480009</v>
      </c>
      <c r="Z48" s="1149" t="n">
        <v>929632.37336235</v>
      </c>
      <c r="AA48" s="1149" t="n">
        <v>-86400.1945143491</v>
      </c>
      <c r="AB48" s="1149" t="n">
        <v>-77628.06453172676</v>
      </c>
      <c r="AE48" s="999">
        <f>W48/Z48</f>
        <v/>
      </c>
      <c r="AF48" s="999">
        <f>X48/Z48</f>
        <v/>
      </c>
      <c r="AG48" s="999" t="n"/>
      <c r="AH48" s="999">
        <f>X48/$Q48</f>
        <v/>
      </c>
      <c r="AI48" s="999">
        <f>D48/$Q48</f>
        <v/>
      </c>
    </row>
    <row r="49" ht="13" customHeight="1" s="828" thickBot="1">
      <c r="A49" s="541">
        <f>EDATE(A48, 3)</f>
        <v/>
      </c>
      <c r="B49" s="627" t="inlineStr">
        <is>
          <t>Jan-Mar 2012</t>
        </is>
      </c>
      <c r="C49" s="1152" t="n">
        <v>27494863.555352</v>
      </c>
      <c r="D49" s="1152" t="n">
        <v>400302.896828624</v>
      </c>
      <c r="E49" s="1152" t="n">
        <v>492997.005523546</v>
      </c>
      <c r="F49" s="1152" t="n">
        <v>1038074.5840056</v>
      </c>
      <c r="G49" s="1152" t="n">
        <v>893299.9023521701</v>
      </c>
      <c r="H49" s="1152" t="n">
        <v>144774.68165343</v>
      </c>
      <c r="I49" s="1152" t="n">
        <v>89696.46992803738</v>
      </c>
      <c r="J49" s="1152" t="n"/>
      <c r="K49" s="1152" t="n">
        <v>515967.9308837</v>
      </c>
      <c r="L49" s="1153" t="n">
        <v>1.837652173958661</v>
      </c>
      <c r="M49" s="1154" t="n"/>
      <c r="N49" s="1152" t="n">
        <v>1671910.77275749</v>
      </c>
      <c r="O49" s="1152" t="n">
        <v>607930.3877516181</v>
      </c>
      <c r="P49" s="1152" t="n">
        <v>393517.437646712</v>
      </c>
      <c r="Q49" s="1152" t="n">
        <v>908301.135855088</v>
      </c>
      <c r="R49" s="1152" t="n">
        <v>1001447.82539833</v>
      </c>
      <c r="S49" s="1152" t="n">
        <v>-93146.6895432421</v>
      </c>
      <c r="T49" s="1152" t="n">
        <v>-56045.47951801447</v>
      </c>
      <c r="U49" s="1152" t="n"/>
      <c r="V49" s="1152" t="n">
        <v>8337932.5145093</v>
      </c>
      <c r="W49" s="1152" t="n">
        <v>430144.196253982</v>
      </c>
      <c r="X49" s="1152" t="n">
        <v>507998.239026464</v>
      </c>
      <c r="Y49" s="1152" t="n">
        <v>886514.4431702581</v>
      </c>
      <c r="Z49" s="1152" t="n">
        <v>938142.435280446</v>
      </c>
      <c r="AA49" s="1152" t="n">
        <v>-51627.99211018789</v>
      </c>
      <c r="AB49" s="1152" t="n">
        <v>-49355.99041002616</v>
      </c>
      <c r="AE49" s="999">
        <f>W49/Z49</f>
        <v/>
      </c>
      <c r="AF49" s="999">
        <f>X49/Z49</f>
        <v/>
      </c>
      <c r="AG49" s="999" t="n"/>
      <c r="AH49" s="999">
        <f>X49/$Q49</f>
        <v/>
      </c>
      <c r="AI49" s="999">
        <f>D49/$Q49</f>
        <v/>
      </c>
    </row>
    <row r="50">
      <c r="A50" s="541">
        <f>EDATE(A49, 3)</f>
        <v/>
      </c>
      <c r="B50" s="626" t="inlineStr">
        <is>
          <t>Apr-Jun 2012</t>
        </is>
      </c>
      <c r="C50" s="1149" t="n">
        <v>27586908.1154322</v>
      </c>
      <c r="D50" s="1149" t="n">
        <v>386528.533932995</v>
      </c>
      <c r="E50" s="1149" t="n">
        <v>483272.685630951</v>
      </c>
      <c r="F50" s="1149" t="n">
        <v>1093541.024444518</v>
      </c>
      <c r="G50" s="1149" t="n">
        <v>869801.219563946</v>
      </c>
      <c r="H50" s="1149" t="n">
        <v>223739.8048805721</v>
      </c>
      <c r="I50" s="1149" t="n">
        <v>167124.5020924509</v>
      </c>
      <c r="J50" s="1149" t="n"/>
      <c r="K50" s="1149" t="n">
        <v>572546.818598661</v>
      </c>
      <c r="L50" s="1150" t="n">
        <v>2.030924440288131</v>
      </c>
      <c r="M50" s="1149" t="n"/>
      <c r="N50" s="1149" t="n">
        <v>1598723.56709708</v>
      </c>
      <c r="O50" s="1149" t="n">
        <v>598742.112050183</v>
      </c>
      <c r="P50" s="1149" t="n">
        <v>387466.274325483</v>
      </c>
      <c r="Q50" s="1149" t="n">
        <v>946013.72452022</v>
      </c>
      <c r="R50" s="1149" t="n">
        <v>986208.386375666</v>
      </c>
      <c r="S50" s="1149" t="n">
        <v>-40194.66185544606</v>
      </c>
      <c r="T50" s="1149" t="n">
        <v>-48045.57317355834</v>
      </c>
      <c r="U50" s="1149" t="n"/>
      <c r="V50" s="1149" t="n">
        <v>8148795.98572562</v>
      </c>
      <c r="W50" s="1149" t="n">
        <v>494798.912394335</v>
      </c>
      <c r="X50" s="1149" t="n">
        <v>559485.190587225</v>
      </c>
      <c r="Y50" s="1149" t="n">
        <v>870738.9599564341</v>
      </c>
      <c r="Z50" s="1149" t="n">
        <v>1054284.10298156</v>
      </c>
      <c r="AA50" s="1149" t="n">
        <v>-183545.1430251258</v>
      </c>
      <c r="AB50" s="1149" t="n">
        <v>-135265.9289188907</v>
      </c>
      <c r="AE50" s="999">
        <f>W50/Z50</f>
        <v/>
      </c>
      <c r="AF50" s="999">
        <f>X50/Z50</f>
        <v/>
      </c>
      <c r="AG50" s="999" t="n"/>
      <c r="AH50" s="999">
        <f>X50/$Q50</f>
        <v/>
      </c>
      <c r="AI50" s="999">
        <f>D50/$Q50</f>
        <v/>
      </c>
    </row>
    <row r="51">
      <c r="A51" s="541">
        <f>EDATE(A50, 3)</f>
        <v/>
      </c>
      <c r="B51" s="627" t="inlineStr">
        <is>
          <t>Jul-Sep 2012</t>
        </is>
      </c>
      <c r="C51" s="1149" t="n">
        <v>27749143.7838102</v>
      </c>
      <c r="D51" s="1149" t="n">
        <v>387599.586973646</v>
      </c>
      <c r="E51" s="1149" t="n">
        <v>476719.321515164</v>
      </c>
      <c r="F51" s="1149" t="n">
        <v>1041379.059910252</v>
      </c>
      <c r="G51" s="1149" t="n">
        <v>864318.9084888101</v>
      </c>
      <c r="H51" s="1149" t="n">
        <v>177060.1514214419</v>
      </c>
      <c r="I51" s="1149" t="n">
        <v>90825.72066469118</v>
      </c>
      <c r="J51" s="1149" t="n"/>
      <c r="K51" s="1149" t="n">
        <v>584983.174857159</v>
      </c>
      <c r="L51" s="1150" t="n">
        <v>2.06083064084603</v>
      </c>
      <c r="M51" s="1149" t="n"/>
      <c r="N51" s="1149" t="n">
        <v>1568113.41766197</v>
      </c>
      <c r="O51" s="1149" t="n">
        <v>590532.953134513</v>
      </c>
      <c r="P51" s="1149" t="n">
        <v>401238.015776167</v>
      </c>
      <c r="Q51" s="1149" t="n">
        <v>908140.715290694</v>
      </c>
      <c r="R51" s="1149" t="n">
        <v>991770.9689106799</v>
      </c>
      <c r="S51" s="1149" t="n">
        <v>-83630.25361998589</v>
      </c>
      <c r="T51" s="1149" t="n">
        <v>-38678.74998259498</v>
      </c>
      <c r="U51" s="1149" t="n"/>
      <c r="V51" s="1149" t="n">
        <v>8050552.52993236</v>
      </c>
      <c r="W51" s="1149" t="n">
        <v>450846.106775739</v>
      </c>
      <c r="X51" s="1149" t="n">
        <v>520541.128317048</v>
      </c>
      <c r="Y51" s="1149" t="n">
        <v>877957.337291331</v>
      </c>
      <c r="Z51" s="1149" t="n">
        <v>971387.2350927871</v>
      </c>
      <c r="AA51" s="1149" t="n">
        <v>-93429.89780145604</v>
      </c>
      <c r="AB51" s="1149" t="n">
        <v>-51304.9706820976</v>
      </c>
      <c r="AE51" s="999">
        <f>W51/Z51</f>
        <v/>
      </c>
      <c r="AF51" s="999">
        <f>X51/Z51</f>
        <v/>
      </c>
      <c r="AG51" s="999" t="n"/>
      <c r="AH51" s="999">
        <f>X51/$Q51</f>
        <v/>
      </c>
      <c r="AI51" s="999">
        <f>D51/$Q51</f>
        <v/>
      </c>
    </row>
    <row r="52">
      <c r="A52" s="541">
        <f>EDATE(A51, 3)</f>
        <v/>
      </c>
      <c r="B52" s="627" t="inlineStr">
        <is>
          <t>Oct-Dec 2012</t>
        </is>
      </c>
      <c r="C52" s="1149" t="n">
        <v>27934117.3056155</v>
      </c>
      <c r="D52" s="1149" t="n">
        <v>414734.688776448</v>
      </c>
      <c r="E52" s="1149" t="n">
        <v>448656.678451506</v>
      </c>
      <c r="F52" s="1149" t="n">
        <v>995284.271396386</v>
      </c>
      <c r="G52" s="1149" t="n">
        <v>863391.3672279541</v>
      </c>
      <c r="H52" s="1149" t="n">
        <v>131892.9041684319</v>
      </c>
      <c r="I52" s="1149" t="n">
        <v>116878.0821121447</v>
      </c>
      <c r="J52" s="1149" t="n"/>
      <c r="K52" s="1149" t="n">
        <v>594198.522921614</v>
      </c>
      <c r="L52" s="1150" t="n">
        <v>2.081882628017107</v>
      </c>
      <c r="M52" s="1149" t="n"/>
      <c r="N52" s="1149" t="n">
        <v>1574521.48448366</v>
      </c>
      <c r="O52" s="1149" t="n">
        <v>585389.959263214</v>
      </c>
      <c r="P52" s="1149" t="n">
        <v>370255.233291415</v>
      </c>
      <c r="Q52" s="1149" t="n">
        <v>931583.066435238</v>
      </c>
      <c r="R52" s="1149" t="n">
        <v>955645.1925546289</v>
      </c>
      <c r="S52" s="1149" t="n">
        <v>-24062.12611939094</v>
      </c>
      <c r="T52" s="1149" t="n">
        <v>-6322.608447688632</v>
      </c>
      <c r="U52" s="1149" t="n"/>
      <c r="V52" s="1149" t="n">
        <v>7982216.1871434</v>
      </c>
      <c r="W52" s="1149" t="n">
        <v>409894.312133172</v>
      </c>
      <c r="X52" s="1149" t="n">
        <v>516848.37765879</v>
      </c>
      <c r="Y52" s="1149" t="n">
        <v>818911.911742921</v>
      </c>
      <c r="Z52" s="1149" t="n">
        <v>926742.689791962</v>
      </c>
      <c r="AA52" s="1149" t="n">
        <v>-107830.7780490411</v>
      </c>
      <c r="AB52" s="1149" t="n">
        <v>-102003.473664457</v>
      </c>
      <c r="AE52" s="999">
        <f>W52/Z52</f>
        <v/>
      </c>
      <c r="AF52" s="999">
        <f>X52/Z52</f>
        <v/>
      </c>
      <c r="AG52" s="999" t="n"/>
      <c r="AH52" s="999">
        <f>X52/$Q52</f>
        <v/>
      </c>
      <c r="AI52" s="999">
        <f>D52/$Q52</f>
        <v/>
      </c>
    </row>
    <row r="53">
      <c r="A53" s="541">
        <f>EDATE(A52, 3)</f>
        <v/>
      </c>
      <c r="B53" s="627" t="inlineStr">
        <is>
          <t>Jan-Mar 2013</t>
        </is>
      </c>
      <c r="C53" s="1149" t="n">
        <v>27861366.7453831</v>
      </c>
      <c r="D53" s="1149" t="n">
        <v>422803.201309144</v>
      </c>
      <c r="E53" s="1149" t="n">
        <v>565523.342753834</v>
      </c>
      <c r="F53" s="1149" t="n">
        <v>954431.3599214549</v>
      </c>
      <c r="G53" s="1149" t="n">
        <v>988326.5440629779</v>
      </c>
      <c r="H53" s="1149" t="n">
        <v>-33895.18414152297</v>
      </c>
      <c r="I53" s="1149" t="n">
        <v>-84677.58392611519</v>
      </c>
      <c r="J53" s="1149" t="n"/>
      <c r="K53" s="1149" t="n">
        <v>611257.937845836</v>
      </c>
      <c r="L53" s="1150" t="n">
        <v>2.143389034157954</v>
      </c>
      <c r="M53" s="1149" t="n"/>
      <c r="N53" s="1149" t="n">
        <v>1570298.65122919</v>
      </c>
      <c r="O53" s="1149" t="n">
        <v>569355.733074058</v>
      </c>
      <c r="P53" s="1149" t="n">
        <v>379329.988736575</v>
      </c>
      <c r="Q53" s="1149" t="n">
        <v>932251.6028909769</v>
      </c>
      <c r="R53" s="1149" t="n">
        <v>948685.721810633</v>
      </c>
      <c r="S53" s="1149" t="n">
        <v>-16434.11891965603</v>
      </c>
      <c r="T53" s="1149" t="n">
        <v>9592.497330829035</v>
      </c>
      <c r="U53" s="1149" t="n"/>
      <c r="V53" s="1149" t="n">
        <v>7952967.88959725</v>
      </c>
      <c r="W53" s="1149" t="n">
        <v>385075.626847397</v>
      </c>
      <c r="X53" s="1149" t="n">
        <v>509448.401581833</v>
      </c>
      <c r="Y53" s="1149" t="n">
        <v>944853.331490409</v>
      </c>
      <c r="Z53" s="1149" t="n">
        <v>894524.02842923</v>
      </c>
      <c r="AA53" s="1149" t="n">
        <v>50329.303061179</v>
      </c>
      <c r="AB53" s="1149" t="n">
        <v>83692.08659528568</v>
      </c>
      <c r="AE53" s="999">
        <f>W53/Z53</f>
        <v/>
      </c>
      <c r="AF53" s="999">
        <f>X53/Z53</f>
        <v/>
      </c>
      <c r="AG53" s="999" t="n"/>
      <c r="AH53" s="999">
        <f>X53/$Q53</f>
        <v/>
      </c>
      <c r="AI53" s="999">
        <f>D53/$Q53</f>
        <v/>
      </c>
    </row>
    <row r="54">
      <c r="A54" s="541">
        <f>EDATE(A53, 3)</f>
        <v/>
      </c>
      <c r="B54" s="627" t="inlineStr">
        <is>
          <t>Apr-Jun 2013</t>
        </is>
      </c>
      <c r="C54" s="1149" t="n">
        <v>27862032.3114297</v>
      </c>
      <c r="D54" s="1149" t="n">
        <v>407119.091272798</v>
      </c>
      <c r="E54" s="1149" t="n">
        <v>461155.029304408</v>
      </c>
      <c r="F54" s="1149" t="n">
        <v>995906.186495635</v>
      </c>
      <c r="G54" s="1149" t="n">
        <v>868274.120577206</v>
      </c>
      <c r="H54" s="1149" t="n">
        <v>127632.0659184289</v>
      </c>
      <c r="I54" s="1149" t="n">
        <v>68209.3445141837</v>
      </c>
      <c r="J54" s="1149" t="n"/>
      <c r="K54" s="1149" t="n">
        <v>566312.6241562</v>
      </c>
      <c r="L54" s="1150" t="n">
        <v>1.983606359965607</v>
      </c>
      <c r="M54" s="1149" t="n"/>
      <c r="N54" s="1149" t="n">
        <v>1543794.76637885</v>
      </c>
      <c r="O54" s="1149" t="n">
        <v>549306.129218424</v>
      </c>
      <c r="P54" s="1149" t="n">
        <v>403546.605008869</v>
      </c>
      <c r="Q54" s="1149" t="n">
        <v>927434.605949276</v>
      </c>
      <c r="R54" s="1149" t="n">
        <v>952852.7342272929</v>
      </c>
      <c r="S54" s="1149" t="n">
        <v>-25418.12827801693</v>
      </c>
      <c r="T54" s="1149" t="n">
        <v>-32879.16449911194</v>
      </c>
      <c r="U54" s="1149" t="n"/>
      <c r="V54" s="1149" t="n">
        <v>8049789.10081409</v>
      </c>
      <c r="W54" s="1149" t="n">
        <v>446600.057277211</v>
      </c>
      <c r="X54" s="1149" t="n">
        <v>520315.514676478</v>
      </c>
      <c r="Y54" s="1149" t="n">
        <v>864701.634313277</v>
      </c>
      <c r="Z54" s="1149" t="n">
        <v>966915.571953689</v>
      </c>
      <c r="AA54" s="1149" t="n">
        <v>-102213.937640412</v>
      </c>
      <c r="AB54" s="1149" t="n">
        <v>-26162.18001507036</v>
      </c>
      <c r="AE54" s="999">
        <f>W54/Z54</f>
        <v/>
      </c>
      <c r="AF54" s="999">
        <f>X54/Z54</f>
        <v/>
      </c>
      <c r="AG54" s="999" t="n"/>
      <c r="AH54" s="999">
        <f>X54/$Q54</f>
        <v/>
      </c>
      <c r="AI54" s="999">
        <f>D54/$Q54</f>
        <v/>
      </c>
    </row>
    <row r="55">
      <c r="A55" s="541">
        <f>EDATE(A54, 3)</f>
        <v/>
      </c>
      <c r="B55" s="627" t="inlineStr">
        <is>
          <t>Jul-Sep 2013</t>
        </is>
      </c>
      <c r="C55" s="1149" t="n">
        <v>27995434.9447658</v>
      </c>
      <c r="D55" s="1149" t="n">
        <v>382871.692529555</v>
      </c>
      <c r="E55" s="1149" t="n">
        <v>460689.006767385</v>
      </c>
      <c r="F55" s="1149" t="n">
        <v>1067327.617619653</v>
      </c>
      <c r="G55" s="1149" t="n">
        <v>843560.69929694</v>
      </c>
      <c r="H55" s="1149" t="n">
        <v>223766.918322713</v>
      </c>
      <c r="I55" s="1149" t="n">
        <v>146392.8936141022</v>
      </c>
      <c r="J55" s="1149" t="n"/>
      <c r="K55" s="1149" t="n">
        <v>584460.194574843</v>
      </c>
      <c r="L55" s="1150" t="n">
        <v>2.03914480304881</v>
      </c>
      <c r="M55" s="1149" t="n"/>
      <c r="N55" s="1149" t="n">
        <v>1551040.01095734</v>
      </c>
      <c r="O55" s="1149" t="n">
        <v>598282.926284738</v>
      </c>
      <c r="P55" s="1149" t="n">
        <v>348496.60666545</v>
      </c>
      <c r="Q55" s="1149" t="n">
        <v>877646.72024703</v>
      </c>
      <c r="R55" s="1149" t="n">
        <v>946779.532950188</v>
      </c>
      <c r="S55" s="1149" t="n">
        <v>-69132.81270315801</v>
      </c>
      <c r="T55" s="1149" t="n">
        <v>-27920.69950338267</v>
      </c>
      <c r="U55" s="1149" t="n"/>
      <c r="V55" s="1149" t="n">
        <v>7967825.81870171</v>
      </c>
      <c r="W55" s="1149" t="n">
        <v>469044.691334915</v>
      </c>
      <c r="X55" s="1149" t="n">
        <v>494775.027717475</v>
      </c>
      <c r="Y55" s="1149" t="n">
        <v>809185.613432835</v>
      </c>
      <c r="Z55" s="1149" t="n">
        <v>963819.71905239</v>
      </c>
      <c r="AA55" s="1149" t="n">
        <v>-154634.105619555</v>
      </c>
      <c r="AB55" s="1149" t="n">
        <v>-96228.19411071762</v>
      </c>
      <c r="AE55" s="999">
        <f>W55/Z55</f>
        <v/>
      </c>
      <c r="AF55" s="999">
        <f>X55/Z55</f>
        <v/>
      </c>
      <c r="AG55" s="999" t="n"/>
      <c r="AH55" s="999">
        <f>X55/$Q55</f>
        <v/>
      </c>
      <c r="AI55" s="999">
        <f>D55/$Q55</f>
        <v/>
      </c>
    </row>
    <row r="56">
      <c r="A56" s="541">
        <f>EDATE(A55, 3)</f>
        <v/>
      </c>
      <c r="B56" s="627" t="inlineStr">
        <is>
          <t>Oct-Dec 2013</t>
        </is>
      </c>
      <c r="C56" s="1149" t="n">
        <v>28115918.8982701</v>
      </c>
      <c r="D56" s="1149" t="n">
        <v>365438.92216516</v>
      </c>
      <c r="E56" s="1149" t="n">
        <v>513392.841508296</v>
      </c>
      <c r="F56" s="1149" t="n">
        <v>1073592.180230502</v>
      </c>
      <c r="G56" s="1149" t="n">
        <v>878831.763673456</v>
      </c>
      <c r="H56" s="1149" t="n">
        <v>194760.416557046</v>
      </c>
      <c r="I56" s="1149" t="n">
        <v>160300.9088791125</v>
      </c>
      <c r="J56" s="1149" t="n"/>
      <c r="K56" s="1149" t="n">
        <v>633661.5144165159</v>
      </c>
      <c r="L56" s="1150" t="n">
        <v>2.198321091143192</v>
      </c>
      <c r="M56" s="1149" t="n"/>
      <c r="N56" s="1149" t="n">
        <v>1457561.36296841</v>
      </c>
      <c r="O56" s="1149" t="n">
        <v>578878.430752345</v>
      </c>
      <c r="P56" s="1149" t="n">
        <v>419706.904247646</v>
      </c>
      <c r="Q56" s="1149" t="n">
        <v>856029.859993964</v>
      </c>
      <c r="R56" s="1149" t="n">
        <v>998585.334999991</v>
      </c>
      <c r="S56" s="1149" t="n">
        <v>-142555.475006027</v>
      </c>
      <c r="T56" s="1149" t="n">
        <v>-134735.9335048767</v>
      </c>
      <c r="U56" s="1149" t="n"/>
      <c r="V56" s="1149" t="n">
        <v>7886239.15905206</v>
      </c>
      <c r="W56" s="1149" t="n">
        <v>494713.749478157</v>
      </c>
      <c r="X56" s="1149" t="n">
        <v>490590.937828804</v>
      </c>
      <c r="Y56" s="1149" t="n">
        <v>933099.7457559421</v>
      </c>
      <c r="Z56" s="1149" t="n">
        <v>985304.687306961</v>
      </c>
      <c r="AA56" s="1149" t="n">
        <v>-52204.94155101897</v>
      </c>
      <c r="AB56" s="1149" t="n">
        <v>5339.024625759572</v>
      </c>
      <c r="AE56" s="999">
        <f>W56/Z56</f>
        <v/>
      </c>
      <c r="AF56" s="999">
        <f>X56/Z56</f>
        <v/>
      </c>
      <c r="AG56" s="999" t="n"/>
      <c r="AH56" s="999">
        <f>X56/$Q56</f>
        <v/>
      </c>
      <c r="AI56" s="999">
        <f>D56/$Q56</f>
        <v/>
      </c>
    </row>
    <row r="57">
      <c r="A57" s="541">
        <f>EDATE(A56, 3)</f>
        <v/>
      </c>
      <c r="B57" s="627" t="inlineStr">
        <is>
          <t>Jan-Mar 2014</t>
        </is>
      </c>
      <c r="C57" s="1149" t="n">
        <v>28349293.1659917</v>
      </c>
      <c r="D57" s="1149" t="n">
        <v>336657.258167619</v>
      </c>
      <c r="E57" s="1149" t="n">
        <v>470024.219636455</v>
      </c>
      <c r="F57" s="1149" t="n">
        <v>1040893.482190674</v>
      </c>
      <c r="G57" s="1149" t="n">
        <v>806681.4778040741</v>
      </c>
      <c r="H57" s="1149" t="n">
        <v>234212.0043865999</v>
      </c>
      <c r="I57" s="1149" t="n">
        <v>210850.8027490526</v>
      </c>
      <c r="J57" s="1149" t="n"/>
      <c r="K57" s="1149" t="n">
        <v>670919.295584164</v>
      </c>
      <c r="L57" s="1150" t="n">
        <v>2.310271942154161</v>
      </c>
      <c r="M57" s="1149" t="n"/>
      <c r="N57" s="1149" t="n">
        <v>1358361.23367456</v>
      </c>
      <c r="O57" s="1149" t="n">
        <v>556697.953849169</v>
      </c>
      <c r="P57" s="1149" t="n">
        <v>406632.795602915</v>
      </c>
      <c r="Q57" s="1149" t="n">
        <v>809227.6153678671</v>
      </c>
      <c r="R57" s="1149" t="n">
        <v>963330.749452084</v>
      </c>
      <c r="S57" s="1149" t="n">
        <v>-154103.1340842169</v>
      </c>
      <c r="T57" s="1149" t="n">
        <v>-141650.4041887401</v>
      </c>
      <c r="U57" s="1149" t="n"/>
      <c r="V57" s="1149" t="n">
        <v>7898116.27233436</v>
      </c>
      <c r="W57" s="1149" t="n">
        <v>484195.528341505</v>
      </c>
      <c r="X57" s="1149" t="n">
        <v>472570.357200248</v>
      </c>
      <c r="Y57" s="1149" t="n">
        <v>876657.0152393701</v>
      </c>
      <c r="Z57" s="1149" t="n">
        <v>956765.8855417529</v>
      </c>
      <c r="AA57" s="1149" t="n">
        <v>-80108.87030238286</v>
      </c>
      <c r="AB57" s="1149" t="n">
        <v>-39235.39856030792</v>
      </c>
      <c r="AE57" s="999">
        <f>W57/Z57</f>
        <v/>
      </c>
      <c r="AF57" s="999">
        <f>X57/Z57</f>
        <v/>
      </c>
      <c r="AG57" s="999" t="n"/>
      <c r="AH57" s="999">
        <f>X57/$Q57</f>
        <v/>
      </c>
      <c r="AI57" s="999">
        <f>D57/$Q57</f>
        <v/>
      </c>
    </row>
    <row r="58">
      <c r="A58" s="541">
        <f>EDATE(A57, 3)</f>
        <v/>
      </c>
      <c r="B58" s="627" t="inlineStr">
        <is>
          <t>Apr-Jun 2014</t>
        </is>
      </c>
      <c r="C58" s="1149" t="n">
        <v>28472897.4282113</v>
      </c>
      <c r="D58" s="1149" t="n">
        <v>359739.309641018</v>
      </c>
      <c r="E58" s="1149" t="n">
        <v>522662.605680115</v>
      </c>
      <c r="F58" s="1149" t="n">
        <v>1086901.949124628</v>
      </c>
      <c r="G58" s="1149" t="n">
        <v>882401.915321133</v>
      </c>
      <c r="H58" s="1149" t="n">
        <v>204500.033803495</v>
      </c>
      <c r="I58" s="1149" t="n">
        <v>172281.287023522</v>
      </c>
      <c r="J58" s="1149" t="n"/>
      <c r="K58" s="1149" t="n">
        <v>710853.455102697</v>
      </c>
      <c r="L58" s="1150" t="n">
        <v>2.437612463484875</v>
      </c>
      <c r="M58" s="1149" t="n"/>
      <c r="N58" s="1149" t="n">
        <v>1211468.7559586</v>
      </c>
      <c r="O58" s="1149" t="n">
        <v>565660.984263794</v>
      </c>
      <c r="P58" s="1149" t="n">
        <v>383385.431623738</v>
      </c>
      <c r="Q58" s="1149" t="n">
        <v>801526.7281984061</v>
      </c>
      <c r="R58" s="1149" t="n">
        <v>949046.4158875321</v>
      </c>
      <c r="S58" s="1149" t="n">
        <v>-147519.687689126</v>
      </c>
      <c r="T58" s="1149" t="n">
        <v>-149610.8935823473</v>
      </c>
      <c r="U58" s="1149" t="n"/>
      <c r="V58" s="1149" t="n">
        <v>7876054.0841294</v>
      </c>
      <c r="W58" s="1149" t="n">
        <v>521240.964860834</v>
      </c>
      <c r="X58" s="1149" t="n">
        <v>441787.418557388</v>
      </c>
      <c r="Y58" s="1149" t="n">
        <v>906048.0373038531</v>
      </c>
      <c r="Z58" s="1149" t="n">
        <v>963028.383418222</v>
      </c>
      <c r="AA58" s="1149" t="n">
        <v>-56980.34611436888</v>
      </c>
      <c r="AB58" s="1149" t="n">
        <v>8035.606558820233</v>
      </c>
      <c r="AE58" s="999">
        <f>W58/Z58</f>
        <v/>
      </c>
      <c r="AF58" s="999">
        <f>X58/Z58</f>
        <v/>
      </c>
      <c r="AG58" s="999" t="n"/>
      <c r="AH58" s="999">
        <f>X58/$Q58</f>
        <v/>
      </c>
      <c r="AI58" s="999">
        <f>D58/$Q58</f>
        <v/>
      </c>
    </row>
    <row r="59">
      <c r="A59" s="541">
        <f>EDATE(A58, 3)</f>
        <v/>
      </c>
      <c r="B59" s="627" t="inlineStr">
        <is>
          <t>Jul-Sep 2014</t>
        </is>
      </c>
      <c r="C59" s="1149" t="n">
        <v>28653829.2042542</v>
      </c>
      <c r="D59" s="1149" t="n">
        <v>322826.357288564</v>
      </c>
      <c r="E59" s="1149" t="n">
        <v>512762.724502609</v>
      </c>
      <c r="F59" s="1149" t="n">
        <v>1031546.995874443</v>
      </c>
      <c r="G59" s="1149" t="n">
        <v>835589.081791173</v>
      </c>
      <c r="H59" s="1149" t="n">
        <v>195957.91408327</v>
      </c>
      <c r="I59" s="1149" t="n">
        <v>118537.0754614472</v>
      </c>
      <c r="J59" s="1149" t="n"/>
      <c r="K59" s="1149" t="n">
        <v>655915.4701589741</v>
      </c>
      <c r="L59" s="1150" t="n">
        <v>2.23336265115077</v>
      </c>
      <c r="M59" s="1149" t="n"/>
      <c r="N59" s="1149" t="n">
        <v>1163120.68642339</v>
      </c>
      <c r="O59" s="1149" t="n">
        <v>497510.042091529</v>
      </c>
      <c r="P59" s="1149" t="n">
        <v>378355.385801134</v>
      </c>
      <c r="Q59" s="1149" t="n">
        <v>768633.87986077</v>
      </c>
      <c r="R59" s="1149" t="n">
        <v>875865.4278926631</v>
      </c>
      <c r="S59" s="1149" t="n">
        <v>-107231.5480318931</v>
      </c>
      <c r="T59" s="1149" t="n">
        <v>-95044.68693809956</v>
      </c>
      <c r="U59" s="1149" t="n"/>
      <c r="V59" s="1149" t="n">
        <v>7944330.12887808</v>
      </c>
      <c r="W59" s="1149" t="n">
        <v>534036.953782914</v>
      </c>
      <c r="X59" s="1149" t="n">
        <v>445807.522572206</v>
      </c>
      <c r="Y59" s="1149" t="n">
        <v>891118.110303743</v>
      </c>
      <c r="Z59" s="1149" t="n">
        <v>979844.47635512</v>
      </c>
      <c r="AA59" s="1149" t="n">
        <v>-88726.36605137691</v>
      </c>
      <c r="AB59" s="1149" t="n">
        <v>20111.61147665791</v>
      </c>
      <c r="AE59" s="999">
        <f>W59/Z59</f>
        <v/>
      </c>
      <c r="AF59" s="999">
        <f>X59/Z59</f>
        <v/>
      </c>
      <c r="AG59" s="999" t="n"/>
      <c r="AH59" s="999">
        <f>X59/$Q59</f>
        <v/>
      </c>
      <c r="AI59" s="999">
        <f>D59/$Q59</f>
        <v/>
      </c>
    </row>
    <row r="60">
      <c r="A60" s="541">
        <f>EDATE(A59, 3)</f>
        <v/>
      </c>
      <c r="B60" s="627" t="inlineStr">
        <is>
          <t>Oct-Dec 2014</t>
        </is>
      </c>
      <c r="C60" s="1149" t="n">
        <v>28816897.1720834</v>
      </c>
      <c r="D60" s="1149" t="n">
        <v>331110.70925995</v>
      </c>
      <c r="E60" s="1149" t="n">
        <v>531153.955034076</v>
      </c>
      <c r="F60" s="1149" t="n">
        <v>994047.8678191321</v>
      </c>
      <c r="G60" s="1149" t="n">
        <v>862264.664294026</v>
      </c>
      <c r="H60" s="1149" t="n">
        <v>131783.2035251061</v>
      </c>
      <c r="I60" s="1149" t="n">
        <v>102839.8079773225</v>
      </c>
      <c r="J60" s="1149" t="n"/>
      <c r="K60" s="1149" t="n">
        <v>690744.495553309</v>
      </c>
      <c r="L60" s="1150" t="n">
        <v>2.341121289872307</v>
      </c>
      <c r="M60" s="1149" t="n"/>
      <c r="N60" s="1149" t="n">
        <v>1069638.74472096</v>
      </c>
      <c r="O60" s="1149" t="n">
        <v>513072.711708589</v>
      </c>
      <c r="P60" s="1149" t="n">
        <v>356200.646435697</v>
      </c>
      <c r="Q60" s="1149" t="n">
        <v>757578.7639102279</v>
      </c>
      <c r="R60" s="1149" t="n">
        <v>869273.358144286</v>
      </c>
      <c r="S60" s="1149" t="n">
        <v>-111694.5942340581</v>
      </c>
      <c r="T60" s="1149" t="n">
        <v>-88740.21621571202</v>
      </c>
      <c r="U60" s="1149" t="n"/>
      <c r="V60" s="1149" t="n">
        <v>8004613.28194221</v>
      </c>
      <c r="W60" s="1149" t="n">
        <v>480975.156110543</v>
      </c>
      <c r="X60" s="1149" t="n">
        <v>426468.054650278</v>
      </c>
      <c r="Y60" s="1149" t="n">
        <v>887354.601469773</v>
      </c>
      <c r="Z60" s="1149" t="n">
        <v>907443.210760821</v>
      </c>
      <c r="AA60" s="1149" t="n">
        <v>-20088.60929104802</v>
      </c>
      <c r="AB60" s="1149" t="n">
        <v>37262.40823838487</v>
      </c>
      <c r="AE60" s="999">
        <f>W60/Z60</f>
        <v/>
      </c>
      <c r="AF60" s="999">
        <f>X60/Z60</f>
        <v/>
      </c>
      <c r="AG60" s="999" t="n"/>
      <c r="AH60" s="999">
        <f>X60/$Q60</f>
        <v/>
      </c>
      <c r="AI60" s="999">
        <f>D60/$Q60</f>
        <v/>
      </c>
    </row>
    <row r="61">
      <c r="A61" s="541">
        <f>EDATE(A60, 3)</f>
        <v/>
      </c>
      <c r="B61" s="627" t="inlineStr">
        <is>
          <t>Jan-Mar 2015</t>
        </is>
      </c>
      <c r="C61" s="1149" t="n">
        <v>28858570.8788507</v>
      </c>
      <c r="D61" s="1149" t="n">
        <v>336323.127802797</v>
      </c>
      <c r="E61" s="1149" t="n">
        <v>554972.387853874</v>
      </c>
      <c r="F61" s="1149" t="n">
        <v>1090431.143780139</v>
      </c>
      <c r="G61" s="1149" t="n">
        <v>891295.515656671</v>
      </c>
      <c r="H61" s="1149" t="n">
        <v>199135.628123468</v>
      </c>
      <c r="I61" s="1149" t="n">
        <v>131939.6709000356</v>
      </c>
      <c r="J61" s="1149" t="n"/>
      <c r="K61" s="1149" t="n">
        <v>694519.373664822</v>
      </c>
      <c r="L61" s="1150" t="n">
        <v>2.348747246270621</v>
      </c>
      <c r="M61" s="1149" t="n"/>
      <c r="N61" s="1149" t="n">
        <v>1020863.04003721</v>
      </c>
      <c r="O61" s="1149" t="n">
        <v>502135.156088668</v>
      </c>
      <c r="P61" s="1149" t="n">
        <v>321521.601673134</v>
      </c>
      <c r="Q61" s="1149" t="n">
        <v>770023.732872443</v>
      </c>
      <c r="R61" s="1149" t="n">
        <v>823656.7577618021</v>
      </c>
      <c r="S61" s="1149" t="n">
        <v>-53633.02488935902</v>
      </c>
      <c r="T61" s="1149" t="n">
        <v>-48156.30140275229</v>
      </c>
      <c r="U61" s="1149" t="n"/>
      <c r="V61" s="1149" t="n">
        <v>7955487.09632861</v>
      </c>
      <c r="W61" s="1149" t="n">
        <v>588295.987691471</v>
      </c>
      <c r="X61" s="1149" t="n">
        <v>433700.605069646</v>
      </c>
      <c r="Y61" s="1149" t="n">
        <v>876493.989527008</v>
      </c>
      <c r="Z61" s="1149" t="n">
        <v>1021996.592761117</v>
      </c>
      <c r="AA61" s="1149" t="n">
        <v>-145502.603234109</v>
      </c>
      <c r="AB61" s="1149" t="n">
        <v>-33818.36949727871</v>
      </c>
      <c r="AE61" s="999">
        <f>W61/Z61</f>
        <v/>
      </c>
      <c r="AF61" s="999">
        <f>X61/Z61</f>
        <v/>
      </c>
      <c r="AG61" s="999" t="n"/>
      <c r="AH61" s="999">
        <f>X61/$Q61</f>
        <v/>
      </c>
      <c r="AI61" s="999">
        <f>D61/$Q61</f>
        <v/>
      </c>
    </row>
    <row r="62">
      <c r="A62" s="541">
        <f>EDATE(A61, 3)</f>
        <v/>
      </c>
      <c r="B62" s="627" t="inlineStr">
        <is>
          <t>Apr-Jun 2015</t>
        </is>
      </c>
      <c r="C62" s="1149" t="n">
        <v>28990491.4127912</v>
      </c>
      <c r="D62" s="1149" t="n">
        <v>357463.92096133</v>
      </c>
      <c r="E62" s="1149" t="n">
        <v>553015.225100487</v>
      </c>
      <c r="F62" s="1149" t="n">
        <v>964497.922093356</v>
      </c>
      <c r="G62" s="1149" t="n">
        <v>910479.146061817</v>
      </c>
      <c r="H62" s="1149" t="n">
        <v>54018.77603153908</v>
      </c>
      <c r="I62" s="1149" t="n">
        <v>15099.27677354589</v>
      </c>
      <c r="J62" s="1149" t="n"/>
      <c r="K62" s="1149" t="n">
        <v>703317.147166171</v>
      </c>
      <c r="L62" s="1150" t="n">
        <v>2.368323514935511</v>
      </c>
      <c r="M62" s="1149" t="n"/>
      <c r="N62" s="1149" t="n">
        <v>986849.239522438</v>
      </c>
      <c r="O62" s="1149" t="n">
        <v>462743.315086748</v>
      </c>
      <c r="P62" s="1149" t="n">
        <v>346193.946902425</v>
      </c>
      <c r="Q62" s="1149" t="n">
        <v>830810.710510985</v>
      </c>
      <c r="R62" s="1149" t="n">
        <v>808937.261989173</v>
      </c>
      <c r="S62" s="1149" t="n">
        <v>21873.44852181198</v>
      </c>
      <c r="T62" s="1149" t="n">
        <v>22964.59547739988</v>
      </c>
      <c r="U62" s="1149" t="n"/>
      <c r="V62" s="1149" t="n">
        <v>7901139.61801384</v>
      </c>
      <c r="W62" s="1149" t="n">
        <v>501754.607006608</v>
      </c>
      <c r="X62" s="1149" t="n">
        <v>473346.789549655</v>
      </c>
      <c r="Y62" s="1149" t="n">
        <v>899209.172002912</v>
      </c>
      <c r="Z62" s="1149" t="n">
        <v>975101.396556263</v>
      </c>
      <c r="AA62" s="1149" t="n">
        <v>-75892.22455335094</v>
      </c>
      <c r="AB62" s="1149" t="n">
        <v>12712.12774905004</v>
      </c>
      <c r="AE62" s="999">
        <f>W62/Z62</f>
        <v/>
      </c>
      <c r="AF62" s="999">
        <f>X62/Z62</f>
        <v/>
      </c>
      <c r="AG62" s="999" t="n"/>
      <c r="AH62" s="999">
        <f>X62/$Q62</f>
        <v/>
      </c>
      <c r="AI62" s="999">
        <f>D62/$Q62</f>
        <v/>
      </c>
    </row>
    <row r="63">
      <c r="A63" s="541">
        <f>EDATE(A62, 3)</f>
        <v/>
      </c>
      <c r="B63" s="627" t="inlineStr">
        <is>
          <t>Jul-Sep 2015</t>
        </is>
      </c>
      <c r="C63" s="1149" t="n">
        <v>29063098.7478391</v>
      </c>
      <c r="D63" s="1149" t="n">
        <v>265671.125942714</v>
      </c>
      <c r="E63" s="1149" t="n">
        <v>534255.621400669</v>
      </c>
      <c r="F63" s="1149" t="n">
        <v>1098405.954200887</v>
      </c>
      <c r="G63" s="1149" t="n">
        <v>799926.747343383</v>
      </c>
      <c r="H63" s="1149" t="n">
        <v>298479.2068575041</v>
      </c>
      <c r="I63" s="1149" t="n">
        <v>197790.1407148354</v>
      </c>
      <c r="J63" s="1149" t="n"/>
      <c r="K63" s="1149" t="n">
        <v>754210.050504636</v>
      </c>
      <c r="L63" s="1150" t="n">
        <v>2.532373805305328</v>
      </c>
      <c r="M63" s="1149" t="n"/>
      <c r="N63" s="1149" t="n">
        <v>978103.770842911</v>
      </c>
      <c r="O63" s="1149" t="n">
        <v>537590.019191024</v>
      </c>
      <c r="P63" s="1149" t="n">
        <v>319371.290976455</v>
      </c>
      <c r="Q63" s="1149" t="n">
        <v>743680.401714429</v>
      </c>
      <c r="R63" s="1149" t="n">
        <v>856961.3101674791</v>
      </c>
      <c r="S63" s="1149" t="n">
        <v>-113280.9084530501</v>
      </c>
      <c r="T63" s="1149" t="n">
        <v>-86688.57042178395</v>
      </c>
      <c r="U63" s="1149" t="n"/>
      <c r="V63" s="1149" t="n">
        <v>7873498.49476443</v>
      </c>
      <c r="W63" s="1149" t="n">
        <v>560815.935009863</v>
      </c>
      <c r="X63" s="1149" t="n">
        <v>478009.275771715</v>
      </c>
      <c r="Y63" s="1149" t="n">
        <v>853626.912377124</v>
      </c>
      <c r="Z63" s="1149" t="n">
        <v>1038825.210781578</v>
      </c>
      <c r="AA63" s="1149" t="n">
        <v>-185198.298404454</v>
      </c>
      <c r="AB63" s="1149" t="n">
        <v>-60468.5702930484</v>
      </c>
      <c r="AE63" s="999">
        <f>W63/Z63</f>
        <v/>
      </c>
      <c r="AF63" s="999">
        <f>X63/Z63</f>
        <v/>
      </c>
      <c r="AG63" s="999" t="n"/>
      <c r="AH63" s="999">
        <f>X63/$Q63</f>
        <v/>
      </c>
      <c r="AI63" s="999">
        <f>D63/$Q63</f>
        <v/>
      </c>
    </row>
    <row r="64">
      <c r="A64" s="541">
        <f>EDATE(A63, 3)</f>
        <v/>
      </c>
      <c r="B64" s="627" t="inlineStr">
        <is>
          <t>Oct-Dec 2015</t>
        </is>
      </c>
      <c r="C64" s="1149" t="n">
        <v>29233775.1552913</v>
      </c>
      <c r="D64" s="1149" t="n">
        <v>350609.816858654</v>
      </c>
      <c r="E64" s="1149" t="n">
        <v>546810.645067333</v>
      </c>
      <c r="F64" s="1149" t="n">
        <v>1085523.032541744</v>
      </c>
      <c r="G64" s="1149" t="n">
        <v>897420.461925987</v>
      </c>
      <c r="H64" s="1149" t="n">
        <v>188102.5706157569</v>
      </c>
      <c r="I64" s="1149" t="n">
        <v>175136.5261904597</v>
      </c>
      <c r="J64" s="1149" t="n"/>
      <c r="K64" s="1149" t="n">
        <v>686253.170115391</v>
      </c>
      <c r="L64" s="1150" t="n">
        <v>2.29152282762083</v>
      </c>
      <c r="M64" s="1149" t="n"/>
      <c r="N64" s="1149" t="n">
        <v>880784.456143624</v>
      </c>
      <c r="O64" s="1149" t="n">
        <v>508455.247695285</v>
      </c>
      <c r="P64" s="1149" t="n">
        <v>345354.689555871</v>
      </c>
      <c r="Q64" s="1149" t="n">
        <v>760524.489320714</v>
      </c>
      <c r="R64" s="1149" t="n">
        <v>853809.937251156</v>
      </c>
      <c r="S64" s="1149" t="n">
        <v>-93285.44793044194</v>
      </c>
      <c r="T64" s="1149" t="n">
        <v>-71014.05308798701</v>
      </c>
      <c r="U64" s="1149" t="n"/>
      <c r="V64" s="1149" t="n">
        <v>7815878.03700384</v>
      </c>
      <c r="W64" s="1149" t="n">
        <v>577067.784846459</v>
      </c>
      <c r="X64" s="1149" t="n">
        <v>409914.67246206</v>
      </c>
      <c r="Y64" s="1149" t="n">
        <v>892165.3346232041</v>
      </c>
      <c r="Z64" s="1149" t="n">
        <v>986982.457308519</v>
      </c>
      <c r="AA64" s="1149" t="n">
        <v>-94817.12268531497</v>
      </c>
      <c r="AB64" s="1149" t="n">
        <v>-53600.47310247645</v>
      </c>
      <c r="AE64" s="999">
        <f>W64/Z64</f>
        <v/>
      </c>
      <c r="AF64" s="999">
        <f>X64/Z64</f>
        <v/>
      </c>
      <c r="AG64" s="999" t="n"/>
      <c r="AH64" s="999">
        <f>X64/$Q64</f>
        <v/>
      </c>
      <c r="AI64" s="999">
        <f>D64/$Q64</f>
        <v/>
      </c>
    </row>
    <row r="65">
      <c r="A65" s="541">
        <f>EDATE(A64, 3)</f>
        <v/>
      </c>
      <c r="B65" s="627" t="inlineStr">
        <is>
          <t>Jan-Mar 2016</t>
        </is>
      </c>
      <c r="C65" s="1149" t="n">
        <v>29401726.6381542</v>
      </c>
      <c r="D65" s="1149" t="n">
        <v>359146.001684987</v>
      </c>
      <c r="E65" s="1149" t="n">
        <v>537837.2808999619</v>
      </c>
      <c r="F65" s="1149" t="n">
        <v>994163.9299607789</v>
      </c>
      <c r="G65" s="1149" t="n">
        <v>896983.2825849489</v>
      </c>
      <c r="H65" s="1149" t="n">
        <v>97180.64737582998</v>
      </c>
      <c r="I65" s="1149" t="n">
        <v>46615.02446872741</v>
      </c>
      <c r="J65" s="1149" t="n"/>
      <c r="K65" s="1149" t="n">
        <v>747187.658414353</v>
      </c>
      <c r="L65" s="1150" t="n">
        <v>2.481265135113592</v>
      </c>
      <c r="M65" s="1149" t="n"/>
      <c r="N65" s="1149" t="n">
        <v>865212.6936623</v>
      </c>
      <c r="O65" s="1149" t="n">
        <v>455055.54034823</v>
      </c>
      <c r="P65" s="1149" t="n">
        <v>334351.475773481</v>
      </c>
      <c r="Q65" s="1149" t="n">
        <v>794460.564126174</v>
      </c>
      <c r="R65" s="1149" t="n">
        <v>789407.016121711</v>
      </c>
      <c r="S65" s="1149" t="n">
        <v>5053.548004462966</v>
      </c>
      <c r="T65" s="1149" t="n">
        <v>-3479.236260976875</v>
      </c>
      <c r="U65" s="1149" t="n"/>
      <c r="V65" s="1149" t="n">
        <v>7821434.56817164</v>
      </c>
      <c r="W65" s="1149" t="n">
        <v>539108.389612549</v>
      </c>
      <c r="X65" s="1149" t="n">
        <v>435314.562441187</v>
      </c>
      <c r="Y65" s="1149" t="n">
        <v>872188.7566734429</v>
      </c>
      <c r="Z65" s="1149" t="n">
        <v>974422.952053736</v>
      </c>
      <c r="AA65" s="1149" t="n">
        <v>-102234.1953802931</v>
      </c>
      <c r="AB65" s="1149" t="n">
        <v>7443.21179225482</v>
      </c>
      <c r="AE65" s="999">
        <f>W65/Z65</f>
        <v/>
      </c>
      <c r="AF65" s="999">
        <f>X65/Z65</f>
        <v/>
      </c>
      <c r="AG65" s="999" t="n"/>
      <c r="AH65" s="999">
        <f>X65/$Q65</f>
        <v/>
      </c>
      <c r="AI65" s="999">
        <f>D65/$Q65</f>
        <v/>
      </c>
    </row>
    <row r="66">
      <c r="A66" s="541">
        <f>EDATE(A65, 3)</f>
        <v/>
      </c>
      <c r="B66" s="627" t="inlineStr">
        <is>
          <t>Apr-Jun 2016</t>
        </is>
      </c>
      <c r="C66" s="1149" t="n">
        <v>29436204.2503836</v>
      </c>
      <c r="D66" s="1149" t="n">
        <v>323320.646873357</v>
      </c>
      <c r="E66" s="1149" t="n">
        <v>560782.818698941</v>
      </c>
      <c r="F66" s="1149" t="n">
        <v>1051062.114713683</v>
      </c>
      <c r="G66" s="1149" t="n">
        <v>884103.465572298</v>
      </c>
      <c r="H66" s="1149" t="n">
        <v>166958.649141385</v>
      </c>
      <c r="I66" s="1149" t="n">
        <v>153010.3420625888</v>
      </c>
      <c r="J66" s="1149" t="n"/>
      <c r="K66" s="1149" t="n">
        <v>767305.368826197</v>
      </c>
      <c r="L66" s="1150" t="n">
        <v>2.5429888532908</v>
      </c>
      <c r="M66" s="1149" t="n"/>
      <c r="N66" s="1149" t="n">
        <v>889467.516485014</v>
      </c>
      <c r="O66" s="1149" t="n">
        <v>478803.234641661</v>
      </c>
      <c r="P66" s="1149" t="n">
        <v>296757.431771692</v>
      </c>
      <c r="Q66" s="1149" t="n">
        <v>727333.595329514</v>
      </c>
      <c r="R66" s="1149" t="n">
        <v>775560.6664133531</v>
      </c>
      <c r="S66" s="1149" t="n">
        <v>-48227.07108383905</v>
      </c>
      <c r="T66" s="1149" t="n">
        <v>-40029.0045170798</v>
      </c>
      <c r="U66" s="1149" t="n"/>
      <c r="V66" s="1149" t="n">
        <v>7825408.63471451</v>
      </c>
      <c r="W66" s="1149" t="n">
        <v>572258.880072022</v>
      </c>
      <c r="X66" s="1149" t="n">
        <v>404012.948456157</v>
      </c>
      <c r="Y66" s="1149" t="n">
        <v>857540.250470633</v>
      </c>
      <c r="Z66" s="1149" t="n">
        <v>976271.828528179</v>
      </c>
      <c r="AA66" s="1149" t="n">
        <v>-118731.5780575459</v>
      </c>
      <c r="AB66" s="1149" t="n">
        <v>-63090.33754551411</v>
      </c>
      <c r="AE66" s="999">
        <f>W66/Z66</f>
        <v/>
      </c>
      <c r="AF66" s="999">
        <f>X66/Z66</f>
        <v/>
      </c>
      <c r="AG66" s="999" t="n"/>
      <c r="AH66" s="999">
        <f>X66/$Q66</f>
        <v/>
      </c>
      <c r="AI66" s="999">
        <f>D66/$Q66</f>
        <v/>
      </c>
    </row>
    <row r="67">
      <c r="A67" s="541">
        <f>EDATE(A66, 3)</f>
        <v/>
      </c>
      <c r="B67" s="627" t="inlineStr">
        <is>
          <t>Jul-Sep 2016</t>
        </is>
      </c>
      <c r="C67" s="1149" t="n">
        <v>29621786.5891386</v>
      </c>
      <c r="D67" s="1149" t="n">
        <v>331766.976452815</v>
      </c>
      <c r="E67" s="1149" t="n">
        <v>543908.899293931</v>
      </c>
      <c r="F67" s="1149" t="n">
        <v>1015414.488200923</v>
      </c>
      <c r="G67" s="1149" t="n">
        <v>875675.875746746</v>
      </c>
      <c r="H67" s="1149" t="n">
        <v>139738.612454177</v>
      </c>
      <c r="I67" s="1149" t="n">
        <v>37330.87825228646</v>
      </c>
      <c r="J67" s="1149" t="n"/>
      <c r="K67" s="1149" t="n">
        <v>792689.9977321021</v>
      </c>
      <c r="L67" s="1150" t="n">
        <v>2.615016170253818</v>
      </c>
      <c r="M67" s="1149" t="n"/>
      <c r="N67" s="1149" t="n">
        <v>855343.27033652</v>
      </c>
      <c r="O67" s="1149" t="n">
        <v>453724.663120632</v>
      </c>
      <c r="P67" s="1149" t="n">
        <v>315165.095670199</v>
      </c>
      <c r="Q67" s="1149" t="n">
        <v>729813.86891442</v>
      </c>
      <c r="R67" s="1149" t="n">
        <v>768889.7587908311</v>
      </c>
      <c r="S67" s="1149" t="n">
        <v>-39075.88987641106</v>
      </c>
      <c r="T67" s="1149" t="n">
        <v>-24317.58681742754</v>
      </c>
      <c r="U67" s="1149" t="n"/>
      <c r="V67" s="1149" t="n">
        <v>7719391.15262601</v>
      </c>
      <c r="W67" s="1149" t="n">
        <v>561689.825080291</v>
      </c>
      <c r="X67" s="1149" t="n">
        <v>398046.892461605</v>
      </c>
      <c r="Y67" s="1149" t="n">
        <v>859073.99496413</v>
      </c>
      <c r="Z67" s="1149" t="n">
        <v>959736.717541896</v>
      </c>
      <c r="AA67" s="1149" t="n">
        <v>-100662.722577766</v>
      </c>
      <c r="AB67" s="1149" t="n">
        <v>21050.70856514946</v>
      </c>
      <c r="AE67" s="999">
        <f>W67/Z67</f>
        <v/>
      </c>
      <c r="AF67" s="999">
        <f>X67/Z67</f>
        <v/>
      </c>
      <c r="AG67" s="999" t="n"/>
      <c r="AH67" s="999">
        <f>X67/$Q67</f>
        <v/>
      </c>
      <c r="AI67" s="999">
        <f>D67/$Q67</f>
        <v/>
      </c>
    </row>
    <row r="68">
      <c r="A68" s="541">
        <f>EDATE(A67, 3)</f>
        <v/>
      </c>
      <c r="B68" s="627" t="inlineStr">
        <is>
          <t>Oct-Dec 2016</t>
        </is>
      </c>
      <c r="C68" s="1149" t="n">
        <v>29658889.5310154</v>
      </c>
      <c r="D68" s="1149" t="n">
        <v>255096.228890956</v>
      </c>
      <c r="E68" s="1149" t="n">
        <v>629774.096638161</v>
      </c>
      <c r="F68" s="1149" t="n">
        <v>976687.879428828</v>
      </c>
      <c r="G68" s="1149" t="n">
        <v>884870.325529117</v>
      </c>
      <c r="H68" s="1149" t="n">
        <v>91817.553899711</v>
      </c>
      <c r="I68" s="1149" t="n">
        <v>68223.65932960063</v>
      </c>
      <c r="J68" s="1149" t="n"/>
      <c r="K68" s="1149" t="n">
        <v>734155.199235422</v>
      </c>
      <c r="L68" s="1150" t="n">
        <v>2.41769137067516</v>
      </c>
      <c r="M68" s="1149" t="n"/>
      <c r="N68" s="1149" t="n">
        <v>870165.616437389</v>
      </c>
      <c r="O68" s="1149" t="n">
        <v>461132.320988873</v>
      </c>
      <c r="P68" s="1149" t="n">
        <v>272880.185103472</v>
      </c>
      <c r="Q68" s="1149" t="n">
        <v>679198.536209025</v>
      </c>
      <c r="R68" s="1149" t="n">
        <v>734012.506092345</v>
      </c>
      <c r="S68" s="1149" t="n">
        <v>-54813.96988332004</v>
      </c>
      <c r="T68" s="1149" t="n">
        <v>-32886.16466458701</v>
      </c>
      <c r="U68" s="1149" t="n"/>
      <c r="V68" s="1149" t="n">
        <v>7764943.84297286</v>
      </c>
      <c r="W68" s="1149" t="n">
        <v>515555.558439955</v>
      </c>
      <c r="X68" s="1149" t="n">
        <v>424102.307318069</v>
      </c>
      <c r="Y68" s="1149" t="n">
        <v>902654.281741633</v>
      </c>
      <c r="Z68" s="1149" t="n">
        <v>939657.8657580239</v>
      </c>
      <c r="AA68" s="1149" t="n">
        <v>-37003.58401639096</v>
      </c>
      <c r="AB68" s="1149" t="n">
        <v>-9674.494665015489</v>
      </c>
      <c r="AE68" s="999">
        <f>W68/Z68</f>
        <v/>
      </c>
      <c r="AF68" s="999">
        <f>X68/Z68</f>
        <v/>
      </c>
      <c r="AG68" s="999" t="n"/>
      <c r="AH68" s="999">
        <f>X68/$Q68</f>
        <v/>
      </c>
      <c r="AI68" s="999">
        <f>D68/$Q68</f>
        <v/>
      </c>
    </row>
    <row r="69">
      <c r="A69" s="541">
        <f>EDATE(A68, 3)</f>
        <v/>
      </c>
      <c r="B69" s="627" t="inlineStr">
        <is>
          <t>Jan-Mar 2017</t>
        </is>
      </c>
      <c r="C69" s="1149" t="n">
        <v>29739401.9784044</v>
      </c>
      <c r="D69" s="1149" t="n">
        <v>302413.660744549</v>
      </c>
      <c r="E69" s="1149" t="n">
        <v>557128.098224344</v>
      </c>
      <c r="F69" s="1149" t="n">
        <v>1000142.897561628</v>
      </c>
      <c r="G69" s="1149" t="n">
        <v>859541.758968893</v>
      </c>
      <c r="H69" s="1149" t="n">
        <v>140601.138592735</v>
      </c>
      <c r="I69" s="1149" t="n">
        <v>101774.7099275142</v>
      </c>
      <c r="J69" s="1149" t="n"/>
      <c r="K69" s="1149" t="n">
        <v>793290.393587835</v>
      </c>
      <c r="L69" s="1150" t="n">
        <v>2.608862446605495</v>
      </c>
      <c r="M69" s="1149" t="n"/>
      <c r="N69" s="1149" t="n">
        <v>794893.110096749</v>
      </c>
      <c r="O69" s="1149" t="n">
        <v>464941.943126095</v>
      </c>
      <c r="P69" s="1149" t="n">
        <v>302145.53906882</v>
      </c>
      <c r="Q69" s="1149" t="n">
        <v>721206.306841823</v>
      </c>
      <c r="R69" s="1149" t="n">
        <v>767087.4821949149</v>
      </c>
      <c r="S69" s="1149" t="n">
        <v>-45881.17535309191</v>
      </c>
      <c r="T69" s="1149" t="n">
        <v>-54000.46799258282</v>
      </c>
      <c r="U69" s="1149" t="n"/>
      <c r="V69" s="1149" t="n">
        <v>7784254.65069489</v>
      </c>
      <c r="W69" s="1149" t="n">
        <v>535200.954435533</v>
      </c>
      <c r="X69" s="1149" t="n">
        <v>418792.646097274</v>
      </c>
      <c r="Y69" s="1149" t="n">
        <v>859273.6372931639</v>
      </c>
      <c r="Z69" s="1149" t="n">
        <v>953993.6005328069</v>
      </c>
      <c r="AA69" s="1149" t="n">
        <v>-94719.96323964302</v>
      </c>
      <c r="AB69" s="1149" t="n">
        <v>-22982.24193494022</v>
      </c>
      <c r="AE69" s="999">
        <f>W69/Z69</f>
        <v/>
      </c>
      <c r="AF69" s="999">
        <f>X69/Z69</f>
        <v/>
      </c>
      <c r="AG69" s="999" t="n"/>
      <c r="AH69" s="999">
        <f>X69/$Q69</f>
        <v/>
      </c>
      <c r="AI69" s="999">
        <f>D69/$Q69</f>
        <v/>
      </c>
    </row>
    <row r="70">
      <c r="A70" s="541">
        <f>EDATE(A69, 3)</f>
        <v/>
      </c>
      <c r="B70" s="627" t="inlineStr">
        <is>
          <t>Apr-Jun 2017</t>
        </is>
      </c>
      <c r="C70" s="1149" t="n">
        <v>29882450.1154446</v>
      </c>
      <c r="D70" s="1149" t="n">
        <v>270598.435280269</v>
      </c>
      <c r="E70" s="1149" t="n">
        <v>535073.991711733</v>
      </c>
      <c r="F70" s="1149" t="n">
        <v>985512.9311009659</v>
      </c>
      <c r="G70" s="1149" t="n">
        <v>805672.4269920021</v>
      </c>
      <c r="H70" s="1149" t="n">
        <v>179840.5041089639</v>
      </c>
      <c r="I70" s="1149" t="n">
        <v>157448.4835061878</v>
      </c>
      <c r="J70" s="1149" t="n"/>
      <c r="K70" s="1149" t="n">
        <v>777319.70033426</v>
      </c>
      <c r="L70" s="1150" t="n">
        <v>2.544072033558635</v>
      </c>
      <c r="M70" s="1149" t="n"/>
      <c r="N70" s="1149" t="n">
        <v>796062.812709677</v>
      </c>
      <c r="O70" s="1149" t="n">
        <v>432855.078445551</v>
      </c>
      <c r="P70" s="1149" t="n">
        <v>293954.513082934</v>
      </c>
      <c r="Q70" s="1149" t="n">
        <v>658394.267385103</v>
      </c>
      <c r="R70" s="1149" t="n">
        <v>726809.5915284851</v>
      </c>
      <c r="S70" s="1149" t="n">
        <v>-68415.32414338202</v>
      </c>
      <c r="T70" s="1149" t="n">
        <v>-48018.41456614155</v>
      </c>
      <c r="U70" s="1149" t="n"/>
      <c r="V70" s="1149" t="n">
        <v>7727400.90240512</v>
      </c>
      <c r="W70" s="1149" t="n">
        <v>552657.852655415</v>
      </c>
      <c r="X70" s="1149" t="n">
        <v>387795.832104834</v>
      </c>
      <c r="Y70" s="1149" t="n">
        <v>829028.504794667</v>
      </c>
      <c r="Z70" s="1149" t="n">
        <v>940453.684760249</v>
      </c>
      <c r="AA70" s="1149" t="n">
        <v>-111425.179965582</v>
      </c>
      <c r="AB70" s="1149" t="n">
        <v>-83599.06894003786</v>
      </c>
      <c r="AE70" s="999">
        <f>W70/Z70</f>
        <v/>
      </c>
      <c r="AF70" s="999">
        <f>X70/Z70</f>
        <v/>
      </c>
      <c r="AG70" s="999" t="n"/>
      <c r="AH70" s="999">
        <f>X70/$Q70</f>
        <v/>
      </c>
      <c r="AI70" s="999">
        <f>D70/$Q70</f>
        <v/>
      </c>
    </row>
    <row r="71">
      <c r="A71" s="541">
        <f>EDATE(A70, 3)</f>
        <v/>
      </c>
      <c r="B71" s="627" t="inlineStr">
        <is>
          <t>Jul-Sep 2017</t>
        </is>
      </c>
      <c r="C71" s="1149" t="n">
        <v>29945001.6406376</v>
      </c>
      <c r="D71" s="1149" t="n">
        <v>307460.950960861</v>
      </c>
      <c r="E71" s="1149" t="n">
        <v>560898.574124946</v>
      </c>
      <c r="F71" s="1149" t="n">
        <v>938992.5958239101</v>
      </c>
      <c r="G71" s="1149" t="n">
        <v>868359.5250858071</v>
      </c>
      <c r="H71" s="1149" t="n">
        <v>70633.07073810301</v>
      </c>
      <c r="I71" s="1149" t="n">
        <v>-21600.50883865729</v>
      </c>
      <c r="J71" s="1149" t="n"/>
      <c r="K71" s="1149" t="n">
        <v>775404.853154936</v>
      </c>
      <c r="L71" s="1150" t="n">
        <v>2.532212840416546</v>
      </c>
      <c r="M71" s="1149" t="n"/>
      <c r="N71" s="1149" t="n">
        <v>745964.599510882</v>
      </c>
      <c r="O71" s="1149" t="n">
        <v>409103.035471377</v>
      </c>
      <c r="P71" s="1149" t="n">
        <v>310826.726759171</v>
      </c>
      <c r="Q71" s="1149" t="n">
        <v>661192.129316072</v>
      </c>
      <c r="R71" s="1149" t="n">
        <v>719929.7622305481</v>
      </c>
      <c r="S71" s="1149" t="n">
        <v>-58737.6329144761</v>
      </c>
      <c r="T71" s="1149" t="n">
        <v>-58783.2767698497</v>
      </c>
      <c r="U71" s="1149" t="n"/>
      <c r="V71" s="1149" t="n">
        <v>7734277.62075333</v>
      </c>
      <c r="W71" s="1149" t="n">
        <v>529889.560352533</v>
      </c>
      <c r="X71" s="1149" t="n">
        <v>353731.178355211</v>
      </c>
      <c r="Y71" s="1149" t="n">
        <v>871725.300884117</v>
      </c>
      <c r="Z71" s="1149" t="n">
        <v>883620.7387077441</v>
      </c>
      <c r="AA71" s="1149" t="n">
        <v>-11895.43782362703</v>
      </c>
      <c r="AB71" s="1149" t="n">
        <v>105043.7856085021</v>
      </c>
      <c r="AE71" s="999">
        <f>W71/Z71</f>
        <v/>
      </c>
      <c r="AF71" s="999">
        <f>X71/Z71</f>
        <v/>
      </c>
      <c r="AG71" s="999" t="n"/>
      <c r="AH71" s="999">
        <f>X71/$Q71</f>
        <v/>
      </c>
      <c r="AI71" s="999">
        <f>D71/$Q71</f>
        <v/>
      </c>
    </row>
    <row r="72">
      <c r="A72" s="541">
        <f>EDATE(A71, 3)</f>
        <v/>
      </c>
      <c r="B72" s="627" t="inlineStr">
        <is>
          <t>Oct-Dec 2017</t>
        </is>
      </c>
      <c r="C72" s="1149" t="n">
        <v>30017503.4939639</v>
      </c>
      <c r="D72" s="1149" t="n">
        <v>299943.151168801</v>
      </c>
      <c r="E72" s="1149" t="n">
        <v>522065.411701186</v>
      </c>
      <c r="F72" s="1149" t="n">
        <v>956987.134392051</v>
      </c>
      <c r="G72" s="1149" t="n">
        <v>822008.562869987</v>
      </c>
      <c r="H72" s="1149" t="n">
        <v>134978.571522064</v>
      </c>
      <c r="I72" s="1149" t="n">
        <v>86919.46566461399</v>
      </c>
      <c r="J72" s="1149" t="n"/>
      <c r="K72" s="1149" t="n">
        <v>787843.943296146</v>
      </c>
      <c r="L72" s="1150" t="n">
        <v>2.566449583767445</v>
      </c>
      <c r="M72" s="1149" t="n"/>
      <c r="N72" s="1149" t="n">
        <v>757109.502663582</v>
      </c>
      <c r="O72" s="1149" t="n">
        <v>377491.612977125</v>
      </c>
      <c r="P72" s="1149" t="n">
        <v>281275.361463165</v>
      </c>
      <c r="Q72" s="1149" t="n">
        <v>666632.449767697</v>
      </c>
      <c r="R72" s="1149" t="n">
        <v>658766.97444029</v>
      </c>
      <c r="S72" s="1149" t="n">
        <v>7865.47532740701</v>
      </c>
      <c r="T72" s="1149" t="n">
        <v>34724.92126437486</v>
      </c>
      <c r="U72" s="1149" t="n"/>
      <c r="V72" s="1149" t="n">
        <v>7745455.77267921</v>
      </c>
      <c r="W72" s="1149" t="n">
        <v>579495.521414926</v>
      </c>
      <c r="X72" s="1149" t="n">
        <v>366689.298598896</v>
      </c>
      <c r="Y72" s="1149" t="n">
        <v>803340.773164351</v>
      </c>
      <c r="Z72" s="1149" t="n">
        <v>946184.8200138221</v>
      </c>
      <c r="AA72" s="1149" t="n">
        <v>-142844.0468494711</v>
      </c>
      <c r="AB72" s="1149" t="n">
        <v>-98283.38692898303</v>
      </c>
      <c r="AE72" s="999">
        <f>W72/Z72</f>
        <v/>
      </c>
      <c r="AF72" s="999">
        <f>X72/Z72</f>
        <v/>
      </c>
      <c r="AG72" s="999" t="n"/>
      <c r="AH72" s="999">
        <f>X72/$Q72</f>
        <v/>
      </c>
      <c r="AI72" s="999">
        <f>D72/$Q72</f>
        <v/>
      </c>
    </row>
    <row r="73">
      <c r="A73" s="541">
        <f>EDATE(A72, 3)</f>
        <v/>
      </c>
      <c r="B73" s="627" t="inlineStr">
        <is>
          <t>Jan-Mar 2018</t>
        </is>
      </c>
      <c r="C73" s="1149" t="n">
        <v>30149117.3531803</v>
      </c>
      <c r="D73" s="1149" t="n">
        <v>271155.606972949</v>
      </c>
      <c r="E73" s="1149" t="n">
        <v>471203.867703347</v>
      </c>
      <c r="F73" s="1149" t="n">
        <v>971714.721568635</v>
      </c>
      <c r="G73" s="1149" t="n">
        <v>742359.474676296</v>
      </c>
      <c r="H73" s="1149" t="n">
        <v>229355.246892339</v>
      </c>
      <c r="I73" s="1149" t="n">
        <v>176251.5814173631</v>
      </c>
      <c r="J73" s="1149" t="n"/>
      <c r="K73" s="1149" t="n">
        <v>714367.976734077</v>
      </c>
      <c r="L73" s="1150" t="n">
        <v>2.317342779928668</v>
      </c>
      <c r="M73" s="1149" t="n"/>
      <c r="N73" s="1149" t="n">
        <v>738110.458487786</v>
      </c>
      <c r="O73" s="1149" t="n">
        <v>391130.030850139</v>
      </c>
      <c r="P73" s="1149" t="n">
        <v>295747.218648923</v>
      </c>
      <c r="Q73" s="1149" t="n">
        <v>661077.3404564171</v>
      </c>
      <c r="R73" s="1149" t="n">
        <v>686877.249499062</v>
      </c>
      <c r="S73" s="1149" t="n">
        <v>-25799.9090426449</v>
      </c>
      <c r="T73" s="1149" t="n">
        <v>-46941.35295309126</v>
      </c>
      <c r="U73" s="1149" t="n"/>
      <c r="V73" s="1149" t="n">
        <v>7602170.57781902</v>
      </c>
      <c r="W73" s="1149" t="n">
        <v>580584.690718496</v>
      </c>
      <c r="X73" s="1149" t="n">
        <v>389921.733483468</v>
      </c>
      <c r="Y73" s="1149" t="n">
        <v>766951.08635227</v>
      </c>
      <c r="Z73" s="1149" t="n">
        <v>970506.4242019639</v>
      </c>
      <c r="AA73" s="1149" t="n">
        <v>-203555.337849694</v>
      </c>
      <c r="AB73" s="1149" t="n">
        <v>-106344.2284642793</v>
      </c>
      <c r="AE73" s="999">
        <f>W73/Z73</f>
        <v/>
      </c>
      <c r="AF73" s="999">
        <f>X73/Z73</f>
        <v/>
      </c>
      <c r="AG73" s="999" t="n"/>
      <c r="AH73" s="999">
        <f>X73/$Q73</f>
        <v/>
      </c>
      <c r="AI73" s="999">
        <f>D73/$Q73</f>
        <v/>
      </c>
    </row>
    <row r="74">
      <c r="A74" s="541">
        <f>EDATE(A73, 3)</f>
        <v/>
      </c>
      <c r="B74" s="627" t="inlineStr">
        <is>
          <t>Apr-Jun 2018</t>
        </is>
      </c>
      <c r="C74" s="1149" t="n">
        <v>30224337.8474954</v>
      </c>
      <c r="D74" s="1149" t="n">
        <v>252420.811950612</v>
      </c>
      <c r="E74" s="1149" t="n">
        <v>579101.146341178</v>
      </c>
      <c r="F74" s="1149" t="n">
        <v>914328.8270560739</v>
      </c>
      <c r="G74" s="1149" t="n">
        <v>831521.95829179</v>
      </c>
      <c r="H74" s="1149" t="n">
        <v>82806.86876428395</v>
      </c>
      <c r="I74" s="1149" t="n">
        <v>12834.87244017422</v>
      </c>
      <c r="J74" s="1149" t="n"/>
      <c r="K74" s="1149" t="n">
        <v>781605.049135605</v>
      </c>
      <c r="L74" s="1150" t="n">
        <v>2.527255793078597</v>
      </c>
      <c r="M74" s="1149" t="n"/>
      <c r="N74" s="1149" t="n">
        <v>744448.695862415</v>
      </c>
      <c r="O74" s="1149" t="n">
        <v>374808.867594669</v>
      </c>
      <c r="P74" s="1149" t="n">
        <v>282402.353887409</v>
      </c>
      <c r="Q74" s="1149" t="n">
        <v>581093.747163452</v>
      </c>
      <c r="R74" s="1149" t="n">
        <v>657211.221482078</v>
      </c>
      <c r="S74" s="1149" t="n">
        <v>-76117.47431862599</v>
      </c>
      <c r="T74" s="1149" t="n">
        <v>-49157.03001953848</v>
      </c>
      <c r="U74" s="1149" t="n"/>
      <c r="V74" s="1149" t="n">
        <v>7625575.02234919</v>
      </c>
      <c r="W74" s="1149" t="n">
        <v>539519.9594614049</v>
      </c>
      <c r="X74" s="1149" t="n">
        <v>328672.93521284</v>
      </c>
      <c r="Y74" s="1149" t="n">
        <v>861503.500228587</v>
      </c>
      <c r="Z74" s="1149" t="n">
        <v>868192.8946742449</v>
      </c>
      <c r="AA74" s="1149" t="n">
        <v>-6689.394445657963</v>
      </c>
      <c r="AB74" s="1149" t="n">
        <v>60007.15757936426</v>
      </c>
      <c r="AE74" s="999">
        <f>W74/Z74</f>
        <v/>
      </c>
      <c r="AF74" s="999">
        <f>X74/Z74</f>
        <v/>
      </c>
      <c r="AG74" s="999" t="n"/>
      <c r="AH74" s="999">
        <f>X74/$Q74</f>
        <v/>
      </c>
      <c r="AI74" s="999">
        <f>D74/$Q74</f>
        <v/>
      </c>
    </row>
    <row r="75">
      <c r="A75" s="541">
        <f>EDATE(A74, 3)</f>
        <v/>
      </c>
      <c r="B75" s="627" t="inlineStr">
        <is>
          <t>Jul-Sep 2018</t>
        </is>
      </c>
      <c r="C75" s="1149" t="n">
        <v>30203783.4043941</v>
      </c>
      <c r="D75" s="1149" t="n">
        <v>285671.392592517</v>
      </c>
      <c r="E75" s="1149" t="n">
        <v>578861.391293982</v>
      </c>
      <c r="F75" s="1149" t="n">
        <v>958930.5815373301</v>
      </c>
      <c r="G75" s="1149" t="n">
        <v>864532.783886499</v>
      </c>
      <c r="H75" s="1149" t="n">
        <v>94397.79765083105</v>
      </c>
      <c r="I75" s="1149" t="n">
        <v>17381.8142053932</v>
      </c>
      <c r="J75" s="1149" t="n"/>
      <c r="K75" s="1149" t="n">
        <v>819185.529506144</v>
      </c>
      <c r="L75" s="1150" t="n">
        <v>2.649968470861662</v>
      </c>
      <c r="M75" s="1149" t="n"/>
      <c r="N75" s="1149" t="n">
        <v>693295.702586644</v>
      </c>
      <c r="O75" s="1149" t="n">
        <v>375405.850459421</v>
      </c>
      <c r="P75" s="1149" t="n">
        <v>273630.712112342</v>
      </c>
      <c r="Q75" s="1149" t="n">
        <v>664231.414240736</v>
      </c>
      <c r="R75" s="1149" t="n">
        <v>649036.5625717631</v>
      </c>
      <c r="S75" s="1149" t="n">
        <v>15194.85166897299</v>
      </c>
      <c r="T75" s="1149" t="n">
        <v>16236.46004819078</v>
      </c>
      <c r="U75" s="1149" t="n"/>
      <c r="V75" s="1149" t="n">
        <v>7665268.3526837</v>
      </c>
      <c r="W75" s="1149" t="n">
        <v>583524.731077909</v>
      </c>
      <c r="X75" s="1149" t="n">
        <v>378560.021648219</v>
      </c>
      <c r="Y75" s="1149" t="n">
        <v>852492.1034063241</v>
      </c>
      <c r="Z75" s="1149" t="n">
        <v>962084.752726128</v>
      </c>
      <c r="AA75" s="1149" t="n">
        <v>-109592.6493198039</v>
      </c>
      <c r="AB75" s="1149" t="n">
        <v>-12731.27425357886</v>
      </c>
      <c r="AE75" s="999">
        <f>W75/Z75</f>
        <v/>
      </c>
      <c r="AF75" s="999">
        <f>X75/Z75</f>
        <v/>
      </c>
      <c r="AG75" s="999" t="n"/>
      <c r="AH75" s="999">
        <f>X75/$Q75</f>
        <v/>
      </c>
      <c r="AI75" s="999">
        <f>D75/$Q75</f>
        <v/>
      </c>
    </row>
    <row r="76">
      <c r="A76" s="541">
        <f>EDATE(A75, 3)</f>
        <v/>
      </c>
      <c r="B76" s="627" t="inlineStr">
        <is>
          <t>Oct-Dec 2018</t>
        </is>
      </c>
      <c r="C76" s="1149" t="n">
        <v>30274434.6192009</v>
      </c>
      <c r="D76" s="1149" t="n">
        <v>265561.257928874</v>
      </c>
      <c r="E76" s="1149" t="n">
        <v>577190.4406505889</v>
      </c>
      <c r="F76" s="1149" t="n">
        <v>1013405.07881576</v>
      </c>
      <c r="G76" s="1149" t="n">
        <v>842751.6985794629</v>
      </c>
      <c r="H76" s="1149" t="n">
        <v>170653.380236297</v>
      </c>
      <c r="I76" s="1149" t="n">
        <v>130792.4329496063</v>
      </c>
      <c r="J76" s="1149" t="n"/>
      <c r="K76" s="1149" t="n">
        <v>737214.479048414</v>
      </c>
      <c r="L76" s="1150" t="n">
        <v>2.379390389362361</v>
      </c>
      <c r="M76" s="1149" t="n"/>
      <c r="N76" s="1149" t="n">
        <v>691187.8393814639</v>
      </c>
      <c r="O76" s="1149" t="n">
        <v>387792.753831779</v>
      </c>
      <c r="P76" s="1149" t="n">
        <v>284918.636270227</v>
      </c>
      <c r="Q76" s="1149" t="n">
        <v>631316.4072206139</v>
      </c>
      <c r="R76" s="1149" t="n">
        <v>672711.390102006</v>
      </c>
      <c r="S76" s="1149" t="n">
        <v>-41394.98288139212</v>
      </c>
      <c r="T76" s="1149" t="n">
        <v>-17093.79819863429</v>
      </c>
      <c r="U76" s="1149" t="n"/>
      <c r="V76" s="1149" t="n">
        <v>7582532.30948379</v>
      </c>
      <c r="W76" s="1149" t="n">
        <v>625612.324983981</v>
      </c>
      <c r="X76" s="1149" t="n">
        <v>365755.14929174</v>
      </c>
      <c r="Y76" s="1149" t="n">
        <v>862109.076920816</v>
      </c>
      <c r="Z76" s="1149" t="n">
        <v>991367.474275721</v>
      </c>
      <c r="AA76" s="1149" t="n">
        <v>-129258.397354905</v>
      </c>
      <c r="AB76" s="1149" t="n">
        <v>-93803.63475097902</v>
      </c>
      <c r="AE76" s="999">
        <f>W76/Z76</f>
        <v/>
      </c>
      <c r="AF76" s="999">
        <f>X76/Z76</f>
        <v/>
      </c>
      <c r="AG76" s="999" t="n"/>
      <c r="AH76" s="999">
        <f>X76/$Q76</f>
        <v/>
      </c>
      <c r="AI76" s="999">
        <f>D76/$Q76</f>
        <v/>
      </c>
    </row>
    <row r="77" ht="14.5" customHeight="1" s="828">
      <c r="A77" s="541">
        <f>EDATE(A76, 3)</f>
        <v/>
      </c>
      <c r="B77" s="637" t="inlineStr">
        <is>
          <t>Jan-Mar 20193</t>
        </is>
      </c>
      <c r="C77" s="1155" t="n">
        <v>30429611.0194912</v>
      </c>
      <c r="D77" s="1155" t="n">
        <v>262454.745826742</v>
      </c>
      <c r="E77" s="1155" t="n">
        <v>565789.9119039</v>
      </c>
      <c r="F77" s="1155" t="n">
        <v>1066170.41832344</v>
      </c>
      <c r="G77" s="1155" t="n">
        <v>828244.657730642</v>
      </c>
      <c r="H77" s="1155" t="n">
        <v>237925.760592798</v>
      </c>
      <c r="I77" s="1155" t="n">
        <v>205783.2884176224</v>
      </c>
      <c r="J77" s="1155" t="n"/>
      <c r="K77" s="1155" t="n">
        <v>800703.343989814</v>
      </c>
      <c r="L77" s="1156" t="n">
        <v>2.568105284422622</v>
      </c>
      <c r="M77" s="1155" t="n"/>
      <c r="N77" s="1155" t="n">
        <v>674364.706655964</v>
      </c>
      <c r="O77" s="1155" t="n">
        <v>406571.942887105</v>
      </c>
      <c r="P77" s="1155" t="n">
        <v>231776.499077402</v>
      </c>
      <c r="Q77" s="1155" t="n">
        <v>609889.530837544</v>
      </c>
      <c r="R77" s="1155" t="n">
        <v>638348.441964507</v>
      </c>
      <c r="S77" s="1155" t="n">
        <v>-28458.91112696298</v>
      </c>
      <c r="T77" s="1155" t="n">
        <v>-57878.05721825268</v>
      </c>
      <c r="U77" s="1155" t="n"/>
      <c r="V77" s="1155" t="n">
        <v>7661426.70042665</v>
      </c>
      <c r="W77" s="1155" t="n">
        <v>659598.475436335</v>
      </c>
      <c r="X77" s="1155" t="n">
        <v>347434.785010802</v>
      </c>
      <c r="Y77" s="1155" t="n">
        <v>797566.4109813019</v>
      </c>
      <c r="Z77" s="1155" t="n">
        <v>1007033.260447137</v>
      </c>
      <c r="AA77" s="1155" t="n">
        <v>-209466.849465835</v>
      </c>
      <c r="AB77" s="1155" t="n">
        <v>88693.76880063303</v>
      </c>
      <c r="AE77" s="999">
        <f>W77/Z77</f>
        <v/>
      </c>
      <c r="AF77" s="999">
        <f>X77/Z77</f>
        <v/>
      </c>
      <c r="AG77" s="999" t="n"/>
      <c r="AH77" s="999">
        <f>X77/$Q77</f>
        <v/>
      </c>
      <c r="AI77" s="999">
        <f>D77/$Q77</f>
        <v/>
      </c>
    </row>
    <row r="78">
      <c r="A78" s="541">
        <f>EDATE(A77, 3)</f>
        <v/>
      </c>
      <c r="B78" s="627" t="inlineStr">
        <is>
          <t>Apr-Jun 2019</t>
        </is>
      </c>
      <c r="C78" s="1149" t="n">
        <v>30602553.6536775</v>
      </c>
      <c r="D78" s="1149" t="n">
        <v>293809.338355687</v>
      </c>
      <c r="E78" s="1149" t="n">
        <v>535018.985711403</v>
      </c>
      <c r="F78" s="1149" t="n">
        <v>962520.186117626</v>
      </c>
      <c r="G78" s="1149" t="n">
        <v>828828.3240670899</v>
      </c>
      <c r="H78" s="1149" t="n">
        <v>133691.8620505361</v>
      </c>
      <c r="I78" s="1149" t="n">
        <v>106804.1510969102</v>
      </c>
      <c r="J78" s="1149" t="n"/>
      <c r="K78" s="1149" t="n">
        <v>771782.922872562</v>
      </c>
      <c r="L78" s="1150" t="n">
        <v>2.461399089720359</v>
      </c>
      <c r="M78" s="1149" t="n"/>
      <c r="N78" s="1149" t="n">
        <v>640691.85943067</v>
      </c>
      <c r="O78" s="1149" t="n">
        <v>403629.011418177</v>
      </c>
      <c r="P78" s="1149" t="n">
        <v>269896.486908255</v>
      </c>
      <c r="Q78" s="1149" t="n">
        <v>669440.359831464</v>
      </c>
      <c r="R78" s="1149" t="n">
        <v>673525.498326432</v>
      </c>
      <c r="S78" s="1149" t="n">
        <v>-4085.138494967949</v>
      </c>
      <c r="T78" s="1149" t="n">
        <v>27277.01210964005</v>
      </c>
      <c r="U78" s="1149" t="n"/>
      <c r="V78" s="1149" t="n">
        <v>7623536.48727285</v>
      </c>
      <c r="W78" s="1149" t="n">
        <v>558891.174699449</v>
      </c>
      <c r="X78" s="1149" t="n">
        <v>375631.021475777</v>
      </c>
      <c r="Y78" s="1149" t="n">
        <v>804915.472619658</v>
      </c>
      <c r="Z78" s="1149" t="n">
        <v>934522.196175226</v>
      </c>
      <c r="AA78" s="1149" t="n">
        <v>-129606.723555568</v>
      </c>
      <c r="AB78" s="1149" t="n">
        <v>-100585.1632065494</v>
      </c>
      <c r="AE78" s="999">
        <f>W78/Z78</f>
        <v/>
      </c>
      <c r="AF78" s="999">
        <f>X78/Z78</f>
        <v/>
      </c>
      <c r="AG78" s="999" t="n"/>
      <c r="AH78" s="999">
        <f>X78/$Q78</f>
        <v/>
      </c>
      <c r="AI78" s="999">
        <f>D78/$Q78</f>
        <v/>
      </c>
    </row>
    <row r="79">
      <c r="A79" s="541">
        <f>EDATE(A78, 3)</f>
        <v/>
      </c>
      <c r="B79" s="627" t="inlineStr">
        <is>
          <t>Jul-Sep 2019</t>
        </is>
      </c>
      <c r="C79" s="1149" t="n">
        <v>30627185.4107192</v>
      </c>
      <c r="D79" s="1149" t="n">
        <v>278907.792953415</v>
      </c>
      <c r="E79" s="1149" t="n">
        <v>577696.806386102</v>
      </c>
      <c r="F79" s="1149" t="n">
        <v>985890.889281532</v>
      </c>
      <c r="G79" s="1149" t="n">
        <v>856604.5993395171</v>
      </c>
      <c r="H79" s="1149" t="n">
        <v>129286.289942015</v>
      </c>
      <c r="I79" s="1149" t="n">
        <v>-22404.2300933525</v>
      </c>
      <c r="J79" s="1149" t="n"/>
      <c r="K79" s="1149" t="n">
        <v>706630.616333953</v>
      </c>
      <c r="L79" s="1150" t="n">
        <v>2.251488442152344</v>
      </c>
      <c r="M79" s="1149" t="n"/>
      <c r="N79" s="1149" t="n">
        <v>639834.913643222</v>
      </c>
      <c r="O79" s="1149" t="n">
        <v>416415.165622844</v>
      </c>
      <c r="P79" s="1149" t="n">
        <v>260317.678491355</v>
      </c>
      <c r="Q79" s="1149" t="n">
        <v>642845.706930083</v>
      </c>
      <c r="R79" s="1149" t="n">
        <v>676732.844114199</v>
      </c>
      <c r="S79" s="1149" t="n">
        <v>-33887.13718411606</v>
      </c>
      <c r="T79" s="1149" t="n">
        <v>-4972.065229686443</v>
      </c>
      <c r="U79" s="1149" t="n"/>
      <c r="V79" s="1149" t="n">
        <v>7588130.73539121</v>
      </c>
      <c r="W79" s="1149" t="n">
        <v>569475.723658688</v>
      </c>
      <c r="X79" s="1149" t="n">
        <v>363937.913976668</v>
      </c>
      <c r="Y79" s="1149" t="n">
        <v>838014.484877457</v>
      </c>
      <c r="Z79" s="1149" t="n">
        <v>933413.637635356</v>
      </c>
      <c r="AA79" s="1149" t="n">
        <v>-95399.15275789902</v>
      </c>
      <c r="AB79" s="1149" t="n">
        <v>45968.2953230422</v>
      </c>
      <c r="AE79" s="999">
        <f>W79/Z79</f>
        <v/>
      </c>
      <c r="AF79" s="999">
        <f>X79/Z79</f>
        <v/>
      </c>
      <c r="AG79" s="999" t="n"/>
      <c r="AH79" s="999">
        <f>X79/$Q79</f>
        <v/>
      </c>
      <c r="AI79" s="999">
        <f>D79/$Q79</f>
        <v/>
      </c>
    </row>
    <row r="80">
      <c r="A80" s="541">
        <f>EDATE(A79, 3)</f>
        <v/>
      </c>
      <c r="B80" s="599" t="inlineStr">
        <is>
          <t>Oct-Dec 2019</t>
        </is>
      </c>
      <c r="C80" s="1149" t="n">
        <v>30632009.9980335</v>
      </c>
      <c r="D80" s="1149" t="n">
        <v>299646.906267684</v>
      </c>
      <c r="E80" s="1149" t="n">
        <v>523847.171241876</v>
      </c>
      <c r="F80" s="1149" t="n">
        <v>1013060.23806666</v>
      </c>
      <c r="G80" s="1149" t="n">
        <v>823494.07750956</v>
      </c>
      <c r="H80" s="1149" t="n">
        <v>189566.1605571</v>
      </c>
      <c r="I80" s="1149" t="n">
        <v>162846.8681448288</v>
      </c>
      <c r="J80" s="1149" t="n"/>
      <c r="K80" s="1149" t="n">
        <v>789878.987856628</v>
      </c>
      <c r="L80" s="1150" t="n">
        <v>2.509178865364967</v>
      </c>
      <c r="M80" s="1149" t="n"/>
      <c r="N80" s="1149" t="n">
        <v>579870.814648025</v>
      </c>
      <c r="O80" s="1149" t="n">
        <v>426652.002277545</v>
      </c>
      <c r="P80" s="1149" t="n">
        <v>272460.681556812</v>
      </c>
      <c r="Q80" s="1149" t="n">
        <v>660620.692942534</v>
      </c>
      <c r="R80" s="1149" t="n">
        <v>699112.683834357</v>
      </c>
      <c r="S80" s="1149" t="n">
        <v>-38491.99089182296</v>
      </c>
      <c r="T80" s="1149" t="n">
        <v>-57274.37312534498</v>
      </c>
      <c r="U80" s="1149" t="n"/>
      <c r="V80" s="1149" t="n">
        <v>7568221.82782842</v>
      </c>
      <c r="W80" s="1149" t="n">
        <v>586408.235789115</v>
      </c>
      <c r="X80" s="1149" t="n">
        <v>360973.78667485</v>
      </c>
      <c r="Y80" s="1149" t="n">
        <v>796307.852798688</v>
      </c>
      <c r="Z80" s="1149" t="n">
        <v>947382.022463965</v>
      </c>
      <c r="AA80" s="1149" t="n">
        <v>-151074.169665277</v>
      </c>
      <c r="AB80" s="1149" t="n">
        <v>-94052.49501948431</v>
      </c>
      <c r="AE80" s="999">
        <f>W80/Z80</f>
        <v/>
      </c>
      <c r="AF80" s="999">
        <f>X80/Z80</f>
        <v/>
      </c>
      <c r="AG80" s="999" t="n"/>
      <c r="AH80" s="999">
        <f>X80/$Q80</f>
        <v/>
      </c>
      <c r="AI80" s="999">
        <f>D80/$Q80</f>
        <v/>
      </c>
    </row>
    <row r="81">
      <c r="A81" s="541">
        <f>EDATE(A80, 3)</f>
        <v/>
      </c>
      <c r="B81" s="631" t="inlineStr">
        <is>
          <t>Jan-Mar 2020</t>
        </is>
      </c>
      <c r="C81" s="1149" t="n">
        <v>30660264.571912</v>
      </c>
      <c r="D81" s="1149" t="n">
        <v>348009.018779963</v>
      </c>
      <c r="E81" s="1149" t="n">
        <v>708780.9397638571</v>
      </c>
      <c r="F81" s="1149" t="n">
        <v>937796.1140602599</v>
      </c>
      <c r="G81" s="1149" t="n">
        <v>1056789.95854382</v>
      </c>
      <c r="H81" s="1149" t="n">
        <v>-118993.8444835602</v>
      </c>
      <c r="I81" s="1149" t="n">
        <v>-180445.6950007528</v>
      </c>
      <c r="J81" s="1149" t="n"/>
      <c r="K81" s="1149" t="n">
        <v>695093.024394465</v>
      </c>
      <c r="L81" s="1150" t="n">
        <v>2.211753093364222</v>
      </c>
      <c r="M81" s="1149" t="n"/>
      <c r="N81" s="1149" t="n">
        <v>621132.5985891049</v>
      </c>
      <c r="O81" s="1149" t="n">
        <v>398287.706986736</v>
      </c>
      <c r="P81" s="1149" t="n">
        <v>215114.220362763</v>
      </c>
      <c r="Q81" s="1149" t="n">
        <v>759642.05334132</v>
      </c>
      <c r="R81" s="1149" t="n">
        <v>613401.927349499</v>
      </c>
      <c r="S81" s="1149" t="n">
        <v>146240.1259918211</v>
      </c>
      <c r="T81" s="1149" t="n">
        <v>130662.4139473394</v>
      </c>
      <c r="U81" s="1149" t="n"/>
      <c r="V81" s="1149" t="n">
        <v>7350087.47726975</v>
      </c>
      <c r="W81" s="1149" t="n">
        <v>539508.407073524</v>
      </c>
      <c r="X81" s="1149" t="n">
        <v>411633.034561357</v>
      </c>
      <c r="Y81" s="1149" t="n">
        <v>923895.1601266201</v>
      </c>
      <c r="Z81" s="1149" t="n">
        <v>951141.441634881</v>
      </c>
      <c r="AA81" s="1149" t="n">
        <v>-27246.28150826087</v>
      </c>
      <c r="AB81" s="1149" t="n">
        <v>61495.28105341084</v>
      </c>
      <c r="AE81" s="999">
        <f>W81/Z81</f>
        <v/>
      </c>
      <c r="AF81" s="999">
        <f>X81/Z81</f>
        <v/>
      </c>
      <c r="AG81" s="999" t="n"/>
      <c r="AH81" s="999">
        <f>X81/$Q81</f>
        <v/>
      </c>
      <c r="AI81" s="999">
        <f>D81/$Q81</f>
        <v/>
      </c>
    </row>
    <row r="82">
      <c r="A82" s="541">
        <f>EDATE(A81, 3)</f>
        <v/>
      </c>
      <c r="B82" s="631" t="inlineStr">
        <is>
          <t>Apr-Jun 2020</t>
        </is>
      </c>
      <c r="C82" s="1149" t="n">
        <v>30490846.9054922</v>
      </c>
      <c r="D82" s="1149" t="n">
        <v>392692.048837881</v>
      </c>
      <c r="E82" s="1149" t="n">
        <v>710592.538192753</v>
      </c>
      <c r="F82" s="1149" t="n">
        <v>899444.2820702191</v>
      </c>
      <c r="G82" s="1149" t="n">
        <v>1103284.587030634</v>
      </c>
      <c r="H82" s="1149" t="n">
        <v>-203840.304960415</v>
      </c>
      <c r="I82" s="1149" t="n">
        <v>-195988.5532083921</v>
      </c>
      <c r="J82" s="1149" t="n"/>
      <c r="K82" s="1149" t="n">
        <v>618632.6040127371</v>
      </c>
      <c r="L82" s="1150" t="n">
        <v>1.981059224625216</v>
      </c>
      <c r="M82" s="1149" t="n"/>
      <c r="N82" s="1149" t="n">
        <v>582938.2324864829</v>
      </c>
      <c r="O82" s="1149" t="n">
        <v>350965.532025338</v>
      </c>
      <c r="P82" s="1149" t="n">
        <v>469508.143822158</v>
      </c>
      <c r="Q82" s="1149" t="n">
        <v>788470.0366454939</v>
      </c>
      <c r="R82" s="1149" t="n">
        <v>820473.6758474959</v>
      </c>
      <c r="S82" s="1149" t="n">
        <v>-32003.63920200197</v>
      </c>
      <c r="T82" s="1149" t="n">
        <v>-14162.99848363711</v>
      </c>
      <c r="U82" s="1149" t="n"/>
      <c r="V82" s="1149" t="n">
        <v>7373118.4370754</v>
      </c>
      <c r="W82" s="1149" t="n">
        <v>548478.750044881</v>
      </c>
      <c r="X82" s="1149" t="n">
        <v>395777.987807613</v>
      </c>
      <c r="Y82" s="1149" t="n">
        <v>1180100.682014911</v>
      </c>
      <c r="Z82" s="1149" t="n">
        <v>944256.737852494</v>
      </c>
      <c r="AA82" s="1149" t="n">
        <v>235843.944162417</v>
      </c>
      <c r="AB82" s="1149" t="n">
        <v>221879.5516920313</v>
      </c>
      <c r="AE82" s="999">
        <f>W82/Z82</f>
        <v/>
      </c>
      <c r="AF82" s="999">
        <f>X82/Z82</f>
        <v/>
      </c>
      <c r="AG82" s="999" t="n"/>
      <c r="AH82" s="999">
        <f>X82/$Q82</f>
        <v/>
      </c>
      <c r="AI82" s="999">
        <f>D82/$Q82</f>
        <v/>
      </c>
    </row>
    <row r="83">
      <c r="A83" s="541">
        <f>EDATE(A82, 3)</f>
        <v/>
      </c>
      <c r="B83" s="631" t="inlineStr">
        <is>
          <t>Jul-Sep 2020</t>
        </is>
      </c>
      <c r="C83" s="1149" t="n">
        <v>30249824.4772931</v>
      </c>
      <c r="D83" s="1149" t="n">
        <v>394579.728740321</v>
      </c>
      <c r="E83" s="1149" t="n">
        <v>639607.108879424</v>
      </c>
      <c r="F83" s="1149" t="n">
        <v>851551.105631417</v>
      </c>
      <c r="G83" s="1149" t="n">
        <v>1034186.837619745</v>
      </c>
      <c r="H83" s="1149" t="n">
        <v>-182635.731988328</v>
      </c>
      <c r="I83" s="1149" t="n">
        <v>-327747.8258488774</v>
      </c>
      <c r="J83" s="1149" t="n"/>
      <c r="K83" s="1149" t="n">
        <v>516777.942634469</v>
      </c>
      <c r="L83" s="1150" t="n">
        <v>1.667120005110072</v>
      </c>
      <c r="M83" s="1149" t="n"/>
      <c r="N83" s="1149" t="n">
        <v>743810.990612313</v>
      </c>
      <c r="O83" s="1149" t="n">
        <v>377871.297145035</v>
      </c>
      <c r="P83" s="1149" t="n">
        <v>255143.41365033</v>
      </c>
      <c r="Q83" s="1149" t="n">
        <v>877499.071160885</v>
      </c>
      <c r="R83" s="1149" t="n">
        <v>633014.710795365</v>
      </c>
      <c r="S83" s="1149" t="n">
        <v>244484.36036552</v>
      </c>
      <c r="T83" s="1149" t="n">
        <v>291334.912507826</v>
      </c>
      <c r="U83" s="1149" t="n"/>
      <c r="V83" s="1149" t="n">
        <v>7711846.20590013</v>
      </c>
      <c r="W83" s="1149" t="n">
        <v>473679.808486382</v>
      </c>
      <c r="X83" s="1149" t="n">
        <v>482919.342420564</v>
      </c>
      <c r="Y83" s="1149" t="n">
        <v>894750.5225297541</v>
      </c>
      <c r="Z83" s="1149" t="n">
        <v>956599.150906946</v>
      </c>
      <c r="AA83" s="1149" t="n">
        <v>-61848.62837719196</v>
      </c>
      <c r="AB83" s="1149" t="n">
        <v>62825.91334105469</v>
      </c>
      <c r="AE83" s="999">
        <f>W83/Z83</f>
        <v/>
      </c>
      <c r="AF83" s="999">
        <f>X83/Z83</f>
        <v/>
      </c>
      <c r="AG83" s="999" t="n"/>
      <c r="AH83" s="999">
        <f>X83/$Q83</f>
        <v/>
      </c>
      <c r="AI83" s="999">
        <f>D83/$Q83</f>
        <v/>
      </c>
    </row>
    <row r="84">
      <c r="A84" s="541">
        <f>EDATE(A83, 3)</f>
        <v/>
      </c>
      <c r="B84" s="631" t="inlineStr">
        <is>
          <t>Oct-Dec 2020</t>
        </is>
      </c>
      <c r="C84" s="1149" t="n">
        <v>30023090.09417</v>
      </c>
      <c r="D84" s="1149" t="n">
        <v>427856.240456928</v>
      </c>
      <c r="E84" s="1149" t="n">
        <v>597221.035578527</v>
      </c>
      <c r="F84" s="1149" t="n">
        <v>948124.401847003</v>
      </c>
      <c r="G84" s="1149" t="n">
        <v>1025077.276035455</v>
      </c>
      <c r="H84" s="1149" t="n">
        <v>-76952.87418845203</v>
      </c>
      <c r="I84" s="1149" t="n">
        <v>-90309.87305361778</v>
      </c>
      <c r="J84" s="1149" t="n"/>
      <c r="K84" s="1149" t="n">
        <v>680130.594805703</v>
      </c>
      <c r="L84" s="1150" t="n">
        <v>2.214354736604196</v>
      </c>
      <c r="M84" s="1149" t="n"/>
      <c r="N84" s="1149" t="n">
        <v>855959.5246931741</v>
      </c>
      <c r="O84" s="1149" t="n">
        <v>452970.033474536</v>
      </c>
      <c r="P84" s="1149" t="n">
        <v>328240.688151912</v>
      </c>
      <c r="Q84" s="1149" t="n">
        <v>911095.660796506</v>
      </c>
      <c r="R84" s="1149" t="n">
        <v>781210.721626448</v>
      </c>
      <c r="S84" s="1149" t="n">
        <v>129884.939170058</v>
      </c>
      <c r="T84" s="1149" t="n">
        <v>101439.4183123792</v>
      </c>
      <c r="U84" s="1149" t="n"/>
      <c r="V84" s="1149" t="n">
        <v>7644137.41710084</v>
      </c>
      <c r="W84" s="1149" t="n">
        <v>495154.368372467</v>
      </c>
      <c r="X84" s="1149" t="n">
        <v>483239.420339578</v>
      </c>
      <c r="Y84" s="1149" t="n">
        <v>925461.7237304391</v>
      </c>
      <c r="Z84" s="1149" t="n">
        <v>978393.7887120449</v>
      </c>
      <c r="AA84" s="1149" t="n">
        <v>-52932.06498160586</v>
      </c>
      <c r="AB84" s="1149" t="n">
        <v>23119.45474122465</v>
      </c>
      <c r="AE84" s="999">
        <f>W84/Z84</f>
        <v/>
      </c>
      <c r="AF84" s="999">
        <f>X84/Z84</f>
        <v/>
      </c>
      <c r="AG84" s="999" t="n"/>
      <c r="AH84" s="999">
        <f>X84/$Q84</f>
        <v/>
      </c>
      <c r="AI84" s="999">
        <f>D84/$Q84</f>
        <v/>
      </c>
    </row>
    <row r="85">
      <c r="A85" s="541">
        <f>EDATE(A84, 3)</f>
        <v/>
      </c>
      <c r="B85" s="631" t="inlineStr">
        <is>
          <t>Jan-Mar 2021</t>
        </is>
      </c>
      <c r="C85" s="1149" t="n">
        <v>30136647.0894271</v>
      </c>
      <c r="D85" s="1149" t="n">
        <v>316210.645788027</v>
      </c>
      <c r="E85" s="1149" t="n">
        <v>513178.137107048</v>
      </c>
      <c r="F85" s="1149" t="n">
        <v>997253.949839934</v>
      </c>
      <c r="G85" s="1149" t="n">
        <v>829388.7828950749</v>
      </c>
      <c r="H85" s="1149" t="n">
        <v>167865.1669448591</v>
      </c>
      <c r="I85" s="1149" t="n">
        <v>65453.45916196704</v>
      </c>
      <c r="J85" s="1149" t="n"/>
      <c r="K85" s="1149" t="n">
        <v>736401.525238762</v>
      </c>
      <c r="L85" s="1150" t="n">
        <v>2.390607380396388</v>
      </c>
      <c r="M85" s="1149" t="n"/>
      <c r="N85" s="1149" t="n">
        <v>884184.533823846</v>
      </c>
      <c r="O85" s="1149" t="n">
        <v>468836.344862219</v>
      </c>
      <c r="P85" s="1149" t="n">
        <v>386923.188821611</v>
      </c>
      <c r="Q85" s="1149" t="n">
        <v>748990.5990285589</v>
      </c>
      <c r="R85" s="1149" t="n">
        <v>855759.5336838299</v>
      </c>
      <c r="S85" s="1149" t="n">
        <v>-106768.934655271</v>
      </c>
      <c r="T85" s="1149" t="n">
        <v>-127157.6991197215</v>
      </c>
      <c r="U85" s="1149" t="n"/>
      <c r="V85" s="1149" t="n">
        <v>7731164.72200114</v>
      </c>
      <c r="W85" s="1149" t="n">
        <v>528417.6049777149</v>
      </c>
      <c r="X85" s="1149" t="n">
        <v>432779.953240532</v>
      </c>
      <c r="Y85" s="1149" t="n">
        <v>900101.3259286589</v>
      </c>
      <c r="Z85" s="1149" t="n">
        <v>961197.558218247</v>
      </c>
      <c r="AA85" s="1149" t="n">
        <v>-61096.23228958808</v>
      </c>
      <c r="AB85" s="1149" t="n">
        <v>96192.23995776474</v>
      </c>
      <c r="AE85" s="999">
        <f>W85/Z85</f>
        <v/>
      </c>
      <c r="AF85" s="999">
        <f>X85/Z85</f>
        <v/>
      </c>
      <c r="AG85" s="999" t="n"/>
      <c r="AH85" s="999">
        <f>X85/$Q85</f>
        <v/>
      </c>
      <c r="AI85" s="999">
        <f>D85/$Q85</f>
        <v/>
      </c>
    </row>
    <row r="86">
      <c r="A86" s="541">
        <f>EDATE(A85, 3)</f>
        <v/>
      </c>
      <c r="B86" s="631" t="inlineStr">
        <is>
          <t>Apr-Jun 2021</t>
        </is>
      </c>
      <c r="C86" s="1149" t="n">
        <v>30096748.1786869</v>
      </c>
      <c r="D86" s="1149" t="n">
        <v>265482.843859861</v>
      </c>
      <c r="E86" s="1149" t="n">
        <v>651668.076871046</v>
      </c>
      <c r="F86" s="1149" t="n">
        <v>1202499.359395776</v>
      </c>
      <c r="G86" s="1149" t="n">
        <v>917150.920730907</v>
      </c>
      <c r="H86" s="1149" t="n">
        <v>285348.4386648689</v>
      </c>
      <c r="I86" s="1149" t="n">
        <v>162874.7052120455</v>
      </c>
      <c r="J86" s="1149" t="n"/>
      <c r="K86" s="1149" t="n">
        <v>807827.619203932</v>
      </c>
      <c r="L86" s="1150" t="n">
        <v>2.627571214014312</v>
      </c>
      <c r="M86" s="1149" t="n"/>
      <c r="N86" s="1149" t="n">
        <v>800050.894698456</v>
      </c>
      <c r="O86" s="1149" t="n">
        <v>575752.079548536</v>
      </c>
      <c r="P86" s="1149" t="n">
        <v>283115.670310511</v>
      </c>
      <c r="Q86" s="1149" t="n">
        <v>743020.684652864</v>
      </c>
      <c r="R86" s="1149" t="n">
        <v>858867.749859047</v>
      </c>
      <c r="S86" s="1149" t="n">
        <v>-115847.065206183</v>
      </c>
      <c r="T86" s="1149" t="n">
        <v>-82311.7406593312</v>
      </c>
      <c r="U86" s="1149" t="n"/>
      <c r="V86" s="1149" t="n">
        <v>7765196.57981978</v>
      </c>
      <c r="W86" s="1149" t="n">
        <v>626747.27984724</v>
      </c>
      <c r="X86" s="1149" t="n">
        <v>477537.840793003</v>
      </c>
      <c r="Y86" s="1149" t="n">
        <v>934783.747181557</v>
      </c>
      <c r="Z86" s="1149" t="n">
        <v>1104285.120640243</v>
      </c>
      <c r="AA86" s="1149" t="n">
        <v>-169501.3734586859</v>
      </c>
      <c r="AB86" s="1149" t="n">
        <v>-46236.96455271542</v>
      </c>
      <c r="AE86" s="999">
        <f>W86/Z86</f>
        <v/>
      </c>
      <c r="AF86" s="999">
        <f>X86/Z86</f>
        <v/>
      </c>
      <c r="AG86" s="999" t="n"/>
      <c r="AH86" s="999">
        <f>X86/$Q86</f>
        <v/>
      </c>
      <c r="AI86" s="999">
        <f>D86/$Q86</f>
        <v/>
      </c>
    </row>
    <row r="87">
      <c r="A87" s="541">
        <f>EDATE(A86, 3)</f>
        <v/>
      </c>
      <c r="B87" s="631" t="inlineStr">
        <is>
          <t>Jul-Sep 2021</t>
        </is>
      </c>
      <c r="C87" s="1149" t="n">
        <v>30223536.4085566</v>
      </c>
      <c r="D87" s="1149" t="n">
        <v>293017.126643818</v>
      </c>
      <c r="E87" s="1149" t="n">
        <v>649879.90099486</v>
      </c>
      <c r="F87" s="1149" t="n">
        <v>1241789.991547816</v>
      </c>
      <c r="G87" s="1149" t="n">
        <v>942897.027638678</v>
      </c>
      <c r="H87" s="1149" t="n">
        <v>298892.963909138</v>
      </c>
      <c r="I87" s="1149" t="n">
        <v>166260.0427776538</v>
      </c>
      <c r="J87" s="1149" t="n"/>
      <c r="K87" s="1149" t="n">
        <v>996692.874181869</v>
      </c>
      <c r="L87" s="1150" t="n">
        <v>3.226917749291409</v>
      </c>
      <c r="M87" s="1149" t="n"/>
      <c r="N87" s="1149" t="n">
        <v>645955.281760477</v>
      </c>
      <c r="O87" s="1149" t="n">
        <v>592369.820546606</v>
      </c>
      <c r="P87" s="1149" t="n">
        <v>304380.951198174</v>
      </c>
      <c r="Q87" s="1149" t="n">
        <v>762844.960355758</v>
      </c>
      <c r="R87" s="1149" t="n">
        <v>896750.77174478</v>
      </c>
      <c r="S87" s="1149" t="n">
        <v>-133905.811389022</v>
      </c>
      <c r="T87" s="1149" t="n">
        <v>-84651.77883535554</v>
      </c>
      <c r="U87" s="1149" t="n"/>
      <c r="V87" s="1149" t="n">
        <v>7663731.04882489</v>
      </c>
      <c r="W87" s="1149" t="n">
        <v>649420.17100121</v>
      </c>
      <c r="X87" s="1149" t="n">
        <v>469827.83371194</v>
      </c>
      <c r="Y87" s="1149" t="n">
        <v>954260.852193034</v>
      </c>
      <c r="Z87" s="1149" t="n">
        <v>1119248.00471315</v>
      </c>
      <c r="AA87" s="1149" t="n">
        <v>-164987.152520116</v>
      </c>
      <c r="AB87" s="1149" t="n">
        <v>-18182.26394229755</v>
      </c>
      <c r="AE87" s="999">
        <f>W87/Z87</f>
        <v/>
      </c>
      <c r="AF87" s="999">
        <f>X87/Z87</f>
        <v/>
      </c>
      <c r="AG87" s="999" t="n"/>
      <c r="AH87" s="999">
        <f>X87/$Q87</f>
        <v/>
      </c>
      <c r="AI87" s="999">
        <f>D87/$Q87</f>
        <v/>
      </c>
    </row>
    <row r="88">
      <c r="A88" s="541">
        <f>EDATE(A87, 3)</f>
        <v/>
      </c>
      <c r="B88" s="631" t="inlineStr">
        <is>
          <t>Oct-Dec 2021</t>
        </is>
      </c>
      <c r="C88" s="1149" t="n">
        <v>30415472.4990973</v>
      </c>
      <c r="D88" s="1149" t="n">
        <v>276763.442601686</v>
      </c>
      <c r="E88" s="1149" t="n">
        <v>661598.492887373</v>
      </c>
      <c r="F88" s="1149" t="n">
        <v>1059025.105923504</v>
      </c>
      <c r="G88" s="1149" t="n">
        <v>938361.935489059</v>
      </c>
      <c r="H88" s="1149" t="n">
        <v>120663.1704344451</v>
      </c>
      <c r="I88" s="1149" t="n">
        <v>70789.60755500197</v>
      </c>
      <c r="J88" s="1149" t="n"/>
      <c r="K88" s="1149" t="n">
        <v>1000142.59745613</v>
      </c>
      <c r="L88" s="1150" t="n">
        <v>3.215970360584265</v>
      </c>
      <c r="M88" s="1149" t="n"/>
      <c r="N88" s="1149" t="n">
        <v>668439.14266795</v>
      </c>
      <c r="O88" s="1149" t="n">
        <v>454401.444165968</v>
      </c>
      <c r="P88" s="1149" t="n">
        <v>310992.516276155</v>
      </c>
      <c r="Q88" s="1149" t="n">
        <v>730328.3362154621</v>
      </c>
      <c r="R88" s="1149" t="n">
        <v>765393.960442123</v>
      </c>
      <c r="S88" s="1149" t="n">
        <v>-35065.62422666093</v>
      </c>
      <c r="T88" s="1149" t="n">
        <v>-67900.64593224553</v>
      </c>
      <c r="U88" s="1149" t="n"/>
      <c r="V88" s="1149" t="n">
        <v>7750429.19142332</v>
      </c>
      <c r="W88" s="1149" t="n">
        <v>604623.661757536</v>
      </c>
      <c r="X88" s="1149" t="n">
        <v>453564.893613776</v>
      </c>
      <c r="Y88" s="1149" t="n">
        <v>972591.009163528</v>
      </c>
      <c r="Z88" s="1149" t="n">
        <v>1058188.555371312</v>
      </c>
      <c r="AA88" s="1149" t="n">
        <v>-85597.54620778398</v>
      </c>
      <c r="AB88" s="1149" t="n">
        <v>75226.03837724216</v>
      </c>
      <c r="AE88" s="999">
        <f>W88/Z88</f>
        <v/>
      </c>
      <c r="AF88" s="999">
        <f>X88/Z88</f>
        <v/>
      </c>
      <c r="AG88" s="999" t="n"/>
      <c r="AH88" s="999">
        <f>X88/$Q88</f>
        <v/>
      </c>
      <c r="AI88" s="999">
        <f>D88/$Q88</f>
        <v/>
      </c>
    </row>
    <row r="89">
      <c r="A89" s="541">
        <f>EDATE(A88, 3)</f>
        <v/>
      </c>
      <c r="B89" s="631" t="inlineStr">
        <is>
          <t>Jan-Mar 2022</t>
        </is>
      </c>
      <c r="C89" s="1149" t="n">
        <v>30480873.7550685</v>
      </c>
      <c r="D89" s="1149" t="n">
        <v>261662.78167883</v>
      </c>
      <c r="E89" s="1149" t="n">
        <v>655614.903875462</v>
      </c>
      <c r="F89" s="1149" t="n">
        <v>1132819.245548212</v>
      </c>
      <c r="G89" s="1149" t="n">
        <v>917277.6855542921</v>
      </c>
      <c r="H89" s="1149" t="n">
        <v>215541.5599939199</v>
      </c>
      <c r="I89" s="1149" t="n">
        <v>78256.94664966315</v>
      </c>
      <c r="J89" s="1149" t="n"/>
      <c r="K89" s="1149" t="n">
        <v>993373.079507199</v>
      </c>
      <c r="L89" s="1150" t="n">
        <v>3.182622857372957</v>
      </c>
      <c r="M89" s="1149" t="n"/>
      <c r="N89" s="1149" t="n">
        <v>596565.570893539</v>
      </c>
      <c r="O89" s="1149" t="n">
        <v>495139.031883123</v>
      </c>
      <c r="P89" s="1149" t="n">
        <v>302314.976766923</v>
      </c>
      <c r="Q89" s="1149" t="n">
        <v>657251.046124273</v>
      </c>
      <c r="R89" s="1149" t="n">
        <v>797454.008650046</v>
      </c>
      <c r="S89" s="1149" t="n">
        <v>-140202.962525773</v>
      </c>
      <c r="T89" s="1149" t="n">
        <v>-134559.8153192019</v>
      </c>
      <c r="U89" s="1149" t="n"/>
      <c r="V89" s="1149" t="n">
        <v>7905552.71937482</v>
      </c>
      <c r="W89" s="1149" t="n">
        <v>637680.213665089</v>
      </c>
      <c r="X89" s="1149" t="n">
        <v>395588.264445443</v>
      </c>
      <c r="Y89" s="1149" t="n">
        <v>957929.880642385</v>
      </c>
      <c r="Z89" s="1149" t="n">
        <v>1033268.478110532</v>
      </c>
      <c r="AA89" s="1149" t="n">
        <v>-75338.59746814705</v>
      </c>
      <c r="AB89" s="1149" t="n">
        <v>134479.8686695397</v>
      </c>
      <c r="AE89" s="999">
        <f>W89/Z89</f>
        <v/>
      </c>
      <c r="AF89" s="999">
        <f>X89/Z89</f>
        <v/>
      </c>
      <c r="AG89" s="999" t="n"/>
      <c r="AH89" s="999">
        <f>X89/$Q89</f>
        <v/>
      </c>
      <c r="AI89" s="999">
        <f>D89/$Q89</f>
        <v/>
      </c>
    </row>
    <row r="90">
      <c r="A90" s="541">
        <f>EDATE(A89, 3)</f>
        <v/>
      </c>
      <c r="B90" s="631" t="inlineStr">
        <is>
          <t>Apr-Jun 2022</t>
        </is>
      </c>
      <c r="C90" s="1149" t="n">
        <v>30616526.5999986</v>
      </c>
      <c r="D90" s="1149" t="n">
        <v>252883.77238544</v>
      </c>
      <c r="E90" s="1149" t="n">
        <v>625678.64229879</v>
      </c>
      <c r="F90" s="1149" t="n">
        <v>975517.872255692</v>
      </c>
      <c r="G90" s="1149" t="n">
        <v>878562.41468423</v>
      </c>
      <c r="H90" s="1149" t="n">
        <v>96955.45757146203</v>
      </c>
      <c r="I90" s="1149" t="n">
        <v>52102.17462043092</v>
      </c>
      <c r="J90" s="1149" t="n"/>
      <c r="K90" s="1149" t="n">
        <v>942126.858772538</v>
      </c>
      <c r="L90" s="1150" t="n">
        <v>3.00178592619687</v>
      </c>
      <c r="M90" s="1149" t="n"/>
      <c r="N90" s="1149" t="n">
        <v>589030.065001777</v>
      </c>
      <c r="O90" s="1149" t="n">
        <v>386642.013373318</v>
      </c>
      <c r="P90" s="1149" t="n">
        <v>311353.475120837</v>
      </c>
      <c r="Q90" s="1149" t="n">
        <v>670882.351659653</v>
      </c>
      <c r="R90" s="1149" t="n">
        <v>697995.488494155</v>
      </c>
      <c r="S90" s="1149" t="n">
        <v>-27113.13683450199</v>
      </c>
      <c r="T90" s="1149" t="n">
        <v>-407.7741256027948</v>
      </c>
      <c r="U90" s="1149" t="n"/>
      <c r="V90" s="1149" t="n">
        <v>7929769.17442041</v>
      </c>
      <c r="W90" s="1149" t="n">
        <v>588875.858882374</v>
      </c>
      <c r="X90" s="1149" t="n">
        <v>417998.579274213</v>
      </c>
      <c r="Y90" s="1149" t="n">
        <v>937032.117419627</v>
      </c>
      <c r="Z90" s="1149" t="n">
        <v>1006874.438156587</v>
      </c>
      <c r="AA90" s="1149" t="n">
        <v>-69842.32073696004</v>
      </c>
      <c r="AB90" s="1149" t="n">
        <v>26587.59950516932</v>
      </c>
      <c r="AE90" s="999">
        <f>W90/Z90</f>
        <v/>
      </c>
      <c r="AF90" s="999">
        <f>X90/Z90</f>
        <v/>
      </c>
      <c r="AG90" s="999" t="n"/>
      <c r="AH90" s="999">
        <f>X90/$Q90</f>
        <v/>
      </c>
      <c r="AI90" s="999">
        <f>D90/$Q90</f>
        <v/>
      </c>
    </row>
    <row r="91">
      <c r="A91" s="541">
        <f>EDATE(A90, 3)</f>
        <v/>
      </c>
      <c r="B91" s="20" t="inlineStr">
        <is>
          <t>Jul-Sep 2022</t>
        </is>
      </c>
      <c r="C91" s="1149" t="n">
        <v>30663833.605471</v>
      </c>
      <c r="D91" s="1149" t="n">
        <v>251672.448751976</v>
      </c>
      <c r="E91" s="1149" t="n">
        <v>624098.496517232</v>
      </c>
      <c r="F91" s="1149" t="n">
        <v>1004662.968051995</v>
      </c>
      <c r="G91" s="1149" t="n">
        <v>875770.9452692081</v>
      </c>
      <c r="H91" s="1149" t="n">
        <v>128892.0227827869</v>
      </c>
      <c r="I91" s="1149" t="n">
        <v>8469.476174864918</v>
      </c>
      <c r="J91" s="1149" t="n"/>
      <c r="K91" s="1149" t="n">
        <v>977694.8823161779</v>
      </c>
      <c r="L91" s="1150" t="n">
        <v>3.113638764899116</v>
      </c>
      <c r="M91" s="1149" t="n"/>
      <c r="N91" s="1149" t="n">
        <v>543380.739899116</v>
      </c>
      <c r="O91" s="1149" t="n">
        <v>385127.758485491</v>
      </c>
      <c r="P91" s="1149" t="n">
        <v>325656.963714643</v>
      </c>
      <c r="Q91" s="1149" t="n">
        <v>675099.851685287</v>
      </c>
      <c r="R91" s="1149" t="n">
        <v>710784.722200134</v>
      </c>
      <c r="S91" s="1149" t="n">
        <v>-35684.87051484699</v>
      </c>
      <c r="T91" s="1149" t="n">
        <v>-10746.74666591734</v>
      </c>
      <c r="U91" s="1149" t="n"/>
      <c r="V91" s="1149" t="n">
        <v>7993716.39390431</v>
      </c>
      <c r="W91" s="1149" t="n">
        <v>619535.209566504</v>
      </c>
      <c r="X91" s="1149" t="n">
        <v>423427.402933311</v>
      </c>
      <c r="Y91" s="1149" t="n">
        <v>949755.4602318751</v>
      </c>
      <c r="Z91" s="1149" t="n">
        <v>1042962.612499815</v>
      </c>
      <c r="AA91" s="1149" t="n">
        <v>-93207.15226793988</v>
      </c>
      <c r="AB91" s="1149" t="n">
        <v>104392.2704910599</v>
      </c>
      <c r="AE91" s="999">
        <f>W91/Z91</f>
        <v/>
      </c>
      <c r="AF91" s="999">
        <f>X91/Z91</f>
        <v/>
      </c>
      <c r="AG91" s="999" t="n"/>
      <c r="AH91" s="999">
        <f>X91/$Q91</f>
        <v/>
      </c>
      <c r="AI91" s="999">
        <f>D91/$Q91</f>
        <v/>
      </c>
    </row>
    <row r="92">
      <c r="A92" s="541">
        <f>EDATE(A91, 3)</f>
        <v/>
      </c>
      <c r="B92" s="20" t="inlineStr">
        <is>
          <t>Oct-Dec 2022</t>
        </is>
      </c>
      <c r="C92" s="1149" t="n">
        <v>30752992.4529802</v>
      </c>
      <c r="D92" s="1149" t="n">
        <v>276988.040721339</v>
      </c>
      <c r="E92" s="1149" t="n">
        <v>573895.79112631</v>
      </c>
      <c r="F92" s="1149" t="n">
        <v>1086633.287579431</v>
      </c>
      <c r="G92" s="1149" t="n">
        <v>850883.8318476491</v>
      </c>
      <c r="H92" s="1149" t="n">
        <v>235749.4557317819</v>
      </c>
      <c r="I92" s="1149" t="n">
        <v>174238.6611972973</v>
      </c>
      <c r="J92" s="1149" t="n"/>
      <c r="K92" s="1149" t="n">
        <v>894283.294391997</v>
      </c>
      <c r="L92" s="1150" t="n">
        <v>2.842688553415218</v>
      </c>
      <c r="M92" s="1149" t="n"/>
      <c r="N92" s="1149" t="n">
        <v>569297.632970544</v>
      </c>
      <c r="O92" s="1149" t="n">
        <v>390408.542590583</v>
      </c>
      <c r="P92" s="1149" t="n">
        <v>265729.389960635</v>
      </c>
      <c r="Q92" s="1149" t="n">
        <v>733147.051462012</v>
      </c>
      <c r="R92" s="1149" t="n">
        <v>656137.932551218</v>
      </c>
      <c r="S92" s="1149" t="n">
        <v>77009.11891079403</v>
      </c>
      <c r="T92" s="1149" t="n">
        <v>72969.5894060384</v>
      </c>
      <c r="U92" s="1149" t="n"/>
      <c r="V92" s="1149" t="n">
        <v>7970436.98618255</v>
      </c>
      <c r="W92" s="1149" t="n">
        <v>696224.744988848</v>
      </c>
      <c r="X92" s="1149" t="n">
        <v>456159.010740673</v>
      </c>
      <c r="Y92" s="1149" t="n">
        <v>839625.181086945</v>
      </c>
      <c r="Z92" s="1149" t="n">
        <v>1152383.755729521</v>
      </c>
      <c r="AA92" s="1157" t="n">
        <v>-312758.5746425759</v>
      </c>
      <c r="AB92" s="1157" t="n">
        <v>-133207.2506033406</v>
      </c>
      <c r="AC92" s="220" t="n"/>
      <c r="AE92" s="999">
        <f>W92/Z92</f>
        <v/>
      </c>
      <c r="AF92" s="999">
        <f>X92/Z92</f>
        <v/>
      </c>
      <c r="AG92" s="999" t="n"/>
      <c r="AH92" s="999">
        <f>X92/$Q92</f>
        <v/>
      </c>
      <c r="AI92" s="999">
        <f>D92/$Q92</f>
        <v/>
      </c>
    </row>
    <row r="93">
      <c r="A93" s="541">
        <f>EDATE(A92, 3)</f>
        <v/>
      </c>
      <c r="B93" s="20" t="inlineStr">
        <is>
          <t>Jan-Mar 2023</t>
        </is>
      </c>
      <c r="C93" s="1149" t="n">
        <v>30891191.4590036</v>
      </c>
      <c r="D93" s="1149" t="n">
        <v>287484.108966858</v>
      </c>
      <c r="E93" s="1149" t="n">
        <v>605944.011207155</v>
      </c>
      <c r="F93" s="1149" t="n">
        <v>1106500.602397918</v>
      </c>
      <c r="G93" s="1149" t="n">
        <v>893428.120174013</v>
      </c>
      <c r="H93" s="1149" t="n">
        <v>213072.482223905</v>
      </c>
      <c r="I93" s="1149" t="n">
        <v>146027.8953864798</v>
      </c>
      <c r="J93" s="1149" t="n"/>
      <c r="K93" s="1149" t="n">
        <v>833970.957188493</v>
      </c>
      <c r="L93" s="1150" t="n">
        <v>2.634665402246553</v>
      </c>
      <c r="M93" s="1149" t="n"/>
      <c r="N93" s="1149" t="n">
        <v>600595.018399108</v>
      </c>
      <c r="O93" s="1149" t="n">
        <v>440625.872122375</v>
      </c>
      <c r="P93" s="1149" t="n">
        <v>292447.311692889</v>
      </c>
      <c r="Q93" s="1149" t="n">
        <v>759735.222084754</v>
      </c>
      <c r="R93" s="1149" t="n">
        <v>733073.183815264</v>
      </c>
      <c r="S93" s="1149" t="n">
        <v>26662.03826949</v>
      </c>
      <c r="T93" s="1149" t="n">
        <v>29469.94160588458</v>
      </c>
      <c r="U93" s="1149" t="n"/>
      <c r="V93" s="1149" t="n">
        <v>7805075.31004333</v>
      </c>
      <c r="W93" s="1149" t="n">
        <v>665874.7302755431</v>
      </c>
      <c r="X93" s="1149" t="n">
        <v>472251.113117896</v>
      </c>
      <c r="Y93" s="1149" t="n">
        <v>898391.322900044</v>
      </c>
      <c r="Z93" s="1149" t="n">
        <v>1138125.843393439</v>
      </c>
      <c r="AA93" s="1157" t="n">
        <v>-239734.5204933949</v>
      </c>
      <c r="AB93" s="1157" t="n">
        <v>-61561.83699236624</v>
      </c>
      <c r="AC93" s="220" t="n"/>
      <c r="AE93" s="999">
        <f>W93/Z93</f>
        <v/>
      </c>
      <c r="AF93" s="999">
        <f>X93/Z93</f>
        <v/>
      </c>
      <c r="AG93" s="999" t="n"/>
      <c r="AH93" s="999">
        <f>X93/$Q93</f>
        <v/>
      </c>
      <c r="AI93" s="999">
        <f>D93/$Q93</f>
        <v/>
      </c>
    </row>
    <row r="94">
      <c r="A94" s="541">
        <f>EDATE(A93, 3)</f>
        <v/>
      </c>
      <c r="B94" s="631" t="inlineStr">
        <is>
          <t>Apr-Jun 2023</t>
        </is>
      </c>
      <c r="C94" s="1149" t="n">
        <v>31029282.1079126</v>
      </c>
      <c r="D94" s="1149" t="n">
        <v>325944.370508757</v>
      </c>
      <c r="E94" s="1149" t="n">
        <v>595368.718091836</v>
      </c>
      <c r="F94" s="1149" t="n">
        <v>1042511.196208067</v>
      </c>
      <c r="G94" s="1149" t="n">
        <v>921313.0886005929</v>
      </c>
      <c r="H94" s="1149" t="n">
        <v>121198.1076074741</v>
      </c>
      <c r="I94" s="1149" t="n">
        <v>62194.19282647967</v>
      </c>
      <c r="J94" s="1149" t="n"/>
      <c r="K94" s="1149" t="n">
        <v>901354.174348225</v>
      </c>
      <c r="L94" s="1158" t="n">
        <v>2.838352738265439</v>
      </c>
      <c r="M94" s="1149" t="n"/>
      <c r="N94" s="1149" t="n">
        <v>561540.233837559</v>
      </c>
      <c r="O94" s="1149" t="n">
        <v>509228.166177542</v>
      </c>
      <c r="P94" s="1149" t="n">
        <v>286460.414421739</v>
      </c>
      <c r="Q94" s="1149" t="n">
        <v>843732.1195335321</v>
      </c>
      <c r="R94" s="1149" t="n">
        <v>795688.580599281</v>
      </c>
      <c r="S94" s="1149" t="n">
        <v>48043.53893425106</v>
      </c>
      <c r="T94" s="1149" t="n">
        <v>84337.12063017813</v>
      </c>
      <c r="U94" s="1149" t="n"/>
      <c r="V94" s="1149" t="n">
        <v>7790508.24913916</v>
      </c>
      <c r="W94" s="1149" t="n">
        <v>533283.0300305251</v>
      </c>
      <c r="X94" s="1149" t="n">
        <v>517787.749024775</v>
      </c>
      <c r="Y94" s="1149" t="n">
        <v>881829.132513575</v>
      </c>
      <c r="Z94" s="1149" t="n">
        <v>1051070.7790553</v>
      </c>
      <c r="AA94" s="1157" t="n">
        <v>-169241.6465417251</v>
      </c>
      <c r="AB94" s="1157" t="n">
        <v>-32514.31345665641</v>
      </c>
      <c r="AC94" s="220" t="n"/>
      <c r="AE94" s="999">
        <f>W94/Z94</f>
        <v/>
      </c>
      <c r="AF94" s="999">
        <f>X94/Z94</f>
        <v/>
      </c>
      <c r="AG94" s="999" t="n"/>
      <c r="AH94" s="999">
        <f>X94/$Q94</f>
        <v/>
      </c>
      <c r="AI94" s="999">
        <f>D94/$Q94</f>
        <v/>
      </c>
    </row>
    <row r="95">
      <c r="A95" s="541">
        <f>EDATE(A94, 3)</f>
        <v/>
      </c>
      <c r="B95" s="631" t="inlineStr">
        <is>
          <t>Jul-Sep 2023</t>
        </is>
      </c>
      <c r="C95" s="1159" t="n">
        <v>31020746.1361539</v>
      </c>
      <c r="D95" s="1159" t="n">
        <v>311349.084730378</v>
      </c>
      <c r="E95" s="1159" t="n">
        <v>623883.68441081</v>
      </c>
      <c r="F95" s="1159" t="n">
        <v>1043966.550695267</v>
      </c>
      <c r="G95" s="1159" t="n">
        <v>935232.769141188</v>
      </c>
      <c r="H95" s="1159" t="n">
        <v>108733.781554079</v>
      </c>
      <c r="I95" s="1159" t="n">
        <v>-78846.77138596773</v>
      </c>
      <c r="J95" s="1159" t="n"/>
      <c r="K95" s="1159" t="n">
        <v>828891.7355683181</v>
      </c>
      <c r="L95" s="1160" t="n">
        <v>2.609958647661352</v>
      </c>
      <c r="M95" s="1159" t="n"/>
      <c r="N95" s="1159" t="n">
        <v>626037.587708088</v>
      </c>
      <c r="O95" s="1159" t="n">
        <v>466420.547826641</v>
      </c>
      <c r="P95" s="1159" t="n">
        <v>337247.551180926</v>
      </c>
      <c r="Q95" s="1159" t="n">
        <v>761967.5974247949</v>
      </c>
      <c r="R95" s="1159" t="n">
        <v>803668.0990075669</v>
      </c>
      <c r="S95" s="1159" t="n">
        <v>-41700.50158277201</v>
      </c>
      <c r="T95" s="1159" t="n">
        <v>-32361.66956029413</v>
      </c>
      <c r="U95" s="1159" t="n"/>
      <c r="V95" s="1159" t="n">
        <v>7954662.22465111</v>
      </c>
      <c r="W95" s="1159" t="n">
        <v>577546.002868626</v>
      </c>
      <c r="X95" s="1159" t="n">
        <v>450618.512694417</v>
      </c>
      <c r="Y95" s="1159" t="n">
        <v>961131.2355917359</v>
      </c>
      <c r="Z95" s="1159" t="n">
        <v>1028164.515563043</v>
      </c>
      <c r="AA95" s="1159" t="n">
        <v>-67033.27997130714</v>
      </c>
      <c r="AB95" s="1159" t="n">
        <v>220274.4409462642</v>
      </c>
      <c r="AC95" s="1159" t="n"/>
      <c r="AE95" s="999">
        <f>W95/Z95</f>
        <v/>
      </c>
      <c r="AF95" s="999">
        <f>X95/Z95</f>
        <v/>
      </c>
      <c r="AG95" s="999" t="n"/>
      <c r="AH95" s="999">
        <f>X95/$Q95</f>
        <v/>
      </c>
      <c r="AI95" s="999">
        <f>D95/$Q95</f>
        <v/>
      </c>
    </row>
    <row r="96">
      <c r="A96" s="541">
        <f>EDATE(A95, 3)</f>
        <v/>
      </c>
      <c r="B96" s="631" t="inlineStr">
        <is>
          <t>Oct-Dec 2023</t>
        </is>
      </c>
      <c r="C96" s="1159" t="n">
        <v>31033235.1072014</v>
      </c>
      <c r="D96" s="1159" t="n">
        <v>280288.820717471</v>
      </c>
      <c r="E96" s="1159" t="n">
        <v>610262.7911397771</v>
      </c>
      <c r="F96" s="1159" t="n">
        <v>972625.693589541</v>
      </c>
      <c r="G96" s="1159" t="n">
        <v>890551.611857248</v>
      </c>
      <c r="H96" s="1159" t="n">
        <v>82074.08173229301</v>
      </c>
      <c r="I96" s="1159" t="n">
        <v>83453.96103285626</v>
      </c>
      <c r="J96" s="1159" t="n"/>
      <c r="K96" s="1159" t="n">
        <v>778125.654882857</v>
      </c>
      <c r="L96" s="1160" t="n">
        <v>2.445255267333388</v>
      </c>
      <c r="M96" s="1159" t="n"/>
      <c r="N96" s="1159" t="n">
        <v>547694.56660209</v>
      </c>
      <c r="O96" s="1159" t="n">
        <v>487078.321261719</v>
      </c>
      <c r="P96" s="1159" t="n">
        <v>343940.770665029</v>
      </c>
      <c r="Q96" s="1159" t="n">
        <v>758655.9892883911</v>
      </c>
      <c r="R96" s="1159" t="n">
        <v>831019.0919267479</v>
      </c>
      <c r="S96" s="1159" t="n">
        <v>-72363.10263835685</v>
      </c>
      <c r="T96" s="1159" t="n">
        <v>-81931.54430846428</v>
      </c>
      <c r="U96" s="1159" t="n"/>
      <c r="V96" s="1159" t="n">
        <v>8088353.25223792</v>
      </c>
      <c r="W96" s="1159" t="n">
        <v>485547.372327822</v>
      </c>
      <c r="X96" s="1159" t="n">
        <v>478367.16857092</v>
      </c>
      <c r="Y96" s="1159" t="n">
        <v>954203.5618048061</v>
      </c>
      <c r="Z96" s="1159" t="n">
        <v>963914.540898742</v>
      </c>
      <c r="AA96" s="1159" t="n">
        <v>-9710.979093935923</v>
      </c>
      <c r="AB96" s="1159" t="n">
        <v>104602.5832756013</v>
      </c>
      <c r="AC96" s="220" t="n"/>
      <c r="AE96" s="999">
        <f>W96/Z96</f>
        <v/>
      </c>
      <c r="AF96" s="999">
        <f>X96/Z96</f>
        <v/>
      </c>
      <c r="AG96" s="999" t="n"/>
      <c r="AH96" s="999">
        <f>X96/$Q96</f>
        <v/>
      </c>
      <c r="AI96" s="999">
        <f>D96/$Q96</f>
        <v/>
      </c>
    </row>
    <row r="97">
      <c r="A97" s="541">
        <f>EDATE(A96, 3)</f>
        <v/>
      </c>
      <c r="B97" s="631" t="inlineStr">
        <is>
          <t>Jan-Mar 2024</t>
        </is>
      </c>
      <c r="C97" s="1159" t="n">
        <v>30972875.351739</v>
      </c>
      <c r="D97" s="1159" t="n">
        <v>368003.922766672</v>
      </c>
      <c r="E97" s="1159" t="n">
        <v>581012.176025347</v>
      </c>
      <c r="F97" s="1159" t="n">
        <v>1041688.195914496</v>
      </c>
      <c r="G97" s="1159" t="n">
        <v>949016.098792019</v>
      </c>
      <c r="H97" s="1159" t="n">
        <v>92672.09712247702</v>
      </c>
      <c r="I97" s="1159" t="n">
        <v>-75824.01131481677</v>
      </c>
      <c r="J97" s="1159" t="n"/>
      <c r="K97" s="1159" t="n">
        <v>886679.47588798</v>
      </c>
      <c r="L97" s="1160" t="n">
        <v>2.789230093896877</v>
      </c>
      <c r="M97" s="1159" t="n"/>
      <c r="N97" s="1159" t="n">
        <v>604231.570711246</v>
      </c>
      <c r="O97" s="1159" t="n">
        <v>418260.386620825</v>
      </c>
      <c r="P97" s="1159" t="n">
        <v>317048.404362102</v>
      </c>
      <c r="Q97" s="1159" t="n">
        <v>889413.054618399</v>
      </c>
      <c r="R97" s="1159" t="n">
        <v>735308.790982927</v>
      </c>
      <c r="S97" s="1159" t="n">
        <v>154104.263635472</v>
      </c>
      <c r="T97" s="1159" t="n">
        <v>142334.5333964068</v>
      </c>
      <c r="U97" s="1159" t="n"/>
      <c r="V97" s="1159" t="n">
        <v>8178919.90964806</v>
      </c>
      <c r="W97" s="1159" t="n">
        <v>623427.809293671</v>
      </c>
      <c r="X97" s="1159" t="n">
        <v>521409.131851727</v>
      </c>
      <c r="Y97" s="1159" t="n">
        <v>898060.5803874489</v>
      </c>
      <c r="Z97" s="1159" t="n">
        <v>1144836.941145398</v>
      </c>
      <c r="AA97" s="1159" t="n">
        <v>-246776.3607579493</v>
      </c>
      <c r="AB97" s="1159" t="n">
        <v>39849.4779184144</v>
      </c>
      <c r="AC97" s="220" t="n"/>
      <c r="AE97" s="999">
        <f>W97/Z97</f>
        <v/>
      </c>
      <c r="AF97" s="999">
        <f>X97/Z97</f>
        <v/>
      </c>
      <c r="AG97" s="999" t="n"/>
      <c r="AH97" s="999">
        <f>X97/$Q97</f>
        <v/>
      </c>
      <c r="AI97" s="999">
        <f>D97/$Q97</f>
        <v/>
      </c>
    </row>
    <row r="98">
      <c r="A98" s="541">
        <f>EDATE(A97, 3)</f>
        <v/>
      </c>
      <c r="B98" s="631" t="inlineStr">
        <is>
          <t>Apr-Jun 2024</t>
        </is>
      </c>
      <c r="C98" s="1159" t="n">
        <v>30960374.6078847</v>
      </c>
      <c r="D98" s="1159" t="n">
        <v>303643.814975693</v>
      </c>
      <c r="E98" s="1159" t="n">
        <v>582826.200772212</v>
      </c>
      <c r="F98" s="1159" t="n">
        <v>1106841.179183023</v>
      </c>
      <c r="G98" s="1159" t="n">
        <v>886470.015747905</v>
      </c>
      <c r="H98" s="1159" t="n">
        <v>220371.163435118</v>
      </c>
      <c r="I98" s="1159" t="n">
        <v>126090.0820401572</v>
      </c>
      <c r="J98" s="1159" t="n"/>
      <c r="K98" s="1159" t="n">
        <v>675917.674199376</v>
      </c>
      <c r="L98" s="1160" t="n">
        <v>2.125026735127931</v>
      </c>
      <c r="M98" s="1159" t="n"/>
      <c r="N98" s="1159" t="n">
        <v>640249.306879107</v>
      </c>
      <c r="O98" s="1159" t="n">
        <v>443293.084838003</v>
      </c>
      <c r="P98" s="1159" t="n">
        <v>395589.846213943</v>
      </c>
      <c r="Q98" s="1159" t="n">
        <v>784796.2451635341</v>
      </c>
      <c r="R98" s="1159" t="n">
        <v>838882.931051946</v>
      </c>
      <c r="S98" s="1159" t="n">
        <v>-54086.68588841194</v>
      </c>
      <c r="T98" s="1159" t="n">
        <v>-38062.80758080003</v>
      </c>
      <c r="U98" s="1159" t="n"/>
      <c r="V98" s="1159" t="n">
        <v>8230286.19477404</v>
      </c>
      <c r="W98" s="1159" t="n">
        <v>663548.09434502</v>
      </c>
      <c r="X98" s="1159" t="n">
        <v>481152.430187841</v>
      </c>
      <c r="Y98" s="1159" t="n">
        <v>978416.046986155</v>
      </c>
      <c r="Z98" s="1159" t="n">
        <v>1144700.524532861</v>
      </c>
      <c r="AA98" s="1159" t="n">
        <v>-166284.4775467061</v>
      </c>
      <c r="AB98" s="1159" t="n">
        <v>18072.72554064915</v>
      </c>
      <c r="AC98" s="220" t="n"/>
      <c r="AE98" s="999">
        <f>W98/Z98</f>
        <v/>
      </c>
      <c r="AF98" s="999">
        <f>X98/Z98</f>
        <v/>
      </c>
      <c r="AG98" s="999" t="n"/>
      <c r="AH98" s="999">
        <f>X98/$Q98</f>
        <v/>
      </c>
      <c r="AI98" s="999">
        <f>D98/$Q98</f>
        <v/>
      </c>
    </row>
    <row r="99">
      <c r="A99" s="541">
        <f>EDATE(A98, 3)</f>
        <v/>
      </c>
      <c r="B99" s="631" t="inlineStr">
        <is>
          <t>Jul-Sep 2024</t>
        </is>
      </c>
      <c r="C99" s="1159" t="n">
        <v>31176876.720026</v>
      </c>
      <c r="D99" s="1159" t="n">
        <v>242975.694563324</v>
      </c>
      <c r="E99" s="1159" t="n">
        <v>594832.9403422991</v>
      </c>
      <c r="F99" s="1159" t="n">
        <v>1140466.669283804</v>
      </c>
      <c r="G99" s="1159" t="n">
        <v>837808.634905623</v>
      </c>
      <c r="H99" s="1159" t="n">
        <v>302658.034378181</v>
      </c>
      <c r="I99" s="1159" t="n">
        <v>195026.4781044573</v>
      </c>
      <c r="J99" s="1159" t="n"/>
      <c r="K99" s="1159" t="n">
        <v>566755.472198196</v>
      </c>
      <c r="L99" s="1160" t="n">
        <v>1.770061784656473</v>
      </c>
      <c r="M99" s="1159" t="n"/>
      <c r="N99" s="1159" t="n">
        <v>665388.409743507</v>
      </c>
      <c r="O99" s="1159" t="n">
        <v>455696.015585083</v>
      </c>
      <c r="P99" s="1159" t="n">
        <v>309087.137104743</v>
      </c>
      <c r="Q99" s="1159" t="n">
        <v>767984.68102081</v>
      </c>
      <c r="R99" s="1159" t="n">
        <v>764783.152689826</v>
      </c>
      <c r="S99" s="1159" t="n">
        <v>3201.52833098406</v>
      </c>
      <c r="T99" s="1159" t="n">
        <v>41467.52798160585</v>
      </c>
      <c r="U99" s="1159" t="n"/>
      <c r="V99" s="1159" t="n">
        <v>8117148.36065634</v>
      </c>
      <c r="W99" s="1159" t="n">
        <v>684770.653698721</v>
      </c>
      <c r="X99" s="1159" t="n">
        <v>525008.9864574861</v>
      </c>
      <c r="Y99" s="1159" t="n">
        <v>903920.0774470421</v>
      </c>
      <c r="Z99" s="1159" t="n">
        <v>1209779.640156207</v>
      </c>
      <c r="AA99" s="1159" t="n">
        <v>-305859.562709165</v>
      </c>
      <c r="AB99" s="1159" t="n">
        <v>-142081.0060860738</v>
      </c>
      <c r="AC99" s="1159" t="n"/>
      <c r="AE99" s="999">
        <f>W99/Z99</f>
        <v/>
      </c>
      <c r="AF99" s="999">
        <f>X99/Z99</f>
        <v/>
      </c>
      <c r="AG99" s="999" t="n"/>
      <c r="AH99" s="999">
        <f>X99/$Q99</f>
        <v/>
      </c>
      <c r="AI99" s="999">
        <f>D99/$Q99</f>
        <v/>
      </c>
    </row>
    <row r="100">
      <c r="A100" s="541">
        <f>EDATE(A99, 3)</f>
        <v/>
      </c>
      <c r="B100" s="631" t="inlineStr">
        <is>
          <t>Oct-Dec 2024</t>
        </is>
      </c>
      <c r="C100" s="1159" t="n">
        <v>31324407.6224244</v>
      </c>
      <c r="D100" s="1159" t="n">
        <v>292689.36173169</v>
      </c>
      <c r="E100" s="1159" t="n">
        <v>614517.547498281</v>
      </c>
      <c r="F100" s="1159" t="n">
        <v>1023751.866848741</v>
      </c>
      <c r="G100" s="1159" t="n">
        <v>907206.909229971</v>
      </c>
      <c r="H100" s="1159" t="n">
        <v>116544.95761877</v>
      </c>
      <c r="I100" s="1159" t="n">
        <v>88572.76072313637</v>
      </c>
      <c r="J100" s="1159" t="n"/>
      <c r="K100" s="1159" t="n">
        <v>653938.6112855721</v>
      </c>
      <c r="L100" s="1160" t="n">
        <v>2.031127472042462</v>
      </c>
      <c r="M100" s="1159" t="n"/>
      <c r="N100" s="1159" t="n">
        <v>736810.740994724</v>
      </c>
      <c r="O100" s="1159" t="n">
        <v>391884.964867869</v>
      </c>
      <c r="P100" s="1159" t="n">
        <v>334532.262568628</v>
      </c>
      <c r="Q100" s="1159" t="n">
        <v>775753.4768539839</v>
      </c>
      <c r="R100" s="1159" t="n">
        <v>726417.227436497</v>
      </c>
      <c r="S100" s="1159" t="n">
        <v>49336.24941748695</v>
      </c>
      <c r="T100" s="1159" t="n">
        <v>41923.21673189313</v>
      </c>
      <c r="U100" s="1159" t="n"/>
      <c r="V100" s="1159" t="n">
        <v>7970569.68373432</v>
      </c>
      <c r="W100" s="1159" t="n">
        <v>631866.901980872</v>
      </c>
      <c r="X100" s="1159" t="n">
        <v>483064.115122294</v>
      </c>
      <c r="Y100" s="1159" t="n">
        <v>949049.8100669091</v>
      </c>
      <c r="Z100" s="1159" t="n">
        <v>1114931.017103166</v>
      </c>
      <c r="AA100" s="1159" t="n">
        <v>-165881.207036257</v>
      </c>
      <c r="AB100" s="1159" t="n">
        <v>-42116.97745502554</v>
      </c>
      <c r="AC100" s="1159" t="n"/>
      <c r="AE100" s="999">
        <f>W100/Z100</f>
        <v/>
      </c>
      <c r="AF100" s="999">
        <f>X100/Z100</f>
        <v/>
      </c>
      <c r="AG100" s="999" t="n"/>
      <c r="AH100" s="999">
        <f>X100/$Q100</f>
        <v/>
      </c>
      <c r="AI100" s="999">
        <f>D100/$Q100</f>
        <v/>
      </c>
    </row>
    <row r="101">
      <c r="A101" s="541">
        <f>EDATE(A100, 3)</f>
        <v/>
      </c>
      <c r="B101" s="631" t="inlineStr">
        <is>
          <t>Jan-Mar 2025</t>
        </is>
      </c>
      <c r="C101" s="1159" t="n">
        <v>31379273.8183415</v>
      </c>
      <c r="D101" s="1159" t="n">
        <v>311438.553693265</v>
      </c>
      <c r="E101" s="1159" t="n">
        <v>604431.90569484</v>
      </c>
      <c r="F101" s="1159" t="n">
        <v>1120604.695878833</v>
      </c>
      <c r="G101" s="1159" t="n">
        <v>915870.459388105</v>
      </c>
      <c r="H101" s="1159" t="n">
        <v>204734.2364907281</v>
      </c>
      <c r="I101" s="1159" t="n">
        <v>84758.16411232576</v>
      </c>
      <c r="J101" s="1159" t="n"/>
      <c r="K101" s="1159" t="n">
        <v>704609.928793455</v>
      </c>
      <c r="L101" s="1160" t="n">
        <v>2.18349252687098</v>
      </c>
      <c r="M101" s="1159" t="n"/>
      <c r="N101" s="1159" t="n">
        <v>684268.4731199261</v>
      </c>
      <c r="O101" s="1159" t="n">
        <v>506299.693086031</v>
      </c>
      <c r="P101" s="1159" t="n">
        <v>319854.033079026</v>
      </c>
      <c r="Q101" s="1159" t="n">
        <v>897053.2068565341</v>
      </c>
      <c r="R101" s="1159" t="n">
        <v>826153.7261650569</v>
      </c>
      <c r="S101" s="1159" t="n">
        <v>70899.48069147719</v>
      </c>
      <c r="T101" s="1159" t="n">
        <v>57279.19064914878</v>
      </c>
      <c r="U101" s="1159" t="n"/>
      <c r="V101" s="1159" t="n">
        <v>7949752.34809485</v>
      </c>
      <c r="W101" s="1159" t="n">
        <v>614305.0027928021</v>
      </c>
      <c r="X101" s="1159" t="n">
        <v>585614.653163269</v>
      </c>
      <c r="Y101" s="1159" t="n">
        <v>924285.938773866</v>
      </c>
      <c r="Z101" s="1159" t="n">
        <v>1199919.655956071</v>
      </c>
      <c r="AA101" s="1159" t="n">
        <v>-275633.7171822051</v>
      </c>
      <c r="AB101" s="1159" t="n">
        <v>-53982.35476147383</v>
      </c>
      <c r="AC101" s="1159" t="n"/>
      <c r="AE101" s="999">
        <f>W101/Z101</f>
        <v/>
      </c>
      <c r="AF101" s="999">
        <f>X101/Z101</f>
        <v/>
      </c>
      <c r="AG101" s="999" t="n"/>
      <c r="AH101" s="999">
        <f>X101/$Q101</f>
        <v/>
      </c>
      <c r="AI101" s="999">
        <f>D101/$Q101</f>
        <v/>
      </c>
    </row>
    <row r="102">
      <c r="A102" s="541">
        <f>EDATE(A101, 3)</f>
        <v/>
      </c>
      <c r="B102" s="631" t="inlineStr">
        <is>
          <t>Apr-Jun 2025</t>
        </is>
      </c>
      <c r="C102" s="1159" t="n">
        <v>31489268.4529345</v>
      </c>
      <c r="D102" s="1159" t="n">
        <v>306599.282271141</v>
      </c>
      <c r="E102" s="1159" t="n">
        <v>543412.200346566</v>
      </c>
      <c r="F102" s="1159" t="n">
        <v>1125007.177971717</v>
      </c>
      <c r="G102" s="1159" t="n">
        <v>850011.482617707</v>
      </c>
      <c r="H102" s="1159" t="n">
        <v>274995.69535401</v>
      </c>
      <c r="I102" s="1159" t="n">
        <v>182582.0523234457</v>
      </c>
      <c r="J102" s="1159" t="n"/>
      <c r="K102" s="1159" t="n">
        <v>749666.431001486</v>
      </c>
      <c r="L102" s="1160" t="n">
        <v>2.309961117861443</v>
      </c>
      <c r="M102" s="1159" t="n"/>
      <c r="N102" s="1159" t="n">
        <v>829884.324956405</v>
      </c>
      <c r="O102" s="1159" t="n">
        <v>466426.495716166</v>
      </c>
      <c r="P102" s="1159" t="n">
        <v>282622.732536003</v>
      </c>
      <c r="Q102" s="1159" t="n">
        <v>787585.64506266</v>
      </c>
      <c r="R102" s="1159" t="n">
        <v>749049.228252169</v>
      </c>
      <c r="S102" s="1159" t="n">
        <v>38536.41681049101</v>
      </c>
      <c r="T102" s="1159" t="n">
        <v>61274.38555822964</v>
      </c>
      <c r="U102" s="1159" t="n"/>
      <c r="V102" s="1159" t="n">
        <v>7996635.51045155</v>
      </c>
      <c r="W102" s="1159" t="n">
        <v>658580.682255551</v>
      </c>
      <c r="X102" s="1159" t="n">
        <v>480986.362791519</v>
      </c>
      <c r="Y102" s="1159" t="n">
        <v>826034.932882569</v>
      </c>
      <c r="Z102" s="1159" t="n">
        <v>1139567.04504707</v>
      </c>
      <c r="AA102" s="1159" t="n">
        <v>-313532.1121645009</v>
      </c>
      <c r="AB102" s="1159" t="n">
        <v>-155602.4378816765</v>
      </c>
      <c r="AC102" s="1159" t="n"/>
      <c r="AE102" s="999">
        <f>W102/Z102</f>
        <v/>
      </c>
      <c r="AF102" s="999">
        <f>X102/Z102</f>
        <v/>
      </c>
      <c r="AG102" s="999" t="n"/>
      <c r="AH102" s="999">
        <f>X102/$Q102</f>
        <v/>
      </c>
      <c r="AI102" s="999">
        <f>D102/$Q102</f>
        <v/>
      </c>
    </row>
    <row r="103">
      <c r="A103" s="541">
        <f>EDATE(A102, 3)</f>
        <v/>
      </c>
      <c r="B103" s="20" t="inlineStr">
        <is>
          <t>Jul-Sep 2025</t>
        </is>
      </c>
      <c r="C103" s="1159" t="n">
        <v>31589421.8315231</v>
      </c>
      <c r="D103" s="1159" t="n">
        <v>367040.929103676</v>
      </c>
      <c r="E103" s="1159" t="n">
        <v>571988.269981961</v>
      </c>
      <c r="F103" s="1159" t="n">
        <v>1022842.187770034</v>
      </c>
      <c r="G103" s="1159" t="n">
        <v>939029.199085637</v>
      </c>
      <c r="H103" s="1159" t="n">
        <v>83812.98868439696</v>
      </c>
      <c r="I103" s="1159" t="n">
        <v>-41466.41363931447</v>
      </c>
      <c r="J103" s="1159" t="n"/>
      <c r="K103" s="1159" t="n">
        <v>708308.1753079951</v>
      </c>
      <c r="L103" s="1160" t="n">
        <v>2.178735513487402</v>
      </c>
      <c r="M103" s="1159" t="n"/>
      <c r="N103" s="1159" t="n">
        <v>877561.842777079</v>
      </c>
      <c r="O103" s="1159" t="n">
        <v>422027.890829808</v>
      </c>
      <c r="P103" s="1159" t="n">
        <v>337544.632219053</v>
      </c>
      <c r="Q103" s="1159" t="n">
        <v>838478.189390373</v>
      </c>
      <c r="R103" s="1159" t="n">
        <v>759572.523048861</v>
      </c>
      <c r="S103" s="1159" t="n">
        <v>78905.666341512</v>
      </c>
      <c r="T103" s="1159" t="n">
        <v>110202.0010246958</v>
      </c>
      <c r="U103" s="1159" t="n"/>
      <c r="V103" s="1159" t="n">
        <v>7889148.77749095</v>
      </c>
      <c r="W103" s="1159" t="n">
        <v>600814.296940226</v>
      </c>
      <c r="X103" s="1159" t="n">
        <v>471437.260286697</v>
      </c>
      <c r="Y103" s="1159" t="n">
        <v>909532.902201014</v>
      </c>
      <c r="Z103" s="1159" t="n">
        <v>1072251.557226923</v>
      </c>
      <c r="AA103" s="1159" t="n">
        <v>-162718.6550259091</v>
      </c>
      <c r="AB103" s="1159" t="n">
        <v>6808.412614617497</v>
      </c>
      <c r="AE103" s="999">
        <f>W103/Z103</f>
        <v/>
      </c>
      <c r="AF103" s="999">
        <f>X103/Z103</f>
        <v/>
      </c>
      <c r="AG103" s="999" t="n"/>
      <c r="AH103" s="999">
        <f>X103/$Q103</f>
        <v/>
      </c>
      <c r="AI103" s="999">
        <f>D103/$Q103</f>
        <v/>
      </c>
    </row>
    <row r="104">
      <c r="B104" s="220" t="inlineStr">
        <is>
          <t>1 Job to job flows refer to those who were employed in both quarters, but who in the latter quarter reported being with their current employer for less than three months, indicating a change of job between the quarters</t>
        </is>
      </c>
      <c r="AB104" s="527" t="n"/>
      <c r="AG104" s="643" t="inlineStr">
        <is>
          <t>2014-2019 average:</t>
        </is>
      </c>
      <c r="AH104" s="1161">
        <f>AVERAGE(AH61:AH80)</f>
        <v/>
      </c>
      <c r="AI104" s="1161">
        <f>AVERAGE(AI61:AI80)</f>
        <v/>
      </c>
    </row>
    <row r="105">
      <c r="B105" s="872" t="inlineStr">
        <is>
          <t>2 These series were revised from Apr-Jun 2012 to reflect changes to the weighting methodology, resulting in a discontinuity. Further information is available here.</t>
        </is>
      </c>
      <c r="Y105" s="1151" t="n"/>
    </row>
    <row r="106" ht="12.75" customHeight="1" s="828">
      <c r="B106" s="220" t="inlineStr">
        <is>
          <t>3 Data from Jan-Mar 2019 are weighted to the same population totals as the quarterly Labour Force Survey estimates, resulting in a discontinuity in these series.</t>
        </is>
      </c>
      <c r="C106" s="220" t="n"/>
      <c r="D106" s="220" t="n"/>
      <c r="E106" s="220" t="n"/>
      <c r="F106" s="220" t="n"/>
      <c r="G106" s="220" t="n"/>
      <c r="H106" s="220" t="n"/>
      <c r="I106" s="220" t="n"/>
      <c r="J106" s="526" t="n"/>
      <c r="K106" s="526" t="n"/>
      <c r="L106" s="526" t="n"/>
    </row>
    <row r="107">
      <c r="B107" s="524" t="n"/>
      <c r="C107" s="524" t="n"/>
      <c r="D107" s="524" t="n"/>
      <c r="E107" s="524" t="n"/>
      <c r="F107" s="524" t="n"/>
      <c r="G107" s="524" t="n"/>
      <c r="H107" s="524" t="n"/>
      <c r="I107" s="524" t="n"/>
      <c r="J107" s="524" t="n"/>
      <c r="K107" s="524" t="n"/>
      <c r="L107" s="524" t="n"/>
      <c r="M107" s="524" t="n"/>
      <c r="N107" s="524" t="n"/>
      <c r="O107" s="524" t="n"/>
      <c r="AH107" s="206">
        <f>SUM(D101:D103)/(SUM($D$101:$D$103)+SUM($X$101:$X$103))</f>
        <v/>
      </c>
      <c r="AI107" s="206">
        <f>SUM(X101:X103)/(SUM($D$101:$D$103)+SUM($X$101:$X$103))</f>
        <v/>
      </c>
    </row>
    <row r="108" ht="13" customHeight="1" s="828">
      <c r="B108" s="525" t="inlineStr">
        <is>
          <t>Quality indicator</t>
        </is>
      </c>
      <c r="C108" s="524" t="n"/>
      <c r="D108" s="524" t="n"/>
      <c r="E108" s="524" t="n"/>
      <c r="F108" s="524" t="n"/>
      <c r="G108" s="524" t="n"/>
      <c r="H108" s="524" t="n"/>
      <c r="I108" s="524" t="n"/>
      <c r="J108" s="524" t="n"/>
      <c r="K108" s="524" t="n"/>
      <c r="L108" s="524" t="n"/>
      <c r="M108" s="524" t="n"/>
      <c r="N108" s="524" t="n"/>
      <c r="O108" s="524" t="n"/>
      <c r="AH108" s="999">
        <f>X103/SUM(X103,D103)</f>
        <v/>
      </c>
    </row>
    <row r="109">
      <c r="B109" s="523" t="inlineStr">
        <is>
          <t>Shaded estimates are based on a small sample size. This may result in less precise estimates, which should be used with caution.</t>
        </is>
      </c>
      <c r="C109" s="522" t="n"/>
      <c r="D109" s="522" t="n"/>
      <c r="E109" s="522" t="n"/>
      <c r="F109" s="522" t="n"/>
      <c r="G109" s="522" t="n"/>
      <c r="H109" s="522" t="n"/>
      <c r="I109" s="522" t="n"/>
    </row>
    <row r="110">
      <c r="B110" s="521" t="inlineStr">
        <is>
          <t>Unshaded estimates are based on a larger sample size. This is likely to result in estimates of higher precision, although they will still be subject to some sampling variability.</t>
        </is>
      </c>
    </row>
    <row r="111">
      <c r="B111" s="520" t="inlineStr">
        <is>
          <t>..  Estimate has been suppressed on disclosure grounds.</t>
        </is>
      </c>
    </row>
  </sheetData>
  <mergeCells count="5">
    <mergeCell ref="V5:AB5"/>
    <mergeCell ref="B105:L105"/>
    <mergeCell ref="N5:T5"/>
    <mergeCell ref="K5:L5"/>
    <mergeCell ref="C5:I5"/>
  </mergeCells>
  <hyperlinks>
    <hyperlink xmlns:r="http://schemas.openxmlformats.org/officeDocument/2006/relationships" ref="B105" display="Note: These series were revised from Apr-Jun 2012 to reflect changes to the weighting methodology, resulting in a discontinuity. Further information is available here: https://www.ons.gov.uk/employmentandlabourmarket/peopleinwork/employmentandemployeetypes/methodologies/improvementstotheweightingmethodologyusedinthelabourforcesurveylongitudinaldatasets" r:id="rId1"/>
  </hyperlinks>
  <pageMargins left="0.7480314960629921" right="0.7480314960629921" top="0.984251968503937" bottom="0.984251968503937" header="0.5118110236220472" footer="0.5118110236220472"/>
  <pageSetup orientation="landscape" paperSize="9" scale="99"/>
  <colBreaks count="2" manualBreakCount="2">
    <brk id="13" min="0" max="1048575" man="1"/>
    <brk id="21" min="0" max="96" man="1"/>
  </colBreaks>
  <drawing xmlns:r="http://schemas.openxmlformats.org/officeDocument/2006/relationships" r:id="rId2"/>
</worksheet>
</file>

<file path=xl/worksheets/sheet24.xml><?xml version="1.0" encoding="utf-8"?>
<worksheet xmlns="http://schemas.openxmlformats.org/spreadsheetml/2006/main">
  <sheetPr>
    <tabColor rgb="FF00B050"/>
    <outlinePr summaryBelow="1" summaryRight="1"/>
    <pageSetUpPr/>
  </sheetPr>
  <dimension ref="A1:A1"/>
  <sheetViews>
    <sheetView workbookViewId="0">
      <selection activeCell="A1" sqref="A1"/>
    </sheetView>
  </sheetViews>
  <sheetFormatPr baseColWidth="8" defaultRowHeight="14.5"/>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4.5"/>
  <cols>
    <col width="14.08984375" customWidth="1" style="828" min="2" max="2"/>
    <col width="20.6328125" customWidth="1" style="828" min="3" max="3"/>
    <col width="31.90625" bestFit="1" customWidth="1" style="828" min="4" max="4"/>
    <col width="31.08984375" bestFit="1" customWidth="1" style="828" min="5" max="5"/>
    <col width="22.453125" customWidth="1" style="828" min="6" max="6"/>
  </cols>
  <sheetData>
    <row r="1">
      <c r="A1" s="328" t="inlineStr">
        <is>
          <t>OECD Data Explorer • Infra-annual labour statistics</t>
        </is>
      </c>
    </row>
    <row r="2" ht="15" customHeight="1" s="828" thickBot="1"/>
    <row r="3" ht="33.5" customHeight="1" s="828" thickBot="1">
      <c r="B3" s="645" t="n"/>
      <c r="C3" s="646" t="inlineStr">
        <is>
          <t>Time period</t>
        </is>
      </c>
      <c r="D3" s="646" t="inlineStr">
        <is>
          <t>Unemployment rate (15+1, %)</t>
        </is>
      </c>
      <c r="E3" s="646" t="inlineStr">
        <is>
          <t>Employment rate (15-641, %)</t>
        </is>
      </c>
      <c r="F3" s="646" t="inlineStr">
        <is>
          <t>Inactivity Rate (15-641, %)</t>
        </is>
      </c>
    </row>
    <row r="4" ht="37" customHeight="1" s="828" thickBot="1">
      <c r="B4" s="647" t="inlineStr">
        <is>
          <t>UK</t>
        </is>
      </c>
      <c r="C4" s="660" t="inlineStr">
        <is>
          <t>Q3 2025</t>
        </is>
      </c>
      <c r="D4" s="1162" t="n">
        <v>0.05</v>
      </c>
      <c r="E4" s="1162" t="n">
        <v>0.75</v>
      </c>
      <c r="F4" s="1162" t="n">
        <v>0.21</v>
      </c>
    </row>
    <row r="5" ht="37" customHeight="1" s="828" thickBot="1">
      <c r="B5" s="647" t="inlineStr">
        <is>
          <t>US</t>
        </is>
      </c>
      <c r="C5" s="660" t="inlineStr">
        <is>
          <t>Q3 2025</t>
        </is>
      </c>
      <c r="D5" s="1162" t="n">
        <v>0.043</v>
      </c>
      <c r="E5" s="1162" t="n">
        <v>0.716</v>
      </c>
      <c r="F5" s="1162" t="n">
        <v>0.251</v>
      </c>
    </row>
    <row r="6" ht="37" customHeight="1" s="828" thickBot="1">
      <c r="B6" s="647" t="inlineStr">
        <is>
          <t>France</t>
        </is>
      </c>
      <c r="C6" s="660" t="inlineStr">
        <is>
          <t>Q2 2025</t>
        </is>
      </c>
      <c r="D6" s="1162" t="n">
        <v>0.075</v>
      </c>
      <c r="E6" s="1162" t="n">
        <v>0.696</v>
      </c>
      <c r="F6" s="1162" t="n">
        <v>0.247</v>
      </c>
    </row>
    <row r="7" ht="37" customHeight="1" s="828" thickBot="1">
      <c r="B7" s="647" t="inlineStr">
        <is>
          <t>Germany</t>
        </is>
      </c>
      <c r="C7" s="660" t="inlineStr">
        <is>
          <t>Q2 2025</t>
        </is>
      </c>
      <c r="D7" s="1162" t="n">
        <v>0.037</v>
      </c>
      <c r="E7" s="1162" t="n">
        <v>0.774</v>
      </c>
      <c r="F7" s="1162" t="n">
        <v>0.196</v>
      </c>
    </row>
    <row r="8" ht="37" customHeight="1" s="828" thickBot="1">
      <c r="B8" s="647" t="inlineStr">
        <is>
          <t>Italy</t>
        </is>
      </c>
      <c r="C8" s="660" t="inlineStr">
        <is>
          <t>Q2 2025</t>
        </is>
      </c>
      <c r="D8" s="1162" t="n">
        <v>0.066</v>
      </c>
      <c r="E8" s="1162" t="n">
        <v>0.625</v>
      </c>
      <c r="F8" s="1162" t="n">
        <v>0.329</v>
      </c>
    </row>
    <row r="9" ht="37" customHeight="1" s="828" thickBot="1">
      <c r="B9" s="647" t="inlineStr">
        <is>
          <t>Spain</t>
        </is>
      </c>
      <c r="C9" s="660" t="inlineStr">
        <is>
          <t>Q2 2025</t>
        </is>
      </c>
      <c r="D9" s="1162" t="n">
        <v>0.105</v>
      </c>
      <c r="E9" s="1162" t="n">
        <v>0.669</v>
      </c>
      <c r="F9" s="1162" t="n">
        <v>0.252</v>
      </c>
    </row>
    <row r="10" ht="37" customHeight="1" s="828" thickBot="1">
      <c r="B10" s="647" t="inlineStr">
        <is>
          <t>Canada</t>
        </is>
      </c>
      <c r="C10" s="660" t="inlineStr">
        <is>
          <t>Q3 2025</t>
        </is>
      </c>
      <c r="D10" s="1162" t="n">
        <v>0.07000000000000001</v>
      </c>
      <c r="E10" s="1162" t="n">
        <v>0.74</v>
      </c>
      <c r="F10" s="1162" t="n">
        <v>0.204</v>
      </c>
    </row>
    <row r="11" ht="37" customHeight="1" s="828" thickBot="1">
      <c r="B11" s="647" t="inlineStr">
        <is>
          <t>Japan</t>
        </is>
      </c>
      <c r="C11" s="660" t="inlineStr">
        <is>
          <t>Q3 2026</t>
        </is>
      </c>
      <c r="D11" s="1162" t="n">
        <v>0.025</v>
      </c>
      <c r="E11" s="1162" t="n">
        <v>0.801</v>
      </c>
      <c r="F11" s="1162" t="n">
        <v>0.178</v>
      </c>
    </row>
    <row r="12" ht="37" customHeight="1" s="828" thickBot="1">
      <c r="B12" s="647" t="inlineStr">
        <is>
          <t>Euro Area</t>
        </is>
      </c>
      <c r="C12" s="660" t="inlineStr">
        <is>
          <t>Q2 2025</t>
        </is>
      </c>
      <c r="D12" s="1162" t="n">
        <v>0.064</v>
      </c>
      <c r="E12" s="1162" t="n">
        <v>0.709</v>
      </c>
      <c r="F12" s="1162" t="n">
        <v>0.242</v>
      </c>
    </row>
  </sheetData>
  <hyperlinks>
    <hyperlink xmlns:r="http://schemas.openxmlformats.org/officeDocument/2006/relationships" ref="A1" display="https://data-explorer.oecd.org/vis?fs%5b0%5d=Topic%2C1%7CEmployment%23JOB%23%7CUnemployment%20indicators%23JOB_UNEMP%23&amp;fs%5b1%5d=Frequency%20of%20observation%2C0%7CQuarterly%23Q%23&amp;fs%5b2%5d=Measure%2C0%7CUnemployment%23UNE%23&amp;fs%5b3%5d=Measure%2C0%7CUnemployment%20rate%23UNE_LF%23&amp;pg=0&amp;fc=Measure&amp;snb=1&amp;vw=tb&amp;df%5bds%5d=dsDisseminateFinalDMZ&amp;df%5bid%5d=DSD_LFS%40DF_IALFS_INDIC&amp;df%5bag%5d=OECD.SDD.TPS&amp;df%5bvs%5d=1.0&amp;dq=OECD%2BUSA%2BGBR%2BTUR%2BCHE%2BSWE%2BESP%2BSVN%2BSVK%2BPRT%2BPOL%2BNOR%2BNZL%2BNLD%2BMEX%2BLUX%2BLTU%2BLVA%2BKOR%2BJPN%2BITA%2BISR%2BIRL%2BISL%2BHUN%2BGRC%2BDEU%2BFRA%2BFIN%2BDNK%2BEST%2BCZE%2BCRI%2BCOL%2BCAN%2BCHL%2BBEL%2BAUT%2BAUS.UNE_LF...Y.M%2BF%2B_T.Y15T64..Q&amp;pd=2024-Q2%2C&amp;to%5bTIME_PERIOD%5d=false" r:id="rId1"/>
  </hyperlinks>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B1:K19"/>
  <sheetViews>
    <sheetView topLeftCell="A11" workbookViewId="0">
      <selection activeCell="K10" sqref="K10"/>
    </sheetView>
  </sheetViews>
  <sheetFormatPr baseColWidth="8" defaultRowHeight="14.5"/>
  <cols>
    <col width="20" customWidth="1" style="828" min="2" max="2"/>
    <col width="11" customWidth="1" style="828" min="3" max="10"/>
  </cols>
  <sheetData>
    <row r="1">
      <c r="B1" s="648" t="inlineStr">
        <is>
          <t>Infra-annual labour statistics</t>
        </is>
      </c>
    </row>
    <row r="2">
      <c r="B2" s="649" t="inlineStr">
        <is>
          <t>Age: 15 years or over</t>
        </is>
      </c>
    </row>
    <row r="3">
      <c r="B3" s="649" t="inlineStr">
        <is>
          <t>Frequency of observation: Quarterly</t>
        </is>
      </c>
    </row>
    <row r="4">
      <c r="B4" s="649" t="inlineStr">
        <is>
          <t>Measure: Unemployment rate</t>
        </is>
      </c>
    </row>
    <row r="5">
      <c r="B5" s="649" t="inlineStr">
        <is>
          <t>Unit of measure: Percentage of labour force in the same subgroup, Calendar and seasonally adjusted</t>
        </is>
      </c>
    </row>
    <row r="7" ht="43.25" customHeight="1" s="828">
      <c r="B7" s="874" t="inlineStr">
        <is>
          <t>Time period</t>
        </is>
      </c>
      <c r="C7" s="489" t="n"/>
      <c r="D7" s="650" t="inlineStr">
        <is>
          <t>2024-Q1</t>
        </is>
      </c>
      <c r="E7" s="650" t="inlineStr">
        <is>
          <t>2024-Q2</t>
        </is>
      </c>
      <c r="F7" s="650" t="inlineStr">
        <is>
          <t>2024-Q3</t>
        </is>
      </c>
      <c r="G7" s="650" t="inlineStr">
        <is>
          <t>2024-Q4</t>
        </is>
      </c>
      <c r="H7" s="650" t="inlineStr">
        <is>
          <t>2025-Q1</t>
        </is>
      </c>
      <c r="I7" s="650" t="inlineStr">
        <is>
          <t>2025-Q2</t>
        </is>
      </c>
      <c r="J7" s="650" t="inlineStr">
        <is>
          <t>2025-Q3</t>
        </is>
      </c>
    </row>
    <row r="8">
      <c r="B8" s="651" t="inlineStr">
        <is>
          <t>Reference area</t>
        </is>
      </c>
      <c r="C8" s="652" t="inlineStr"/>
      <c r="D8" s="652" t="inlineStr"/>
      <c r="E8" s="652" t="inlineStr"/>
      <c r="F8" s="652" t="inlineStr"/>
      <c r="G8" s="652" t="inlineStr"/>
      <c r="H8" s="652" t="inlineStr"/>
      <c r="I8" s="652" t="inlineStr"/>
      <c r="J8" s="652" t="inlineStr"/>
    </row>
    <row r="9" ht="43.25" customHeight="1" s="828">
      <c r="B9" s="653" t="inlineStr">
        <is>
          <t>Canada</t>
        </is>
      </c>
      <c r="C9" s="654" t="inlineStr"/>
      <c r="D9" s="1163" t="n">
        <v>5.9</v>
      </c>
      <c r="E9" s="1163" t="n">
        <v>6.3</v>
      </c>
      <c r="F9" s="1163" t="n">
        <v>6.566667</v>
      </c>
      <c r="G9" s="1163" t="n">
        <v>6.733333</v>
      </c>
      <c r="H9" s="1163" t="n">
        <v>6.633333</v>
      </c>
      <c r="I9" s="1163" t="n">
        <v>6.933333</v>
      </c>
      <c r="J9" s="1163" t="n">
        <v>7.033333</v>
      </c>
    </row>
    <row r="10" ht="43.25" customHeight="1" s="828">
      <c r="B10" s="653" t="inlineStr">
        <is>
          <t>France</t>
        </is>
      </c>
      <c r="C10" s="654" t="inlineStr"/>
      <c r="D10" s="1163" t="n">
        <v>7.460117</v>
      </c>
      <c r="E10" s="1163" t="n">
        <v>7.337601</v>
      </c>
      <c r="F10" s="1163" t="n">
        <v>7.433329</v>
      </c>
      <c r="G10" s="1163" t="n">
        <v>7.319407</v>
      </c>
      <c r="H10" s="1163" t="n">
        <v>7.431423</v>
      </c>
      <c r="I10" s="1163" t="n">
        <v>7.533759</v>
      </c>
      <c r="J10" s="656" t="inlineStr"/>
    </row>
    <row r="11" ht="43.25" customHeight="1" s="828">
      <c r="B11" s="653" t="inlineStr">
        <is>
          <t>Germany</t>
        </is>
      </c>
      <c r="C11" s="654" t="inlineStr"/>
      <c r="D11" s="657" t="n">
        <v>3.262658</v>
      </c>
      <c r="E11" s="657" t="n">
        <v>3.380795</v>
      </c>
      <c r="F11" s="657" t="n">
        <v>3.472289</v>
      </c>
      <c r="G11" s="657" t="n">
        <v>3.370946</v>
      </c>
      <c r="H11" s="657" t="n">
        <v>3.570873</v>
      </c>
      <c r="I11" s="657" t="n">
        <v>3.691198</v>
      </c>
      <c r="J11" s="656" t="inlineStr"/>
    </row>
    <row r="12" ht="43.25" customHeight="1" s="828">
      <c r="B12" s="653" t="inlineStr">
        <is>
          <t>Italy</t>
        </is>
      </c>
      <c r="C12" s="654" t="inlineStr"/>
      <c r="D12" s="1163" t="n">
        <v>7.210085</v>
      </c>
      <c r="E12" s="1163" t="n">
        <v>6.735523</v>
      </c>
      <c r="F12" s="1163" t="n">
        <v>6.085654</v>
      </c>
      <c r="G12" s="1163" t="n">
        <v>5.963633</v>
      </c>
      <c r="H12" s="1163" t="n">
        <v>6.333858</v>
      </c>
      <c r="I12" s="1163" t="n">
        <v>6.631587</v>
      </c>
      <c r="J12" s="656" t="inlineStr"/>
    </row>
    <row r="13" ht="43.25" customHeight="1" s="828">
      <c r="B13" s="653" t="inlineStr">
        <is>
          <t>Japan</t>
        </is>
      </c>
      <c r="C13" s="654" t="inlineStr"/>
      <c r="D13" s="1163" t="n">
        <v>2.566667</v>
      </c>
      <c r="E13" s="1163" t="n">
        <v>2.566667</v>
      </c>
      <c r="F13" s="1163" t="n">
        <v>2.5</v>
      </c>
      <c r="G13" s="1163" t="n">
        <v>2.5</v>
      </c>
      <c r="H13" s="1163" t="n">
        <v>2.466667</v>
      </c>
      <c r="I13" s="1163" t="n">
        <v>2.5</v>
      </c>
      <c r="J13" s="1163" t="n">
        <v>2.5</v>
      </c>
    </row>
    <row r="14" ht="43.25" customHeight="1" s="828">
      <c r="B14" s="653" t="inlineStr">
        <is>
          <t>Spain</t>
        </is>
      </c>
      <c r="C14" s="654" t="inlineStr"/>
      <c r="D14" s="1163" t="n">
        <v>11.68634</v>
      </c>
      <c r="E14" s="1163" t="n">
        <v>11.50025</v>
      </c>
      <c r="F14" s="1163" t="n">
        <v>11.29459</v>
      </c>
      <c r="G14" s="1163" t="n">
        <v>10.89764</v>
      </c>
      <c r="H14" s="1163" t="n">
        <v>10.78951</v>
      </c>
      <c r="I14" s="1163" t="n">
        <v>10.49921</v>
      </c>
      <c r="J14" s="656" t="inlineStr"/>
    </row>
    <row r="15" ht="43.25" customHeight="1" s="828">
      <c r="B15" s="653" t="inlineStr">
        <is>
          <t>United Kingdom</t>
        </is>
      </c>
      <c r="C15" s="654" t="inlineStr"/>
      <c r="D15" s="1163" t="n">
        <v>4.341712</v>
      </c>
      <c r="E15" s="1163" t="n">
        <v>4.196704</v>
      </c>
      <c r="F15" s="1163" t="n">
        <v>4.2713</v>
      </c>
      <c r="G15" s="1163" t="n">
        <v>4.382324</v>
      </c>
      <c r="H15" s="1163" t="n">
        <v>4.535109</v>
      </c>
      <c r="I15" s="1163" t="n">
        <v>4.659199</v>
      </c>
      <c r="J15" s="1163" t="n">
        <v>4.972069</v>
      </c>
    </row>
    <row r="16" ht="43.25" customHeight="1" s="828">
      <c r="B16" s="653" t="inlineStr">
        <is>
          <t>United States</t>
        </is>
      </c>
      <c r="C16" s="654" t="inlineStr"/>
      <c r="D16" s="1163" t="n">
        <v>3.833333</v>
      </c>
      <c r="E16" s="1163" t="n">
        <v>4</v>
      </c>
      <c r="F16" s="1163" t="n">
        <v>4.166667</v>
      </c>
      <c r="G16" s="1163" t="n">
        <v>4.133333</v>
      </c>
      <c r="H16" s="1163" t="n">
        <v>4.1</v>
      </c>
      <c r="I16" s="1163" t="n">
        <v>4.166667</v>
      </c>
      <c r="J16" s="1163" t="n">
        <v>4.3</v>
      </c>
    </row>
    <row r="17" ht="43.25" customHeight="1" s="828">
      <c r="B17" s="653" t="inlineStr">
        <is>
          <t>Euro area (20 countries)</t>
        </is>
      </c>
      <c r="C17" s="654" t="inlineStr"/>
      <c r="D17" s="1163" t="n">
        <v>6.531428</v>
      </c>
      <c r="E17" s="1163" t="n">
        <v>6.380807</v>
      </c>
      <c r="F17" s="1163" t="n">
        <v>6.374712</v>
      </c>
      <c r="G17" s="1163" t="n">
        <v>6.125721</v>
      </c>
      <c r="H17" s="1163" t="n">
        <v>6.347013</v>
      </c>
      <c r="I17" s="1163" t="n">
        <v>6.369351</v>
      </c>
      <c r="J17" s="656" t="inlineStr"/>
    </row>
    <row r="19">
      <c r="B19" s="658" t="inlineStr">
        <is>
          <t xml:space="preserve">© Terms &amp; conditions </t>
        </is>
      </c>
      <c r="K19" s="659" t="inlineStr">
        <is>
          <t>Infra-annual labour statistics</t>
        </is>
      </c>
    </row>
  </sheetData>
  <mergeCells count="1">
    <mergeCell ref="B7:C7"/>
  </mergeCells>
  <hyperlinks>
    <hyperlink xmlns:r="http://schemas.openxmlformats.org/officeDocument/2006/relationships" ref="B19" r:id="rId1"/>
    <hyperlink xmlns:r="http://schemas.openxmlformats.org/officeDocument/2006/relationships" ref="K19" r:id="rId2"/>
  </hyperlinks>
  <pageMargins left="0.7" right="0.7" top="0.75" bottom="0.75" header="0.3" footer="0.3"/>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sheetPr>
  <dimension ref="B1:K19"/>
  <sheetViews>
    <sheetView topLeftCell="A9" zoomScale="80" workbookViewId="0">
      <selection activeCell="A1" sqref="A1"/>
    </sheetView>
  </sheetViews>
  <sheetFormatPr baseColWidth="8" defaultRowHeight="14.5"/>
  <cols>
    <col width="20" customWidth="1" style="828" min="2" max="2"/>
    <col width="11" customWidth="1" style="828" min="3" max="10"/>
  </cols>
  <sheetData>
    <row r="1">
      <c r="B1" s="648" t="inlineStr">
        <is>
          <t>Infra-annual labour statistics</t>
        </is>
      </c>
    </row>
    <row r="2">
      <c r="B2" s="649" t="inlineStr">
        <is>
          <t>Age: From 15 to 64 years</t>
        </is>
      </c>
    </row>
    <row r="3">
      <c r="B3" s="649" t="inlineStr">
        <is>
          <t>Frequency of observation: Quarterly</t>
        </is>
      </c>
    </row>
    <row r="4">
      <c r="B4" s="649" t="inlineStr">
        <is>
          <t>Measure: Employment rate</t>
        </is>
      </c>
    </row>
    <row r="5">
      <c r="B5" s="649" t="inlineStr">
        <is>
          <t>Unit of measure: Percentage of working age population in the same subgroup, Calendar and seasonally adjusted</t>
        </is>
      </c>
    </row>
    <row r="7" ht="43.25" customHeight="1" s="828">
      <c r="B7" s="874" t="inlineStr">
        <is>
          <t>Time period</t>
        </is>
      </c>
      <c r="C7" s="489" t="n"/>
      <c r="D7" s="650" t="inlineStr">
        <is>
          <t>2024-Q1</t>
        </is>
      </c>
      <c r="E7" s="650" t="inlineStr">
        <is>
          <t>2024-Q2</t>
        </is>
      </c>
      <c r="F7" s="650" t="inlineStr">
        <is>
          <t>2024-Q3</t>
        </is>
      </c>
      <c r="G7" s="650" t="inlineStr">
        <is>
          <t>2024-Q4</t>
        </is>
      </c>
      <c r="H7" s="650" t="inlineStr">
        <is>
          <t>2025-Q1</t>
        </is>
      </c>
      <c r="I7" s="650" t="inlineStr">
        <is>
          <t>2025-Q2</t>
        </is>
      </c>
      <c r="J7" s="650" t="inlineStr">
        <is>
          <t>2025-Q3</t>
        </is>
      </c>
    </row>
    <row r="8">
      <c r="B8" s="651" t="inlineStr">
        <is>
          <t>Reference area</t>
        </is>
      </c>
      <c r="C8" s="652" t="inlineStr"/>
      <c r="D8" s="652" t="inlineStr"/>
      <c r="E8" s="652" t="inlineStr"/>
      <c r="F8" s="652" t="inlineStr"/>
      <c r="G8" s="652" t="inlineStr"/>
      <c r="H8" s="652" t="inlineStr"/>
      <c r="I8" s="652" t="inlineStr"/>
      <c r="J8" s="652" t="inlineStr"/>
    </row>
    <row r="9" ht="43.25" customHeight="1" s="828">
      <c r="B9" s="653" t="inlineStr">
        <is>
          <t>Canada</t>
        </is>
      </c>
      <c r="C9" s="654" t="inlineStr"/>
      <c r="D9" s="1163" t="n">
        <v>75.2</v>
      </c>
      <c r="E9" s="1163" t="n">
        <v>74.86667</v>
      </c>
      <c r="F9" s="1163" t="n">
        <v>74.33334000000001</v>
      </c>
      <c r="G9" s="1163" t="n">
        <v>74.2</v>
      </c>
      <c r="H9" s="1163" t="n">
        <v>74.33334000000001</v>
      </c>
      <c r="I9" s="1163" t="n">
        <v>74.13333</v>
      </c>
      <c r="J9" s="1163" t="n">
        <v>73.96666999999999</v>
      </c>
    </row>
    <row r="10" ht="43.25" customHeight="1" s="828">
      <c r="B10" s="653" t="inlineStr">
        <is>
          <t>France</t>
        </is>
      </c>
      <c r="C10" s="654" t="inlineStr"/>
      <c r="D10" s="1163" t="n">
        <v>68.68109</v>
      </c>
      <c r="E10" s="1163" t="n">
        <v>68.95626</v>
      </c>
      <c r="F10" s="1163" t="n">
        <v>69.26000999999999</v>
      </c>
      <c r="G10" s="1163" t="n">
        <v>68.96091</v>
      </c>
      <c r="H10" s="1163" t="n">
        <v>69.34493999999999</v>
      </c>
      <c r="I10" s="1163" t="n">
        <v>69.59041999999999</v>
      </c>
      <c r="J10" s="656" t="inlineStr"/>
    </row>
    <row r="11" ht="43.25" customHeight="1" s="828">
      <c r="B11" s="653" t="inlineStr">
        <is>
          <t>Germany</t>
        </is>
      </c>
      <c r="C11" s="654" t="inlineStr"/>
      <c r="D11" s="657" t="n">
        <v>77.26819999999999</v>
      </c>
      <c r="E11" s="657" t="n">
        <v>77.48018999999999</v>
      </c>
      <c r="F11" s="657" t="n">
        <v>77.36938000000001</v>
      </c>
      <c r="G11" s="657" t="n">
        <v>77.6973</v>
      </c>
      <c r="H11" s="657" t="n">
        <v>77.55413</v>
      </c>
      <c r="I11" s="657" t="n">
        <v>77.37474</v>
      </c>
      <c r="J11" s="656" t="inlineStr"/>
    </row>
    <row r="12" ht="43.25" customHeight="1" s="828">
      <c r="B12" s="653" t="inlineStr">
        <is>
          <t>Italy</t>
        </is>
      </c>
      <c r="C12" s="654" t="inlineStr"/>
      <c r="D12" s="1163" t="n">
        <v>61.99093</v>
      </c>
      <c r="E12" s="1163" t="n">
        <v>62.06493</v>
      </c>
      <c r="F12" s="1163" t="n">
        <v>62.48814</v>
      </c>
      <c r="G12" s="1163" t="n">
        <v>62.17719</v>
      </c>
      <c r="H12" s="1163" t="n">
        <v>62.85172</v>
      </c>
      <c r="I12" s="1163" t="n">
        <v>62.5015</v>
      </c>
      <c r="J12" s="656" t="inlineStr"/>
    </row>
    <row r="13" ht="43.25" customHeight="1" s="828">
      <c r="B13" s="653" t="inlineStr">
        <is>
          <t>Japan</t>
        </is>
      </c>
      <c r="C13" s="654" t="inlineStr"/>
      <c r="D13" s="1163" t="n">
        <v>79.15116999999999</v>
      </c>
      <c r="E13" s="1163" t="n">
        <v>79.27746999999999</v>
      </c>
      <c r="F13" s="1163" t="n">
        <v>79.55813000000001</v>
      </c>
      <c r="G13" s="1163" t="n">
        <v>79.76027000000001</v>
      </c>
      <c r="H13" s="1163" t="n">
        <v>79.8768</v>
      </c>
      <c r="I13" s="1163" t="n">
        <v>80.09341000000001</v>
      </c>
      <c r="J13" s="1163" t="n">
        <v>80.09509</v>
      </c>
    </row>
    <row r="14" ht="43.25" customHeight="1" s="828">
      <c r="B14" s="653" t="inlineStr">
        <is>
          <t>Spain</t>
        </is>
      </c>
      <c r="C14" s="654" t="inlineStr"/>
      <c r="D14" s="1163" t="n">
        <v>65.91387</v>
      </c>
      <c r="E14" s="1163" t="n">
        <v>65.96774000000001</v>
      </c>
      <c r="F14" s="1163" t="n">
        <v>66.10919</v>
      </c>
      <c r="G14" s="1163" t="n">
        <v>66.39843999999999</v>
      </c>
      <c r="H14" s="1163" t="n">
        <v>66.58608</v>
      </c>
      <c r="I14" s="1163" t="n">
        <v>66.91159</v>
      </c>
      <c r="J14" s="656" t="inlineStr"/>
    </row>
    <row r="15" ht="43.25" customHeight="1" s="828">
      <c r="B15" s="653" t="inlineStr">
        <is>
          <t>United Kingdom</t>
        </is>
      </c>
      <c r="C15" s="654" t="inlineStr"/>
      <c r="D15" s="1163" t="n">
        <v>74.5</v>
      </c>
      <c r="E15" s="1163" t="n">
        <v>74.59999999999999</v>
      </c>
      <c r="F15" s="1163" t="n">
        <v>74.90000000000001</v>
      </c>
      <c r="G15" s="1163" t="n">
        <v>75</v>
      </c>
      <c r="H15" s="1163" t="n">
        <v>75</v>
      </c>
      <c r="I15" s="1163" t="n">
        <v>75.3</v>
      </c>
      <c r="J15" s="1163" t="n">
        <v>75</v>
      </c>
    </row>
    <row r="16" ht="43.25" customHeight="1" s="828">
      <c r="B16" s="653" t="inlineStr">
        <is>
          <t>United States</t>
        </is>
      </c>
      <c r="C16" s="654" t="inlineStr"/>
      <c r="D16" s="1163" t="n">
        <v>71.94076</v>
      </c>
      <c r="E16" s="1163" t="n">
        <v>71.88129000000001</v>
      </c>
      <c r="F16" s="1163" t="n">
        <v>71.83945</v>
      </c>
      <c r="G16" s="1163" t="n">
        <v>71.76349999999999</v>
      </c>
      <c r="H16" s="1163" t="n">
        <v>71.86433</v>
      </c>
      <c r="I16" s="1163" t="n">
        <v>71.75611000000001</v>
      </c>
      <c r="J16" s="1163" t="n">
        <v>71.6202</v>
      </c>
    </row>
    <row r="17" ht="43.25" customHeight="1" s="828">
      <c r="B17" s="653" t="inlineStr">
        <is>
          <t>Euro area (20 countries)</t>
        </is>
      </c>
      <c r="C17" s="654" t="inlineStr"/>
      <c r="D17" s="1163" t="n">
        <v>70.27025</v>
      </c>
      <c r="E17" s="1163" t="n">
        <v>70.48885</v>
      </c>
      <c r="F17" s="1163" t="n">
        <v>70.47901</v>
      </c>
      <c r="G17" s="1163" t="n">
        <v>70.63184</v>
      </c>
      <c r="H17" s="1163" t="n">
        <v>70.78915000000001</v>
      </c>
      <c r="I17" s="1163" t="n">
        <v>70.87569999999999</v>
      </c>
      <c r="J17" s="656" t="inlineStr"/>
    </row>
    <row r="19">
      <c r="B19" s="658" t="inlineStr">
        <is>
          <t xml:space="preserve">© Terms &amp; conditions </t>
        </is>
      </c>
      <c r="K19" s="659" t="inlineStr">
        <is>
          <t>Infra-annual labour statistics</t>
        </is>
      </c>
    </row>
  </sheetData>
  <mergeCells count="1">
    <mergeCell ref="B7:C7"/>
  </mergeCells>
  <hyperlinks>
    <hyperlink xmlns:r="http://schemas.openxmlformats.org/officeDocument/2006/relationships" ref="B19" r:id="rId1"/>
    <hyperlink xmlns:r="http://schemas.openxmlformats.org/officeDocument/2006/relationships" ref="K19" r:id="rId2"/>
  </hyperlinks>
  <pageMargins left="0.7" right="0.7" top="0.75" bottom="0.75" header="0.3" footer="0.3"/>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sheetPr>
  <dimension ref="B1:K19"/>
  <sheetViews>
    <sheetView topLeftCell="A11" workbookViewId="0">
      <selection activeCell="I17" sqref="I17"/>
    </sheetView>
  </sheetViews>
  <sheetFormatPr baseColWidth="8" defaultRowHeight="14.5"/>
  <cols>
    <col width="20" customWidth="1" style="828" min="2" max="2"/>
    <col width="11" customWidth="1" style="828" min="3" max="10"/>
  </cols>
  <sheetData>
    <row r="1">
      <c r="B1" s="648" t="inlineStr">
        <is>
          <t>Infra-annual labour statistics</t>
        </is>
      </c>
    </row>
    <row r="2">
      <c r="B2" s="649" t="inlineStr">
        <is>
          <t>Age: From 15 to 64 years</t>
        </is>
      </c>
    </row>
    <row r="3">
      <c r="B3" s="649" t="inlineStr">
        <is>
          <t>Frequency of observation: Quarterly</t>
        </is>
      </c>
    </row>
    <row r="4">
      <c r="B4" s="649" t="inlineStr">
        <is>
          <t>Measure: Inactivity rate</t>
        </is>
      </c>
    </row>
    <row r="5">
      <c r="B5" s="649" t="inlineStr">
        <is>
          <t>Unit of measure: Percentage of working age population in the same subgroup, Calendar and seasonally adjusted</t>
        </is>
      </c>
    </row>
    <row r="7" ht="43.25" customHeight="1" s="828">
      <c r="B7" s="874" t="inlineStr">
        <is>
          <t>Time period</t>
        </is>
      </c>
      <c r="C7" s="489" t="n"/>
      <c r="D7" s="650" t="inlineStr">
        <is>
          <t>2024-Q1</t>
        </is>
      </c>
      <c r="E7" s="650" t="inlineStr">
        <is>
          <t>2024-Q2</t>
        </is>
      </c>
      <c r="F7" s="650" t="inlineStr">
        <is>
          <t>2024-Q3</t>
        </is>
      </c>
      <c r="G7" s="650" t="inlineStr">
        <is>
          <t>2024-Q4</t>
        </is>
      </c>
      <c r="H7" s="650" t="inlineStr">
        <is>
          <t>2025-Q1</t>
        </is>
      </c>
      <c r="I7" s="650" t="inlineStr">
        <is>
          <t>2025-Q2</t>
        </is>
      </c>
      <c r="J7" s="650" t="inlineStr">
        <is>
          <t>2025-Q3</t>
        </is>
      </c>
    </row>
    <row r="8">
      <c r="B8" s="651" t="inlineStr">
        <is>
          <t>Reference area</t>
        </is>
      </c>
      <c r="C8" s="652" t="inlineStr"/>
      <c r="D8" s="652" t="inlineStr"/>
      <c r="E8" s="652" t="inlineStr"/>
      <c r="F8" s="652" t="inlineStr"/>
      <c r="G8" s="652" t="inlineStr"/>
      <c r="H8" s="652" t="inlineStr"/>
      <c r="I8" s="652" t="inlineStr"/>
      <c r="J8" s="652" t="inlineStr"/>
    </row>
    <row r="9" ht="43.25" customHeight="1" s="828">
      <c r="B9" s="653" t="inlineStr">
        <is>
          <t>Canada</t>
        </is>
      </c>
      <c r="C9" s="654" t="inlineStr"/>
      <c r="D9" s="1163" t="n">
        <v>19.99503</v>
      </c>
      <c r="E9" s="1163" t="n">
        <v>20.05516</v>
      </c>
      <c r="F9" s="1163" t="n">
        <v>20.38306</v>
      </c>
      <c r="G9" s="1163" t="n">
        <v>20.41497</v>
      </c>
      <c r="H9" s="1163" t="n">
        <v>20.20076</v>
      </c>
      <c r="I9" s="1163" t="n">
        <v>20.2871</v>
      </c>
      <c r="J9" s="1163" t="n">
        <v>20.36548</v>
      </c>
    </row>
    <row r="10" ht="43.25" customHeight="1" s="828">
      <c r="B10" s="653" t="inlineStr">
        <is>
          <t>France</t>
        </is>
      </c>
      <c r="C10" s="654" t="inlineStr"/>
      <c r="D10" s="1163" t="n">
        <v>25.71629</v>
      </c>
      <c r="E10" s="1163" t="n">
        <v>25.51469</v>
      </c>
      <c r="F10" s="1163" t="n">
        <v>25.097</v>
      </c>
      <c r="G10" s="1163" t="n">
        <v>25.54247</v>
      </c>
      <c r="H10" s="1163" t="n">
        <v>25.04611</v>
      </c>
      <c r="I10" s="1163" t="n">
        <v>24.67437</v>
      </c>
      <c r="J10" s="656" t="inlineStr"/>
    </row>
    <row r="11" ht="43.25" customHeight="1" s="828">
      <c r="B11" s="653" t="inlineStr">
        <is>
          <t>Germany</t>
        </is>
      </c>
      <c r="C11" s="654" t="inlineStr"/>
      <c r="D11" s="657" t="n">
        <v>20.05347</v>
      </c>
      <c r="E11" s="657" t="n">
        <v>19.73733</v>
      </c>
      <c r="F11" s="657" t="n">
        <v>19.77225</v>
      </c>
      <c r="G11" s="657" t="n">
        <v>19.50614</v>
      </c>
      <c r="H11" s="657" t="n">
        <v>19.50209</v>
      </c>
      <c r="I11" s="657" t="n">
        <v>19.57276</v>
      </c>
      <c r="J11" s="656" t="inlineStr"/>
    </row>
    <row r="12" ht="43.25" customHeight="1" s="828">
      <c r="B12" s="653" t="inlineStr">
        <is>
          <t>Italy</t>
        </is>
      </c>
      <c r="C12" s="654" t="inlineStr"/>
      <c r="D12" s="1163" t="n">
        <v>33.08072</v>
      </c>
      <c r="E12" s="1163" t="n">
        <v>33.349</v>
      </c>
      <c r="F12" s="1163" t="n">
        <v>33.36731</v>
      </c>
      <c r="G12" s="1163" t="n">
        <v>33.77273</v>
      </c>
      <c r="H12" s="1163" t="n">
        <v>32.80219</v>
      </c>
      <c r="I12" s="1163" t="n">
        <v>32.94898</v>
      </c>
      <c r="J12" s="656" t="inlineStr"/>
    </row>
    <row r="13" ht="43.25" customHeight="1" s="828">
      <c r="B13" s="653" t="inlineStr">
        <is>
          <t>Japan</t>
        </is>
      </c>
      <c r="C13" s="654" t="inlineStr"/>
      <c r="D13" s="1163" t="n">
        <v>18.6463</v>
      </c>
      <c r="E13" s="1163" t="n">
        <v>18.51271</v>
      </c>
      <c r="F13" s="1163" t="n">
        <v>18.27169</v>
      </c>
      <c r="G13" s="1163" t="n">
        <v>18.11496</v>
      </c>
      <c r="H13" s="1163" t="n">
        <v>17.98372</v>
      </c>
      <c r="I13" s="1163" t="n">
        <v>17.78764</v>
      </c>
      <c r="J13" s="1163" t="n">
        <v>17.77443</v>
      </c>
    </row>
    <row r="14" ht="43.25" customHeight="1" s="828">
      <c r="B14" s="653" t="inlineStr">
        <is>
          <t>Spain</t>
        </is>
      </c>
      <c r="C14" s="654" t="inlineStr"/>
      <c r="D14" s="1163" t="n">
        <v>25.32893</v>
      </c>
      <c r="E14" s="1163" t="n">
        <v>25.3481</v>
      </c>
      <c r="F14" s="1163" t="n">
        <v>25.39102</v>
      </c>
      <c r="G14" s="1163" t="n">
        <v>25.4638</v>
      </c>
      <c r="H14" s="1163" t="n">
        <v>25.30016</v>
      </c>
      <c r="I14" s="1163" t="n">
        <v>25.16554</v>
      </c>
      <c r="J14" s="656" t="inlineStr"/>
    </row>
    <row r="15" ht="43.25" customHeight="1" s="828">
      <c r="B15" s="653" t="inlineStr">
        <is>
          <t>United Kingdom</t>
        </is>
      </c>
      <c r="C15" s="654" t="inlineStr"/>
      <c r="D15" s="1163" t="n">
        <v>22.06724</v>
      </c>
      <c r="E15" s="1163" t="n">
        <v>22.08912</v>
      </c>
      <c r="F15" s="1163" t="n">
        <v>21.64368</v>
      </c>
      <c r="G15" s="1163" t="n">
        <v>21.54378</v>
      </c>
      <c r="H15" s="1163" t="n">
        <v>21.37431</v>
      </c>
      <c r="I15" s="1163" t="n">
        <v>20.97028</v>
      </c>
      <c r="J15" s="1163" t="n">
        <v>20.95014</v>
      </c>
    </row>
    <row r="16" ht="43.25" customHeight="1" s="828">
      <c r="B16" s="653" t="inlineStr">
        <is>
          <t>United States</t>
        </is>
      </c>
      <c r="C16" s="654" t="inlineStr"/>
      <c r="D16" s="1163" t="n">
        <v>25.15181</v>
      </c>
      <c r="E16" s="1163" t="n">
        <v>25.09198</v>
      </c>
      <c r="F16" s="1163" t="n">
        <v>25.00768</v>
      </c>
      <c r="G16" s="1163" t="n">
        <v>25.06466</v>
      </c>
      <c r="H16" s="1163" t="n">
        <v>24.98564</v>
      </c>
      <c r="I16" s="1163" t="n">
        <v>25.03471</v>
      </c>
      <c r="J16" s="1163" t="n">
        <v>25.08722</v>
      </c>
    </row>
    <row r="17" ht="43.25" customHeight="1" s="828">
      <c r="B17" s="653" t="inlineStr">
        <is>
          <t>Euro area (20 countries)</t>
        </is>
      </c>
      <c r="C17" s="654" t="inlineStr"/>
      <c r="D17" s="1163" t="n">
        <v>24.71453</v>
      </c>
      <c r="E17" s="1163" t="n">
        <v>24.60444</v>
      </c>
      <c r="F17" s="1163" t="n">
        <v>24.62069</v>
      </c>
      <c r="G17" s="1163" t="n">
        <v>24.67089</v>
      </c>
      <c r="H17" s="1163" t="n">
        <v>24.31433</v>
      </c>
      <c r="I17" s="1163" t="n">
        <v>24.19838</v>
      </c>
      <c r="J17" s="656" t="inlineStr"/>
    </row>
    <row r="19">
      <c r="B19" s="658" t="inlineStr">
        <is>
          <t xml:space="preserve">© Terms &amp; conditions </t>
        </is>
      </c>
      <c r="K19" s="659" t="inlineStr">
        <is>
          <t>Infra-annual labour statistics</t>
        </is>
      </c>
    </row>
  </sheetData>
  <mergeCells count="1">
    <mergeCell ref="B7:C7"/>
  </mergeCells>
  <hyperlinks>
    <hyperlink xmlns:r="http://schemas.openxmlformats.org/officeDocument/2006/relationships" ref="B19" r:id="rId1"/>
    <hyperlink xmlns:r="http://schemas.openxmlformats.org/officeDocument/2006/relationships" ref="K19" r:id="rId2"/>
  </hyperlinks>
  <pageMargins left="0.7" right="0.7" top="0.75" bottom="0.75" header="0.3" footer="0.3"/>
  <legacyDrawing xmlns:r="http://schemas.openxmlformats.org/officeDocument/2006/relationships" r:id="anysvml"/>
</worksheet>
</file>

<file path=xl/worksheets/sheet29.xml><?xml version="1.0" encoding="utf-8"?>
<worksheet xmlns="http://schemas.openxmlformats.org/spreadsheetml/2006/main">
  <sheetPr>
    <tabColor theme="1"/>
    <outlinePr summaryBelow="1" summaryRight="1"/>
    <pageSetUpPr/>
  </sheetPr>
  <dimension ref="A1:A1"/>
  <sheetViews>
    <sheetView workbookViewId="0">
      <selection activeCell="A1" sqref="A1"/>
    </sheetView>
  </sheetViews>
  <sheetFormatPr baseColWidth="8" defaultRowHeight="14.5"/>
  <sheetData/>
  <pageMargins left="0.7" right="0.7" top="0.75" bottom="0.75" header="0.3" footer="0.3"/>
</worksheet>
</file>

<file path=xl/worksheets/sheet30.xml><?xml version="1.0" encoding="utf-8"?>
<worksheet xmlns="http://schemas.openxmlformats.org/spreadsheetml/2006/main">
  <sheetPr>
    <tabColor rgb="FFFF0000"/>
    <outlinePr summaryBelow="1" summaryRight="1"/>
    <pageSetUpPr/>
  </sheetPr>
  <dimension ref="A1:D318"/>
  <sheetViews>
    <sheetView topLeftCell="A249" zoomScale="80" workbookViewId="0">
      <selection activeCell="J289" sqref="J289"/>
    </sheetView>
  </sheetViews>
  <sheetFormatPr baseColWidth="8" defaultRowHeight="14.5"/>
  <cols>
    <col width="14.81640625" bestFit="1" customWidth="1" style="195" min="1" max="1"/>
    <col width="11.1796875" bestFit="1" customWidth="1" style="828" min="4" max="4"/>
    <col width="15.453125" bestFit="1" customWidth="1" style="828" min="5" max="5"/>
    <col width="15.453125" bestFit="1" customWidth="1" style="828" min="10" max="10"/>
  </cols>
  <sheetData>
    <row r="1">
      <c r="A1" s="195" t="inlineStr">
        <is>
          <t>Date</t>
        </is>
      </c>
      <c r="C1" t="inlineStr">
        <is>
          <t>Total Pay</t>
        </is>
      </c>
      <c r="D1" t="inlineStr">
        <is>
          <t>Regular Pay</t>
        </is>
      </c>
    </row>
    <row r="2">
      <c r="A2" s="196" t="n">
        <v>36526</v>
      </c>
      <c r="C2" s="55">
        <f>'AWE Real_CPI'!B17</f>
        <v/>
      </c>
      <c r="D2" s="55">
        <f>'AWE Real_CPI'!F17</f>
        <v/>
      </c>
    </row>
    <row r="3">
      <c r="A3" s="196" t="n">
        <v>36557</v>
      </c>
      <c r="B3" s="1164" t="n"/>
      <c r="C3" s="55">
        <f>'AWE Real_CPI'!B18</f>
        <v/>
      </c>
      <c r="D3" s="55">
        <f>'AWE Real_CPI'!F18</f>
        <v/>
      </c>
    </row>
    <row r="4">
      <c r="A4" s="196" t="n">
        <v>36586</v>
      </c>
      <c r="B4" s="1164" t="n"/>
      <c r="C4" s="55">
        <f>'AWE Real_CPI'!B19</f>
        <v/>
      </c>
      <c r="D4" s="55">
        <f>'AWE Real_CPI'!F19</f>
        <v/>
      </c>
    </row>
    <row r="5">
      <c r="A5" s="196" t="n">
        <v>36617</v>
      </c>
      <c r="B5" s="1164" t="n"/>
      <c r="C5" s="55">
        <f>'AWE Real_CPI'!B20</f>
        <v/>
      </c>
      <c r="D5" s="55">
        <f>'AWE Real_CPI'!F20</f>
        <v/>
      </c>
    </row>
    <row r="6">
      <c r="A6" s="196" t="n">
        <v>36647</v>
      </c>
      <c r="B6" s="1164" t="n"/>
      <c r="C6" s="55">
        <f>'AWE Real_CPI'!B21</f>
        <v/>
      </c>
      <c r="D6" s="55">
        <f>'AWE Real_CPI'!F21</f>
        <v/>
      </c>
    </row>
    <row r="7">
      <c r="A7" s="196" t="n">
        <v>36678</v>
      </c>
      <c r="B7" s="1164" t="n"/>
      <c r="C7" s="55">
        <f>'AWE Real_CPI'!B22</f>
        <v/>
      </c>
      <c r="D7" s="55">
        <f>'AWE Real_CPI'!F22</f>
        <v/>
      </c>
    </row>
    <row r="8">
      <c r="A8" s="196" t="n">
        <v>36708</v>
      </c>
      <c r="B8" s="1164" t="n"/>
      <c r="C8" s="55">
        <f>'AWE Real_CPI'!B23</f>
        <v/>
      </c>
      <c r="D8" s="55">
        <f>'AWE Real_CPI'!F23</f>
        <v/>
      </c>
    </row>
    <row r="9">
      <c r="A9" s="196" t="n">
        <v>36739</v>
      </c>
      <c r="B9" s="1164" t="n"/>
      <c r="C9" s="55">
        <f>'AWE Real_CPI'!B24</f>
        <v/>
      </c>
      <c r="D9" s="55">
        <f>'AWE Real_CPI'!F24</f>
        <v/>
      </c>
    </row>
    <row r="10">
      <c r="A10" s="196" t="n">
        <v>36770</v>
      </c>
      <c r="B10" s="1164" t="n"/>
      <c r="C10" s="55">
        <f>'AWE Real_CPI'!B25</f>
        <v/>
      </c>
      <c r="D10" s="55">
        <f>'AWE Real_CPI'!F25</f>
        <v/>
      </c>
    </row>
    <row r="11">
      <c r="A11" s="196" t="n">
        <v>36800</v>
      </c>
      <c r="B11" s="1164" t="n"/>
      <c r="C11" s="55">
        <f>'AWE Real_CPI'!B26</f>
        <v/>
      </c>
      <c r="D11" s="55">
        <f>'AWE Real_CPI'!F26</f>
        <v/>
      </c>
    </row>
    <row r="12">
      <c r="A12" s="196" t="n">
        <v>36831</v>
      </c>
      <c r="B12" s="1164" t="n"/>
      <c r="C12" s="55">
        <f>'AWE Real_CPI'!B27</f>
        <v/>
      </c>
      <c r="D12" s="55">
        <f>'AWE Real_CPI'!F27</f>
        <v/>
      </c>
    </row>
    <row r="13">
      <c r="A13" s="196" t="n">
        <v>36861</v>
      </c>
      <c r="B13" s="1164" t="n"/>
      <c r="C13" s="55">
        <f>'AWE Real_CPI'!B28</f>
        <v/>
      </c>
      <c r="D13" s="55">
        <f>'AWE Real_CPI'!F28</f>
        <v/>
      </c>
    </row>
    <row r="14">
      <c r="A14" s="196" t="n">
        <v>36892</v>
      </c>
      <c r="B14" s="1164" t="n"/>
      <c r="C14" s="55">
        <f>'AWE Real_CPI'!B29</f>
        <v/>
      </c>
      <c r="D14" s="55">
        <f>'AWE Real_CPI'!F29</f>
        <v/>
      </c>
    </row>
    <row r="15">
      <c r="A15" s="196" t="n">
        <v>36923</v>
      </c>
      <c r="B15" s="1164" t="n"/>
      <c r="C15" s="55">
        <f>'AWE Real_CPI'!B30</f>
        <v/>
      </c>
      <c r="D15" s="55">
        <f>'AWE Real_CPI'!F30</f>
        <v/>
      </c>
    </row>
    <row r="16">
      <c r="A16" s="196" t="n">
        <v>36951</v>
      </c>
      <c r="B16" s="1164" t="n"/>
      <c r="C16" s="55">
        <f>'AWE Real_CPI'!B31</f>
        <v/>
      </c>
      <c r="D16" s="55">
        <f>'AWE Real_CPI'!F31</f>
        <v/>
      </c>
    </row>
    <row r="17">
      <c r="A17" s="196" t="n">
        <v>36982</v>
      </c>
      <c r="B17" s="1164" t="n"/>
      <c r="C17" s="55">
        <f>'AWE Real_CPI'!B32</f>
        <v/>
      </c>
      <c r="D17" s="55">
        <f>'AWE Real_CPI'!F32</f>
        <v/>
      </c>
    </row>
    <row r="18">
      <c r="A18" s="196" t="n">
        <v>37012</v>
      </c>
      <c r="B18" s="1164" t="n"/>
      <c r="C18" s="55">
        <f>'AWE Real_CPI'!B33</f>
        <v/>
      </c>
      <c r="D18" s="55">
        <f>'AWE Real_CPI'!F33</f>
        <v/>
      </c>
    </row>
    <row r="19">
      <c r="A19" s="196" t="n">
        <v>37043</v>
      </c>
      <c r="B19" s="1164" t="n"/>
      <c r="C19" s="55">
        <f>'AWE Real_CPI'!B34</f>
        <v/>
      </c>
      <c r="D19" s="55">
        <f>'AWE Real_CPI'!F34</f>
        <v/>
      </c>
    </row>
    <row r="20">
      <c r="A20" s="196" t="n">
        <v>37073</v>
      </c>
      <c r="B20" s="1164" t="n"/>
      <c r="C20" s="55">
        <f>'AWE Real_CPI'!B35</f>
        <v/>
      </c>
      <c r="D20" s="55">
        <f>'AWE Real_CPI'!F35</f>
        <v/>
      </c>
    </row>
    <row r="21">
      <c r="A21" s="196" t="n">
        <v>37104</v>
      </c>
      <c r="B21" s="1164" t="n"/>
      <c r="C21" s="55">
        <f>'AWE Real_CPI'!B36</f>
        <v/>
      </c>
      <c r="D21" s="55">
        <f>'AWE Real_CPI'!F36</f>
        <v/>
      </c>
    </row>
    <row r="22">
      <c r="A22" s="196" t="n">
        <v>37135</v>
      </c>
      <c r="B22" s="1164" t="n"/>
      <c r="C22" s="55">
        <f>'AWE Real_CPI'!B37</f>
        <v/>
      </c>
      <c r="D22" s="55">
        <f>'AWE Real_CPI'!F37</f>
        <v/>
      </c>
    </row>
    <row r="23">
      <c r="A23" s="196" t="n">
        <v>37165</v>
      </c>
      <c r="B23" s="1164" t="n"/>
      <c r="C23" s="55">
        <f>'AWE Real_CPI'!B38</f>
        <v/>
      </c>
      <c r="D23" s="55">
        <f>'AWE Real_CPI'!F38</f>
        <v/>
      </c>
    </row>
    <row r="24">
      <c r="A24" s="196" t="n">
        <v>37196</v>
      </c>
      <c r="B24" s="1164" t="n"/>
      <c r="C24" s="55">
        <f>'AWE Real_CPI'!B39</f>
        <v/>
      </c>
      <c r="D24" s="55">
        <f>'AWE Real_CPI'!F39</f>
        <v/>
      </c>
    </row>
    <row r="25">
      <c r="A25" s="196" t="n">
        <v>37226</v>
      </c>
      <c r="B25" s="1164" t="n"/>
      <c r="C25" s="55">
        <f>'AWE Real_CPI'!B40</f>
        <v/>
      </c>
      <c r="D25" s="55">
        <f>'AWE Real_CPI'!F40</f>
        <v/>
      </c>
    </row>
    <row r="26">
      <c r="A26" s="196" t="n">
        <v>37257</v>
      </c>
      <c r="B26" s="1164" t="n"/>
      <c r="C26" s="55">
        <f>'AWE Real_CPI'!B41</f>
        <v/>
      </c>
      <c r="D26" s="55">
        <f>'AWE Real_CPI'!F41</f>
        <v/>
      </c>
    </row>
    <row r="27">
      <c r="A27" s="196" t="n">
        <v>37288</v>
      </c>
      <c r="B27" s="1164" t="n"/>
      <c r="C27" s="55">
        <f>'AWE Real_CPI'!B42</f>
        <v/>
      </c>
      <c r="D27" s="55">
        <f>'AWE Real_CPI'!F42</f>
        <v/>
      </c>
    </row>
    <row r="28">
      <c r="A28" s="196" t="n">
        <v>37316</v>
      </c>
      <c r="B28" s="1164" t="n"/>
      <c r="C28" s="55">
        <f>'AWE Real_CPI'!B43</f>
        <v/>
      </c>
      <c r="D28" s="55">
        <f>'AWE Real_CPI'!F43</f>
        <v/>
      </c>
    </row>
    <row r="29">
      <c r="A29" s="196" t="n">
        <v>37347</v>
      </c>
      <c r="B29" s="1164" t="n"/>
      <c r="C29" s="55">
        <f>'AWE Real_CPI'!B44</f>
        <v/>
      </c>
      <c r="D29" s="55">
        <f>'AWE Real_CPI'!F44</f>
        <v/>
      </c>
    </row>
    <row r="30">
      <c r="A30" s="196" t="n">
        <v>37377</v>
      </c>
      <c r="B30" s="1164" t="n"/>
      <c r="C30" s="55">
        <f>'AWE Real_CPI'!B45</f>
        <v/>
      </c>
      <c r="D30" s="55">
        <f>'AWE Real_CPI'!F45</f>
        <v/>
      </c>
    </row>
    <row r="31">
      <c r="A31" s="196" t="n">
        <v>37408</v>
      </c>
      <c r="B31" s="1164" t="n"/>
      <c r="C31" s="55">
        <f>'AWE Real_CPI'!B46</f>
        <v/>
      </c>
      <c r="D31" s="55">
        <f>'AWE Real_CPI'!F46</f>
        <v/>
      </c>
    </row>
    <row r="32">
      <c r="A32" s="196" t="n">
        <v>37438</v>
      </c>
      <c r="B32" s="1164" t="n"/>
      <c r="C32" s="55">
        <f>'AWE Real_CPI'!B47</f>
        <v/>
      </c>
      <c r="D32" s="55">
        <f>'AWE Real_CPI'!F47</f>
        <v/>
      </c>
    </row>
    <row r="33">
      <c r="A33" s="196" t="n">
        <v>37469</v>
      </c>
      <c r="B33" s="1164" t="n"/>
      <c r="C33" s="55">
        <f>'AWE Real_CPI'!B48</f>
        <v/>
      </c>
      <c r="D33" s="55">
        <f>'AWE Real_CPI'!F48</f>
        <v/>
      </c>
    </row>
    <row r="34">
      <c r="A34" s="196" t="n">
        <v>37500</v>
      </c>
      <c r="B34" s="1164" t="n"/>
      <c r="C34" s="55">
        <f>'AWE Real_CPI'!B49</f>
        <v/>
      </c>
      <c r="D34" s="55">
        <f>'AWE Real_CPI'!F49</f>
        <v/>
      </c>
    </row>
    <row r="35">
      <c r="A35" s="196" t="n">
        <v>37530</v>
      </c>
      <c r="B35" s="1164" t="n"/>
      <c r="C35" s="55">
        <f>'AWE Real_CPI'!B50</f>
        <v/>
      </c>
      <c r="D35" s="55">
        <f>'AWE Real_CPI'!F50</f>
        <v/>
      </c>
    </row>
    <row r="36">
      <c r="A36" s="196" t="n">
        <v>37561</v>
      </c>
      <c r="B36" s="1164" t="n"/>
      <c r="C36" s="55">
        <f>'AWE Real_CPI'!B51</f>
        <v/>
      </c>
      <c r="D36" s="55">
        <f>'AWE Real_CPI'!F51</f>
        <v/>
      </c>
    </row>
    <row r="37">
      <c r="A37" s="197" t="n">
        <v>37591</v>
      </c>
      <c r="B37" s="1164" t="n"/>
      <c r="C37" s="55">
        <f>'AWE Real_CPI'!B52</f>
        <v/>
      </c>
      <c r="D37" s="55">
        <f>'AWE Real_CPI'!F52</f>
        <v/>
      </c>
    </row>
    <row r="38">
      <c r="A38" s="197" t="n">
        <v>37622</v>
      </c>
      <c r="B38" s="190" t="n"/>
      <c r="C38" s="55">
        <f>'AWE Real_CPI'!B53</f>
        <v/>
      </c>
      <c r="D38" s="55">
        <f>'AWE Real_CPI'!F53</f>
        <v/>
      </c>
    </row>
    <row r="39">
      <c r="A39" s="197" t="n">
        <v>37653</v>
      </c>
      <c r="B39" s="190" t="n"/>
      <c r="C39" s="55">
        <f>'AWE Real_CPI'!B54</f>
        <v/>
      </c>
      <c r="D39" s="55">
        <f>'AWE Real_CPI'!F54</f>
        <v/>
      </c>
    </row>
    <row r="40">
      <c r="A40" s="197" t="n">
        <v>37681</v>
      </c>
      <c r="B40" s="190" t="n"/>
      <c r="C40" s="55">
        <f>'AWE Real_CPI'!B55</f>
        <v/>
      </c>
      <c r="D40" s="55">
        <f>'AWE Real_CPI'!F55</f>
        <v/>
      </c>
    </row>
    <row r="41">
      <c r="A41" s="197" t="n">
        <v>37712</v>
      </c>
      <c r="B41" s="190" t="n"/>
      <c r="C41" s="55">
        <f>'AWE Real_CPI'!B56</f>
        <v/>
      </c>
      <c r="D41" s="55">
        <f>'AWE Real_CPI'!F56</f>
        <v/>
      </c>
    </row>
    <row r="42">
      <c r="A42" s="197" t="n">
        <v>37742</v>
      </c>
      <c r="B42" s="190" t="n"/>
      <c r="C42" s="55">
        <f>'AWE Real_CPI'!B57</f>
        <v/>
      </c>
      <c r="D42" s="55">
        <f>'AWE Real_CPI'!F57</f>
        <v/>
      </c>
    </row>
    <row r="43">
      <c r="A43" s="197" t="n">
        <v>37773</v>
      </c>
      <c r="B43" s="190" t="n"/>
      <c r="C43" s="55">
        <f>'AWE Real_CPI'!B58</f>
        <v/>
      </c>
      <c r="D43" s="55">
        <f>'AWE Real_CPI'!F58</f>
        <v/>
      </c>
    </row>
    <row r="44">
      <c r="A44" s="197" t="n">
        <v>37803</v>
      </c>
      <c r="B44" s="190" t="n"/>
      <c r="C44" s="55">
        <f>'AWE Real_CPI'!B59</f>
        <v/>
      </c>
      <c r="D44" s="55">
        <f>'AWE Real_CPI'!F59</f>
        <v/>
      </c>
    </row>
    <row r="45">
      <c r="A45" s="197" t="n">
        <v>37834</v>
      </c>
      <c r="B45" s="190" t="n"/>
      <c r="C45" s="55">
        <f>'AWE Real_CPI'!B60</f>
        <v/>
      </c>
      <c r="D45" s="55">
        <f>'AWE Real_CPI'!F60</f>
        <v/>
      </c>
    </row>
    <row r="46">
      <c r="A46" s="197" t="n">
        <v>37865</v>
      </c>
      <c r="B46" s="190" t="n"/>
      <c r="C46" s="55">
        <f>'AWE Real_CPI'!B61</f>
        <v/>
      </c>
      <c r="D46" s="55">
        <f>'AWE Real_CPI'!F61</f>
        <v/>
      </c>
    </row>
    <row r="47">
      <c r="A47" s="197" t="n">
        <v>37895</v>
      </c>
      <c r="B47" s="190" t="n"/>
      <c r="C47" s="55">
        <f>'AWE Real_CPI'!B62</f>
        <v/>
      </c>
      <c r="D47" s="55">
        <f>'AWE Real_CPI'!F62</f>
        <v/>
      </c>
    </row>
    <row r="48">
      <c r="A48" s="197" t="n">
        <v>37926</v>
      </c>
      <c r="B48" s="190" t="n"/>
      <c r="C48" s="55">
        <f>'AWE Real_CPI'!B63</f>
        <v/>
      </c>
      <c r="D48" s="55">
        <f>'AWE Real_CPI'!F63</f>
        <v/>
      </c>
    </row>
    <row r="49">
      <c r="A49" s="197" t="n">
        <v>37956</v>
      </c>
      <c r="B49" s="190" t="n"/>
      <c r="C49" s="55">
        <f>'AWE Real_CPI'!B64</f>
        <v/>
      </c>
      <c r="D49" s="55">
        <f>'AWE Real_CPI'!F64</f>
        <v/>
      </c>
    </row>
    <row r="50">
      <c r="A50" s="197" t="n">
        <v>37987</v>
      </c>
      <c r="B50" s="190" t="n"/>
      <c r="C50" s="55">
        <f>'AWE Real_CPI'!B65</f>
        <v/>
      </c>
      <c r="D50" s="55">
        <f>'AWE Real_CPI'!F65</f>
        <v/>
      </c>
    </row>
    <row r="51">
      <c r="A51" s="197" t="n">
        <v>38018</v>
      </c>
      <c r="B51" s="190" t="n"/>
      <c r="C51" s="55">
        <f>'AWE Real_CPI'!B66</f>
        <v/>
      </c>
      <c r="D51" s="55">
        <f>'AWE Real_CPI'!F66</f>
        <v/>
      </c>
    </row>
    <row r="52">
      <c r="A52" s="197" t="n">
        <v>38047</v>
      </c>
      <c r="B52" s="190" t="n"/>
      <c r="C52" s="55">
        <f>'AWE Real_CPI'!B67</f>
        <v/>
      </c>
      <c r="D52" s="55">
        <f>'AWE Real_CPI'!F67</f>
        <v/>
      </c>
    </row>
    <row r="53">
      <c r="A53" s="197" t="n">
        <v>38078</v>
      </c>
      <c r="B53" s="190" t="n"/>
      <c r="C53" s="55">
        <f>'AWE Real_CPI'!B68</f>
        <v/>
      </c>
      <c r="D53" s="55">
        <f>'AWE Real_CPI'!F68</f>
        <v/>
      </c>
    </row>
    <row r="54">
      <c r="A54" s="197" t="n">
        <v>38108</v>
      </c>
      <c r="B54" s="190" t="n"/>
      <c r="C54" s="55">
        <f>'AWE Real_CPI'!B69</f>
        <v/>
      </c>
      <c r="D54" s="55">
        <f>'AWE Real_CPI'!F69</f>
        <v/>
      </c>
    </row>
    <row r="55">
      <c r="A55" s="197" t="n">
        <v>38139</v>
      </c>
      <c r="B55" s="190" t="n"/>
      <c r="C55" s="55">
        <f>'AWE Real_CPI'!B70</f>
        <v/>
      </c>
      <c r="D55" s="55">
        <f>'AWE Real_CPI'!F70</f>
        <v/>
      </c>
    </row>
    <row r="56">
      <c r="A56" s="197" t="n">
        <v>38169</v>
      </c>
      <c r="B56" s="190" t="n"/>
      <c r="C56" s="55">
        <f>'AWE Real_CPI'!B71</f>
        <v/>
      </c>
      <c r="D56" s="55">
        <f>'AWE Real_CPI'!F71</f>
        <v/>
      </c>
    </row>
    <row r="57">
      <c r="A57" s="197" t="n">
        <v>38200</v>
      </c>
      <c r="B57" s="190" t="n"/>
      <c r="C57" s="55">
        <f>'AWE Real_CPI'!B72</f>
        <v/>
      </c>
      <c r="D57" s="55">
        <f>'AWE Real_CPI'!F72</f>
        <v/>
      </c>
    </row>
    <row r="58">
      <c r="A58" s="197" t="n">
        <v>38231</v>
      </c>
      <c r="B58" s="190" t="n"/>
      <c r="C58" s="55">
        <f>'AWE Real_CPI'!B73</f>
        <v/>
      </c>
      <c r="D58" s="55">
        <f>'AWE Real_CPI'!F73</f>
        <v/>
      </c>
    </row>
    <row r="59">
      <c r="A59" s="197" t="n">
        <v>38261</v>
      </c>
      <c r="B59" s="190" t="n"/>
      <c r="C59" s="55">
        <f>'AWE Real_CPI'!B74</f>
        <v/>
      </c>
      <c r="D59" s="55">
        <f>'AWE Real_CPI'!F74</f>
        <v/>
      </c>
    </row>
    <row r="60">
      <c r="A60" s="197" t="n">
        <v>38292</v>
      </c>
      <c r="B60" s="190" t="n"/>
      <c r="C60" s="55">
        <f>'AWE Real_CPI'!B75</f>
        <v/>
      </c>
      <c r="D60" s="55">
        <f>'AWE Real_CPI'!F75</f>
        <v/>
      </c>
    </row>
    <row r="61">
      <c r="A61" s="197" t="n">
        <v>38322</v>
      </c>
      <c r="B61" s="190" t="n"/>
      <c r="C61" s="55">
        <f>'AWE Real_CPI'!B76</f>
        <v/>
      </c>
      <c r="D61" s="55">
        <f>'AWE Real_CPI'!F76</f>
        <v/>
      </c>
    </row>
    <row r="62">
      <c r="A62" s="197" t="n">
        <v>38353</v>
      </c>
      <c r="B62" s="190" t="n"/>
      <c r="C62" s="55">
        <f>'AWE Real_CPI'!B77</f>
        <v/>
      </c>
      <c r="D62" s="55">
        <f>'AWE Real_CPI'!F77</f>
        <v/>
      </c>
    </row>
    <row r="63">
      <c r="A63" s="197" t="n">
        <v>38384</v>
      </c>
      <c r="B63" s="190" t="n"/>
      <c r="C63" s="55">
        <f>'AWE Real_CPI'!B78</f>
        <v/>
      </c>
      <c r="D63" s="55">
        <f>'AWE Real_CPI'!F78</f>
        <v/>
      </c>
    </row>
    <row r="64">
      <c r="A64" s="197" t="n">
        <v>38412</v>
      </c>
      <c r="B64" s="190" t="n"/>
      <c r="C64" s="55">
        <f>'AWE Real_CPI'!B79</f>
        <v/>
      </c>
      <c r="D64" s="55">
        <f>'AWE Real_CPI'!F79</f>
        <v/>
      </c>
    </row>
    <row r="65">
      <c r="A65" s="197" t="n">
        <v>38443</v>
      </c>
      <c r="B65" s="190" t="n"/>
      <c r="C65" s="55">
        <f>'AWE Real_CPI'!B80</f>
        <v/>
      </c>
      <c r="D65" s="55">
        <f>'AWE Real_CPI'!F80</f>
        <v/>
      </c>
    </row>
    <row r="66">
      <c r="A66" s="197" t="n">
        <v>38473</v>
      </c>
      <c r="B66" s="190" t="n"/>
      <c r="C66" s="55">
        <f>'AWE Real_CPI'!B81</f>
        <v/>
      </c>
      <c r="D66" s="55">
        <f>'AWE Real_CPI'!F81</f>
        <v/>
      </c>
    </row>
    <row r="67">
      <c r="A67" s="197" t="n">
        <v>38504</v>
      </c>
      <c r="B67" s="190" t="n"/>
      <c r="C67" s="55">
        <f>'AWE Real_CPI'!B82</f>
        <v/>
      </c>
      <c r="D67" s="55">
        <f>'AWE Real_CPI'!F82</f>
        <v/>
      </c>
    </row>
    <row r="68">
      <c r="A68" s="197" t="n">
        <v>38534</v>
      </c>
      <c r="B68" s="190" t="n"/>
      <c r="C68" s="55">
        <f>'AWE Real_CPI'!B83</f>
        <v/>
      </c>
      <c r="D68" s="55">
        <f>'AWE Real_CPI'!F83</f>
        <v/>
      </c>
    </row>
    <row r="69">
      <c r="A69" s="197" t="n">
        <v>38565</v>
      </c>
      <c r="B69" s="190" t="n"/>
      <c r="C69" s="55">
        <f>'AWE Real_CPI'!B84</f>
        <v/>
      </c>
      <c r="D69" s="55">
        <f>'AWE Real_CPI'!F84</f>
        <v/>
      </c>
    </row>
    <row r="70">
      <c r="A70" s="197" t="n">
        <v>38596</v>
      </c>
      <c r="B70" s="190" t="n"/>
      <c r="C70" s="55">
        <f>'AWE Real_CPI'!B85</f>
        <v/>
      </c>
      <c r="D70" s="55">
        <f>'AWE Real_CPI'!F85</f>
        <v/>
      </c>
    </row>
    <row r="71">
      <c r="A71" s="198" t="n">
        <v>38626</v>
      </c>
      <c r="B71" s="191" t="n"/>
      <c r="C71" s="55">
        <f>'AWE Real_CPI'!B86</f>
        <v/>
      </c>
      <c r="D71" s="55">
        <f>'AWE Real_CPI'!F86</f>
        <v/>
      </c>
    </row>
    <row r="72">
      <c r="A72" s="198" t="n">
        <v>38657</v>
      </c>
      <c r="B72" s="191" t="n"/>
      <c r="C72" s="55">
        <f>'AWE Real_CPI'!B87</f>
        <v/>
      </c>
      <c r="D72" s="55">
        <f>'AWE Real_CPI'!F87</f>
        <v/>
      </c>
    </row>
    <row r="73">
      <c r="A73" s="198" t="n">
        <v>38687</v>
      </c>
      <c r="B73" s="191" t="n"/>
      <c r="C73" s="55">
        <f>'AWE Real_CPI'!B88</f>
        <v/>
      </c>
      <c r="D73" s="55">
        <f>'AWE Real_CPI'!F88</f>
        <v/>
      </c>
    </row>
    <row r="74">
      <c r="A74" s="198" t="n">
        <v>38718</v>
      </c>
      <c r="B74" s="191" t="n"/>
      <c r="C74" s="55">
        <f>'AWE Real_CPI'!B89</f>
        <v/>
      </c>
      <c r="D74" s="55">
        <f>'AWE Real_CPI'!F89</f>
        <v/>
      </c>
    </row>
    <row r="75">
      <c r="A75" s="198" t="n">
        <v>38749</v>
      </c>
      <c r="B75" s="191" t="n"/>
      <c r="C75" s="55">
        <f>'AWE Real_CPI'!B90</f>
        <v/>
      </c>
      <c r="D75" s="55">
        <f>'AWE Real_CPI'!F90</f>
        <v/>
      </c>
    </row>
    <row r="76">
      <c r="A76" s="198" t="n">
        <v>38777</v>
      </c>
      <c r="B76" s="191" t="n"/>
      <c r="C76" s="55">
        <f>'AWE Real_CPI'!B91</f>
        <v/>
      </c>
      <c r="D76" s="55">
        <f>'AWE Real_CPI'!F91</f>
        <v/>
      </c>
    </row>
    <row r="77">
      <c r="A77" s="198" t="n">
        <v>38808</v>
      </c>
      <c r="B77" s="191" t="n"/>
      <c r="C77" s="55">
        <f>'AWE Real_CPI'!B92</f>
        <v/>
      </c>
      <c r="D77" s="55">
        <f>'AWE Real_CPI'!F92</f>
        <v/>
      </c>
    </row>
    <row r="78">
      <c r="A78" s="198" t="n">
        <v>38838</v>
      </c>
      <c r="B78" s="191" t="n"/>
      <c r="C78" s="55">
        <f>'AWE Real_CPI'!B93</f>
        <v/>
      </c>
      <c r="D78" s="55">
        <f>'AWE Real_CPI'!F93</f>
        <v/>
      </c>
    </row>
    <row r="79">
      <c r="A79" s="198" t="n">
        <v>38869</v>
      </c>
      <c r="B79" s="191" t="n"/>
      <c r="C79" s="55">
        <f>'AWE Real_CPI'!B94</f>
        <v/>
      </c>
      <c r="D79" s="55">
        <f>'AWE Real_CPI'!F94</f>
        <v/>
      </c>
    </row>
    <row r="80">
      <c r="A80" s="198" t="n">
        <v>38899</v>
      </c>
      <c r="B80" s="191" t="n"/>
      <c r="C80" s="55">
        <f>'AWE Real_CPI'!B95</f>
        <v/>
      </c>
      <c r="D80" s="55">
        <f>'AWE Real_CPI'!F95</f>
        <v/>
      </c>
    </row>
    <row r="81">
      <c r="A81" s="198" t="n">
        <v>38930</v>
      </c>
      <c r="B81" s="191" t="n"/>
      <c r="C81" s="55">
        <f>'AWE Real_CPI'!B96</f>
        <v/>
      </c>
      <c r="D81" s="55">
        <f>'AWE Real_CPI'!F96</f>
        <v/>
      </c>
    </row>
    <row r="82">
      <c r="A82" s="198" t="n">
        <v>38961</v>
      </c>
      <c r="B82" s="191" t="n"/>
      <c r="C82" s="55">
        <f>'AWE Real_CPI'!B97</f>
        <v/>
      </c>
      <c r="D82" s="55">
        <f>'AWE Real_CPI'!F97</f>
        <v/>
      </c>
    </row>
    <row r="83">
      <c r="A83" s="198" t="n">
        <v>38991</v>
      </c>
      <c r="B83" s="191" t="n"/>
      <c r="C83" s="55">
        <f>'AWE Real_CPI'!B98</f>
        <v/>
      </c>
      <c r="D83" s="55">
        <f>'AWE Real_CPI'!F98</f>
        <v/>
      </c>
    </row>
    <row r="84">
      <c r="A84" s="198" t="n">
        <v>39022</v>
      </c>
      <c r="B84" s="191" t="n"/>
      <c r="C84" s="55">
        <f>'AWE Real_CPI'!B99</f>
        <v/>
      </c>
      <c r="D84" s="55">
        <f>'AWE Real_CPI'!F99</f>
        <v/>
      </c>
    </row>
    <row r="85">
      <c r="A85" s="198" t="n">
        <v>39052</v>
      </c>
      <c r="B85" s="191" t="n"/>
      <c r="C85" s="55">
        <f>'AWE Real_CPI'!B100</f>
        <v/>
      </c>
      <c r="D85" s="55">
        <f>'AWE Real_CPI'!F100</f>
        <v/>
      </c>
    </row>
    <row r="86">
      <c r="A86" s="198" t="n">
        <v>39083</v>
      </c>
      <c r="B86" s="191" t="n"/>
      <c r="C86" s="55">
        <f>'AWE Real_CPI'!B101</f>
        <v/>
      </c>
      <c r="D86" s="55">
        <f>'AWE Real_CPI'!F101</f>
        <v/>
      </c>
    </row>
    <row r="87">
      <c r="A87" s="198" t="n">
        <v>39115</v>
      </c>
      <c r="B87" s="191" t="n"/>
      <c r="C87" s="55">
        <f>'AWE Real_CPI'!B102</f>
        <v/>
      </c>
      <c r="D87" s="55">
        <f>'AWE Real_CPI'!F102</f>
        <v/>
      </c>
    </row>
    <row r="88">
      <c r="A88" s="198" t="n">
        <v>39142</v>
      </c>
      <c r="B88" s="191" t="n"/>
      <c r="C88" s="55">
        <f>'AWE Real_CPI'!B103</f>
        <v/>
      </c>
      <c r="D88" s="55">
        <f>'AWE Real_CPI'!F103</f>
        <v/>
      </c>
    </row>
    <row r="89">
      <c r="A89" s="198" t="n">
        <v>39173</v>
      </c>
      <c r="B89" s="191" t="n"/>
      <c r="C89" s="55">
        <f>'AWE Real_CPI'!B104</f>
        <v/>
      </c>
      <c r="D89" s="55">
        <f>'AWE Real_CPI'!F104</f>
        <v/>
      </c>
    </row>
    <row r="90">
      <c r="A90" s="198" t="n">
        <v>39203</v>
      </c>
      <c r="B90" s="191" t="n"/>
      <c r="C90" s="55">
        <f>'AWE Real_CPI'!B105</f>
        <v/>
      </c>
      <c r="D90" s="55">
        <f>'AWE Real_CPI'!F105</f>
        <v/>
      </c>
    </row>
    <row r="91">
      <c r="A91" s="198" t="n">
        <v>39234</v>
      </c>
      <c r="B91" s="191" t="n"/>
      <c r="C91" s="55">
        <f>'AWE Real_CPI'!B106</f>
        <v/>
      </c>
      <c r="D91" s="55">
        <f>'AWE Real_CPI'!F106</f>
        <v/>
      </c>
    </row>
    <row r="92">
      <c r="A92" s="198" t="n">
        <v>39264</v>
      </c>
      <c r="B92" s="191" t="n"/>
      <c r="C92" s="55">
        <f>'AWE Real_CPI'!B107</f>
        <v/>
      </c>
      <c r="D92" s="55">
        <f>'AWE Real_CPI'!F107</f>
        <v/>
      </c>
    </row>
    <row r="93">
      <c r="A93" s="198" t="n">
        <v>39295</v>
      </c>
      <c r="B93" s="191" t="n"/>
      <c r="C93" s="55">
        <f>'AWE Real_CPI'!B108</f>
        <v/>
      </c>
      <c r="D93" s="55">
        <f>'AWE Real_CPI'!F108</f>
        <v/>
      </c>
    </row>
    <row r="94">
      <c r="A94" s="198" t="n">
        <v>39326</v>
      </c>
      <c r="B94" s="191" t="n"/>
      <c r="C94" s="55">
        <f>'AWE Real_CPI'!B109</f>
        <v/>
      </c>
      <c r="D94" s="55">
        <f>'AWE Real_CPI'!F109</f>
        <v/>
      </c>
    </row>
    <row r="95">
      <c r="A95" s="198" t="n">
        <v>39356</v>
      </c>
      <c r="B95" s="191" t="n"/>
      <c r="C95" s="55">
        <f>'AWE Real_CPI'!B110</f>
        <v/>
      </c>
      <c r="D95" s="55">
        <f>'AWE Real_CPI'!F110</f>
        <v/>
      </c>
    </row>
    <row r="96">
      <c r="A96" s="198" t="n">
        <v>39388</v>
      </c>
      <c r="B96" s="191" t="n"/>
      <c r="C96" s="55">
        <f>'AWE Real_CPI'!B111</f>
        <v/>
      </c>
      <c r="D96" s="55">
        <f>'AWE Real_CPI'!F111</f>
        <v/>
      </c>
    </row>
    <row r="97">
      <c r="A97" s="198" t="n">
        <v>39417</v>
      </c>
      <c r="B97" s="191" t="n"/>
      <c r="C97" s="55">
        <f>'AWE Real_CPI'!B112</f>
        <v/>
      </c>
      <c r="D97" s="55">
        <f>'AWE Real_CPI'!F112</f>
        <v/>
      </c>
    </row>
    <row r="98">
      <c r="A98" s="198" t="n">
        <v>39448</v>
      </c>
      <c r="B98" s="191" t="n"/>
      <c r="C98" s="55">
        <f>'AWE Real_CPI'!B113</f>
        <v/>
      </c>
      <c r="D98" s="55">
        <f>'AWE Real_CPI'!F113</f>
        <v/>
      </c>
    </row>
    <row r="99">
      <c r="A99" s="198" t="n">
        <v>39479</v>
      </c>
      <c r="B99" s="191" t="n"/>
      <c r="C99" s="55">
        <f>'AWE Real_CPI'!B114</f>
        <v/>
      </c>
      <c r="D99" s="55">
        <f>'AWE Real_CPI'!F114</f>
        <v/>
      </c>
    </row>
    <row r="100">
      <c r="A100" s="198" t="n">
        <v>39508</v>
      </c>
      <c r="B100" s="191" t="n"/>
      <c r="C100" s="55">
        <f>'AWE Real_CPI'!B115</f>
        <v/>
      </c>
      <c r="D100" s="55">
        <f>'AWE Real_CPI'!F115</f>
        <v/>
      </c>
    </row>
    <row r="101">
      <c r="A101" s="198" t="n">
        <v>39539</v>
      </c>
      <c r="B101" s="191" t="n"/>
      <c r="C101" s="55">
        <f>'AWE Real_CPI'!B116</f>
        <v/>
      </c>
      <c r="D101" s="55">
        <f>'AWE Real_CPI'!F116</f>
        <v/>
      </c>
    </row>
    <row r="102">
      <c r="A102" s="197" t="n">
        <v>39569</v>
      </c>
      <c r="B102" s="190" t="n"/>
      <c r="C102" s="55">
        <f>'AWE Real_CPI'!B117</f>
        <v/>
      </c>
      <c r="D102" s="55">
        <f>'AWE Real_CPI'!F117</f>
        <v/>
      </c>
    </row>
    <row r="103">
      <c r="A103" s="197" t="n">
        <v>39602</v>
      </c>
      <c r="B103" s="190" t="n"/>
      <c r="C103" s="55">
        <f>'AWE Real_CPI'!B118</f>
        <v/>
      </c>
      <c r="D103" s="55">
        <f>'AWE Real_CPI'!F118</f>
        <v/>
      </c>
    </row>
    <row r="104">
      <c r="A104" s="197" t="n">
        <v>39630</v>
      </c>
      <c r="B104" s="190" t="n"/>
      <c r="C104" s="55">
        <f>'AWE Real_CPI'!B119</f>
        <v/>
      </c>
      <c r="D104" s="55">
        <f>'AWE Real_CPI'!F119</f>
        <v/>
      </c>
    </row>
    <row r="105">
      <c r="A105" s="197" t="n">
        <v>39661</v>
      </c>
      <c r="B105" s="190" t="n"/>
      <c r="C105" s="55">
        <f>'AWE Real_CPI'!B120</f>
        <v/>
      </c>
      <c r="D105" s="55">
        <f>'AWE Real_CPI'!F120</f>
        <v/>
      </c>
    </row>
    <row r="106">
      <c r="A106" s="197" t="n">
        <v>39692</v>
      </c>
      <c r="B106" s="190" t="n"/>
      <c r="C106" s="55">
        <f>'AWE Real_CPI'!B121</f>
        <v/>
      </c>
      <c r="D106" s="55">
        <f>'AWE Real_CPI'!F121</f>
        <v/>
      </c>
    </row>
    <row r="107">
      <c r="A107" s="197" t="n">
        <v>39722</v>
      </c>
      <c r="B107" s="190" t="n"/>
      <c r="C107" s="55">
        <f>'AWE Real_CPI'!B122</f>
        <v/>
      </c>
      <c r="D107" s="55">
        <f>'AWE Real_CPI'!F122</f>
        <v/>
      </c>
    </row>
    <row r="108">
      <c r="A108" s="197" t="n">
        <v>39753</v>
      </c>
      <c r="B108" s="190" t="n"/>
      <c r="C108" s="55">
        <f>'AWE Real_CPI'!B123</f>
        <v/>
      </c>
      <c r="D108" s="55">
        <f>'AWE Real_CPI'!F123</f>
        <v/>
      </c>
    </row>
    <row r="109">
      <c r="A109" s="197" t="n">
        <v>39783</v>
      </c>
      <c r="B109" s="190" t="n"/>
      <c r="C109" s="55">
        <f>'AWE Real_CPI'!B124</f>
        <v/>
      </c>
      <c r="D109" s="55">
        <f>'AWE Real_CPI'!F124</f>
        <v/>
      </c>
    </row>
    <row r="110">
      <c r="A110" s="198" t="n">
        <v>39814</v>
      </c>
      <c r="B110" s="191" t="n"/>
      <c r="C110" s="55">
        <f>'AWE Real_CPI'!B125</f>
        <v/>
      </c>
      <c r="D110" s="55">
        <f>'AWE Real_CPI'!F125</f>
        <v/>
      </c>
    </row>
    <row r="111">
      <c r="A111" s="198" t="n">
        <v>39845</v>
      </c>
      <c r="B111" s="191" t="n"/>
      <c r="C111" s="55">
        <f>'AWE Real_CPI'!B126</f>
        <v/>
      </c>
      <c r="D111" s="55">
        <f>'AWE Real_CPI'!F126</f>
        <v/>
      </c>
    </row>
    <row r="112">
      <c r="A112" s="198" t="n">
        <v>39873</v>
      </c>
      <c r="B112" s="191" t="n"/>
      <c r="C112" s="55">
        <f>'AWE Real_CPI'!B127</f>
        <v/>
      </c>
      <c r="D112" s="55">
        <f>'AWE Real_CPI'!F127</f>
        <v/>
      </c>
    </row>
    <row r="113">
      <c r="A113" s="198" t="n">
        <v>39904</v>
      </c>
      <c r="B113" s="191" t="n"/>
      <c r="C113" s="55">
        <f>'AWE Real_CPI'!B128</f>
        <v/>
      </c>
      <c r="D113" s="55">
        <f>'AWE Real_CPI'!F128</f>
        <v/>
      </c>
    </row>
    <row r="114">
      <c r="A114" s="199" t="n">
        <v>39934</v>
      </c>
      <c r="B114" s="192" t="n"/>
      <c r="C114" s="55">
        <f>'AWE Real_CPI'!B129</f>
        <v/>
      </c>
      <c r="D114" s="55">
        <f>'AWE Real_CPI'!F129</f>
        <v/>
      </c>
    </row>
    <row r="115">
      <c r="A115" s="199" t="n">
        <v>39965</v>
      </c>
      <c r="B115" s="192" t="n"/>
      <c r="C115" s="55">
        <f>'AWE Real_CPI'!B130</f>
        <v/>
      </c>
      <c r="D115" s="55">
        <f>'AWE Real_CPI'!F130</f>
        <v/>
      </c>
    </row>
    <row r="116">
      <c r="A116" s="199" t="n">
        <v>39995</v>
      </c>
      <c r="B116" s="192" t="n"/>
      <c r="C116" s="55">
        <f>'AWE Real_CPI'!B131</f>
        <v/>
      </c>
      <c r="D116" s="55">
        <f>'AWE Real_CPI'!F131</f>
        <v/>
      </c>
    </row>
    <row r="117">
      <c r="A117" s="199" t="n">
        <v>40026</v>
      </c>
      <c r="B117" s="192" t="n"/>
      <c r="C117" s="55">
        <f>'AWE Real_CPI'!B132</f>
        <v/>
      </c>
      <c r="D117" s="55">
        <f>'AWE Real_CPI'!F132</f>
        <v/>
      </c>
    </row>
    <row r="118">
      <c r="A118" s="199" t="n">
        <v>40057</v>
      </c>
      <c r="B118" s="192" t="n"/>
      <c r="C118" s="55">
        <f>'AWE Real_CPI'!B133</f>
        <v/>
      </c>
      <c r="D118" s="55">
        <f>'AWE Real_CPI'!F133</f>
        <v/>
      </c>
    </row>
    <row r="119">
      <c r="A119" s="200" t="n">
        <v>40087</v>
      </c>
      <c r="B119" s="191" t="n"/>
      <c r="C119" s="55">
        <f>'AWE Real_CPI'!B134</f>
        <v/>
      </c>
      <c r="D119" s="55">
        <f>'AWE Real_CPI'!F134</f>
        <v/>
      </c>
    </row>
    <row r="120">
      <c r="A120" s="201" t="n">
        <v>40118</v>
      </c>
      <c r="B120" s="193" t="n"/>
      <c r="C120" s="55">
        <f>'AWE Real_CPI'!B135</f>
        <v/>
      </c>
      <c r="D120" s="55">
        <f>'AWE Real_CPI'!F135</f>
        <v/>
      </c>
    </row>
    <row r="121">
      <c r="A121" s="201" t="n">
        <v>40148</v>
      </c>
      <c r="B121" s="193" t="n"/>
      <c r="C121" s="55">
        <f>'AWE Real_CPI'!B136</f>
        <v/>
      </c>
      <c r="D121" s="55">
        <f>'AWE Real_CPI'!F136</f>
        <v/>
      </c>
    </row>
    <row r="122">
      <c r="A122" s="201" t="n">
        <v>40179</v>
      </c>
      <c r="B122" s="193" t="n"/>
      <c r="C122" s="55">
        <f>'AWE Real_CPI'!B137</f>
        <v/>
      </c>
      <c r="D122" s="55">
        <f>'AWE Real_CPI'!F137</f>
        <v/>
      </c>
    </row>
    <row r="123">
      <c r="A123" s="201" t="n">
        <v>40210</v>
      </c>
      <c r="B123" s="193" t="n"/>
      <c r="C123" s="55">
        <f>'AWE Real_CPI'!B138</f>
        <v/>
      </c>
      <c r="D123" s="55">
        <f>'AWE Real_CPI'!F138</f>
        <v/>
      </c>
    </row>
    <row r="124">
      <c r="A124" s="201" t="n">
        <v>40238</v>
      </c>
      <c r="B124" s="193" t="n"/>
      <c r="C124" s="55">
        <f>'AWE Real_CPI'!B139</f>
        <v/>
      </c>
      <c r="D124" s="55">
        <f>'AWE Real_CPI'!F139</f>
        <v/>
      </c>
    </row>
    <row r="125">
      <c r="A125" s="201" t="n">
        <v>40269</v>
      </c>
      <c r="B125" s="193" t="n"/>
      <c r="C125" s="55">
        <f>'AWE Real_CPI'!B140</f>
        <v/>
      </c>
      <c r="D125" s="55">
        <f>'AWE Real_CPI'!F140</f>
        <v/>
      </c>
    </row>
    <row r="126">
      <c r="A126" s="201" t="n">
        <v>40299</v>
      </c>
      <c r="B126" s="193" t="n"/>
      <c r="C126" s="55">
        <f>'AWE Real_CPI'!B141</f>
        <v/>
      </c>
      <c r="D126" s="55">
        <f>'AWE Real_CPI'!F141</f>
        <v/>
      </c>
    </row>
    <row r="127">
      <c r="A127" s="201" t="n">
        <v>40330</v>
      </c>
      <c r="B127" s="193" t="n"/>
      <c r="C127" s="55">
        <f>'AWE Real_CPI'!B142</f>
        <v/>
      </c>
      <c r="D127" s="55">
        <f>'AWE Real_CPI'!F142</f>
        <v/>
      </c>
    </row>
    <row r="128">
      <c r="A128" s="201" t="n">
        <v>40360</v>
      </c>
      <c r="B128" s="193" t="n"/>
      <c r="C128" s="55">
        <f>'AWE Real_CPI'!B143</f>
        <v/>
      </c>
      <c r="D128" s="55">
        <f>'AWE Real_CPI'!F143</f>
        <v/>
      </c>
    </row>
    <row r="129">
      <c r="A129" s="201" t="n">
        <v>40391</v>
      </c>
      <c r="B129" s="193" t="n"/>
      <c r="C129" s="55">
        <f>'AWE Real_CPI'!B144</f>
        <v/>
      </c>
      <c r="D129" s="55">
        <f>'AWE Real_CPI'!F144</f>
        <v/>
      </c>
    </row>
    <row r="130">
      <c r="A130" s="201" t="n">
        <v>40422</v>
      </c>
      <c r="B130" s="193" t="n"/>
      <c r="C130" s="55">
        <f>'AWE Real_CPI'!B145</f>
        <v/>
      </c>
      <c r="D130" s="55">
        <f>'AWE Real_CPI'!F145</f>
        <v/>
      </c>
    </row>
    <row r="131">
      <c r="A131" s="201" t="n">
        <v>40452</v>
      </c>
      <c r="B131" s="193" t="n"/>
      <c r="C131" s="55">
        <f>'AWE Real_CPI'!B146</f>
        <v/>
      </c>
      <c r="D131" s="55">
        <f>'AWE Real_CPI'!F146</f>
        <v/>
      </c>
    </row>
    <row r="132">
      <c r="A132" s="201" t="n">
        <v>40483</v>
      </c>
      <c r="B132" s="193" t="n"/>
      <c r="C132" s="55">
        <f>'AWE Real_CPI'!B147</f>
        <v/>
      </c>
      <c r="D132" s="55">
        <f>'AWE Real_CPI'!F147</f>
        <v/>
      </c>
    </row>
    <row r="133">
      <c r="A133" s="201" t="n">
        <v>40513</v>
      </c>
      <c r="B133" s="193" t="n"/>
      <c r="C133" s="55">
        <f>'AWE Real_CPI'!B148</f>
        <v/>
      </c>
      <c r="D133" s="55">
        <f>'AWE Real_CPI'!F148</f>
        <v/>
      </c>
    </row>
    <row r="134">
      <c r="A134" s="201" t="n">
        <v>40544</v>
      </c>
      <c r="B134" s="193" t="n"/>
      <c r="C134" s="55">
        <f>'AWE Real_CPI'!B149</f>
        <v/>
      </c>
      <c r="D134" s="55">
        <f>'AWE Real_CPI'!F149</f>
        <v/>
      </c>
    </row>
    <row r="135">
      <c r="A135" s="201" t="n">
        <v>40575</v>
      </c>
      <c r="B135" s="193" t="n"/>
      <c r="C135" s="55">
        <f>'AWE Real_CPI'!B150</f>
        <v/>
      </c>
      <c r="D135" s="55">
        <f>'AWE Real_CPI'!F150</f>
        <v/>
      </c>
    </row>
    <row r="136">
      <c r="A136" s="201" t="n">
        <v>40603</v>
      </c>
      <c r="B136" s="193" t="n"/>
      <c r="C136" s="55">
        <f>'AWE Real_CPI'!B151</f>
        <v/>
      </c>
      <c r="D136" s="55">
        <f>'AWE Real_CPI'!F151</f>
        <v/>
      </c>
    </row>
    <row r="137">
      <c r="A137" s="201" t="n">
        <v>40634</v>
      </c>
      <c r="B137" s="193" t="n"/>
      <c r="C137" s="55">
        <f>'AWE Real_CPI'!B152</f>
        <v/>
      </c>
      <c r="D137" s="55">
        <f>'AWE Real_CPI'!F152</f>
        <v/>
      </c>
    </row>
    <row r="138">
      <c r="A138" s="201" t="n">
        <v>40664</v>
      </c>
      <c r="B138" s="193" t="n"/>
      <c r="C138" s="55">
        <f>'AWE Real_CPI'!B153</f>
        <v/>
      </c>
      <c r="D138" s="55">
        <f>'AWE Real_CPI'!F153</f>
        <v/>
      </c>
    </row>
    <row r="139">
      <c r="A139" s="201" t="n">
        <v>40695</v>
      </c>
      <c r="B139" s="193" t="n"/>
      <c r="C139" s="55">
        <f>'AWE Real_CPI'!B154</f>
        <v/>
      </c>
      <c r="D139" s="55">
        <f>'AWE Real_CPI'!F154</f>
        <v/>
      </c>
    </row>
    <row r="140">
      <c r="A140" s="201" t="n">
        <v>40725</v>
      </c>
      <c r="B140" s="193" t="n"/>
      <c r="C140" s="55">
        <f>'AWE Real_CPI'!B155</f>
        <v/>
      </c>
      <c r="D140" s="55">
        <f>'AWE Real_CPI'!F155</f>
        <v/>
      </c>
    </row>
    <row r="141">
      <c r="A141" s="201" t="n">
        <v>40756</v>
      </c>
      <c r="B141" s="193" t="n"/>
      <c r="C141" s="55">
        <f>'AWE Real_CPI'!B156</f>
        <v/>
      </c>
      <c r="D141" s="55">
        <f>'AWE Real_CPI'!F156</f>
        <v/>
      </c>
    </row>
    <row r="142">
      <c r="A142" s="201" t="n">
        <v>40787</v>
      </c>
      <c r="B142" s="193" t="n"/>
      <c r="C142" s="55">
        <f>'AWE Real_CPI'!B157</f>
        <v/>
      </c>
      <c r="D142" s="55">
        <f>'AWE Real_CPI'!F157</f>
        <v/>
      </c>
    </row>
    <row r="143">
      <c r="A143" s="201" t="n">
        <v>40817</v>
      </c>
      <c r="B143" s="193" t="n"/>
      <c r="C143" s="55">
        <f>'AWE Real_CPI'!B158</f>
        <v/>
      </c>
      <c r="D143" s="55">
        <f>'AWE Real_CPI'!F158</f>
        <v/>
      </c>
    </row>
    <row r="144">
      <c r="A144" s="201" t="n">
        <v>40848</v>
      </c>
      <c r="B144" s="193" t="n"/>
      <c r="C144" s="55">
        <f>'AWE Real_CPI'!B159</f>
        <v/>
      </c>
      <c r="D144" s="55">
        <f>'AWE Real_CPI'!F159</f>
        <v/>
      </c>
    </row>
    <row r="145">
      <c r="A145" s="201" t="n">
        <v>40878</v>
      </c>
      <c r="B145" s="193" t="n"/>
      <c r="C145" s="55">
        <f>'AWE Real_CPI'!B160</f>
        <v/>
      </c>
      <c r="D145" s="55">
        <f>'AWE Real_CPI'!F160</f>
        <v/>
      </c>
    </row>
    <row r="146">
      <c r="A146" s="201" t="n">
        <v>40909</v>
      </c>
      <c r="B146" s="193" t="n"/>
      <c r="C146" s="55">
        <f>'AWE Real_CPI'!B161</f>
        <v/>
      </c>
      <c r="D146" s="55">
        <f>'AWE Real_CPI'!F161</f>
        <v/>
      </c>
    </row>
    <row r="147">
      <c r="A147" s="201" t="n">
        <v>40940</v>
      </c>
      <c r="B147" s="193" t="n"/>
      <c r="C147" s="55">
        <f>'AWE Real_CPI'!B162</f>
        <v/>
      </c>
      <c r="D147" s="55">
        <f>'AWE Real_CPI'!F162</f>
        <v/>
      </c>
    </row>
    <row r="148">
      <c r="A148" s="201" t="n">
        <v>40969</v>
      </c>
      <c r="B148" s="193" t="n"/>
      <c r="C148" s="55">
        <f>'AWE Real_CPI'!B163</f>
        <v/>
      </c>
      <c r="D148" s="55">
        <f>'AWE Real_CPI'!F163</f>
        <v/>
      </c>
    </row>
    <row r="149">
      <c r="A149" s="201" t="n">
        <v>41000</v>
      </c>
      <c r="B149" s="193" t="n"/>
      <c r="C149" s="55">
        <f>'AWE Real_CPI'!B164</f>
        <v/>
      </c>
      <c r="D149" s="55">
        <f>'AWE Real_CPI'!F164</f>
        <v/>
      </c>
    </row>
    <row r="150">
      <c r="A150" s="201" t="n">
        <v>41030</v>
      </c>
      <c r="B150" s="193" t="n"/>
      <c r="C150" s="55">
        <f>'AWE Real_CPI'!B165</f>
        <v/>
      </c>
      <c r="D150" s="55">
        <f>'AWE Real_CPI'!F165</f>
        <v/>
      </c>
    </row>
    <row r="151">
      <c r="A151" s="201" t="n">
        <v>41061</v>
      </c>
      <c r="B151" s="193" t="n"/>
      <c r="C151" s="55">
        <f>'AWE Real_CPI'!B166</f>
        <v/>
      </c>
      <c r="D151" s="55">
        <f>'AWE Real_CPI'!F166</f>
        <v/>
      </c>
    </row>
    <row r="152">
      <c r="A152" s="201" t="n">
        <v>41091</v>
      </c>
      <c r="B152" s="193" t="n"/>
      <c r="C152" s="55">
        <f>'AWE Real_CPI'!B167</f>
        <v/>
      </c>
      <c r="D152" s="55">
        <f>'AWE Real_CPI'!F167</f>
        <v/>
      </c>
    </row>
    <row r="153">
      <c r="A153" s="201" t="n">
        <v>41122</v>
      </c>
      <c r="B153" s="193" t="n"/>
      <c r="C153" s="55">
        <f>'AWE Real_CPI'!B168</f>
        <v/>
      </c>
      <c r="D153" s="55">
        <f>'AWE Real_CPI'!F168</f>
        <v/>
      </c>
    </row>
    <row r="154">
      <c r="A154" s="201" t="n">
        <v>41153</v>
      </c>
      <c r="B154" s="193" t="n"/>
      <c r="C154" s="55">
        <f>'AWE Real_CPI'!B169</f>
        <v/>
      </c>
      <c r="D154" s="55">
        <f>'AWE Real_CPI'!F169</f>
        <v/>
      </c>
    </row>
    <row r="155">
      <c r="A155" s="201" t="n">
        <v>41183</v>
      </c>
      <c r="B155" s="193" t="n"/>
      <c r="C155" s="55">
        <f>'AWE Real_CPI'!B170</f>
        <v/>
      </c>
      <c r="D155" s="55">
        <f>'AWE Real_CPI'!F170</f>
        <v/>
      </c>
    </row>
    <row r="156">
      <c r="A156" s="201" t="n">
        <v>41214</v>
      </c>
      <c r="B156" s="193" t="n"/>
      <c r="C156" s="55">
        <f>'AWE Real_CPI'!B171</f>
        <v/>
      </c>
      <c r="D156" s="55">
        <f>'AWE Real_CPI'!F171</f>
        <v/>
      </c>
    </row>
    <row r="157">
      <c r="A157" s="201" t="n">
        <v>41244</v>
      </c>
      <c r="B157" s="193" t="n"/>
      <c r="C157" s="55">
        <f>'AWE Real_CPI'!B172</f>
        <v/>
      </c>
      <c r="D157" s="55">
        <f>'AWE Real_CPI'!F172</f>
        <v/>
      </c>
    </row>
    <row r="158">
      <c r="A158" s="201" t="n">
        <v>41275</v>
      </c>
      <c r="B158" s="193" t="n"/>
      <c r="C158" s="55">
        <f>'AWE Real_CPI'!B173</f>
        <v/>
      </c>
      <c r="D158" s="55">
        <f>'AWE Real_CPI'!F173</f>
        <v/>
      </c>
    </row>
    <row r="159">
      <c r="A159" s="201" t="n">
        <v>41306</v>
      </c>
      <c r="B159" s="193" t="n"/>
      <c r="C159" s="55">
        <f>'AWE Real_CPI'!B174</f>
        <v/>
      </c>
      <c r="D159" s="55">
        <f>'AWE Real_CPI'!F174</f>
        <v/>
      </c>
    </row>
    <row r="160">
      <c r="A160" s="201" t="n">
        <v>41334</v>
      </c>
      <c r="B160" s="193" t="n"/>
      <c r="C160" s="55">
        <f>'AWE Real_CPI'!B175</f>
        <v/>
      </c>
      <c r="D160" s="55">
        <f>'AWE Real_CPI'!F175</f>
        <v/>
      </c>
    </row>
    <row r="161">
      <c r="A161" s="201" t="n">
        <v>41365</v>
      </c>
      <c r="B161" s="193" t="n"/>
      <c r="C161" s="55">
        <f>'AWE Real_CPI'!B176</f>
        <v/>
      </c>
      <c r="D161" s="55">
        <f>'AWE Real_CPI'!F176</f>
        <v/>
      </c>
    </row>
    <row r="162">
      <c r="A162" s="201" t="n">
        <v>41395</v>
      </c>
      <c r="B162" s="193" t="n"/>
      <c r="C162" s="55">
        <f>'AWE Real_CPI'!B177</f>
        <v/>
      </c>
      <c r="D162" s="55">
        <f>'AWE Real_CPI'!F177</f>
        <v/>
      </c>
    </row>
    <row r="163">
      <c r="A163" s="201" t="n">
        <v>41426</v>
      </c>
      <c r="B163" s="193" t="n"/>
      <c r="C163" s="55">
        <f>'AWE Real_CPI'!B178</f>
        <v/>
      </c>
      <c r="D163" s="55">
        <f>'AWE Real_CPI'!F178</f>
        <v/>
      </c>
    </row>
    <row r="164">
      <c r="A164" s="201" t="n">
        <v>41456</v>
      </c>
      <c r="B164" s="193" t="n"/>
      <c r="C164" s="55">
        <f>'AWE Real_CPI'!B179</f>
        <v/>
      </c>
      <c r="D164" s="55">
        <f>'AWE Real_CPI'!F179</f>
        <v/>
      </c>
    </row>
    <row r="165">
      <c r="A165" s="201" t="n">
        <v>41487</v>
      </c>
      <c r="B165" s="193" t="n"/>
      <c r="C165" s="55">
        <f>'AWE Real_CPI'!B180</f>
        <v/>
      </c>
      <c r="D165" s="55">
        <f>'AWE Real_CPI'!F180</f>
        <v/>
      </c>
    </row>
    <row r="166">
      <c r="A166" s="201" t="n">
        <v>41518</v>
      </c>
      <c r="B166" s="193" t="n"/>
      <c r="C166" s="55">
        <f>'AWE Real_CPI'!B181</f>
        <v/>
      </c>
      <c r="D166" s="55">
        <f>'AWE Real_CPI'!F181</f>
        <v/>
      </c>
    </row>
    <row r="167">
      <c r="A167" s="201" t="n">
        <v>41548</v>
      </c>
      <c r="B167" s="193" t="n"/>
      <c r="C167" s="55">
        <f>'AWE Real_CPI'!B182</f>
        <v/>
      </c>
      <c r="D167" s="55">
        <f>'AWE Real_CPI'!F182</f>
        <v/>
      </c>
    </row>
    <row r="168">
      <c r="A168" s="201" t="n">
        <v>41579</v>
      </c>
      <c r="B168" s="193" t="n"/>
      <c r="C168" s="55">
        <f>'AWE Real_CPI'!B183</f>
        <v/>
      </c>
      <c r="D168" s="55">
        <f>'AWE Real_CPI'!F183</f>
        <v/>
      </c>
    </row>
    <row r="169">
      <c r="A169" s="201" t="n">
        <v>41609</v>
      </c>
      <c r="B169" s="193" t="n"/>
      <c r="C169" s="55">
        <f>'AWE Real_CPI'!B184</f>
        <v/>
      </c>
      <c r="D169" s="55">
        <f>'AWE Real_CPI'!F184</f>
        <v/>
      </c>
    </row>
    <row r="170">
      <c r="A170" s="201" t="n">
        <v>41640</v>
      </c>
      <c r="B170" s="193" t="n"/>
      <c r="C170" s="55">
        <f>'AWE Real_CPI'!B185</f>
        <v/>
      </c>
      <c r="D170" s="55">
        <f>'AWE Real_CPI'!F185</f>
        <v/>
      </c>
    </row>
    <row r="171">
      <c r="A171" s="201" t="n">
        <v>41671</v>
      </c>
      <c r="B171" s="193" t="n"/>
      <c r="C171" s="55">
        <f>'AWE Real_CPI'!B186</f>
        <v/>
      </c>
      <c r="D171" s="55">
        <f>'AWE Real_CPI'!F186</f>
        <v/>
      </c>
    </row>
    <row r="172">
      <c r="A172" s="201" t="n">
        <v>41699</v>
      </c>
      <c r="B172" s="193" t="n"/>
      <c r="C172" s="55">
        <f>'AWE Real_CPI'!B187</f>
        <v/>
      </c>
      <c r="D172" s="55">
        <f>'AWE Real_CPI'!F187</f>
        <v/>
      </c>
    </row>
    <row r="173">
      <c r="A173" s="201" t="n">
        <v>41730</v>
      </c>
      <c r="B173" s="193" t="n"/>
      <c r="C173" s="55">
        <f>'AWE Real_CPI'!B188</f>
        <v/>
      </c>
      <c r="D173" s="55">
        <f>'AWE Real_CPI'!F188</f>
        <v/>
      </c>
    </row>
    <row r="174">
      <c r="A174" s="201" t="n">
        <v>41760</v>
      </c>
      <c r="B174" s="193" t="n"/>
      <c r="C174" s="55">
        <f>'AWE Real_CPI'!B189</f>
        <v/>
      </c>
      <c r="D174" s="55">
        <f>'AWE Real_CPI'!F189</f>
        <v/>
      </c>
    </row>
    <row r="175">
      <c r="A175" s="201" t="n">
        <v>41791</v>
      </c>
      <c r="B175" s="193" t="n"/>
      <c r="C175" s="55">
        <f>'AWE Real_CPI'!B190</f>
        <v/>
      </c>
      <c r="D175" s="55">
        <f>'AWE Real_CPI'!F190</f>
        <v/>
      </c>
    </row>
    <row r="176">
      <c r="A176" s="201" t="n">
        <v>41821</v>
      </c>
      <c r="B176" s="193" t="n"/>
      <c r="C176" s="55">
        <f>'AWE Real_CPI'!B191</f>
        <v/>
      </c>
      <c r="D176" s="55">
        <f>'AWE Real_CPI'!F191</f>
        <v/>
      </c>
    </row>
    <row r="177">
      <c r="A177" s="201" t="n">
        <v>41852</v>
      </c>
      <c r="B177" s="193" t="n"/>
      <c r="C177" s="55">
        <f>'AWE Real_CPI'!B192</f>
        <v/>
      </c>
      <c r="D177" s="55">
        <f>'AWE Real_CPI'!F192</f>
        <v/>
      </c>
    </row>
    <row r="178">
      <c r="A178" s="201" t="n">
        <v>41883</v>
      </c>
      <c r="B178" s="193" t="n"/>
      <c r="C178" s="55">
        <f>'AWE Real_CPI'!B193</f>
        <v/>
      </c>
      <c r="D178" s="55">
        <f>'AWE Real_CPI'!F193</f>
        <v/>
      </c>
    </row>
    <row r="179">
      <c r="A179" s="201" t="n">
        <v>41913</v>
      </c>
      <c r="B179" s="193" t="n"/>
      <c r="C179" s="55">
        <f>'AWE Real_CPI'!B194</f>
        <v/>
      </c>
      <c r="D179" s="55">
        <f>'AWE Real_CPI'!F194</f>
        <v/>
      </c>
    </row>
    <row r="180">
      <c r="A180" s="201" t="n">
        <v>41944</v>
      </c>
      <c r="B180" s="193" t="n"/>
      <c r="C180" s="55">
        <f>'AWE Real_CPI'!B195</f>
        <v/>
      </c>
      <c r="D180" s="55">
        <f>'AWE Real_CPI'!F195</f>
        <v/>
      </c>
    </row>
    <row r="181">
      <c r="A181" s="201" t="n">
        <v>41974</v>
      </c>
      <c r="B181" s="193" t="n"/>
      <c r="C181" s="55">
        <f>'AWE Real_CPI'!B196</f>
        <v/>
      </c>
      <c r="D181" s="55">
        <f>'AWE Real_CPI'!F196</f>
        <v/>
      </c>
    </row>
    <row r="182">
      <c r="A182" s="201" t="n">
        <v>42005</v>
      </c>
      <c r="B182" s="193" t="n"/>
      <c r="C182" s="55">
        <f>'AWE Real_CPI'!B197</f>
        <v/>
      </c>
      <c r="D182" s="55">
        <f>'AWE Real_CPI'!F197</f>
        <v/>
      </c>
    </row>
    <row r="183">
      <c r="A183" s="201" t="n">
        <v>42036</v>
      </c>
      <c r="B183" s="193" t="n"/>
      <c r="C183" s="55">
        <f>'AWE Real_CPI'!B198</f>
        <v/>
      </c>
      <c r="D183" s="55">
        <f>'AWE Real_CPI'!F198</f>
        <v/>
      </c>
    </row>
    <row r="184">
      <c r="A184" s="201" t="n">
        <v>42064</v>
      </c>
      <c r="B184" s="193" t="n"/>
      <c r="C184" s="55">
        <f>'AWE Real_CPI'!B199</f>
        <v/>
      </c>
      <c r="D184" s="55">
        <f>'AWE Real_CPI'!F199</f>
        <v/>
      </c>
    </row>
    <row r="185">
      <c r="A185" s="201" t="n">
        <v>42095</v>
      </c>
      <c r="B185" s="193" t="n"/>
      <c r="C185" s="55">
        <f>'AWE Real_CPI'!B200</f>
        <v/>
      </c>
      <c r="D185" s="55">
        <f>'AWE Real_CPI'!F200</f>
        <v/>
      </c>
    </row>
    <row r="186">
      <c r="A186" s="201" t="n">
        <v>42125</v>
      </c>
      <c r="B186" s="193" t="n"/>
      <c r="C186" s="55">
        <f>'AWE Real_CPI'!B201</f>
        <v/>
      </c>
      <c r="D186" s="55">
        <f>'AWE Real_CPI'!F201</f>
        <v/>
      </c>
    </row>
    <row r="187">
      <c r="A187" s="201" t="n">
        <v>42156</v>
      </c>
      <c r="B187" s="193" t="n"/>
      <c r="C187" s="55">
        <f>'AWE Real_CPI'!B202</f>
        <v/>
      </c>
      <c r="D187" s="55">
        <f>'AWE Real_CPI'!F202</f>
        <v/>
      </c>
    </row>
    <row r="188">
      <c r="A188" s="201" t="n">
        <v>42186</v>
      </c>
      <c r="B188" s="193" t="n"/>
      <c r="C188" s="55">
        <f>'AWE Real_CPI'!B203</f>
        <v/>
      </c>
      <c r="D188" s="55">
        <f>'AWE Real_CPI'!F203</f>
        <v/>
      </c>
    </row>
    <row r="189">
      <c r="A189" s="201" t="n">
        <v>42217</v>
      </c>
      <c r="B189" s="193" t="n"/>
      <c r="C189" s="55">
        <f>'AWE Real_CPI'!B204</f>
        <v/>
      </c>
      <c r="D189" s="55">
        <f>'AWE Real_CPI'!F204</f>
        <v/>
      </c>
    </row>
    <row r="190">
      <c r="A190" s="201" t="n">
        <v>42248</v>
      </c>
      <c r="B190" s="193" t="n"/>
      <c r="C190" s="55">
        <f>'AWE Real_CPI'!B205</f>
        <v/>
      </c>
      <c r="D190" s="55">
        <f>'AWE Real_CPI'!F205</f>
        <v/>
      </c>
    </row>
    <row r="191">
      <c r="A191" s="201" t="n">
        <v>42278</v>
      </c>
      <c r="B191" s="193" t="n"/>
      <c r="C191" s="55">
        <f>'AWE Real_CPI'!B206</f>
        <v/>
      </c>
      <c r="D191" s="55">
        <f>'AWE Real_CPI'!F206</f>
        <v/>
      </c>
    </row>
    <row r="192">
      <c r="A192" s="201" t="n">
        <v>42309</v>
      </c>
      <c r="B192" s="193" t="n"/>
      <c r="C192" s="55">
        <f>'AWE Real_CPI'!B207</f>
        <v/>
      </c>
      <c r="D192" s="55">
        <f>'AWE Real_CPI'!F207</f>
        <v/>
      </c>
    </row>
    <row r="193">
      <c r="A193" s="201" t="n">
        <v>42339</v>
      </c>
      <c r="B193" s="193" t="n"/>
      <c r="C193" s="55">
        <f>'AWE Real_CPI'!B208</f>
        <v/>
      </c>
      <c r="D193" s="55">
        <f>'AWE Real_CPI'!F208</f>
        <v/>
      </c>
    </row>
    <row r="194">
      <c r="A194" s="201" t="n">
        <v>42370</v>
      </c>
      <c r="B194" s="193" t="n"/>
      <c r="C194" s="55">
        <f>'AWE Real_CPI'!B209</f>
        <v/>
      </c>
      <c r="D194" s="55">
        <f>'AWE Real_CPI'!F209</f>
        <v/>
      </c>
    </row>
    <row r="195">
      <c r="A195" s="201" t="n">
        <v>42401</v>
      </c>
      <c r="B195" s="193" t="n"/>
      <c r="C195" s="55">
        <f>'AWE Real_CPI'!B210</f>
        <v/>
      </c>
      <c r="D195" s="55">
        <f>'AWE Real_CPI'!F210</f>
        <v/>
      </c>
    </row>
    <row r="196">
      <c r="A196" s="201" t="n">
        <v>42430</v>
      </c>
      <c r="B196" s="193" t="n"/>
      <c r="C196" s="55">
        <f>'AWE Real_CPI'!B211</f>
        <v/>
      </c>
      <c r="D196" s="55">
        <f>'AWE Real_CPI'!F211</f>
        <v/>
      </c>
    </row>
    <row r="197">
      <c r="A197" s="201" t="n">
        <v>42461</v>
      </c>
      <c r="B197" s="193" t="n"/>
      <c r="C197" s="55">
        <f>'AWE Real_CPI'!B212</f>
        <v/>
      </c>
      <c r="D197" s="55">
        <f>'AWE Real_CPI'!F212</f>
        <v/>
      </c>
    </row>
    <row r="198">
      <c r="A198" s="201" t="n">
        <v>42491</v>
      </c>
      <c r="B198" s="193" t="n"/>
      <c r="C198" s="55">
        <f>'AWE Real_CPI'!B213</f>
        <v/>
      </c>
      <c r="D198" s="55">
        <f>'AWE Real_CPI'!F213</f>
        <v/>
      </c>
    </row>
    <row r="199">
      <c r="A199" s="201" t="n">
        <v>42522</v>
      </c>
      <c r="B199" s="193" t="n"/>
      <c r="C199" s="55">
        <f>'AWE Real_CPI'!B214</f>
        <v/>
      </c>
      <c r="D199" s="55">
        <f>'AWE Real_CPI'!F214</f>
        <v/>
      </c>
    </row>
    <row r="200">
      <c r="A200" s="201" t="n">
        <v>42552</v>
      </c>
      <c r="B200" s="193" t="n"/>
      <c r="C200" s="55">
        <f>'AWE Real_CPI'!B215</f>
        <v/>
      </c>
      <c r="D200" s="55">
        <f>'AWE Real_CPI'!F215</f>
        <v/>
      </c>
    </row>
    <row r="201">
      <c r="A201" s="201" t="n">
        <v>42583</v>
      </c>
      <c r="B201" s="193" t="n"/>
      <c r="C201" s="55">
        <f>'AWE Real_CPI'!B216</f>
        <v/>
      </c>
      <c r="D201" s="55">
        <f>'AWE Real_CPI'!F216</f>
        <v/>
      </c>
    </row>
    <row r="202">
      <c r="A202" s="201" t="n">
        <v>42614</v>
      </c>
      <c r="B202" s="193" t="n"/>
      <c r="C202" s="55">
        <f>'AWE Real_CPI'!B217</f>
        <v/>
      </c>
      <c r="D202" s="55">
        <f>'AWE Real_CPI'!F217</f>
        <v/>
      </c>
    </row>
    <row r="203">
      <c r="A203" s="201" t="n">
        <v>42644</v>
      </c>
      <c r="B203" s="193" t="n"/>
      <c r="C203" s="55">
        <f>'AWE Real_CPI'!B218</f>
        <v/>
      </c>
      <c r="D203" s="55">
        <f>'AWE Real_CPI'!F218</f>
        <v/>
      </c>
    </row>
    <row r="204">
      <c r="A204" s="201" t="n">
        <v>42675</v>
      </c>
      <c r="B204" s="193" t="n"/>
      <c r="C204" s="55">
        <f>'AWE Real_CPI'!B219</f>
        <v/>
      </c>
      <c r="D204" s="55">
        <f>'AWE Real_CPI'!F219</f>
        <v/>
      </c>
    </row>
    <row r="205">
      <c r="A205" s="201" t="n">
        <v>42705</v>
      </c>
      <c r="B205" s="193" t="n"/>
      <c r="C205" s="55">
        <f>'AWE Real_CPI'!B220</f>
        <v/>
      </c>
      <c r="D205" s="55">
        <f>'AWE Real_CPI'!F220</f>
        <v/>
      </c>
    </row>
    <row r="206">
      <c r="A206" s="201" t="n">
        <v>42736</v>
      </c>
      <c r="B206" s="193" t="n"/>
      <c r="C206" s="55">
        <f>'AWE Real_CPI'!B221</f>
        <v/>
      </c>
      <c r="D206" s="55">
        <f>'AWE Real_CPI'!F221</f>
        <v/>
      </c>
    </row>
    <row r="207">
      <c r="A207" s="201" t="n">
        <v>42767</v>
      </c>
      <c r="B207" s="193" t="n"/>
      <c r="C207" s="55">
        <f>'AWE Real_CPI'!B222</f>
        <v/>
      </c>
      <c r="D207" s="55">
        <f>'AWE Real_CPI'!F222</f>
        <v/>
      </c>
    </row>
    <row r="208">
      <c r="A208" s="201" t="n">
        <v>42795</v>
      </c>
      <c r="B208" s="193" t="n"/>
      <c r="C208" s="55">
        <f>'AWE Real_CPI'!B223</f>
        <v/>
      </c>
      <c r="D208" s="55">
        <f>'AWE Real_CPI'!F223</f>
        <v/>
      </c>
    </row>
    <row r="209">
      <c r="A209" s="201" t="n">
        <v>42826</v>
      </c>
      <c r="B209" s="193" t="n"/>
      <c r="C209" s="55">
        <f>'AWE Real_CPI'!B224</f>
        <v/>
      </c>
      <c r="D209" s="55">
        <f>'AWE Real_CPI'!F224</f>
        <v/>
      </c>
    </row>
    <row r="210">
      <c r="A210" s="201" t="n">
        <v>42856</v>
      </c>
      <c r="B210" s="193" t="n"/>
      <c r="C210" s="55">
        <f>'AWE Real_CPI'!B225</f>
        <v/>
      </c>
      <c r="D210" s="55">
        <f>'AWE Real_CPI'!F225</f>
        <v/>
      </c>
    </row>
    <row r="211">
      <c r="A211" s="201" t="n">
        <v>42887</v>
      </c>
      <c r="B211" s="193" t="n"/>
      <c r="C211" s="55">
        <f>'AWE Real_CPI'!B226</f>
        <v/>
      </c>
      <c r="D211" s="55">
        <f>'AWE Real_CPI'!F226</f>
        <v/>
      </c>
    </row>
    <row r="212">
      <c r="A212" s="201" t="n">
        <v>42917</v>
      </c>
      <c r="B212" s="193" t="n"/>
      <c r="C212" s="55">
        <f>'AWE Real_CPI'!B227</f>
        <v/>
      </c>
      <c r="D212" s="55">
        <f>'AWE Real_CPI'!F227</f>
        <v/>
      </c>
    </row>
    <row r="213">
      <c r="A213" s="201" t="n">
        <v>42948</v>
      </c>
      <c r="B213" s="193" t="n"/>
      <c r="C213" s="55">
        <f>'AWE Real_CPI'!B228</f>
        <v/>
      </c>
      <c r="D213" s="55">
        <f>'AWE Real_CPI'!F228</f>
        <v/>
      </c>
    </row>
    <row r="214">
      <c r="A214" s="201" t="n">
        <v>42979</v>
      </c>
      <c r="B214" s="193" t="n"/>
      <c r="C214" s="55">
        <f>'AWE Real_CPI'!B229</f>
        <v/>
      </c>
      <c r="D214" s="55">
        <f>'AWE Real_CPI'!F229</f>
        <v/>
      </c>
    </row>
    <row r="215">
      <c r="A215" s="201" t="n">
        <v>43009</v>
      </c>
      <c r="B215" s="193" t="n"/>
      <c r="C215" s="55">
        <f>'AWE Real_CPI'!B230</f>
        <v/>
      </c>
      <c r="D215" s="55">
        <f>'AWE Real_CPI'!F230</f>
        <v/>
      </c>
    </row>
    <row r="216">
      <c r="A216" s="201" t="n">
        <v>43040</v>
      </c>
      <c r="B216" s="193" t="n"/>
      <c r="C216" s="55">
        <f>'AWE Real_CPI'!B231</f>
        <v/>
      </c>
      <c r="D216" s="55">
        <f>'AWE Real_CPI'!F231</f>
        <v/>
      </c>
    </row>
    <row r="217">
      <c r="A217" s="201" t="n">
        <v>43070</v>
      </c>
      <c r="B217" s="193" t="n"/>
      <c r="C217" s="55">
        <f>'AWE Real_CPI'!B232</f>
        <v/>
      </c>
      <c r="D217" s="55">
        <f>'AWE Real_CPI'!F232</f>
        <v/>
      </c>
    </row>
    <row r="218">
      <c r="A218" s="201" t="n">
        <v>43101</v>
      </c>
      <c r="B218" s="193" t="n"/>
      <c r="C218" s="55">
        <f>'AWE Real_CPI'!B233</f>
        <v/>
      </c>
      <c r="D218" s="55">
        <f>'AWE Real_CPI'!F233</f>
        <v/>
      </c>
    </row>
    <row r="219">
      <c r="A219" s="201" t="n">
        <v>43132</v>
      </c>
      <c r="B219" s="193" t="n"/>
      <c r="C219" s="55">
        <f>'AWE Real_CPI'!B234</f>
        <v/>
      </c>
      <c r="D219" s="55">
        <f>'AWE Real_CPI'!F234</f>
        <v/>
      </c>
    </row>
    <row r="220">
      <c r="A220" s="201" t="n">
        <v>43160</v>
      </c>
      <c r="B220" s="193" t="n"/>
      <c r="C220" s="55">
        <f>'AWE Real_CPI'!B235</f>
        <v/>
      </c>
      <c r="D220" s="55">
        <f>'AWE Real_CPI'!F235</f>
        <v/>
      </c>
    </row>
    <row r="221">
      <c r="A221" s="201" t="n">
        <v>43191</v>
      </c>
      <c r="B221" s="193" t="n"/>
      <c r="C221" s="55">
        <f>'AWE Real_CPI'!B236</f>
        <v/>
      </c>
      <c r="D221" s="55">
        <f>'AWE Real_CPI'!F236</f>
        <v/>
      </c>
    </row>
    <row r="222">
      <c r="A222" s="201" t="n">
        <v>43221</v>
      </c>
      <c r="B222" s="193" t="n"/>
      <c r="C222" s="55">
        <f>'AWE Real_CPI'!B237</f>
        <v/>
      </c>
      <c r="D222" s="55">
        <f>'AWE Real_CPI'!F237</f>
        <v/>
      </c>
    </row>
    <row r="223">
      <c r="A223" s="201" t="n">
        <v>43252</v>
      </c>
      <c r="B223" s="193" t="n"/>
      <c r="C223" s="55">
        <f>'AWE Real_CPI'!B238</f>
        <v/>
      </c>
      <c r="D223" s="55">
        <f>'AWE Real_CPI'!F238</f>
        <v/>
      </c>
    </row>
    <row r="224">
      <c r="A224" s="201" t="n">
        <v>43282</v>
      </c>
      <c r="B224" s="193" t="n"/>
      <c r="C224" s="55">
        <f>'AWE Real_CPI'!B239</f>
        <v/>
      </c>
      <c r="D224" s="55">
        <f>'AWE Real_CPI'!F239</f>
        <v/>
      </c>
    </row>
    <row r="225">
      <c r="A225" s="201" t="n">
        <v>43313</v>
      </c>
      <c r="B225" s="193" t="n"/>
      <c r="C225" s="55">
        <f>'AWE Real_CPI'!B240</f>
        <v/>
      </c>
      <c r="D225" s="55">
        <f>'AWE Real_CPI'!F240</f>
        <v/>
      </c>
    </row>
    <row r="226">
      <c r="A226" s="201" t="n">
        <v>43344</v>
      </c>
      <c r="B226" s="193" t="n"/>
      <c r="C226" s="55">
        <f>'AWE Real_CPI'!B241</f>
        <v/>
      </c>
      <c r="D226" s="55">
        <f>'AWE Real_CPI'!F241</f>
        <v/>
      </c>
    </row>
    <row r="227">
      <c r="A227" s="201" t="n">
        <v>43374</v>
      </c>
      <c r="B227" s="193" t="n"/>
      <c r="C227" s="55">
        <f>'AWE Real_CPI'!B242</f>
        <v/>
      </c>
      <c r="D227" s="55">
        <f>'AWE Real_CPI'!F242</f>
        <v/>
      </c>
    </row>
    <row r="228">
      <c r="A228" s="201" t="n">
        <v>43405</v>
      </c>
      <c r="B228" s="193" t="n"/>
      <c r="C228" s="55">
        <f>'AWE Real_CPI'!B243</f>
        <v/>
      </c>
      <c r="D228" s="55">
        <f>'AWE Real_CPI'!F243</f>
        <v/>
      </c>
    </row>
    <row r="229">
      <c r="A229" s="201" t="n">
        <v>43435</v>
      </c>
      <c r="B229" s="193" t="n"/>
      <c r="C229" s="55">
        <f>'AWE Real_CPI'!B244</f>
        <v/>
      </c>
      <c r="D229" s="55">
        <f>'AWE Real_CPI'!F244</f>
        <v/>
      </c>
    </row>
    <row r="230">
      <c r="A230" s="201" t="n">
        <v>43466</v>
      </c>
      <c r="B230" s="193" t="n"/>
      <c r="C230" s="55">
        <f>'AWE Real_CPI'!B245</f>
        <v/>
      </c>
      <c r="D230" s="55">
        <f>'AWE Real_CPI'!F245</f>
        <v/>
      </c>
    </row>
    <row r="231">
      <c r="A231" s="201" t="n">
        <v>43497</v>
      </c>
      <c r="B231" s="193" t="n"/>
      <c r="C231" s="55">
        <f>'AWE Real_CPI'!B246</f>
        <v/>
      </c>
      <c r="D231" s="55">
        <f>'AWE Real_CPI'!F246</f>
        <v/>
      </c>
    </row>
    <row r="232">
      <c r="A232" s="201" t="n">
        <v>43525</v>
      </c>
      <c r="B232" s="193" t="n"/>
      <c r="C232" s="55">
        <f>'AWE Real_CPI'!B247</f>
        <v/>
      </c>
      <c r="D232" s="55">
        <f>'AWE Real_CPI'!F247</f>
        <v/>
      </c>
    </row>
    <row r="233">
      <c r="A233" s="201" t="n">
        <v>43556</v>
      </c>
      <c r="B233" s="193" t="n"/>
      <c r="C233" s="55">
        <f>'AWE Real_CPI'!B248</f>
        <v/>
      </c>
      <c r="D233" s="55">
        <f>'AWE Real_CPI'!F248</f>
        <v/>
      </c>
    </row>
    <row r="234">
      <c r="A234" s="201" t="n">
        <v>43586</v>
      </c>
      <c r="B234" s="193" t="n"/>
      <c r="C234" s="55">
        <f>'AWE Real_CPI'!B249</f>
        <v/>
      </c>
      <c r="D234" s="55">
        <f>'AWE Real_CPI'!F249</f>
        <v/>
      </c>
    </row>
    <row r="235">
      <c r="A235" s="201" t="n">
        <v>43617</v>
      </c>
      <c r="B235" s="193" t="n"/>
      <c r="C235" s="55">
        <f>'AWE Real_CPI'!B250</f>
        <v/>
      </c>
      <c r="D235" s="55">
        <f>'AWE Real_CPI'!F250</f>
        <v/>
      </c>
    </row>
    <row r="236">
      <c r="A236" s="201" t="n">
        <v>43647</v>
      </c>
      <c r="B236" s="193" t="n"/>
      <c r="C236" s="55">
        <f>'AWE Real_CPI'!B251</f>
        <v/>
      </c>
      <c r="D236" s="55">
        <f>'AWE Real_CPI'!F251</f>
        <v/>
      </c>
    </row>
    <row r="237">
      <c r="A237" s="201" t="n">
        <v>43678</v>
      </c>
      <c r="B237" s="193" t="n"/>
      <c r="C237" s="55">
        <f>'AWE Real_CPI'!B252</f>
        <v/>
      </c>
      <c r="D237" s="55">
        <f>'AWE Real_CPI'!F252</f>
        <v/>
      </c>
    </row>
    <row r="238">
      <c r="A238" s="201" t="n">
        <v>43709</v>
      </c>
      <c r="B238" s="193" t="n"/>
      <c r="C238" s="55">
        <f>'AWE Real_CPI'!B253</f>
        <v/>
      </c>
      <c r="D238" s="55">
        <f>'AWE Real_CPI'!F253</f>
        <v/>
      </c>
    </row>
    <row r="239">
      <c r="A239" s="201" t="n">
        <v>43739</v>
      </c>
      <c r="B239" s="193" t="n"/>
      <c r="C239" s="55">
        <f>'AWE Real_CPI'!B254</f>
        <v/>
      </c>
      <c r="D239" s="55">
        <f>'AWE Real_CPI'!F254</f>
        <v/>
      </c>
    </row>
    <row r="240">
      <c r="A240" s="201" t="n">
        <v>43770</v>
      </c>
      <c r="B240" s="193" t="n"/>
      <c r="C240" s="55">
        <f>'AWE Real_CPI'!B255</f>
        <v/>
      </c>
      <c r="D240" s="55">
        <f>'AWE Real_CPI'!F255</f>
        <v/>
      </c>
    </row>
    <row r="241">
      <c r="A241" s="201" t="n">
        <v>43800</v>
      </c>
      <c r="B241" s="193" t="n"/>
      <c r="C241" s="55">
        <f>'AWE Real_CPI'!B256</f>
        <v/>
      </c>
      <c r="D241" s="55">
        <f>'AWE Real_CPI'!F256</f>
        <v/>
      </c>
    </row>
    <row r="242">
      <c r="A242" s="201" t="n">
        <v>43831</v>
      </c>
      <c r="B242" s="193" t="n"/>
      <c r="C242" s="55">
        <f>'AWE Real_CPI'!B257</f>
        <v/>
      </c>
      <c r="D242" s="55">
        <f>'AWE Real_CPI'!F257</f>
        <v/>
      </c>
    </row>
    <row r="243">
      <c r="A243" s="201" t="n">
        <v>43862</v>
      </c>
      <c r="B243" s="193" t="n"/>
      <c r="C243" s="55">
        <f>'AWE Real_CPI'!B258</f>
        <v/>
      </c>
      <c r="D243" s="55">
        <f>'AWE Real_CPI'!F258</f>
        <v/>
      </c>
    </row>
    <row r="244">
      <c r="A244" s="201" t="n">
        <v>43891</v>
      </c>
      <c r="B244" s="193" t="n"/>
      <c r="C244" s="55">
        <f>'AWE Real_CPI'!B259</f>
        <v/>
      </c>
      <c r="D244" s="55">
        <f>'AWE Real_CPI'!F259</f>
        <v/>
      </c>
    </row>
    <row r="245">
      <c r="A245" s="201" t="n">
        <v>43922</v>
      </c>
      <c r="B245" s="193" t="n"/>
      <c r="C245" s="55">
        <f>'AWE Real_CPI'!B260</f>
        <v/>
      </c>
      <c r="D245" s="55">
        <f>'AWE Real_CPI'!F260</f>
        <v/>
      </c>
    </row>
    <row r="246">
      <c r="A246" s="201" t="n">
        <v>43952</v>
      </c>
      <c r="B246" s="193" t="n"/>
      <c r="C246" s="55">
        <f>'AWE Real_CPI'!B261</f>
        <v/>
      </c>
      <c r="D246" s="55">
        <f>'AWE Real_CPI'!F261</f>
        <v/>
      </c>
    </row>
    <row r="247">
      <c r="A247" s="201" t="n">
        <v>43983</v>
      </c>
      <c r="B247" s="193" t="n"/>
      <c r="C247" s="55">
        <f>'AWE Real_CPI'!B262</f>
        <v/>
      </c>
      <c r="D247" s="55">
        <f>'AWE Real_CPI'!F262</f>
        <v/>
      </c>
    </row>
    <row r="248">
      <c r="A248" s="201" t="n">
        <v>44013</v>
      </c>
      <c r="B248" s="193" t="n"/>
      <c r="C248" s="55">
        <f>'AWE Real_CPI'!B263</f>
        <v/>
      </c>
      <c r="D248" s="55">
        <f>'AWE Real_CPI'!F263</f>
        <v/>
      </c>
    </row>
    <row r="249">
      <c r="A249" s="201" t="n">
        <v>44044</v>
      </c>
      <c r="B249" s="193" t="n"/>
      <c r="C249" s="55">
        <f>'AWE Real_CPI'!B264</f>
        <v/>
      </c>
      <c r="D249" s="55">
        <f>'AWE Real_CPI'!F264</f>
        <v/>
      </c>
    </row>
    <row r="250">
      <c r="A250" s="201" t="n">
        <v>44075</v>
      </c>
      <c r="B250" s="193" t="n"/>
      <c r="C250" s="55">
        <f>'AWE Real_CPI'!B265</f>
        <v/>
      </c>
      <c r="D250" s="55">
        <f>'AWE Real_CPI'!F265</f>
        <v/>
      </c>
    </row>
    <row r="251">
      <c r="A251" s="201" t="n">
        <v>44105</v>
      </c>
      <c r="B251" s="193" t="n"/>
      <c r="C251" s="55">
        <f>'AWE Real_CPI'!B266</f>
        <v/>
      </c>
      <c r="D251" s="55">
        <f>'AWE Real_CPI'!F266</f>
        <v/>
      </c>
    </row>
    <row r="252">
      <c r="A252" s="201" t="n">
        <v>44136</v>
      </c>
      <c r="B252" s="193" t="n"/>
      <c r="C252" s="55">
        <f>'AWE Real_CPI'!B267</f>
        <v/>
      </c>
      <c r="D252" s="55">
        <f>'AWE Real_CPI'!F267</f>
        <v/>
      </c>
    </row>
    <row r="253">
      <c r="A253" s="201" t="n">
        <v>44166</v>
      </c>
      <c r="B253" s="193" t="n"/>
      <c r="C253" s="55">
        <f>'AWE Real_CPI'!B268</f>
        <v/>
      </c>
      <c r="D253" s="55">
        <f>'AWE Real_CPI'!F268</f>
        <v/>
      </c>
    </row>
    <row r="254">
      <c r="A254" s="201" t="n">
        <v>44197</v>
      </c>
      <c r="B254" s="193" t="n"/>
      <c r="C254" s="55">
        <f>'AWE Real_CPI'!B269</f>
        <v/>
      </c>
      <c r="D254" s="55">
        <f>'AWE Real_CPI'!F269</f>
        <v/>
      </c>
    </row>
    <row r="255">
      <c r="A255" s="201" t="n">
        <v>44228</v>
      </c>
      <c r="B255" s="193" t="n"/>
      <c r="C255" s="55">
        <f>'AWE Real_CPI'!B270</f>
        <v/>
      </c>
      <c r="D255" s="55">
        <f>'AWE Real_CPI'!F270</f>
        <v/>
      </c>
    </row>
    <row r="256">
      <c r="A256" s="201" t="n">
        <v>44256</v>
      </c>
      <c r="B256" s="193" t="n"/>
      <c r="C256" s="55">
        <f>'AWE Real_CPI'!B271</f>
        <v/>
      </c>
      <c r="D256" s="55">
        <f>'AWE Real_CPI'!F271</f>
        <v/>
      </c>
    </row>
    <row r="257">
      <c r="A257" s="201" t="n">
        <v>44287</v>
      </c>
      <c r="B257" s="193" t="n"/>
      <c r="C257" s="55">
        <f>'AWE Real_CPI'!B272</f>
        <v/>
      </c>
      <c r="D257" s="55">
        <f>'AWE Real_CPI'!F272</f>
        <v/>
      </c>
    </row>
    <row r="258">
      <c r="A258" s="201" t="n">
        <v>44317</v>
      </c>
      <c r="B258" s="193" t="n"/>
      <c r="C258" s="55">
        <f>'AWE Real_CPI'!B273</f>
        <v/>
      </c>
      <c r="D258" s="55">
        <f>'AWE Real_CPI'!F273</f>
        <v/>
      </c>
    </row>
    <row r="259">
      <c r="A259" s="201" t="n">
        <v>44348</v>
      </c>
      <c r="B259" s="193" t="n"/>
      <c r="C259" s="55">
        <f>'AWE Real_CPI'!B274</f>
        <v/>
      </c>
      <c r="D259" s="55">
        <f>'AWE Real_CPI'!F274</f>
        <v/>
      </c>
    </row>
    <row r="260">
      <c r="A260" s="201" t="n">
        <v>44378</v>
      </c>
      <c r="B260" s="193" t="n"/>
      <c r="C260" s="55">
        <f>'AWE Real_CPI'!B275</f>
        <v/>
      </c>
      <c r="D260" s="55">
        <f>'AWE Real_CPI'!F275</f>
        <v/>
      </c>
    </row>
    <row r="261">
      <c r="A261" s="201" t="n">
        <v>44409</v>
      </c>
      <c r="B261" s="193" t="n"/>
      <c r="C261" s="55">
        <f>'AWE Real_CPI'!B276</f>
        <v/>
      </c>
      <c r="D261" s="55">
        <f>'AWE Real_CPI'!F276</f>
        <v/>
      </c>
    </row>
    <row r="262">
      <c r="A262" s="201" t="n">
        <v>44440</v>
      </c>
      <c r="B262" s="193" t="n"/>
      <c r="C262" s="55">
        <f>'AWE Real_CPI'!B277</f>
        <v/>
      </c>
      <c r="D262" s="55">
        <f>'AWE Real_CPI'!F277</f>
        <v/>
      </c>
    </row>
    <row r="263">
      <c r="A263" s="201" t="n">
        <v>44470</v>
      </c>
      <c r="B263" s="193" t="n"/>
      <c r="C263" s="55">
        <f>'AWE Real_CPI'!B278</f>
        <v/>
      </c>
      <c r="D263" s="55">
        <f>'AWE Real_CPI'!F278</f>
        <v/>
      </c>
    </row>
    <row r="264">
      <c r="A264" s="201" t="n">
        <v>44501</v>
      </c>
      <c r="B264" s="193" t="n"/>
      <c r="C264" s="55">
        <f>'AWE Real_CPI'!B279</f>
        <v/>
      </c>
      <c r="D264" s="55">
        <f>'AWE Real_CPI'!F279</f>
        <v/>
      </c>
    </row>
    <row r="265">
      <c r="A265" s="201" t="n">
        <v>44531</v>
      </c>
      <c r="B265" s="193" t="n"/>
      <c r="C265" s="55">
        <f>'AWE Real_CPI'!B280</f>
        <v/>
      </c>
      <c r="D265" s="55">
        <f>'AWE Real_CPI'!F280</f>
        <v/>
      </c>
    </row>
    <row r="266">
      <c r="A266" s="201" t="n">
        <v>44562</v>
      </c>
      <c r="B266" s="193" t="n"/>
      <c r="C266" s="55">
        <f>'AWE Real_CPI'!B281</f>
        <v/>
      </c>
      <c r="D266" s="55">
        <f>'AWE Real_CPI'!F281</f>
        <v/>
      </c>
    </row>
    <row r="267">
      <c r="A267" s="201" t="n">
        <v>44593</v>
      </c>
      <c r="B267" s="193" t="n"/>
      <c r="C267" s="55">
        <f>'AWE Real_CPI'!B282</f>
        <v/>
      </c>
      <c r="D267" s="55">
        <f>'AWE Real_CPI'!F282</f>
        <v/>
      </c>
    </row>
    <row r="268">
      <c r="A268" s="201" t="n">
        <v>44621</v>
      </c>
      <c r="B268" s="193" t="n"/>
      <c r="C268" s="55">
        <f>'AWE Real_CPI'!B283</f>
        <v/>
      </c>
      <c r="D268" s="55">
        <f>'AWE Real_CPI'!F283</f>
        <v/>
      </c>
    </row>
    <row r="269">
      <c r="A269" s="201" t="n">
        <v>44652</v>
      </c>
      <c r="B269" s="193" t="n"/>
      <c r="C269" s="55">
        <f>'AWE Real_CPI'!B284</f>
        <v/>
      </c>
      <c r="D269" s="55">
        <f>'AWE Real_CPI'!F284</f>
        <v/>
      </c>
    </row>
    <row r="270">
      <c r="A270" s="201" t="n">
        <v>44682</v>
      </c>
      <c r="B270" s="193" t="n"/>
      <c r="C270" s="55">
        <f>'AWE Real_CPI'!B285</f>
        <v/>
      </c>
      <c r="D270" s="55">
        <f>'AWE Real_CPI'!F285</f>
        <v/>
      </c>
    </row>
    <row r="271">
      <c r="A271" s="201" t="n">
        <v>44713</v>
      </c>
      <c r="B271" s="193" t="n"/>
      <c r="C271" s="55">
        <f>'AWE Real_CPI'!B286</f>
        <v/>
      </c>
      <c r="D271" s="55">
        <f>'AWE Real_CPI'!F286</f>
        <v/>
      </c>
    </row>
    <row r="272">
      <c r="A272" s="201" t="n">
        <v>44743</v>
      </c>
      <c r="B272" s="193" t="n"/>
      <c r="C272" s="55">
        <f>'AWE Real_CPI'!B287</f>
        <v/>
      </c>
      <c r="D272" s="55">
        <f>'AWE Real_CPI'!F287</f>
        <v/>
      </c>
    </row>
    <row r="273">
      <c r="A273" s="201" t="n">
        <v>44774</v>
      </c>
      <c r="B273" s="193" t="n"/>
      <c r="C273" s="55">
        <f>'AWE Real_CPI'!B288</f>
        <v/>
      </c>
      <c r="D273" s="55">
        <f>'AWE Real_CPI'!F288</f>
        <v/>
      </c>
    </row>
    <row r="274">
      <c r="A274" s="201" t="n">
        <v>44805</v>
      </c>
      <c r="B274" s="193" t="n"/>
      <c r="C274" s="55">
        <f>'AWE Real_CPI'!B289</f>
        <v/>
      </c>
      <c r="D274" s="55">
        <f>'AWE Real_CPI'!F289</f>
        <v/>
      </c>
    </row>
    <row r="275">
      <c r="A275" s="201" t="n">
        <v>44835</v>
      </c>
      <c r="B275" s="193" t="n"/>
      <c r="C275" s="55">
        <f>'AWE Real_CPI'!B290</f>
        <v/>
      </c>
      <c r="D275" s="55">
        <f>'AWE Real_CPI'!F290</f>
        <v/>
      </c>
    </row>
    <row r="276">
      <c r="A276" s="201" t="n">
        <v>44866</v>
      </c>
      <c r="B276" s="193" t="n"/>
      <c r="C276" s="55">
        <f>'AWE Real_CPI'!B291</f>
        <v/>
      </c>
      <c r="D276" s="55">
        <f>'AWE Real_CPI'!F291</f>
        <v/>
      </c>
    </row>
    <row r="277">
      <c r="A277" s="201" t="n">
        <v>44896</v>
      </c>
      <c r="B277" s="193" t="n"/>
      <c r="C277" s="55">
        <f>'AWE Real_CPI'!B292</f>
        <v/>
      </c>
      <c r="D277" s="55">
        <f>'AWE Real_CPI'!F292</f>
        <v/>
      </c>
    </row>
    <row r="278">
      <c r="A278" s="201" t="n">
        <v>44927</v>
      </c>
      <c r="B278" s="193" t="n"/>
      <c r="C278" s="55">
        <f>'AWE Real_CPI'!B293</f>
        <v/>
      </c>
      <c r="D278" s="55">
        <f>'AWE Real_CPI'!F293</f>
        <v/>
      </c>
    </row>
    <row r="279">
      <c r="A279" s="201" t="n">
        <v>44958</v>
      </c>
      <c r="B279" s="193" t="n"/>
      <c r="C279" s="55">
        <f>'AWE Real_CPI'!B294</f>
        <v/>
      </c>
      <c r="D279" s="55">
        <f>'AWE Real_CPI'!F294</f>
        <v/>
      </c>
    </row>
    <row r="280">
      <c r="A280" s="201" t="n">
        <v>44986</v>
      </c>
      <c r="B280" s="193" t="n"/>
      <c r="C280" s="55">
        <f>'AWE Real_CPI'!B295</f>
        <v/>
      </c>
      <c r="D280" s="55">
        <f>'AWE Real_CPI'!F295</f>
        <v/>
      </c>
    </row>
    <row r="281">
      <c r="A281" s="201" t="n">
        <v>45017</v>
      </c>
      <c r="B281" s="193" t="n"/>
      <c r="C281" s="55">
        <f>'AWE Real_CPI'!B296</f>
        <v/>
      </c>
      <c r="D281" s="55">
        <f>'AWE Real_CPI'!F296</f>
        <v/>
      </c>
    </row>
    <row r="282">
      <c r="A282" s="201" t="n">
        <v>45047</v>
      </c>
      <c r="B282" s="193" t="n"/>
      <c r="C282" s="55">
        <f>'AWE Real_CPI'!B297</f>
        <v/>
      </c>
      <c r="D282" s="55">
        <f>'AWE Real_CPI'!F297</f>
        <v/>
      </c>
    </row>
    <row r="283">
      <c r="A283" s="201" t="n">
        <v>45078</v>
      </c>
      <c r="B283" s="193" t="n"/>
      <c r="C283" s="55">
        <f>'AWE Real_CPI'!B298</f>
        <v/>
      </c>
      <c r="D283" s="55">
        <f>'AWE Real_CPI'!F298</f>
        <v/>
      </c>
    </row>
    <row r="284">
      <c r="A284" s="201" t="n">
        <v>45108</v>
      </c>
      <c r="B284" s="193" t="n"/>
      <c r="C284" s="55">
        <f>'AWE Real_CPI'!B299</f>
        <v/>
      </c>
      <c r="D284" s="55">
        <f>'AWE Real_CPI'!F299</f>
        <v/>
      </c>
    </row>
    <row r="285">
      <c r="A285" s="201" t="n">
        <v>45139</v>
      </c>
      <c r="B285" s="193" t="n"/>
      <c r="C285" s="55">
        <f>'AWE Real_CPI'!B300</f>
        <v/>
      </c>
      <c r="D285" s="55">
        <f>'AWE Real_CPI'!F300</f>
        <v/>
      </c>
    </row>
    <row r="286">
      <c r="A286" s="201" t="n">
        <v>45170</v>
      </c>
      <c r="B286" s="193" t="n"/>
      <c r="C286" s="55">
        <f>'AWE Real_CPI'!B301</f>
        <v/>
      </c>
      <c r="D286" s="55">
        <f>'AWE Real_CPI'!F301</f>
        <v/>
      </c>
    </row>
    <row r="287">
      <c r="A287" s="201" t="n">
        <v>45200</v>
      </c>
      <c r="B287" s="193" t="n"/>
      <c r="C287" s="55">
        <f>'AWE Real_CPI'!B302</f>
        <v/>
      </c>
      <c r="D287" s="55">
        <f>'AWE Real_CPI'!F302</f>
        <v/>
      </c>
    </row>
    <row r="288">
      <c r="A288" s="201" t="n">
        <v>45231</v>
      </c>
      <c r="B288" s="193" t="n"/>
      <c r="C288" s="55">
        <f>'AWE Real_CPI'!B303</f>
        <v/>
      </c>
      <c r="D288" s="55">
        <f>'AWE Real_CPI'!F303</f>
        <v/>
      </c>
    </row>
    <row r="289">
      <c r="A289" s="201" t="n">
        <v>45261</v>
      </c>
      <c r="B289" s="194" t="n"/>
      <c r="C289" s="55">
        <f>'AWE Real_CPI'!B304</f>
        <v/>
      </c>
      <c r="D289" s="55">
        <f>'AWE Real_CPI'!F304</f>
        <v/>
      </c>
    </row>
    <row r="290">
      <c r="A290" s="201" t="n">
        <v>45292</v>
      </c>
      <c r="C290" s="55">
        <f>'AWE Real_CPI'!B305</f>
        <v/>
      </c>
      <c r="D290" s="55">
        <f>'AWE Real_CPI'!F305</f>
        <v/>
      </c>
    </row>
    <row r="291">
      <c r="A291" s="201" t="n">
        <v>45323</v>
      </c>
      <c r="C291" s="55">
        <f>'AWE Real_CPI'!B306</f>
        <v/>
      </c>
      <c r="D291" s="55">
        <f>'AWE Real_CPI'!F306</f>
        <v/>
      </c>
    </row>
    <row r="292">
      <c r="A292" s="201" t="n">
        <v>45352</v>
      </c>
      <c r="C292" s="55">
        <f>'AWE Real_CPI'!B307</f>
        <v/>
      </c>
      <c r="D292" s="55">
        <f>'AWE Real_CPI'!F307</f>
        <v/>
      </c>
    </row>
    <row r="293">
      <c r="A293" s="201" t="n">
        <v>45383</v>
      </c>
      <c r="C293" s="55">
        <f>'AWE Real_CPI'!B308</f>
        <v/>
      </c>
      <c r="D293" s="55">
        <f>'AWE Real_CPI'!F308</f>
        <v/>
      </c>
    </row>
    <row r="294">
      <c r="A294" s="201" t="n">
        <v>45413</v>
      </c>
      <c r="C294" s="55">
        <f>'AWE Real_CPI'!B309</f>
        <v/>
      </c>
      <c r="D294" s="55">
        <f>'AWE Real_CPI'!F309</f>
        <v/>
      </c>
    </row>
    <row r="295">
      <c r="A295" s="201" t="n">
        <v>45444</v>
      </c>
      <c r="C295" s="55">
        <f>'AWE Real_CPI'!B310</f>
        <v/>
      </c>
      <c r="D295" s="55">
        <f>'AWE Real_CPI'!F310</f>
        <v/>
      </c>
    </row>
    <row r="296">
      <c r="A296" s="201" t="n">
        <v>45474</v>
      </c>
      <c r="C296" s="55">
        <f>'AWE Real_CPI'!B311</f>
        <v/>
      </c>
      <c r="D296" s="55">
        <f>'AWE Real_CPI'!F311</f>
        <v/>
      </c>
    </row>
    <row r="297">
      <c r="A297" s="201" t="n">
        <v>45505</v>
      </c>
      <c r="C297" s="55">
        <f>'AWE Real_CPI'!B312</f>
        <v/>
      </c>
      <c r="D297" s="55">
        <f>'AWE Real_CPI'!F312</f>
        <v/>
      </c>
    </row>
    <row r="298">
      <c r="A298" s="201" t="n">
        <v>45536</v>
      </c>
      <c r="C298" s="55">
        <f>'AWE Real_CPI'!B313</f>
        <v/>
      </c>
      <c r="D298" s="55">
        <f>'AWE Real_CPI'!F313</f>
        <v/>
      </c>
    </row>
    <row r="299">
      <c r="A299" s="201" t="n">
        <v>45566</v>
      </c>
      <c r="C299" s="55">
        <f>'AWE Real_CPI'!B314</f>
        <v/>
      </c>
      <c r="D299" s="55">
        <f>'AWE Real_CPI'!F314</f>
        <v/>
      </c>
    </row>
    <row r="300">
      <c r="A300" s="201" t="n">
        <v>45597</v>
      </c>
      <c r="C300" s="55">
        <f>'AWE Real_CPI'!B315</f>
        <v/>
      </c>
      <c r="D300" s="55">
        <f>'AWE Real_CPI'!F315</f>
        <v/>
      </c>
    </row>
    <row r="301">
      <c r="A301" s="195" t="n">
        <v>45627</v>
      </c>
      <c r="C301" s="55">
        <f>'AWE Real_CPI'!B316</f>
        <v/>
      </c>
      <c r="D301" s="55">
        <f>'AWE Real_CPI'!F316</f>
        <v/>
      </c>
    </row>
    <row r="302">
      <c r="A302" s="195" t="n">
        <v>45658</v>
      </c>
      <c r="C302" s="55">
        <f>'AWE Real_CPI'!B317</f>
        <v/>
      </c>
      <c r="D302" s="55">
        <f>'AWE Real_CPI'!F317</f>
        <v/>
      </c>
    </row>
    <row r="303">
      <c r="A303" s="201" t="n">
        <v>45689</v>
      </c>
      <c r="C303" s="55">
        <f>'AWE Real_CPI'!B318</f>
        <v/>
      </c>
      <c r="D303" s="55">
        <f>'AWE Real_CPI'!F318</f>
        <v/>
      </c>
    </row>
    <row r="304">
      <c r="A304" s="195" t="n">
        <v>45717</v>
      </c>
      <c r="C304" s="55">
        <f>'AWE Real_CPI'!B319</f>
        <v/>
      </c>
      <c r="D304" s="55">
        <f>'AWE Real_CPI'!F319</f>
        <v/>
      </c>
    </row>
    <row r="305">
      <c r="A305" s="195" t="n">
        <v>45748</v>
      </c>
      <c r="C305" s="55">
        <f>'AWE Real_CPI'!B320</f>
        <v/>
      </c>
      <c r="D305" s="55">
        <f>'AWE Real_CPI'!F320</f>
        <v/>
      </c>
    </row>
    <row r="306">
      <c r="A306" s="201" t="n">
        <v>45778</v>
      </c>
      <c r="C306" s="55">
        <f>'AWE Real_CPI'!B321</f>
        <v/>
      </c>
      <c r="D306" s="55">
        <f>'AWE Real_CPI'!F321</f>
        <v/>
      </c>
    </row>
    <row r="307">
      <c r="A307" s="195" t="n">
        <v>45809</v>
      </c>
      <c r="C307" s="55">
        <f>'AWE Real_CPI'!B322</f>
        <v/>
      </c>
      <c r="D307" s="55">
        <f>'AWE Real_CPI'!F322</f>
        <v/>
      </c>
    </row>
    <row r="308">
      <c r="C308" s="55" t="n"/>
      <c r="D308" s="55" t="n"/>
    </row>
    <row r="309">
      <c r="A309" s="201" t="n"/>
      <c r="C309" s="55" t="n"/>
      <c r="D309" s="55" t="n"/>
    </row>
    <row r="310">
      <c r="C310" s="55" t="n"/>
    </row>
    <row r="311">
      <c r="C311" s="55" t="n"/>
    </row>
    <row r="312">
      <c r="C312" s="55" t="n"/>
    </row>
    <row r="313">
      <c r="C313" s="55" t="n"/>
    </row>
    <row r="314">
      <c r="C314" s="55" t="n"/>
    </row>
    <row r="315">
      <c r="C315" s="55" t="n"/>
    </row>
    <row r="316">
      <c r="C316" s="55" t="n"/>
    </row>
    <row r="317">
      <c r="C317" s="55" t="n"/>
    </row>
    <row r="318">
      <c r="C318" s="55" t="n"/>
    </row>
  </sheetData>
  <pageMargins left="0.7" right="0.7" top="0.75" bottom="0.75" header="0.3" footer="0.3"/>
  <drawing xmlns:r="http://schemas.openxmlformats.org/officeDocument/2006/relationships" r:id="rId1"/>
</worksheet>
</file>

<file path=xl/worksheets/sheet31.xml><?xml version="1.0" encoding="utf-8"?>
<worksheet xmlns="http://schemas.openxmlformats.org/spreadsheetml/2006/main">
  <sheetPr>
    <tabColor rgb="FFFF0000"/>
    <outlinePr summaryBelow="1" summaryRight="1"/>
    <pageSetUpPr/>
  </sheetPr>
  <dimension ref="A1:O331"/>
  <sheetViews>
    <sheetView topLeftCell="A128" zoomScale="53" workbookViewId="0">
      <selection activeCell="I182" sqref="I182"/>
    </sheetView>
  </sheetViews>
  <sheetFormatPr baseColWidth="8" defaultRowHeight="14.5"/>
  <cols>
    <col width="13.81640625" bestFit="1" customWidth="1" style="828" min="1" max="1"/>
    <col width="13.81640625" customWidth="1" style="828" min="2" max="2"/>
    <col width="16.81640625" bestFit="1" customWidth="1" style="828" min="3" max="3"/>
    <col width="19.54296875" bestFit="1" customWidth="1" style="828" min="4" max="4"/>
    <col width="13.453125" bestFit="1" customWidth="1" style="828" min="5" max="5"/>
    <col width="19.54296875" customWidth="1" style="828" min="6" max="6"/>
    <col width="14.81640625" customWidth="1" style="828" min="7" max="18"/>
  </cols>
  <sheetData>
    <row r="1">
      <c r="A1" t="inlineStr">
        <is>
          <t xml:space="preserve">Quarter </t>
        </is>
      </c>
      <c r="B1" t="inlineStr">
        <is>
          <t>Year</t>
        </is>
      </c>
      <c r="C1" t="inlineStr">
        <is>
          <t>Employment Rate</t>
        </is>
      </c>
      <c r="D1" t="inlineStr">
        <is>
          <t>Unemployment Rate</t>
        </is>
      </c>
      <c r="E1" t="inlineStr">
        <is>
          <t>Inactivity Rate</t>
        </is>
      </c>
      <c r="F1" t="inlineStr">
        <is>
          <t>Employment Level</t>
        </is>
      </c>
      <c r="I1" t="inlineStr">
        <is>
          <t>16-64 Employment rate - check</t>
        </is>
      </c>
      <c r="L1" t="inlineStr">
        <is>
          <t>16+ Unemployment rate - check</t>
        </is>
      </c>
    </row>
    <row r="2">
      <c r="A2" t="inlineStr">
        <is>
          <t>Jan-Mar 2010</t>
        </is>
      </c>
      <c r="B2">
        <f>RIGHT(A2, LEN(A2) - 8)</f>
        <v/>
      </c>
      <c r="C2">
        <f>'2'!K232</f>
        <v/>
      </c>
      <c r="D2">
        <f>'2'!E232</f>
        <v/>
      </c>
      <c r="E2">
        <f>'2'!Q232</f>
        <v/>
      </c>
      <c r="F2" t="n">
        <v>29012557.19234098</v>
      </c>
      <c r="G2">
        <f>F2/1000000</f>
        <v/>
      </c>
      <c r="I2" s="988" t="n">
        <v>70.19506233571616</v>
      </c>
      <c r="J2" s="922">
        <f>I2-C2</f>
        <v/>
      </c>
      <c r="L2" s="988" t="n">
        <v>8.009586729025015</v>
      </c>
      <c r="M2" s="922">
        <f>L2-D2</f>
        <v/>
      </c>
    </row>
    <row r="3">
      <c r="A3" t="inlineStr">
        <is>
          <t>Feb-Apr 2010</t>
        </is>
      </c>
      <c r="B3">
        <f>RIGHT(A3, LEN(A3) - 8)</f>
        <v/>
      </c>
      <c r="C3">
        <f>'2'!K233</f>
        <v/>
      </c>
      <c r="D3">
        <f>'2'!E233</f>
        <v/>
      </c>
      <c r="E3">
        <f>'2'!Q233</f>
        <v/>
      </c>
      <c r="F3" t="n">
        <v>29047598.05233167</v>
      </c>
      <c r="G3">
        <f>F3/1000000</f>
        <v/>
      </c>
      <c r="I3" s="988" t="n">
        <v>70.2135831816547</v>
      </c>
      <c r="J3" s="922">
        <f>I3-C3</f>
        <v/>
      </c>
      <c r="L3" s="988" t="n">
        <v>7.952375417358229</v>
      </c>
      <c r="M3" s="922">
        <f>L3-D3</f>
        <v/>
      </c>
    </row>
    <row r="4">
      <c r="A4" t="inlineStr">
        <is>
          <t>Mar-May 2010</t>
        </is>
      </c>
      <c r="B4">
        <f>RIGHT(A4, LEN(A4) - 8)</f>
        <v/>
      </c>
      <c r="C4">
        <f>'2'!K234</f>
        <v/>
      </c>
      <c r="D4">
        <f>'2'!E234</f>
        <v/>
      </c>
      <c r="E4">
        <f>'2'!Q234</f>
        <v/>
      </c>
      <c r="F4" t="n">
        <v>29143686.59779103</v>
      </c>
      <c r="G4">
        <f>F4/1000000</f>
        <v/>
      </c>
      <c r="I4" s="988" t="n">
        <v>70.39761588514109</v>
      </c>
      <c r="J4" s="922">
        <f>I4-C4</f>
        <v/>
      </c>
      <c r="L4" s="988" t="n">
        <v>7.922887015034062</v>
      </c>
      <c r="M4" s="922">
        <f>L4-D4</f>
        <v/>
      </c>
    </row>
    <row r="5">
      <c r="A5" t="inlineStr">
        <is>
          <t>Apr-Jun 2010</t>
        </is>
      </c>
      <c r="B5">
        <f>RIGHT(A5, LEN(A5) - 8)</f>
        <v/>
      </c>
      <c r="C5">
        <f>'2'!K235</f>
        <v/>
      </c>
      <c r="D5">
        <f>'2'!E235</f>
        <v/>
      </c>
      <c r="E5">
        <f>'2'!Q235</f>
        <v/>
      </c>
      <c r="F5" t="n">
        <v>29191922.66525341</v>
      </c>
      <c r="G5">
        <f>F5/1000000</f>
        <v/>
      </c>
      <c r="I5" s="988" t="n">
        <v>70.42266739085805</v>
      </c>
      <c r="J5" s="922">
        <f>I5-C5</f>
        <v/>
      </c>
      <c r="L5" s="988" t="n">
        <v>7.852351583284964</v>
      </c>
      <c r="M5" s="922">
        <f>L5-D5</f>
        <v/>
      </c>
    </row>
    <row r="6">
      <c r="A6" t="inlineStr">
        <is>
          <t>May-Jul 2010</t>
        </is>
      </c>
      <c r="B6">
        <f>RIGHT(A6, LEN(A6) - 8)</f>
        <v/>
      </c>
      <c r="C6">
        <f>'2'!K236</f>
        <v/>
      </c>
      <c r="D6">
        <f>'2'!E236</f>
        <v/>
      </c>
      <c r="E6">
        <f>'2'!Q236</f>
        <v/>
      </c>
      <c r="F6" t="n">
        <v>29325225.93022446</v>
      </c>
      <c r="G6">
        <f>F6/1000000</f>
        <v/>
      </c>
      <c r="I6" s="988" t="n">
        <v>70.621486151624</v>
      </c>
      <c r="J6" s="922">
        <f>I6-C6</f>
        <v/>
      </c>
      <c r="L6" s="988" t="n">
        <v>7.820322392815586</v>
      </c>
      <c r="M6" s="922">
        <f>L6-D6</f>
        <v/>
      </c>
    </row>
    <row r="7">
      <c r="A7" t="inlineStr">
        <is>
          <t>Jun-Aug 2010</t>
        </is>
      </c>
      <c r="B7">
        <f>RIGHT(A7, LEN(A7) - 8)</f>
        <v/>
      </c>
      <c r="C7">
        <f>'2'!K237</f>
        <v/>
      </c>
      <c r="D7">
        <f>'2'!E237</f>
        <v/>
      </c>
      <c r="E7">
        <f>'2'!Q237</f>
        <v/>
      </c>
      <c r="F7" t="n">
        <v>29339442.91369782</v>
      </c>
      <c r="G7">
        <f>F7/1000000</f>
        <v/>
      </c>
      <c r="I7" s="988" t="n">
        <v>70.6385936803868</v>
      </c>
      <c r="J7" s="922">
        <f>I7-C7</f>
        <v/>
      </c>
      <c r="L7" s="988" t="n">
        <v>7.78201843831829</v>
      </c>
      <c r="M7" s="922">
        <f>L7-D7</f>
        <v/>
      </c>
    </row>
    <row r="8">
      <c r="A8" t="inlineStr">
        <is>
          <t>Jul-Sep 2010</t>
        </is>
      </c>
      <c r="B8">
        <f>RIGHT(A8, LEN(A8) - 8)</f>
        <v/>
      </c>
      <c r="C8">
        <f>'2'!K238</f>
        <v/>
      </c>
      <c r="D8">
        <f>'2'!E238</f>
        <v/>
      </c>
      <c r="E8">
        <f>'2'!Q238</f>
        <v/>
      </c>
      <c r="F8" t="n">
        <v>29385322.42807163</v>
      </c>
      <c r="G8">
        <f>F8/1000000</f>
        <v/>
      </c>
      <c r="I8" s="988" t="n">
        <v>70.7053995562033</v>
      </c>
      <c r="J8" s="922">
        <f>I8-C8</f>
        <v/>
      </c>
      <c r="L8" s="988" t="n">
        <v>7.75464583347074</v>
      </c>
      <c r="M8" s="922">
        <f>L8-D8</f>
        <v/>
      </c>
    </row>
    <row r="9">
      <c r="A9" t="inlineStr">
        <is>
          <t>Aug-Oct 2010</t>
        </is>
      </c>
      <c r="B9">
        <f>RIGHT(A9, LEN(A9) - 8)</f>
        <v/>
      </c>
      <c r="C9">
        <f>'2'!K239</f>
        <v/>
      </c>
      <c r="D9">
        <f>'2'!E239</f>
        <v/>
      </c>
      <c r="E9">
        <f>'2'!Q239</f>
        <v/>
      </c>
      <c r="F9" t="n">
        <v>29307905.83487842</v>
      </c>
      <c r="G9">
        <f>F9/1000000</f>
        <v/>
      </c>
      <c r="I9" s="988" t="n">
        <v>70.49040918716814</v>
      </c>
      <c r="J9" s="922">
        <f>I9-C9</f>
        <v/>
      </c>
      <c r="L9" s="988" t="n">
        <v>7.897150912235509</v>
      </c>
      <c r="M9" s="922">
        <f>L9-D9</f>
        <v/>
      </c>
    </row>
    <row r="10">
      <c r="A10" t="inlineStr">
        <is>
          <t>Sep-Nov 2010</t>
        </is>
      </c>
      <c r="B10">
        <f>RIGHT(A10, LEN(A10) - 8)</f>
        <v/>
      </c>
      <c r="C10">
        <f>'2'!K240</f>
        <v/>
      </c>
      <c r="D10">
        <f>'2'!E240</f>
        <v/>
      </c>
      <c r="E10">
        <f>'2'!Q240</f>
        <v/>
      </c>
      <c r="F10" t="n">
        <v>29283658.21792509</v>
      </c>
      <c r="G10">
        <f>F10/1000000</f>
        <v/>
      </c>
      <c r="I10" s="988" t="n">
        <v>70.33870207789259</v>
      </c>
      <c r="J10" s="922">
        <f>I10-C10</f>
        <v/>
      </c>
      <c r="L10" s="988" t="n">
        <v>7.871096661442908</v>
      </c>
      <c r="M10" s="922">
        <f>L10-D10</f>
        <v/>
      </c>
    </row>
    <row r="11">
      <c r="A11" t="inlineStr">
        <is>
          <t>Oct-Dec 2010</t>
        </is>
      </c>
      <c r="B11">
        <f>RIGHT(A11, LEN(A11) - 8)</f>
        <v/>
      </c>
      <c r="C11">
        <f>'2'!K241</f>
        <v/>
      </c>
      <c r="D11">
        <f>'2'!E241</f>
        <v/>
      </c>
      <c r="E11">
        <f>'2'!Q241</f>
        <v/>
      </c>
      <c r="F11" t="n">
        <v>29324410.55529442</v>
      </c>
      <c r="G11">
        <f>F11/1000000</f>
        <v/>
      </c>
      <c r="I11" s="988" t="n">
        <v>70.38984940855012</v>
      </c>
      <c r="J11" s="922">
        <f>I11-C11</f>
        <v/>
      </c>
      <c r="L11" s="988" t="n">
        <v>7.863268630338388</v>
      </c>
      <c r="M11" s="922">
        <f>L11-D11</f>
        <v/>
      </c>
    </row>
    <row r="12">
      <c r="A12" t="inlineStr">
        <is>
          <t>Nov-Jan 2011</t>
        </is>
      </c>
      <c r="B12">
        <f>RIGHT(A12, LEN(A12) - 8)</f>
        <v/>
      </c>
      <c r="C12">
        <f>'2'!K242</f>
        <v/>
      </c>
      <c r="D12">
        <f>'2'!E242</f>
        <v/>
      </c>
      <c r="E12">
        <f>'2'!Q242</f>
        <v/>
      </c>
      <c r="F12" t="n">
        <v>29391159.37853779</v>
      </c>
      <c r="G12">
        <f>F12/1000000</f>
        <v/>
      </c>
      <c r="I12" s="988" t="n">
        <v>70.4688651439789</v>
      </c>
      <c r="J12" s="922">
        <f>I12-C12</f>
        <v/>
      </c>
      <c r="L12" s="988" t="n">
        <v>7.908611227852727</v>
      </c>
      <c r="M12" s="922">
        <f>L12-D12</f>
        <v/>
      </c>
    </row>
    <row r="13">
      <c r="A13" t="inlineStr">
        <is>
          <t>Dec-Feb 2011</t>
        </is>
      </c>
      <c r="B13">
        <f>RIGHT(A13, LEN(A13) - 8)</f>
        <v/>
      </c>
      <c r="C13">
        <f>'2'!K243</f>
        <v/>
      </c>
      <c r="D13">
        <f>'2'!E243</f>
        <v/>
      </c>
      <c r="E13">
        <f>'2'!Q243</f>
        <v/>
      </c>
      <c r="F13" t="n">
        <v>29441982.32234783</v>
      </c>
      <c r="G13">
        <f>F13/1000000</f>
        <v/>
      </c>
      <c r="I13" s="988" t="n">
        <v>70.5863967384833</v>
      </c>
      <c r="J13" s="922">
        <f>I13-C13</f>
        <v/>
      </c>
      <c r="L13" s="988" t="n">
        <v>7.802659343300254</v>
      </c>
      <c r="M13" s="922">
        <f>L13-D13</f>
        <v/>
      </c>
    </row>
    <row r="14">
      <c r="A14" t="inlineStr">
        <is>
          <t>Jan-Mar 2011</t>
        </is>
      </c>
      <c r="B14">
        <f>RIGHT(A14, LEN(A14) - 8)</f>
        <v/>
      </c>
      <c r="C14">
        <f>'2'!K244</f>
        <v/>
      </c>
      <c r="D14">
        <f>'2'!E244</f>
        <v/>
      </c>
      <c r="E14">
        <f>'2'!Q244</f>
        <v/>
      </c>
      <c r="F14" t="n">
        <v>29441076.06741219</v>
      </c>
      <c r="G14">
        <f>F14/1000000</f>
        <v/>
      </c>
      <c r="I14" s="988" t="n">
        <v>70.54614688519727</v>
      </c>
      <c r="J14" s="922">
        <f>I14-C14</f>
        <v/>
      </c>
      <c r="L14" s="988" t="n">
        <v>7.778466706955088</v>
      </c>
      <c r="M14" s="922">
        <f>L14-D14</f>
        <v/>
      </c>
    </row>
    <row r="15">
      <c r="A15" t="inlineStr">
        <is>
          <t>Feb-Apr 2011</t>
        </is>
      </c>
      <c r="B15">
        <f>RIGHT(A15, LEN(A15) - 8)</f>
        <v/>
      </c>
      <c r="C15">
        <f>'2'!K245</f>
        <v/>
      </c>
      <c r="D15">
        <f>'2'!E245</f>
        <v/>
      </c>
      <c r="E15">
        <f>'2'!Q245</f>
        <v/>
      </c>
      <c r="F15" t="n">
        <v>29435768.16536939</v>
      </c>
      <c r="G15">
        <f>F15/1000000</f>
        <v/>
      </c>
      <c r="I15" s="988" t="n">
        <v>70.48174477557745</v>
      </c>
      <c r="J15" s="922">
        <f>I15-C15</f>
        <v/>
      </c>
      <c r="L15" s="988" t="n">
        <v>7.716984327492512</v>
      </c>
      <c r="M15" s="922">
        <f>L15-D15</f>
        <v/>
      </c>
    </row>
    <row r="16">
      <c r="A16" t="inlineStr">
        <is>
          <t>Mar-May 2011</t>
        </is>
      </c>
      <c r="B16">
        <f>RIGHT(A16, LEN(A16) - 8)</f>
        <v/>
      </c>
      <c r="C16">
        <f>'2'!K246</f>
        <v/>
      </c>
      <c r="D16">
        <f>'2'!E246</f>
        <v/>
      </c>
      <c r="E16">
        <f>'2'!Q246</f>
        <v/>
      </c>
      <c r="F16" t="n">
        <v>29466488.69456456</v>
      </c>
      <c r="G16">
        <f>F16/1000000</f>
        <v/>
      </c>
      <c r="I16" s="988" t="n">
        <v>70.51215847624927</v>
      </c>
      <c r="J16" s="922">
        <f>I16-C16</f>
        <v/>
      </c>
      <c r="L16" s="988" t="n">
        <v>7.82195908362077</v>
      </c>
      <c r="M16" s="922">
        <f>L16-D16</f>
        <v/>
      </c>
    </row>
    <row r="17">
      <c r="A17" t="inlineStr">
        <is>
          <t>Apr-Jun 2011</t>
        </is>
      </c>
      <c r="B17">
        <f>RIGHT(A17, LEN(A17) - 8)</f>
        <v/>
      </c>
      <c r="C17">
        <f>'2'!K247</f>
        <v/>
      </c>
      <c r="D17">
        <f>'2'!E247</f>
        <v/>
      </c>
      <c r="E17">
        <f>'2'!Q247</f>
        <v/>
      </c>
      <c r="F17" t="n">
        <v>29446562.507604</v>
      </c>
      <c r="G17">
        <f>F17/1000000</f>
        <v/>
      </c>
      <c r="I17" s="988" t="n">
        <v>70.45046186280268</v>
      </c>
      <c r="J17" s="922">
        <f>I17-C17</f>
        <v/>
      </c>
      <c r="L17" s="988" t="n">
        <v>7.940033426316909</v>
      </c>
      <c r="M17" s="922">
        <f>L17-D17</f>
        <v/>
      </c>
    </row>
    <row r="18">
      <c r="A18" t="inlineStr">
        <is>
          <t>May-Jul 2011</t>
        </is>
      </c>
      <c r="B18">
        <f>RIGHT(A18, LEN(A18) - 8)</f>
        <v/>
      </c>
      <c r="C18">
        <f>'2'!K248</f>
        <v/>
      </c>
      <c r="D18">
        <f>'2'!E248</f>
        <v/>
      </c>
      <c r="E18">
        <f>'2'!Q248</f>
        <v/>
      </c>
      <c r="F18" t="n">
        <v>29345106.20635027</v>
      </c>
      <c r="G18">
        <f>F18/1000000</f>
        <v/>
      </c>
      <c r="I18" s="1009" t="n">
        <v>70.2195568503123</v>
      </c>
      <c r="J18" s="922">
        <f>I18-C18</f>
        <v/>
      </c>
      <c r="L18" s="1009" t="n">
        <v>8.012875366077722</v>
      </c>
      <c r="M18" s="922">
        <f>L18-D18</f>
        <v/>
      </c>
    </row>
    <row r="19">
      <c r="A19" t="inlineStr">
        <is>
          <t>Jun-Aug 2011</t>
        </is>
      </c>
      <c r="B19">
        <f>RIGHT(A19, LEN(A19) - 8)</f>
        <v/>
      </c>
      <c r="C19">
        <f>'2'!K249</f>
        <v/>
      </c>
      <c r="D19">
        <f>'2'!E249</f>
        <v/>
      </c>
      <c r="E19">
        <f>'2'!Q249</f>
        <v/>
      </c>
      <c r="F19" t="n">
        <v>29299995.25673787</v>
      </c>
      <c r="G19">
        <f>F19/1000000</f>
        <v/>
      </c>
      <c r="I19" s="988" t="n">
        <v>70.19349030577503</v>
      </c>
      <c r="J19" s="922">
        <f>I19-C19</f>
        <v/>
      </c>
      <c r="L19" s="988" t="n">
        <v>8.181799868769515</v>
      </c>
      <c r="M19" s="922">
        <f>L19-D19</f>
        <v/>
      </c>
    </row>
    <row r="20">
      <c r="A20" t="inlineStr">
        <is>
          <t>Jul-Sep 2011</t>
        </is>
      </c>
      <c r="B20">
        <f>RIGHT(A20, LEN(A20) - 8)</f>
        <v/>
      </c>
      <c r="C20">
        <f>'2'!K250</f>
        <v/>
      </c>
      <c r="D20">
        <f>'2'!E250</f>
        <v/>
      </c>
      <c r="E20">
        <f>'2'!Q250</f>
        <v/>
      </c>
      <c r="F20" t="n">
        <v>29283237.26323058</v>
      </c>
      <c r="G20">
        <f>F20/1000000</f>
        <v/>
      </c>
      <c r="I20" s="988" t="n">
        <v>70.10172967777984</v>
      </c>
      <c r="J20" s="922">
        <f>I20-C20</f>
        <v/>
      </c>
      <c r="L20" s="988" t="n">
        <v>8.333606172629795</v>
      </c>
      <c r="M20" s="922">
        <f>L20-D20</f>
        <v/>
      </c>
    </row>
    <row r="21">
      <c r="A21" t="inlineStr">
        <is>
          <t>Aug-Oct 2011</t>
        </is>
      </c>
      <c r="B21">
        <f>RIGHT(A21, LEN(A21) - 8)</f>
        <v/>
      </c>
      <c r="C21">
        <f>'2'!K251</f>
        <v/>
      </c>
      <c r="D21">
        <f>'2'!E251</f>
        <v/>
      </c>
      <c r="E21">
        <f>'2'!Q251</f>
        <v/>
      </c>
      <c r="F21" t="n">
        <v>29304325.2990339</v>
      </c>
      <c r="G21">
        <f>F21/1000000</f>
        <v/>
      </c>
      <c r="I21" s="988" t="n">
        <v>70.13863649061528</v>
      </c>
      <c r="J21" s="922">
        <f>I21-C21</f>
        <v/>
      </c>
      <c r="L21" s="988" t="n">
        <v>8.372738295029615</v>
      </c>
      <c r="M21" s="922">
        <f>L21-D21</f>
        <v/>
      </c>
    </row>
    <row r="22">
      <c r="A22" t="inlineStr">
        <is>
          <t>Sep-Nov 2011</t>
        </is>
      </c>
      <c r="B22">
        <f>RIGHT(A22, LEN(A22) - 8)</f>
        <v/>
      </c>
      <c r="C22">
        <f>'2'!K252</f>
        <v/>
      </c>
      <c r="D22">
        <f>'2'!E252</f>
        <v/>
      </c>
      <c r="E22">
        <f>'2'!Q252</f>
        <v/>
      </c>
      <c r="F22" t="n">
        <v>29330541.7300179</v>
      </c>
      <c r="G22">
        <f>F22/1000000</f>
        <v/>
      </c>
      <c r="I22" s="988" t="n">
        <v>70.13756206575992</v>
      </c>
      <c r="J22" s="922">
        <f>I22-C22</f>
        <v/>
      </c>
      <c r="L22" s="988" t="n">
        <v>8.468759155603776</v>
      </c>
      <c r="M22" s="922">
        <f>L22-D22</f>
        <v/>
      </c>
    </row>
    <row r="23">
      <c r="A23" t="inlineStr">
        <is>
          <t>Oct-Dec 2011</t>
        </is>
      </c>
      <c r="B23">
        <f>RIGHT(A23, LEN(A23) - 8)</f>
        <v/>
      </c>
      <c r="C23">
        <f>'2'!K253</f>
        <v/>
      </c>
      <c r="D23">
        <f>'2'!E253</f>
        <v/>
      </c>
      <c r="E23">
        <f>'2'!Q253</f>
        <v/>
      </c>
      <c r="F23" t="n">
        <v>29348519.15985101</v>
      </c>
      <c r="G23">
        <f>F23/1000000</f>
        <v/>
      </c>
      <c r="I23" s="988" t="n">
        <v>70.20921197148324</v>
      </c>
      <c r="J23" s="922">
        <f>I23-C23</f>
        <v/>
      </c>
      <c r="L23" s="988" t="n">
        <v>8.395781386326902</v>
      </c>
      <c r="M23" s="922">
        <f>L23-D23</f>
        <v/>
      </c>
    </row>
    <row r="24">
      <c r="A24" t="inlineStr">
        <is>
          <t>Nov-Jan 2012</t>
        </is>
      </c>
      <c r="B24">
        <f>RIGHT(A24, LEN(A24) - 8)</f>
        <v/>
      </c>
      <c r="C24">
        <f>'2'!K254</f>
        <v/>
      </c>
      <c r="D24">
        <f>'2'!E254</f>
        <v/>
      </c>
      <c r="E24">
        <f>'2'!Q254</f>
        <v/>
      </c>
      <c r="F24" t="n">
        <v>29354111.05812268</v>
      </c>
      <c r="G24">
        <f>F24/1000000</f>
        <v/>
      </c>
      <c r="I24" s="988" t="n">
        <v>70.22908015090843</v>
      </c>
      <c r="J24" s="922">
        <f>I24-C24</f>
        <v/>
      </c>
      <c r="L24" s="988" t="n">
        <v>8.354295774670927</v>
      </c>
      <c r="M24" s="922">
        <f>L24-D24</f>
        <v/>
      </c>
    </row>
    <row r="25">
      <c r="A25" t="inlineStr">
        <is>
          <t>Dec-Feb 2012</t>
        </is>
      </c>
      <c r="B25">
        <f>RIGHT(A25, LEN(A25) - 8)</f>
        <v/>
      </c>
      <c r="C25">
        <f>'2'!K255</f>
        <v/>
      </c>
      <c r="D25">
        <f>'2'!E255</f>
        <v/>
      </c>
      <c r="E25">
        <f>'2'!Q255</f>
        <v/>
      </c>
      <c r="F25" t="n">
        <v>29389930.3502971</v>
      </c>
      <c r="G25">
        <f>F25/1000000</f>
        <v/>
      </c>
      <c r="I25" s="988" t="n">
        <v>70.3000413591334</v>
      </c>
      <c r="J25" s="922">
        <f>I25-C25</f>
        <v/>
      </c>
      <c r="L25" s="988" t="n">
        <v>8.291030684185998</v>
      </c>
      <c r="M25" s="922">
        <f>L25-D25</f>
        <v/>
      </c>
    </row>
    <row r="26">
      <c r="A26" t="inlineStr">
        <is>
          <t>Jan-Mar 2012</t>
        </is>
      </c>
      <c r="B26">
        <f>RIGHT(A26, LEN(A26) - 8)</f>
        <v/>
      </c>
      <c r="C26">
        <f>'2'!K256</f>
        <v/>
      </c>
      <c r="D26">
        <f>'2'!E256</f>
        <v/>
      </c>
      <c r="E26">
        <f>'2'!Q256</f>
        <v/>
      </c>
      <c r="F26" t="n">
        <v>29464048.58933266</v>
      </c>
      <c r="G26">
        <f>F26/1000000</f>
        <v/>
      </c>
      <c r="I26" s="988" t="n">
        <v>70.45220167222472</v>
      </c>
      <c r="J26" s="922">
        <f>I26-C26</f>
        <v/>
      </c>
      <c r="L26" s="988" t="n">
        <v>8.213160526962788</v>
      </c>
      <c r="M26" s="922">
        <f>L26-D26</f>
        <v/>
      </c>
    </row>
    <row r="27">
      <c r="A27" t="inlineStr">
        <is>
          <t>Feb-Apr 2012</t>
        </is>
      </c>
      <c r="B27">
        <f>RIGHT(A27, LEN(A27) - 8)</f>
        <v/>
      </c>
      <c r="C27">
        <f>'2'!K257</f>
        <v/>
      </c>
      <c r="D27">
        <f>'2'!E257</f>
        <v/>
      </c>
      <c r="E27">
        <f>'2'!Q257</f>
        <v/>
      </c>
      <c r="F27" t="n">
        <v>29503473.391949</v>
      </c>
      <c r="G27">
        <f>F27/1000000</f>
        <v/>
      </c>
      <c r="I27" s="988" t="n">
        <v>70.51144367263799</v>
      </c>
      <c r="J27" s="922">
        <f>I27-C27</f>
        <v/>
      </c>
      <c r="L27" s="988" t="n">
        <v>8.176828403574113</v>
      </c>
      <c r="M27" s="922">
        <f>L27-D27</f>
        <v/>
      </c>
    </row>
    <row r="28">
      <c r="A28" t="inlineStr">
        <is>
          <t>Mar-May 2012</t>
        </is>
      </c>
      <c r="B28">
        <f>RIGHT(A28, LEN(A28) - 8)</f>
        <v/>
      </c>
      <c r="C28">
        <f>'2'!K258</f>
        <v/>
      </c>
      <c r="D28">
        <f>'2'!E258</f>
        <v/>
      </c>
      <c r="E28">
        <f>'2'!Q258</f>
        <v/>
      </c>
      <c r="F28" t="n">
        <v>29577401.39332096</v>
      </c>
      <c r="G28">
        <f>F28/1000000</f>
        <v/>
      </c>
      <c r="I28" s="988" t="n">
        <v>70.64194558462908</v>
      </c>
      <c r="J28" s="922">
        <f>I28-C28</f>
        <v/>
      </c>
      <c r="L28" s="988" t="n">
        <v>8.083863499697253</v>
      </c>
      <c r="M28" s="922">
        <f>L28-D28</f>
        <v/>
      </c>
    </row>
    <row r="29">
      <c r="A29" t="inlineStr">
        <is>
          <t>Apr-Jun 2012</t>
        </is>
      </c>
      <c r="B29">
        <f>RIGHT(A29, LEN(A29) - 8)</f>
        <v/>
      </c>
      <c r="C29">
        <f>'2'!K259</f>
        <v/>
      </c>
      <c r="D29">
        <f>'2'!E259</f>
        <v/>
      </c>
      <c r="E29">
        <f>'2'!Q259</f>
        <v/>
      </c>
      <c r="F29" t="n">
        <v>29681224.74931648</v>
      </c>
      <c r="G29">
        <f>F29/1000000</f>
        <v/>
      </c>
      <c r="I29" s="988" t="n">
        <v>70.88712266264692</v>
      </c>
      <c r="J29" s="922">
        <f>I29-C29</f>
        <v/>
      </c>
      <c r="L29" s="988" t="n">
        <v>7.995588577053649</v>
      </c>
      <c r="M29" s="922">
        <f>L29-D29</f>
        <v/>
      </c>
    </row>
    <row r="30">
      <c r="A30" t="inlineStr">
        <is>
          <t>May-Jul 2012</t>
        </is>
      </c>
      <c r="B30">
        <f>RIGHT(A30, LEN(A30) - 8)</f>
        <v/>
      </c>
      <c r="C30">
        <f>'2'!K260</f>
        <v/>
      </c>
      <c r="D30">
        <f>'2'!E260</f>
        <v/>
      </c>
      <c r="E30">
        <f>'2'!Q260</f>
        <v/>
      </c>
      <c r="F30" t="n">
        <v>29759638.43515566</v>
      </c>
      <c r="G30">
        <f>F30/1000000</f>
        <v/>
      </c>
      <c r="I30" s="988" t="n">
        <v>71.04104498081051</v>
      </c>
      <c r="J30" s="922">
        <f>I30-C30</f>
        <v/>
      </c>
      <c r="L30" s="988" t="n">
        <v>8.042683015980872</v>
      </c>
      <c r="M30" s="922">
        <f>L30-D30</f>
        <v/>
      </c>
    </row>
    <row r="31">
      <c r="A31" t="inlineStr">
        <is>
          <t>Jun-Aug 2012</t>
        </is>
      </c>
      <c r="B31">
        <f>RIGHT(A31, LEN(A31) - 8)</f>
        <v/>
      </c>
      <c r="C31">
        <f>'2'!K261</f>
        <v/>
      </c>
      <c r="D31">
        <f>'2'!E261</f>
        <v/>
      </c>
      <c r="E31">
        <f>'2'!Q261</f>
        <v/>
      </c>
      <c r="F31" t="n">
        <v>29796179.59082574</v>
      </c>
      <c r="G31">
        <f>F31/1000000</f>
        <v/>
      </c>
      <c r="I31" s="988" t="n">
        <v>71.13769607124887</v>
      </c>
      <c r="J31" s="922">
        <f>I31-C31</f>
        <v/>
      </c>
      <c r="L31" s="988" t="n">
        <v>7.894984763145294</v>
      </c>
      <c r="M31" s="922">
        <f>L31-D31</f>
        <v/>
      </c>
    </row>
    <row r="32">
      <c r="A32" t="inlineStr">
        <is>
          <t>Jul-Sep 2012</t>
        </is>
      </c>
      <c r="B32">
        <f>RIGHT(A32, LEN(A32) - 8)</f>
        <v/>
      </c>
      <c r="C32">
        <f>'2'!K262</f>
        <v/>
      </c>
      <c r="D32">
        <f>'2'!E262</f>
        <v/>
      </c>
      <c r="E32">
        <f>'2'!Q262</f>
        <v/>
      </c>
      <c r="F32" t="n">
        <v>29777814.13395777</v>
      </c>
      <c r="G32">
        <f>F32/1000000</f>
        <v/>
      </c>
      <c r="I32" s="988" t="n">
        <v>71.10163496215903</v>
      </c>
      <c r="J32" s="922">
        <f>I32-C32</f>
        <v/>
      </c>
      <c r="L32" s="988" t="n">
        <v>7.86629349723234</v>
      </c>
      <c r="M32" s="922">
        <f>L32-D32</f>
        <v/>
      </c>
    </row>
    <row r="33">
      <c r="A33" t="inlineStr">
        <is>
          <t>Aug-Oct 2012</t>
        </is>
      </c>
      <c r="B33">
        <f>RIGHT(A33, LEN(A33) - 8)</f>
        <v/>
      </c>
      <c r="C33">
        <f>'2'!K263</f>
        <v/>
      </c>
      <c r="D33">
        <f>'2'!E263</f>
        <v/>
      </c>
      <c r="E33">
        <f>'2'!Q263</f>
        <v/>
      </c>
      <c r="F33" t="n">
        <v>29765330.99688496</v>
      </c>
      <c r="G33">
        <f>F33/1000000</f>
        <v/>
      </c>
      <c r="I33" s="988" t="n">
        <v>71.04004630473261</v>
      </c>
      <c r="J33" s="922">
        <f>I33-C33</f>
        <v/>
      </c>
      <c r="L33" s="988" t="n">
        <v>7.859120599465734</v>
      </c>
      <c r="M33" s="922">
        <f>L33-D33</f>
        <v/>
      </c>
    </row>
    <row r="34">
      <c r="A34" t="inlineStr">
        <is>
          <t>Sep-Nov 2012</t>
        </is>
      </c>
      <c r="B34">
        <f>RIGHT(A34, LEN(A34) - 8)</f>
        <v/>
      </c>
      <c r="C34">
        <f>'2'!K264</f>
        <v/>
      </c>
      <c r="D34">
        <f>'2'!E264</f>
        <v/>
      </c>
      <c r="E34">
        <f>'2'!Q264</f>
        <v/>
      </c>
      <c r="F34" t="n">
        <v>29871682.99975074</v>
      </c>
      <c r="G34">
        <f>F34/1000000</f>
        <v/>
      </c>
      <c r="I34" s="988" t="n">
        <v>71.25452993238454</v>
      </c>
      <c r="J34" s="922">
        <f>I34-C34</f>
        <v/>
      </c>
      <c r="L34" s="988" t="n">
        <v>7.828156128251594</v>
      </c>
      <c r="M34" s="922">
        <f>L34-D34</f>
        <v/>
      </c>
    </row>
    <row r="35">
      <c r="A35" t="inlineStr">
        <is>
          <t>Oct-Dec 2012</t>
        </is>
      </c>
      <c r="B35">
        <f>RIGHT(A35, LEN(A35) - 8)</f>
        <v/>
      </c>
      <c r="C35">
        <f>'2'!K265</f>
        <v/>
      </c>
      <c r="D35">
        <f>'2'!E265</f>
        <v/>
      </c>
      <c r="E35">
        <f>'2'!Q265</f>
        <v/>
      </c>
      <c r="F35" t="n">
        <v>29932320.58826104</v>
      </c>
      <c r="G35">
        <f>F35/1000000</f>
        <v/>
      </c>
      <c r="I35" s="988" t="n">
        <v>71.36545753247439</v>
      </c>
      <c r="J35" s="922">
        <f>I35-C35</f>
        <v/>
      </c>
      <c r="L35" s="988" t="n">
        <v>7.823012998550843</v>
      </c>
      <c r="M35" s="922">
        <f>L35-D35</f>
        <v/>
      </c>
    </row>
    <row r="36">
      <c r="A36" t="inlineStr">
        <is>
          <t>Nov-Jan 2013</t>
        </is>
      </c>
      <c r="B36">
        <f>RIGHT(A36, LEN(A36) - 8)</f>
        <v/>
      </c>
      <c r="C36">
        <f>'2'!K266</f>
        <v/>
      </c>
      <c r="D36">
        <f>'2'!E266</f>
        <v/>
      </c>
      <c r="E36">
        <f>'2'!Q266</f>
        <v/>
      </c>
      <c r="F36" t="n">
        <v>29917211.01990352</v>
      </c>
      <c r="G36">
        <f>F36/1000000</f>
        <v/>
      </c>
      <c r="I36" s="988" t="n">
        <v>71.31490185420601</v>
      </c>
      <c r="J36" s="922">
        <f>I36-C36</f>
        <v/>
      </c>
      <c r="L36" s="988" t="n">
        <v>7.832653831497829</v>
      </c>
      <c r="M36" s="922">
        <f>L36-D36</f>
        <v/>
      </c>
    </row>
    <row r="37">
      <c r="A37" t="inlineStr">
        <is>
          <t>Dec-Feb 2013</t>
        </is>
      </c>
      <c r="B37">
        <f>RIGHT(A37, LEN(A37) - 8)</f>
        <v/>
      </c>
      <c r="C37">
        <f>'2'!K267</f>
        <v/>
      </c>
      <c r="D37">
        <f>'2'!E267</f>
        <v/>
      </c>
      <c r="E37">
        <f>'2'!Q267</f>
        <v/>
      </c>
      <c r="F37" t="n">
        <v>29843242.68710112</v>
      </c>
      <c r="G37">
        <f>F37/1000000</f>
        <v/>
      </c>
      <c r="I37" s="988" t="n">
        <v>71.11836482788219</v>
      </c>
      <c r="J37" s="922">
        <f>I37-C37</f>
        <v/>
      </c>
      <c r="L37" s="988" t="n">
        <v>7.987096408476116</v>
      </c>
      <c r="M37" s="922">
        <f>L37-D37</f>
        <v/>
      </c>
    </row>
    <row r="38">
      <c r="A38" t="inlineStr">
        <is>
          <t>Jan-Mar 2013</t>
        </is>
      </c>
      <c r="B38">
        <f>RIGHT(A38, LEN(A38) - 8)</f>
        <v/>
      </c>
      <c r="C38">
        <f>'2'!K268</f>
        <v/>
      </c>
      <c r="D38">
        <f>'2'!E268</f>
        <v/>
      </c>
      <c r="E38">
        <f>'2'!Q268</f>
        <v/>
      </c>
      <c r="F38" t="n">
        <v>29869132.2934252</v>
      </c>
      <c r="G38">
        <f>F38/1000000</f>
        <v/>
      </c>
      <c r="I38" s="988" t="n">
        <v>71.1323583737697</v>
      </c>
      <c r="J38" s="922">
        <f>I38-C38</f>
        <v/>
      </c>
      <c r="L38" s="988" t="n">
        <v>7.85715814310573</v>
      </c>
      <c r="M38" s="922">
        <f>L38-D38</f>
        <v/>
      </c>
    </row>
    <row r="39">
      <c r="A39" t="inlineStr">
        <is>
          <t>Feb-Apr 2013</t>
        </is>
      </c>
      <c r="B39">
        <f>RIGHT(A39, LEN(A39) - 8)</f>
        <v/>
      </c>
      <c r="C39">
        <f>'2'!K269</f>
        <v/>
      </c>
      <c r="D39">
        <f>'2'!E269</f>
        <v/>
      </c>
      <c r="E39">
        <f>'2'!Q269</f>
        <v/>
      </c>
      <c r="F39" t="n">
        <v>29915534.00233141</v>
      </c>
      <c r="G39">
        <f>F39/1000000</f>
        <v/>
      </c>
      <c r="I39" s="988" t="n">
        <v>71.18876139333119</v>
      </c>
      <c r="J39" s="922">
        <f>I39-C39</f>
        <v/>
      </c>
      <c r="L39" s="988" t="n">
        <v>7.805547460775418</v>
      </c>
      <c r="M39" s="922">
        <f>L39-D39</f>
        <v/>
      </c>
    </row>
    <row r="40">
      <c r="A40" t="inlineStr">
        <is>
          <t>Mar-May 2013</t>
        </is>
      </c>
      <c r="B40">
        <f>RIGHT(A40, LEN(A40) - 8)</f>
        <v/>
      </c>
      <c r="C40">
        <f>'2'!K270</f>
        <v/>
      </c>
      <c r="D40">
        <f>'2'!E270</f>
        <v/>
      </c>
      <c r="E40">
        <f>'2'!Q270</f>
        <v/>
      </c>
      <c r="F40" t="n">
        <v>29894032.49774533</v>
      </c>
      <c r="G40">
        <f>F40/1000000</f>
        <v/>
      </c>
      <c r="I40" s="988" t="n">
        <v>71.15126759765089</v>
      </c>
      <c r="J40" s="922">
        <f>I40-C40</f>
        <v/>
      </c>
      <c r="L40" s="988" t="n">
        <v>7.772641421321008</v>
      </c>
      <c r="M40" s="922">
        <f>L40-D40</f>
        <v/>
      </c>
    </row>
    <row r="41">
      <c r="A41" t="inlineStr">
        <is>
          <t>Apr-Jun 2013</t>
        </is>
      </c>
      <c r="B41">
        <f>RIGHT(A41, LEN(A41) - 8)</f>
        <v/>
      </c>
      <c r="C41">
        <f>'2'!K271</f>
        <v/>
      </c>
      <c r="D41">
        <f>'2'!E271</f>
        <v/>
      </c>
      <c r="E41">
        <f>'2'!Q271</f>
        <v/>
      </c>
      <c r="F41" t="n">
        <v>29973576.5789682</v>
      </c>
      <c r="G41">
        <f>F41/1000000</f>
        <v/>
      </c>
      <c r="I41" s="988" t="n">
        <v>71.27496339871904</v>
      </c>
      <c r="J41" s="922">
        <f>I41-C41</f>
        <v/>
      </c>
      <c r="L41" s="988" t="n">
        <v>7.763815853771976</v>
      </c>
      <c r="M41" s="922">
        <f>L41-D41</f>
        <v/>
      </c>
    </row>
    <row r="42">
      <c r="A42" t="inlineStr">
        <is>
          <t>May-Jul 2013</t>
        </is>
      </c>
      <c r="B42">
        <f>RIGHT(A42, LEN(A42) - 8)</f>
        <v/>
      </c>
      <c r="C42">
        <f>'2'!K272</f>
        <v/>
      </c>
      <c r="D42">
        <f>'2'!E272</f>
        <v/>
      </c>
      <c r="E42">
        <f>'2'!Q272</f>
        <v/>
      </c>
      <c r="F42" t="n">
        <v>30031488.22616975</v>
      </c>
      <c r="G42">
        <f>F42/1000000</f>
        <v/>
      </c>
      <c r="I42" s="988" t="n">
        <v>71.42412859453509</v>
      </c>
      <c r="J42" s="922">
        <f>I42-C42</f>
        <v/>
      </c>
      <c r="L42" s="988" t="n">
        <v>7.687798641985201</v>
      </c>
      <c r="M42" s="922">
        <f>L42-D42</f>
        <v/>
      </c>
    </row>
    <row r="43">
      <c r="A43" t="inlineStr">
        <is>
          <t>Jun-Aug 2013</t>
        </is>
      </c>
      <c r="B43">
        <f>RIGHT(A43, LEN(A43) - 8)</f>
        <v/>
      </c>
      <c r="C43">
        <f>'2'!K273</f>
        <v/>
      </c>
      <c r="D43">
        <f>'2'!E273</f>
        <v/>
      </c>
      <c r="E43">
        <f>'2'!Q273</f>
        <v/>
      </c>
      <c r="F43" t="n">
        <v>30061818.33456152</v>
      </c>
      <c r="G43">
        <f>F43/1000000</f>
        <v/>
      </c>
      <c r="I43" s="988" t="n">
        <v>71.44609887268122</v>
      </c>
      <c r="J43" s="922">
        <f>I43-C43</f>
        <v/>
      </c>
      <c r="L43" s="988" t="n">
        <v>7.714892093987589</v>
      </c>
      <c r="M43" s="922">
        <f>L43-D43</f>
        <v/>
      </c>
    </row>
    <row r="44">
      <c r="A44" t="inlineStr">
        <is>
          <t>Jul-Sep 2013</t>
        </is>
      </c>
      <c r="B44">
        <f>RIGHT(A44, LEN(A44) - 8)</f>
        <v/>
      </c>
      <c r="C44">
        <f>'2'!K274</f>
        <v/>
      </c>
      <c r="D44">
        <f>'2'!E274</f>
        <v/>
      </c>
      <c r="E44">
        <f>'2'!Q274</f>
        <v/>
      </c>
      <c r="F44" t="n">
        <v>30144422.45827937</v>
      </c>
      <c r="G44">
        <f>F44/1000000</f>
        <v/>
      </c>
      <c r="I44" s="988" t="n">
        <v>71.58871118604692</v>
      </c>
      <c r="J44" s="922">
        <f>I44-C44</f>
        <v/>
      </c>
      <c r="L44" s="988" t="n">
        <v>7.636266475811965</v>
      </c>
      <c r="M44" s="922">
        <f>L44-D44</f>
        <v/>
      </c>
    </row>
    <row r="45">
      <c r="A45" t="inlineStr">
        <is>
          <t>Aug-Oct 2013</t>
        </is>
      </c>
      <c r="B45">
        <f>RIGHT(A45, LEN(A45) - 8)</f>
        <v/>
      </c>
      <c r="C45">
        <f>'2'!K275</f>
        <v/>
      </c>
      <c r="D45">
        <f>'2'!E275</f>
        <v/>
      </c>
      <c r="E45">
        <f>'2'!Q275</f>
        <v/>
      </c>
      <c r="F45" t="n">
        <v>30261437.57879695</v>
      </c>
      <c r="G45">
        <f>F45/1000000</f>
        <v/>
      </c>
      <c r="I45" s="988" t="n">
        <v>71.8070837446673</v>
      </c>
      <c r="J45" s="922">
        <f>I45-C45</f>
        <v/>
      </c>
      <c r="L45" s="988" t="n">
        <v>7.387915401763766</v>
      </c>
      <c r="M45" s="922">
        <f>L45-D45</f>
        <v/>
      </c>
    </row>
    <row r="46">
      <c r="A46" t="inlineStr">
        <is>
          <t>Sep-Nov 2013</t>
        </is>
      </c>
      <c r="B46">
        <f>RIGHT(A46, LEN(A46) - 8)</f>
        <v/>
      </c>
      <c r="C46">
        <f>'2'!K276</f>
        <v/>
      </c>
      <c r="D46">
        <f>'2'!E276</f>
        <v/>
      </c>
      <c r="E46">
        <f>'2'!Q276</f>
        <v/>
      </c>
      <c r="F46" t="n">
        <v>30340591.6131443</v>
      </c>
      <c r="G46">
        <f>F46/1000000</f>
        <v/>
      </c>
      <c r="I46" s="988" t="n">
        <v>71.96304187927664</v>
      </c>
      <c r="J46" s="922">
        <f>I46-C46</f>
        <v/>
      </c>
      <c r="L46" s="988" t="n">
        <v>7.189685918311786</v>
      </c>
      <c r="M46" s="922">
        <f>L46-D46</f>
        <v/>
      </c>
    </row>
    <row r="47">
      <c r="A47" t="inlineStr">
        <is>
          <t>Oct-Dec 2013</t>
        </is>
      </c>
      <c r="B47">
        <f>RIGHT(A47, LEN(A47) - 8)</f>
        <v/>
      </c>
      <c r="C47">
        <f>'2'!K277</f>
        <v/>
      </c>
      <c r="D47">
        <f>'2'!E277</f>
        <v/>
      </c>
      <c r="E47">
        <f>'2'!Q277</f>
        <v/>
      </c>
      <c r="F47" t="n">
        <v>30329886.24724496</v>
      </c>
      <c r="G47">
        <f>F47/1000000</f>
        <v/>
      </c>
      <c r="I47" s="988" t="n">
        <v>71.92185025892735</v>
      </c>
      <c r="J47" s="922">
        <f>I47-C47</f>
        <v/>
      </c>
      <c r="L47" s="988" t="n">
        <v>7.241280000547897</v>
      </c>
      <c r="M47" s="922">
        <f>L47-D47</f>
        <v/>
      </c>
    </row>
    <row r="48">
      <c r="A48" t="inlineStr">
        <is>
          <t>Nov-Jan 2014</t>
        </is>
      </c>
      <c r="B48">
        <f>RIGHT(A48, LEN(A48) - 8)</f>
        <v/>
      </c>
      <c r="C48">
        <f>'2'!K278</f>
        <v/>
      </c>
      <c r="D48">
        <f>'2'!E278</f>
        <v/>
      </c>
      <c r="E48">
        <f>'2'!Q278</f>
        <v/>
      </c>
      <c r="F48" t="n">
        <v>30368794.72334184</v>
      </c>
      <c r="G48">
        <f>F48/1000000</f>
        <v/>
      </c>
      <c r="I48" s="988" t="n">
        <v>72.02860916101497</v>
      </c>
      <c r="J48" s="922">
        <f>I48-C48</f>
        <v/>
      </c>
      <c r="L48" s="988" t="n">
        <v>7.183217093535423</v>
      </c>
      <c r="M48" s="922">
        <f>L48-D48</f>
        <v/>
      </c>
    </row>
    <row r="49">
      <c r="A49" t="inlineStr">
        <is>
          <t>Dec-Feb 2014</t>
        </is>
      </c>
      <c r="B49">
        <f>RIGHT(A49, LEN(A49) - 8)</f>
        <v/>
      </c>
      <c r="C49">
        <f>'2'!K279</f>
        <v/>
      </c>
      <c r="D49">
        <f>'2'!E279</f>
        <v/>
      </c>
      <c r="E49">
        <f>'2'!Q279</f>
        <v/>
      </c>
      <c r="F49" t="n">
        <v>30532850.1512791</v>
      </c>
      <c r="G49">
        <f>F49/1000000</f>
        <v/>
      </c>
      <c r="I49" s="988" t="n">
        <v>72.29546590497053</v>
      </c>
      <c r="J49" s="922">
        <f>I49-C49</f>
        <v/>
      </c>
      <c r="L49" s="988" t="n">
        <v>6.911977452787456</v>
      </c>
      <c r="M49" s="922">
        <f>L49-D49</f>
        <v/>
      </c>
    </row>
    <row r="50">
      <c r="A50" t="inlineStr">
        <is>
          <t>Jan-Mar 2014</t>
        </is>
      </c>
      <c r="B50">
        <f>RIGHT(A50, LEN(A50) - 8)</f>
        <v/>
      </c>
      <c r="C50">
        <f>'2'!K280</f>
        <v/>
      </c>
      <c r="D50">
        <f>'2'!E280</f>
        <v/>
      </c>
      <c r="E50">
        <f>'2'!Q280</f>
        <v/>
      </c>
      <c r="F50" t="n">
        <v>30572831.67084756</v>
      </c>
      <c r="G50">
        <f>F50/1000000</f>
        <v/>
      </c>
      <c r="I50" s="988" t="n">
        <v>72.38018265514692</v>
      </c>
      <c r="J50" s="922">
        <f>I50-C50</f>
        <v/>
      </c>
      <c r="L50" s="988" t="n">
        <v>6.777944299467954</v>
      </c>
      <c r="M50" s="922">
        <f>L50-D50</f>
        <v/>
      </c>
    </row>
    <row r="51">
      <c r="A51" t="inlineStr">
        <is>
          <t>Feb-Apr 2014</t>
        </is>
      </c>
      <c r="B51">
        <f>RIGHT(A51, LEN(A51) - 8)</f>
        <v/>
      </c>
      <c r="C51">
        <f>'2'!K281</f>
        <v/>
      </c>
      <c r="D51">
        <f>'2'!E281</f>
        <v/>
      </c>
      <c r="E51">
        <f>'2'!Q281</f>
        <v/>
      </c>
      <c r="F51" t="n">
        <v>30681645.60594137</v>
      </c>
      <c r="G51">
        <f>F51/1000000</f>
        <v/>
      </c>
      <c r="I51" s="988" t="n">
        <v>72.60714065583549</v>
      </c>
      <c r="J51" s="922">
        <f>I51-C51</f>
        <v/>
      </c>
      <c r="L51" s="988" t="n">
        <v>6.612382155288921</v>
      </c>
      <c r="M51" s="922">
        <f>L51-D51</f>
        <v/>
      </c>
    </row>
    <row r="52">
      <c r="A52" t="inlineStr">
        <is>
          <t>Mar-May 2014</t>
        </is>
      </c>
      <c r="B52">
        <f>RIGHT(A52, LEN(A52) - 8)</f>
        <v/>
      </c>
      <c r="C52">
        <f>'2'!K282</f>
        <v/>
      </c>
      <c r="D52">
        <f>'2'!E282</f>
        <v/>
      </c>
      <c r="E52">
        <f>'2'!Q282</f>
        <v/>
      </c>
      <c r="F52" t="n">
        <v>30784394.92209505</v>
      </c>
      <c r="G52">
        <f>F52/1000000</f>
        <v/>
      </c>
      <c r="I52" s="988" t="n">
        <v>72.81732060653847</v>
      </c>
      <c r="J52" s="922">
        <f>I52-C52</f>
        <v/>
      </c>
      <c r="L52" s="988" t="n">
        <v>6.453554722518233</v>
      </c>
      <c r="M52" s="922">
        <f>L52-D52</f>
        <v/>
      </c>
    </row>
    <row r="53">
      <c r="A53" t="inlineStr">
        <is>
          <t>Apr-Jun 2014</t>
        </is>
      </c>
      <c r="B53">
        <f>RIGHT(A53, LEN(A53) - 8)</f>
        <v/>
      </c>
      <c r="C53">
        <f>'2'!K283</f>
        <v/>
      </c>
      <c r="D53">
        <f>'2'!E283</f>
        <v/>
      </c>
      <c r="E53">
        <f>'2'!Q283</f>
        <v/>
      </c>
      <c r="F53" t="n">
        <v>30746985.13109198</v>
      </c>
      <c r="G53">
        <f>F53/1000000</f>
        <v/>
      </c>
      <c r="I53" s="988" t="n">
        <v>72.74173853801425</v>
      </c>
      <c r="J53" s="922">
        <f>I53-C53</f>
        <v/>
      </c>
      <c r="L53" s="988" t="n">
        <v>6.315516773645625</v>
      </c>
      <c r="M53" s="922">
        <f>L53-D53</f>
        <v/>
      </c>
    </row>
    <row r="54">
      <c r="A54" t="inlineStr">
        <is>
          <t>May-Jul 2014</t>
        </is>
      </c>
      <c r="B54">
        <f>RIGHT(A54, LEN(A54) - 8)</f>
        <v/>
      </c>
      <c r="C54">
        <f>'2'!K284</f>
        <v/>
      </c>
      <c r="D54">
        <f>'2'!E284</f>
        <v/>
      </c>
      <c r="E54">
        <f>'2'!Q284</f>
        <v/>
      </c>
      <c r="F54" t="n">
        <v>30745229.75821348</v>
      </c>
      <c r="G54">
        <f>F54/1000000</f>
        <v/>
      </c>
      <c r="I54" s="988" t="n">
        <v>72.69445612065016</v>
      </c>
      <c r="J54" s="922">
        <f>I54-C54</f>
        <v/>
      </c>
      <c r="L54" s="988" t="n">
        <v>6.170390164385075</v>
      </c>
      <c r="M54" s="922">
        <f>L54-D54</f>
        <v/>
      </c>
    </row>
    <row r="55">
      <c r="A55" t="inlineStr">
        <is>
          <t>Jun-Aug 2014</t>
        </is>
      </c>
      <c r="B55">
        <f>RIGHT(A55, LEN(A55) - 8)</f>
        <v/>
      </c>
      <c r="C55">
        <f>'2'!K285</f>
        <v/>
      </c>
      <c r="D55">
        <f>'2'!E285</f>
        <v/>
      </c>
      <c r="E55">
        <f>'2'!Q285</f>
        <v/>
      </c>
      <c r="F55" t="n">
        <v>30827781.27303534</v>
      </c>
      <c r="G55">
        <f>F55/1000000</f>
        <v/>
      </c>
      <c r="I55" s="988" t="n">
        <v>72.88072790765132</v>
      </c>
      <c r="J55" s="922">
        <f>I55-C55</f>
        <v/>
      </c>
      <c r="L55" s="988" t="n">
        <v>6.047007108689315</v>
      </c>
      <c r="M55" s="922">
        <f>L55-D55</f>
        <v/>
      </c>
    </row>
    <row r="56">
      <c r="A56" t="inlineStr">
        <is>
          <t>Jul-Sep 2014</t>
        </is>
      </c>
      <c r="B56">
        <f>RIGHT(A56, LEN(A56) - 8)</f>
        <v/>
      </c>
      <c r="C56">
        <f>'2'!K286</f>
        <v/>
      </c>
      <c r="D56">
        <f>'2'!E286</f>
        <v/>
      </c>
      <c r="E56">
        <f>'2'!Q286</f>
        <v/>
      </c>
      <c r="F56" t="n">
        <v>30873444.26210061</v>
      </c>
      <c r="G56">
        <f>F56/1000000</f>
        <v/>
      </c>
      <c r="I56" s="988" t="n">
        <v>72.94646393533651</v>
      </c>
      <c r="J56" s="922">
        <f>I56-C56</f>
        <v/>
      </c>
      <c r="L56" s="988" t="n">
        <v>6.00974608731008</v>
      </c>
      <c r="M56" s="922">
        <f>L56-D56</f>
        <v/>
      </c>
    </row>
    <row r="57">
      <c r="A57" t="inlineStr">
        <is>
          <t>Aug-Oct 2014</t>
        </is>
      </c>
      <c r="B57">
        <f>RIGHT(A57, LEN(A57) - 8)</f>
        <v/>
      </c>
      <c r="C57">
        <f>'2'!K287</f>
        <v/>
      </c>
      <c r="D57">
        <f>'2'!E287</f>
        <v/>
      </c>
      <c r="E57">
        <f>'2'!Q287</f>
        <v/>
      </c>
      <c r="F57" t="n">
        <v>30887408.81996</v>
      </c>
      <c r="G57">
        <f>F57/1000000</f>
        <v/>
      </c>
      <c r="I57" s="988" t="n">
        <v>72.90804093315514</v>
      </c>
      <c r="J57" s="922">
        <f>I57-C57</f>
        <v/>
      </c>
      <c r="L57" s="988" t="n">
        <v>5.985269544231294</v>
      </c>
      <c r="M57" s="922">
        <f>L57-D57</f>
        <v/>
      </c>
    </row>
    <row r="58">
      <c r="A58" t="inlineStr">
        <is>
          <t>Sep-Nov 2014</t>
        </is>
      </c>
      <c r="B58">
        <f>RIGHT(A58, LEN(A58) - 8)</f>
        <v/>
      </c>
      <c r="C58">
        <f>'2'!K288</f>
        <v/>
      </c>
      <c r="D58">
        <f>'2'!E288</f>
        <v/>
      </c>
      <c r="E58">
        <f>'2'!Q288</f>
        <v/>
      </c>
      <c r="F58" t="n">
        <v>30888059.88072548</v>
      </c>
      <c r="G58">
        <f>F58/1000000</f>
        <v/>
      </c>
      <c r="I58" s="988" t="n">
        <v>72.89050998100041</v>
      </c>
      <c r="J58" s="922">
        <f>I58-C58</f>
        <v/>
      </c>
      <c r="L58" s="988" t="n">
        <v>5.901994074096688</v>
      </c>
      <c r="M58" s="922">
        <f>L58-D58</f>
        <v/>
      </c>
    </row>
    <row r="59">
      <c r="A59" t="inlineStr">
        <is>
          <t>Oct-Dec 2014</t>
        </is>
      </c>
      <c r="B59">
        <f>RIGHT(A59, LEN(A59) - 8)</f>
        <v/>
      </c>
      <c r="C59">
        <f>'2'!K289</f>
        <v/>
      </c>
      <c r="D59">
        <f>'2'!E289</f>
        <v/>
      </c>
      <c r="E59">
        <f>'2'!Q289</f>
        <v/>
      </c>
      <c r="F59" t="n">
        <v>30980543.17360542</v>
      </c>
      <c r="G59">
        <f>F59/1000000</f>
        <v/>
      </c>
      <c r="I59" s="988" t="n">
        <v>73.09774275478924</v>
      </c>
      <c r="J59" s="922">
        <f>I59-C59</f>
        <v/>
      </c>
      <c r="L59" s="988" t="n">
        <v>5.730868436168306</v>
      </c>
      <c r="M59" s="922">
        <f>L59-D59</f>
        <v/>
      </c>
    </row>
    <row r="60">
      <c r="A60" t="inlineStr">
        <is>
          <t>Nov-Jan 2015</t>
        </is>
      </c>
      <c r="B60">
        <f>RIGHT(A60, LEN(A60) - 8)</f>
        <v/>
      </c>
      <c r="C60">
        <f>'2'!K290</f>
        <v/>
      </c>
      <c r="D60">
        <f>'2'!E290</f>
        <v/>
      </c>
      <c r="E60">
        <f>'2'!Q290</f>
        <v/>
      </c>
      <c r="F60" t="n">
        <v>31038753.4090674</v>
      </c>
      <c r="G60">
        <f>F60/1000000</f>
        <v/>
      </c>
      <c r="I60" s="988" t="n">
        <v>73.18932798643357</v>
      </c>
      <c r="J60" s="922">
        <f>I60-C60</f>
        <v/>
      </c>
      <c r="L60" s="988" t="n">
        <v>5.68771395090745</v>
      </c>
      <c r="M60" s="922">
        <f>L60-D60</f>
        <v/>
      </c>
    </row>
    <row r="61">
      <c r="A61" t="inlineStr">
        <is>
          <t>Dec-Feb 2015</t>
        </is>
      </c>
      <c r="B61">
        <f>RIGHT(A61, LEN(A61) - 8)</f>
        <v/>
      </c>
      <c r="C61">
        <f>'2'!K291</f>
        <v/>
      </c>
      <c r="D61">
        <f>'2'!E291</f>
        <v/>
      </c>
      <c r="E61">
        <f>'2'!Q291</f>
        <v/>
      </c>
      <c r="F61" t="n">
        <v>31156369.37485016</v>
      </c>
      <c r="G61">
        <f>F61/1000000</f>
        <v/>
      </c>
      <c r="I61" s="988" t="n">
        <v>73.32133451053031</v>
      </c>
      <c r="J61" s="922">
        <f>I61-C61</f>
        <v/>
      </c>
      <c r="L61" s="988" t="n">
        <v>5.616599093896899</v>
      </c>
      <c r="M61" s="922">
        <f>L61-D61</f>
        <v/>
      </c>
    </row>
    <row r="62">
      <c r="A62" t="inlineStr">
        <is>
          <t>Jan-Mar 2015</t>
        </is>
      </c>
      <c r="B62">
        <f>RIGHT(A62, LEN(A62) - 8)</f>
        <v/>
      </c>
      <c r="C62">
        <f>'2'!K292</f>
        <v/>
      </c>
      <c r="D62">
        <f>'2'!E292</f>
        <v/>
      </c>
      <c r="E62">
        <f>'2'!Q292</f>
        <v/>
      </c>
      <c r="F62" t="n">
        <v>31188435.87415719</v>
      </c>
      <c r="G62">
        <f>F62/1000000</f>
        <v/>
      </c>
      <c r="I62" s="988" t="n">
        <v>73.32227539519288</v>
      </c>
      <c r="J62" s="922">
        <f>I62-C62</f>
        <v/>
      </c>
      <c r="L62" s="988" t="n">
        <v>5.570999271831775</v>
      </c>
      <c r="M62" s="922">
        <f>L62-D62</f>
        <v/>
      </c>
    </row>
    <row r="63">
      <c r="A63" t="inlineStr">
        <is>
          <t>Feb-Apr 2015</t>
        </is>
      </c>
      <c r="B63">
        <f>RIGHT(A63, LEN(A63) - 8)</f>
        <v/>
      </c>
      <c r="C63">
        <f>'2'!K293</f>
        <v/>
      </c>
      <c r="D63">
        <f>'2'!E293</f>
        <v/>
      </c>
      <c r="E63">
        <f>'2'!Q293</f>
        <v/>
      </c>
      <c r="F63" t="n">
        <v>31160374.01293896</v>
      </c>
      <c r="G63">
        <f>F63/1000000</f>
        <v/>
      </c>
      <c r="I63" s="988" t="n">
        <v>73.3165281850893</v>
      </c>
      <c r="J63" s="922">
        <f>I63-C63</f>
        <v/>
      </c>
      <c r="L63" s="988" t="n">
        <v>5.539525074464712</v>
      </c>
      <c r="M63" s="922">
        <f>L63-D63</f>
        <v/>
      </c>
    </row>
    <row r="64">
      <c r="A64" t="inlineStr">
        <is>
          <t>Mar-May 2015</t>
        </is>
      </c>
      <c r="B64">
        <f>RIGHT(A64, LEN(A64) - 8)</f>
        <v/>
      </c>
      <c r="C64">
        <f>'2'!K294</f>
        <v/>
      </c>
      <c r="D64">
        <f>'2'!E294</f>
        <v/>
      </c>
      <c r="E64">
        <f>'2'!Q294</f>
        <v/>
      </c>
      <c r="F64" t="n">
        <v>31087563.69795197</v>
      </c>
      <c r="G64">
        <f>F64/1000000</f>
        <v/>
      </c>
      <c r="I64" s="988" t="n">
        <v>73.18842830863716</v>
      </c>
      <c r="J64" s="922">
        <f>I64-C64</f>
        <v/>
      </c>
      <c r="L64" s="988" t="n">
        <v>5.653770471918846</v>
      </c>
      <c r="M64" s="922">
        <f>L64-D64</f>
        <v/>
      </c>
    </row>
    <row r="65">
      <c r="A65" t="inlineStr">
        <is>
          <t>Apr-Jun 2015</t>
        </is>
      </c>
      <c r="B65">
        <f>RIGHT(A65, LEN(A65) - 8)</f>
        <v/>
      </c>
      <c r="C65">
        <f>'2'!K295</f>
        <v/>
      </c>
      <c r="D65">
        <f>'2'!E295</f>
        <v/>
      </c>
      <c r="E65">
        <f>'2'!Q295</f>
        <v/>
      </c>
      <c r="F65" t="n">
        <v>31139500.39738111</v>
      </c>
      <c r="G65">
        <f>F65/1000000</f>
        <v/>
      </c>
      <c r="I65" s="988" t="n">
        <v>73.25952721886549</v>
      </c>
      <c r="J65" s="922">
        <f>I65-C65</f>
        <v/>
      </c>
      <c r="L65" s="988" t="n">
        <v>5.645871249531139</v>
      </c>
      <c r="M65" s="922">
        <f>L65-D65</f>
        <v/>
      </c>
    </row>
    <row r="66">
      <c r="A66" t="inlineStr">
        <is>
          <t>May-Jul 2015</t>
        </is>
      </c>
      <c r="B66">
        <f>RIGHT(A66, LEN(A66) - 8)</f>
        <v/>
      </c>
      <c r="C66">
        <f>'2'!K296</f>
        <v/>
      </c>
      <c r="D66">
        <f>'2'!E296</f>
        <v/>
      </c>
      <c r="E66">
        <f>'2'!Q296</f>
        <v/>
      </c>
      <c r="F66" t="n">
        <v>31215872.00734402</v>
      </c>
      <c r="G66">
        <f>F66/1000000</f>
        <v/>
      </c>
      <c r="I66" s="988" t="n">
        <v>73.35468095341275</v>
      </c>
      <c r="J66" s="922">
        <f>I66-C66</f>
        <v/>
      </c>
      <c r="L66" s="988" t="n">
        <v>5.556805227831513</v>
      </c>
      <c r="M66" s="922">
        <f>L66-D66</f>
        <v/>
      </c>
    </row>
    <row r="67">
      <c r="A67" t="inlineStr">
        <is>
          <t>Jun-Aug 2015</t>
        </is>
      </c>
      <c r="B67">
        <f>RIGHT(A67, LEN(A67) - 8)</f>
        <v/>
      </c>
      <c r="C67">
        <f>'2'!K297</f>
        <v/>
      </c>
      <c r="D67">
        <f>'2'!E297</f>
        <v/>
      </c>
      <c r="E67">
        <f>'2'!Q297</f>
        <v/>
      </c>
      <c r="F67" t="n">
        <v>31248408.60872476</v>
      </c>
      <c r="G67">
        <f>F67/1000000</f>
        <v/>
      </c>
      <c r="I67" s="988" t="n">
        <v>73.42825450724384</v>
      </c>
      <c r="J67" s="922">
        <f>I67-C67</f>
        <v/>
      </c>
      <c r="L67" s="988" t="n">
        <v>5.431447034413194</v>
      </c>
      <c r="M67" s="922">
        <f>L67-D67</f>
        <v/>
      </c>
    </row>
    <row r="68">
      <c r="A68" t="inlineStr">
        <is>
          <t>Jul-Sep 2015</t>
        </is>
      </c>
      <c r="B68">
        <f>RIGHT(A68, LEN(A68) - 8)</f>
        <v/>
      </c>
      <c r="C68">
        <f>'2'!K298</f>
        <v/>
      </c>
      <c r="D68">
        <f>'2'!E298</f>
        <v/>
      </c>
      <c r="E68">
        <f>'2'!Q298</f>
        <v/>
      </c>
      <c r="F68" t="n">
        <v>31361344.32852534</v>
      </c>
      <c r="G68">
        <f>F68/1000000</f>
        <v/>
      </c>
      <c r="I68" s="988" t="n">
        <v>73.64108091944773</v>
      </c>
      <c r="J68" s="922">
        <f>I68-C68</f>
        <v/>
      </c>
      <c r="L68" s="988" t="n">
        <v>5.359787308035633</v>
      </c>
      <c r="M68" s="922">
        <f>L68-D68</f>
        <v/>
      </c>
    </row>
    <row r="69">
      <c r="A69" t="inlineStr">
        <is>
          <t>Aug-Oct 2015</t>
        </is>
      </c>
      <c r="B69">
        <f>RIGHT(A69, LEN(A69) - 8)</f>
        <v/>
      </c>
      <c r="C69">
        <f>'2'!K299</f>
        <v/>
      </c>
      <c r="D69">
        <f>'2'!E299</f>
        <v/>
      </c>
      <c r="E69">
        <f>'2'!Q299</f>
        <v/>
      </c>
      <c r="F69" t="n">
        <v>31465040.89772169</v>
      </c>
      <c r="G69">
        <f>F69/1000000</f>
        <v/>
      </c>
      <c r="I69" s="988" t="n">
        <v>73.84112741636842</v>
      </c>
      <c r="J69" s="922">
        <f>I69-C69</f>
        <v/>
      </c>
      <c r="L69" s="988" t="n">
        <v>5.216013044190994</v>
      </c>
      <c r="M69" s="922">
        <f>L69-D69</f>
        <v/>
      </c>
    </row>
    <row r="70">
      <c r="A70" t="inlineStr">
        <is>
          <t>Sep-Nov 2015</t>
        </is>
      </c>
      <c r="B70">
        <f>RIGHT(A70, LEN(A70) - 8)</f>
        <v/>
      </c>
      <c r="C70">
        <f>'2'!K300</f>
        <v/>
      </c>
      <c r="D70">
        <f>'2'!E300</f>
        <v/>
      </c>
      <c r="E70">
        <f>'2'!Q300</f>
        <v/>
      </c>
      <c r="F70" t="n">
        <v>31542201.1031963</v>
      </c>
      <c r="G70">
        <f>F70/1000000</f>
        <v/>
      </c>
      <c r="I70" s="988" t="n">
        <v>73.90583987664419</v>
      </c>
      <c r="J70" s="922">
        <f>I70-C70</f>
        <v/>
      </c>
      <c r="L70" s="988" t="n">
        <v>5.12435429498534</v>
      </c>
      <c r="M70" s="922">
        <f>L70-D70</f>
        <v/>
      </c>
    </row>
    <row r="71">
      <c r="A71" t="inlineStr">
        <is>
          <t>Oct-Dec 2015</t>
        </is>
      </c>
      <c r="B71">
        <f>RIGHT(A71, LEN(A71) - 8)</f>
        <v/>
      </c>
      <c r="C71">
        <f>'2'!K301</f>
        <v/>
      </c>
      <c r="D71">
        <f>'2'!E301</f>
        <v/>
      </c>
      <c r="E71">
        <f>'2'!Q301</f>
        <v/>
      </c>
      <c r="F71" t="n">
        <v>31569273.07466432</v>
      </c>
      <c r="G71">
        <f>F71/1000000</f>
        <v/>
      </c>
      <c r="I71" s="988" t="n">
        <v>73.96580911816949</v>
      </c>
      <c r="J71" s="922">
        <f>I71-C71</f>
        <v/>
      </c>
      <c r="L71" s="988" t="n">
        <v>5.122919435573121</v>
      </c>
      <c r="M71" s="922">
        <f>L71-D71</f>
        <v/>
      </c>
    </row>
    <row r="72">
      <c r="A72" t="inlineStr">
        <is>
          <t>Nov-Jan 2016</t>
        </is>
      </c>
      <c r="B72">
        <f>RIGHT(A72, LEN(A72) - 8)</f>
        <v/>
      </c>
      <c r="C72">
        <f>'2'!K302</f>
        <v/>
      </c>
      <c r="D72">
        <f>'2'!E302</f>
        <v/>
      </c>
      <c r="E72">
        <f>'2'!Q302</f>
        <v/>
      </c>
      <c r="F72" t="n">
        <v>31570846.18469494</v>
      </c>
      <c r="G72">
        <f>F72/1000000</f>
        <v/>
      </c>
      <c r="I72" s="988" t="n">
        <v>73.93897962964505</v>
      </c>
      <c r="J72" s="922">
        <f>I72-C72</f>
        <v/>
      </c>
      <c r="L72" s="988" t="n">
        <v>5.114473716097213</v>
      </c>
      <c r="M72" s="922">
        <f>L72-D72</f>
        <v/>
      </c>
    </row>
    <row r="73">
      <c r="A73" t="inlineStr">
        <is>
          <t>Dec-Feb 2016</t>
        </is>
      </c>
      <c r="B73">
        <f>RIGHT(A73, LEN(A73) - 8)</f>
        <v/>
      </c>
      <c r="C73">
        <f>'2'!K303</f>
        <v/>
      </c>
      <c r="D73">
        <f>'2'!E303</f>
        <v/>
      </c>
      <c r="E73">
        <f>'2'!Q303</f>
        <v/>
      </c>
      <c r="F73" t="n">
        <v>31585281.6158085</v>
      </c>
      <c r="G73">
        <f>F73/1000000</f>
        <v/>
      </c>
      <c r="I73" s="988" t="n">
        <v>73.98621106972541</v>
      </c>
      <c r="J73" s="922">
        <f>I73-C73</f>
        <v/>
      </c>
      <c r="L73" s="988" t="n">
        <v>5.159471034235279</v>
      </c>
      <c r="M73" s="922">
        <f>L73-D73</f>
        <v/>
      </c>
    </row>
    <row r="74">
      <c r="A74" t="inlineStr">
        <is>
          <t>Jan-Mar 2016</t>
        </is>
      </c>
      <c r="B74">
        <f>RIGHT(A74, LEN(A74) - 8)</f>
        <v/>
      </c>
      <c r="C74">
        <f>'2'!K304</f>
        <v/>
      </c>
      <c r="D74">
        <f>'2'!E304</f>
        <v/>
      </c>
      <c r="E74">
        <f>'2'!Q304</f>
        <v/>
      </c>
      <c r="F74" t="n">
        <v>31602983.43138224</v>
      </c>
      <c r="G74">
        <f>F74/1000000</f>
        <v/>
      </c>
      <c r="I74" s="988" t="n">
        <v>73.9770462047387</v>
      </c>
      <c r="J74" s="922">
        <f>I74-C74</f>
        <v/>
      </c>
      <c r="L74" s="988" t="n">
        <v>5.118534575857341</v>
      </c>
      <c r="M74" s="922">
        <f>L74-D74</f>
        <v/>
      </c>
    </row>
    <row r="75">
      <c r="A75" t="inlineStr">
        <is>
          <t>Feb-Apr 2016</t>
        </is>
      </c>
      <c r="B75">
        <f>RIGHT(A75, LEN(A75) - 8)</f>
        <v/>
      </c>
      <c r="C75">
        <f>'2'!K305</f>
        <v/>
      </c>
      <c r="D75">
        <f>'2'!E305</f>
        <v/>
      </c>
      <c r="E75">
        <f>'2'!Q305</f>
        <v/>
      </c>
      <c r="F75" t="n">
        <v>31634544.68053418</v>
      </c>
      <c r="G75">
        <f>F75/1000000</f>
        <v/>
      </c>
      <c r="I75" s="988" t="n">
        <v>74.02996234025622</v>
      </c>
      <c r="J75" s="922">
        <f>I75-C75</f>
        <v/>
      </c>
      <c r="L75" s="988" t="n">
        <v>5.055779790923</v>
      </c>
      <c r="M75" s="922">
        <f>L75-D75</f>
        <v/>
      </c>
    </row>
    <row r="76">
      <c r="A76" t="inlineStr">
        <is>
          <t>Mar-May 2016</t>
        </is>
      </c>
      <c r="B76">
        <f>RIGHT(A76, LEN(A76) - 8)</f>
        <v/>
      </c>
      <c r="C76">
        <f>'2'!K306</f>
        <v/>
      </c>
      <c r="D76">
        <f>'2'!E306</f>
        <v/>
      </c>
      <c r="E76">
        <f>'2'!Q306</f>
        <v/>
      </c>
      <c r="F76" t="n">
        <v>31743396.91859945</v>
      </c>
      <c r="G76">
        <f>F76/1000000</f>
        <v/>
      </c>
      <c r="I76" s="988" t="n">
        <v>74.1911639998109</v>
      </c>
      <c r="J76" s="922">
        <f>I76-C76</f>
        <v/>
      </c>
      <c r="L76" s="988" t="n">
        <v>4.988816730197375</v>
      </c>
      <c r="M76" s="922">
        <f>L76-D76</f>
        <v/>
      </c>
    </row>
    <row r="77">
      <c r="A77" t="inlineStr">
        <is>
          <t>Apr-Jun 2016</t>
        </is>
      </c>
      <c r="B77">
        <f>RIGHT(A77, LEN(A77) - 8)</f>
        <v/>
      </c>
      <c r="C77">
        <f>'2'!K307</f>
        <v/>
      </c>
      <c r="D77">
        <f>'2'!E307</f>
        <v/>
      </c>
      <c r="E77">
        <f>'2'!Q307</f>
        <v/>
      </c>
      <c r="F77" t="n">
        <v>31778491.90772399</v>
      </c>
      <c r="G77">
        <f>F77/1000000</f>
        <v/>
      </c>
      <c r="I77" s="988" t="n">
        <v>74.24778405686368</v>
      </c>
      <c r="J77" s="922">
        <f>I77-C77</f>
        <v/>
      </c>
      <c r="L77" s="988" t="n">
        <v>4.972344055726612</v>
      </c>
      <c r="M77" s="922">
        <f>L77-D77</f>
        <v/>
      </c>
    </row>
    <row r="78">
      <c r="A78" t="inlineStr">
        <is>
          <t>May-Jul 2016</t>
        </is>
      </c>
      <c r="B78">
        <f>RIGHT(A78, LEN(A78) - 8)</f>
        <v/>
      </c>
      <c r="C78">
        <f>'2'!K308</f>
        <v/>
      </c>
      <c r="D78">
        <f>'2'!E308</f>
        <v/>
      </c>
      <c r="E78">
        <f>'2'!Q308</f>
        <v/>
      </c>
      <c r="F78" t="n">
        <v>31811025.73124134</v>
      </c>
      <c r="G78">
        <f>F78/1000000</f>
        <v/>
      </c>
      <c r="I78" s="988" t="n">
        <v>74.33096719917035</v>
      </c>
      <c r="J78" s="922">
        <f>I78-C78</f>
        <v/>
      </c>
      <c r="L78" s="988" t="n">
        <v>4.945816603360229</v>
      </c>
      <c r="M78" s="922">
        <f>L78-D78</f>
        <v/>
      </c>
    </row>
    <row r="79">
      <c r="A79" t="inlineStr">
        <is>
          <t>Jun-Aug 2016</t>
        </is>
      </c>
      <c r="B79">
        <f>RIGHT(A79, LEN(A79) - 8)</f>
        <v/>
      </c>
      <c r="C79">
        <f>'2'!K309</f>
        <v/>
      </c>
      <c r="D79">
        <f>'2'!E309</f>
        <v/>
      </c>
      <c r="E79">
        <f>'2'!Q309</f>
        <v/>
      </c>
      <c r="F79" t="n">
        <v>31842911.68730178</v>
      </c>
      <c r="G79">
        <f>F79/1000000</f>
        <v/>
      </c>
      <c r="I79" s="988" t="n">
        <v>74.30927851055354</v>
      </c>
      <c r="J79" s="922">
        <f>I79-C79</f>
        <v/>
      </c>
      <c r="L79" s="988" t="n">
        <v>5.036138723231591</v>
      </c>
      <c r="M79" s="922">
        <f>L79-D79</f>
        <v/>
      </c>
    </row>
    <row r="80">
      <c r="A80" t="inlineStr">
        <is>
          <t>Jul-Sep 2016</t>
        </is>
      </c>
      <c r="B80">
        <f>RIGHT(A80, LEN(A80) - 8)</f>
        <v/>
      </c>
      <c r="C80">
        <f>'2'!K310</f>
        <v/>
      </c>
      <c r="D80">
        <f>'2'!E310</f>
        <v/>
      </c>
      <c r="E80">
        <f>'2'!Q310</f>
        <v/>
      </c>
      <c r="F80" t="n">
        <v>31842561.36756826</v>
      </c>
      <c r="G80">
        <f>F80/1000000</f>
        <v/>
      </c>
      <c r="I80" s="988" t="n">
        <v>74.26755545764921</v>
      </c>
      <c r="J80" s="922">
        <f>I80-C80</f>
        <v/>
      </c>
      <c r="L80" s="988" t="n">
        <v>4.89324992283228</v>
      </c>
      <c r="M80" s="922">
        <f>L80-D80</f>
        <v/>
      </c>
    </row>
    <row r="81">
      <c r="A81" t="inlineStr">
        <is>
          <t>Aug-Oct 2016</t>
        </is>
      </c>
      <c r="B81">
        <f>RIGHT(A81, LEN(A81) - 8)</f>
        <v/>
      </c>
      <c r="C81">
        <f>'2'!K311</f>
        <v/>
      </c>
      <c r="D81">
        <f>'2'!E311</f>
        <v/>
      </c>
      <c r="E81">
        <f>'2'!Q311</f>
        <v/>
      </c>
      <c r="F81" t="n">
        <v>31826229.68747713</v>
      </c>
      <c r="G81">
        <f>F81/1000000</f>
        <v/>
      </c>
      <c r="I81" s="988" t="n">
        <v>74.25122843070665</v>
      </c>
      <c r="J81" s="922">
        <f>I81-C81</f>
        <v/>
      </c>
      <c r="L81" s="988" t="n">
        <v>4.884488162274572</v>
      </c>
      <c r="M81" s="922">
        <f>L81-D81</f>
        <v/>
      </c>
    </row>
    <row r="82">
      <c r="A82" t="inlineStr">
        <is>
          <t>Sep-Nov 2016</t>
        </is>
      </c>
      <c r="B82">
        <f>RIGHT(A82, LEN(A82) - 8)</f>
        <v/>
      </c>
      <c r="C82">
        <f>'2'!K312</f>
        <v/>
      </c>
      <c r="D82">
        <f>'2'!E312</f>
        <v/>
      </c>
      <c r="E82">
        <f>'2'!Q312</f>
        <v/>
      </c>
      <c r="F82" t="n">
        <v>31839799.91428851</v>
      </c>
      <c r="G82">
        <f>F82/1000000</f>
        <v/>
      </c>
      <c r="I82" s="988" t="n">
        <v>74.26272577409145</v>
      </c>
      <c r="J82" s="922">
        <f>I82-C82</f>
        <v/>
      </c>
      <c r="L82" s="988" t="n">
        <v>4.850756001417146</v>
      </c>
      <c r="M82" s="922">
        <f>L82-D82</f>
        <v/>
      </c>
    </row>
    <row r="83">
      <c r="A83" t="inlineStr">
        <is>
          <t>Oct-Dec 2016</t>
        </is>
      </c>
      <c r="B83">
        <f>RIGHT(A83, LEN(A83) - 8)</f>
        <v/>
      </c>
      <c r="C83">
        <f>'2'!K313</f>
        <v/>
      </c>
      <c r="D83">
        <f>'2'!E313</f>
        <v/>
      </c>
      <c r="E83">
        <f>'2'!Q313</f>
        <v/>
      </c>
      <c r="F83" t="n">
        <v>31877339.96429272</v>
      </c>
      <c r="G83">
        <f>F83/1000000</f>
        <v/>
      </c>
      <c r="I83" s="988" t="n">
        <v>74.37815277574991</v>
      </c>
      <c r="J83" s="922">
        <f>I83-C83</f>
        <v/>
      </c>
      <c r="L83" s="988" t="n">
        <v>4.799874354618443</v>
      </c>
      <c r="M83" s="922">
        <f>L83-D83</f>
        <v/>
      </c>
    </row>
    <row r="84">
      <c r="A84" t="inlineStr">
        <is>
          <t>Nov-Jan 2017</t>
        </is>
      </c>
      <c r="B84">
        <f>RIGHT(A84, LEN(A84) - 8)</f>
        <v/>
      </c>
      <c r="C84">
        <f>'2'!K314</f>
        <v/>
      </c>
      <c r="D84">
        <f>'2'!E314</f>
        <v/>
      </c>
      <c r="E84">
        <f>'2'!Q314</f>
        <v/>
      </c>
      <c r="F84" t="n">
        <v>31879644.14043861</v>
      </c>
      <c r="G84">
        <f>F84/1000000</f>
        <v/>
      </c>
      <c r="I84" s="988" t="n">
        <v>74.34572913068163</v>
      </c>
      <c r="J84" s="922">
        <f>I84-C84</f>
        <v/>
      </c>
      <c r="L84" s="988" t="n">
        <v>4.766043728109933</v>
      </c>
      <c r="M84" s="922">
        <f>L84-D84</f>
        <v/>
      </c>
    </row>
    <row r="85">
      <c r="A85" t="inlineStr">
        <is>
          <t>Dec-Feb 2017</t>
        </is>
      </c>
      <c r="B85">
        <f>RIGHT(A85, LEN(A85) - 8)</f>
        <v/>
      </c>
      <c r="C85">
        <f>'2'!K315</f>
        <v/>
      </c>
      <c r="D85">
        <f>'2'!E315</f>
        <v/>
      </c>
      <c r="E85">
        <f>'2'!Q315</f>
        <v/>
      </c>
      <c r="F85" t="n">
        <v>31892231.87848652</v>
      </c>
      <c r="G85">
        <f>F85/1000000</f>
        <v/>
      </c>
      <c r="I85" s="988" t="n">
        <v>74.42995685406393</v>
      </c>
      <c r="J85" s="922">
        <f>I85-C85</f>
        <v/>
      </c>
      <c r="L85" s="988" t="n">
        <v>4.700625191000705</v>
      </c>
      <c r="M85" s="922">
        <f>L85-D85</f>
        <v/>
      </c>
    </row>
    <row r="86">
      <c r="A86" t="inlineStr">
        <is>
          <t>Jan-Mar 2017</t>
        </is>
      </c>
      <c r="B86">
        <f>RIGHT(A86, LEN(A86) - 8)</f>
        <v/>
      </c>
      <c r="C86">
        <f>'2'!K316</f>
        <v/>
      </c>
      <c r="D86">
        <f>'2'!E316</f>
        <v/>
      </c>
      <c r="E86">
        <f>'2'!Q316</f>
        <v/>
      </c>
      <c r="F86" t="n">
        <v>31978289.34260153</v>
      </c>
      <c r="G86">
        <f>F86/1000000</f>
        <v/>
      </c>
      <c r="I86" s="988" t="n">
        <v>74.57140505282246</v>
      </c>
      <c r="J86" s="922">
        <f>I86-C86</f>
        <v/>
      </c>
      <c r="L86" s="988" t="n">
        <v>4.624536906360874</v>
      </c>
      <c r="M86" s="922">
        <f>L86-D86</f>
        <v/>
      </c>
    </row>
    <row r="87">
      <c r="A87" t="inlineStr">
        <is>
          <t>Feb-Apr 2017</t>
        </is>
      </c>
      <c r="B87">
        <f>RIGHT(A87, LEN(A87) - 8)</f>
        <v/>
      </c>
      <c r="C87">
        <f>'2'!K317</f>
        <v/>
      </c>
      <c r="D87">
        <f>'2'!E317</f>
        <v/>
      </c>
      <c r="E87">
        <f>'2'!Q317</f>
        <v/>
      </c>
      <c r="F87" t="n">
        <v>31987951.44923225</v>
      </c>
      <c r="G87">
        <f>F87/1000000</f>
        <v/>
      </c>
      <c r="I87" s="988" t="n">
        <v>74.56667435731438</v>
      </c>
      <c r="J87" s="922">
        <f>I87-C87</f>
        <v/>
      </c>
      <c r="L87" s="988" t="n">
        <v>4.602643546304433</v>
      </c>
      <c r="M87" s="922">
        <f>L87-D87</f>
        <v/>
      </c>
    </row>
    <row r="88">
      <c r="A88" t="inlineStr">
        <is>
          <t>Mar-May 2017</t>
        </is>
      </c>
      <c r="B88">
        <f>RIGHT(A88, LEN(A88) - 8)</f>
        <v/>
      </c>
      <c r="C88">
        <f>'2'!K318</f>
        <v/>
      </c>
      <c r="D88">
        <f>'2'!E318</f>
        <v/>
      </c>
      <c r="E88">
        <f>'2'!Q318</f>
        <v/>
      </c>
      <c r="F88" t="n">
        <v>32042738.77573473</v>
      </c>
      <c r="G88">
        <f>F88/1000000</f>
        <v/>
      </c>
      <c r="I88" s="988" t="n">
        <v>74.7054713857313</v>
      </c>
      <c r="J88" s="922">
        <f>I88-C88</f>
        <v/>
      </c>
      <c r="L88" s="988" t="n">
        <v>4.508926437235697</v>
      </c>
      <c r="M88" s="922">
        <f>L88-D88</f>
        <v/>
      </c>
    </row>
    <row r="89">
      <c r="A89" t="inlineStr">
        <is>
          <t>Apr-Jun 2017</t>
        </is>
      </c>
      <c r="B89">
        <f>RIGHT(A89, LEN(A89) - 8)</f>
        <v/>
      </c>
      <c r="C89">
        <f>'2'!K319</f>
        <v/>
      </c>
      <c r="D89">
        <f>'2'!E319</f>
        <v/>
      </c>
      <c r="E89">
        <f>'2'!Q319</f>
        <v/>
      </c>
      <c r="F89" t="n">
        <v>32097543.30644639</v>
      </c>
      <c r="G89">
        <f>F89/1000000</f>
        <v/>
      </c>
      <c r="I89" s="988" t="n">
        <v>74.89721726185601</v>
      </c>
      <c r="J89" s="922">
        <f>I89-C89</f>
        <v/>
      </c>
      <c r="L89" s="988" t="n">
        <v>4.489978460010451</v>
      </c>
      <c r="M89" s="922">
        <f>L89-D89</f>
        <v/>
      </c>
    </row>
    <row r="90">
      <c r="A90" t="inlineStr">
        <is>
          <t>May-Jul 2017</t>
        </is>
      </c>
      <c r="B90">
        <f>RIGHT(A90, LEN(A90) - 8)</f>
        <v/>
      </c>
      <c r="C90">
        <f>'2'!K320</f>
        <v/>
      </c>
      <c r="D90">
        <f>'2'!E320</f>
        <v/>
      </c>
      <c r="E90">
        <f>'2'!Q320</f>
        <v/>
      </c>
      <c r="F90" t="n">
        <v>32165505.01867261</v>
      </c>
      <c r="G90">
        <f>F90/1000000</f>
        <v/>
      </c>
      <c r="I90" s="988" t="n">
        <v>75.05346702321867</v>
      </c>
      <c r="J90" s="922">
        <f>I90-C90</f>
        <v/>
      </c>
      <c r="L90" s="988" t="n">
        <v>4.403425007180301</v>
      </c>
      <c r="M90" s="922">
        <f>L90-D90</f>
        <v/>
      </c>
    </row>
    <row r="91">
      <c r="A91" t="inlineStr">
        <is>
          <t>Jun-Aug 2017</t>
        </is>
      </c>
      <c r="B91">
        <f>RIGHT(A91, LEN(A91) - 8)</f>
        <v/>
      </c>
      <c r="C91">
        <f>'2'!K321</f>
        <v/>
      </c>
      <c r="D91">
        <f>'2'!E321</f>
        <v/>
      </c>
      <c r="E91">
        <f>'2'!Q321</f>
        <v/>
      </c>
      <c r="F91" t="n">
        <v>32134880.55327196</v>
      </c>
      <c r="G91">
        <f>F91/1000000</f>
        <v/>
      </c>
      <c r="I91" s="988" t="n">
        <v>74.92214315691082</v>
      </c>
      <c r="J91" s="922">
        <f>I91-C91</f>
        <v/>
      </c>
      <c r="L91" s="988" t="n">
        <v>4.395170193562448</v>
      </c>
      <c r="M91" s="922">
        <f>L91-D91</f>
        <v/>
      </c>
    </row>
    <row r="92">
      <c r="A92" t="inlineStr">
        <is>
          <t>Jul-Sep 2017</t>
        </is>
      </c>
      <c r="B92">
        <f>RIGHT(A92, LEN(A92) - 8)</f>
        <v/>
      </c>
      <c r="C92">
        <f>'2'!K322</f>
        <v/>
      </c>
      <c r="D92">
        <f>'2'!E322</f>
        <v/>
      </c>
      <c r="E92">
        <f>'2'!Q322</f>
        <v/>
      </c>
      <c r="F92" t="n">
        <v>32092694.0048262</v>
      </c>
      <c r="G92">
        <f>F92/1000000</f>
        <v/>
      </c>
      <c r="I92" s="988" t="n">
        <v>74.78552991322884</v>
      </c>
      <c r="J92" s="922">
        <f>I92-C92</f>
        <v/>
      </c>
      <c r="L92" s="988" t="n">
        <v>4.335492416299687</v>
      </c>
      <c r="M92" s="922">
        <f>L92-D92</f>
        <v/>
      </c>
    </row>
    <row r="93">
      <c r="A93" t="inlineStr">
        <is>
          <t>Aug-Oct 2017</t>
        </is>
      </c>
      <c r="B93">
        <f>RIGHT(A93, LEN(A93) - 8)</f>
        <v/>
      </c>
      <c r="C93">
        <f>'2'!K323</f>
        <v/>
      </c>
      <c r="D93">
        <f>'2'!E323</f>
        <v/>
      </c>
      <c r="E93">
        <f>'2'!Q323</f>
        <v/>
      </c>
      <c r="F93" t="n">
        <v>32122507.17976701</v>
      </c>
      <c r="G93">
        <f>F93/1000000</f>
        <v/>
      </c>
      <c r="I93" s="988" t="n">
        <v>74.84841857712034</v>
      </c>
      <c r="J93" s="922">
        <f>I93-C93</f>
        <v/>
      </c>
      <c r="L93" s="988" t="n">
        <v>4.313319800075097</v>
      </c>
      <c r="M93" s="922">
        <f>L93-D93</f>
        <v/>
      </c>
    </row>
    <row r="94">
      <c r="A94" t="inlineStr">
        <is>
          <t>Sep-Nov 2017</t>
        </is>
      </c>
      <c r="B94">
        <f>RIGHT(A94, LEN(A94) - 8)</f>
        <v/>
      </c>
      <c r="C94">
        <f>'2'!K324</f>
        <v/>
      </c>
      <c r="D94">
        <f>'2'!E324</f>
        <v/>
      </c>
      <c r="E94">
        <f>'2'!Q324</f>
        <v/>
      </c>
      <c r="F94" t="n">
        <v>32239584.17622986</v>
      </c>
      <c r="G94">
        <f>F94/1000000</f>
        <v/>
      </c>
      <c r="I94" s="988" t="n">
        <v>75.10379173770497</v>
      </c>
      <c r="J94" s="922">
        <f>I94-C94</f>
        <v/>
      </c>
      <c r="L94" s="988" t="n">
        <v>4.342827037912769</v>
      </c>
      <c r="M94" s="922">
        <f>L94-D94</f>
        <v/>
      </c>
    </row>
    <row r="95">
      <c r="A95" t="inlineStr">
        <is>
          <t>Oct-Dec 2017</t>
        </is>
      </c>
      <c r="B95">
        <f>RIGHT(A95, LEN(A95) - 8)</f>
        <v/>
      </c>
      <c r="C95">
        <f>'2'!K325</f>
        <v/>
      </c>
      <c r="D95">
        <f>'2'!E325</f>
        <v/>
      </c>
      <c r="E95">
        <f>'2'!Q325</f>
        <v/>
      </c>
      <c r="F95" t="n">
        <v>32178986.19594574</v>
      </c>
      <c r="G95">
        <f>F95/1000000</f>
        <v/>
      </c>
      <c r="I95" s="988" t="n">
        <v>74.93548947032406</v>
      </c>
      <c r="J95" s="922">
        <f>I95-C95</f>
        <v/>
      </c>
      <c r="L95" s="988" t="n">
        <v>4.424447733456822</v>
      </c>
      <c r="M95" s="922">
        <f>L95-D95</f>
        <v/>
      </c>
    </row>
    <row r="96">
      <c r="A96" t="inlineStr">
        <is>
          <t>Nov-Jan 2018</t>
        </is>
      </c>
      <c r="B96">
        <f>RIGHT(A96, LEN(A96) - 8)</f>
        <v/>
      </c>
      <c r="C96">
        <f>'2'!K326</f>
        <v/>
      </c>
      <c r="D96">
        <f>'2'!E326</f>
        <v/>
      </c>
      <c r="E96">
        <f>'2'!Q326</f>
        <v/>
      </c>
      <c r="F96" t="n">
        <v>32265071.9686481</v>
      </c>
      <c r="G96">
        <f>F96/1000000</f>
        <v/>
      </c>
      <c r="I96" s="988" t="n">
        <v>75.05671017235423</v>
      </c>
      <c r="J96" s="922">
        <f>I96-C96</f>
        <v/>
      </c>
      <c r="L96" s="988" t="n">
        <v>4.379500886778314</v>
      </c>
      <c r="M96" s="922">
        <f>L96-D96</f>
        <v/>
      </c>
    </row>
    <row r="97">
      <c r="A97" t="inlineStr">
        <is>
          <t>Dec-Feb 2018</t>
        </is>
      </c>
      <c r="B97">
        <f>RIGHT(A97, LEN(A97) - 8)</f>
        <v/>
      </c>
      <c r="C97">
        <f>'2'!K327</f>
        <v/>
      </c>
      <c r="D97">
        <f>'2'!E327</f>
        <v/>
      </c>
      <c r="E97">
        <f>'2'!Q327</f>
        <v/>
      </c>
      <c r="F97" t="n">
        <v>32286231.54162788</v>
      </c>
      <c r="G97">
        <f>F97/1000000</f>
        <v/>
      </c>
      <c r="I97" s="988" t="n">
        <v>75.12266243123413</v>
      </c>
      <c r="J97" s="922">
        <f>I97-C97</f>
        <v/>
      </c>
      <c r="L97" s="988" t="n">
        <v>4.28801882482546</v>
      </c>
      <c r="M97" s="922">
        <f>L97-D97</f>
        <v/>
      </c>
    </row>
    <row r="98">
      <c r="A98" t="inlineStr">
        <is>
          <t>Jan-Mar 2018</t>
        </is>
      </c>
      <c r="B98">
        <f>RIGHT(A98, LEN(A98) - 8)</f>
        <v/>
      </c>
      <c r="C98">
        <f>'2'!K328</f>
        <v/>
      </c>
      <c r="D98">
        <f>'2'!E328</f>
        <v/>
      </c>
      <c r="E98">
        <f>'2'!Q328</f>
        <v/>
      </c>
      <c r="F98" t="n">
        <v>32364259.00004154</v>
      </c>
      <c r="G98">
        <f>F98/1000000</f>
        <v/>
      </c>
      <c r="I98" s="988" t="n">
        <v>75.30165900827851</v>
      </c>
      <c r="J98" s="922">
        <f>I98-C98</f>
        <v/>
      </c>
      <c r="L98" s="988" t="n">
        <v>4.274112946376647</v>
      </c>
      <c r="M98" s="922">
        <f>L98-D98</f>
        <v/>
      </c>
    </row>
    <row r="99">
      <c r="A99" t="inlineStr">
        <is>
          <t>Feb-Apr 2018</t>
        </is>
      </c>
      <c r="B99">
        <f>RIGHT(A99, LEN(A99) - 8)</f>
        <v/>
      </c>
      <c r="C99">
        <f>'2'!K329</f>
        <v/>
      </c>
      <c r="D99">
        <f>'2'!E329</f>
        <v/>
      </c>
      <c r="E99">
        <f>'2'!Q329</f>
        <v/>
      </c>
      <c r="F99" t="n">
        <v>32408829.12886058</v>
      </c>
      <c r="G99">
        <f>F99/1000000</f>
        <v/>
      </c>
      <c r="I99" s="988" t="n">
        <v>75.3280439215989</v>
      </c>
      <c r="J99" s="922">
        <f>I99-C99</f>
        <v/>
      </c>
      <c r="L99" s="988" t="n">
        <v>4.266237797525444</v>
      </c>
      <c r="M99" s="922">
        <f>L99-D99</f>
        <v/>
      </c>
    </row>
    <row r="100">
      <c r="A100" t="inlineStr">
        <is>
          <t>Mar-May 2018</t>
        </is>
      </c>
      <c r="B100">
        <f>RIGHT(A100, LEN(A100) - 8)</f>
        <v/>
      </c>
      <c r="C100">
        <f>'2'!K330</f>
        <v/>
      </c>
      <c r="D100">
        <f>'2'!E330</f>
        <v/>
      </c>
      <c r="E100">
        <f>'2'!Q330</f>
        <v/>
      </c>
      <c r="F100" t="n">
        <v>32413229.38521658</v>
      </c>
      <c r="G100">
        <f>F100/1000000</f>
        <v/>
      </c>
      <c r="I100" s="988" t="n">
        <v>75.36039197844188</v>
      </c>
      <c r="J100" s="922">
        <f>I100-C100</f>
        <v/>
      </c>
      <c r="L100" s="988" t="n">
        <v>4.243995422367037</v>
      </c>
      <c r="M100" s="922">
        <f>L100-D100</f>
        <v/>
      </c>
    </row>
    <row r="101">
      <c r="A101" t="inlineStr">
        <is>
          <t>Apr-Jun 2018</t>
        </is>
      </c>
      <c r="B101">
        <f>RIGHT(A101, LEN(A101) - 8)</f>
        <v/>
      </c>
      <c r="C101">
        <f>'2'!K331</f>
        <v/>
      </c>
      <c r="D101">
        <f>'2'!E331</f>
        <v/>
      </c>
      <c r="E101">
        <f>'2'!Q331</f>
        <v/>
      </c>
      <c r="F101" t="n">
        <v>32403445.6111821</v>
      </c>
      <c r="G101">
        <f>F101/1000000</f>
        <v/>
      </c>
      <c r="I101" s="988" t="n">
        <v>75.27168915557829</v>
      </c>
      <c r="J101" s="922">
        <f>I101-C101</f>
        <v/>
      </c>
      <c r="L101" s="988" t="n">
        <v>4.116785571826422</v>
      </c>
      <c r="M101" s="922">
        <f>L101-D101</f>
        <v/>
      </c>
    </row>
    <row r="102">
      <c r="A102" t="inlineStr">
        <is>
          <t>May-Jul 2018</t>
        </is>
      </c>
      <c r="B102">
        <f>RIGHT(A102, LEN(A102) - 8)</f>
        <v/>
      </c>
      <c r="C102">
        <f>'2'!K332</f>
        <v/>
      </c>
      <c r="D102">
        <f>'2'!E332</f>
        <v/>
      </c>
      <c r="E102">
        <f>'2'!Q332</f>
        <v/>
      </c>
      <c r="F102" t="n">
        <v>32423238.89984813</v>
      </c>
      <c r="G102">
        <f>F102/1000000</f>
        <v/>
      </c>
      <c r="I102" s="988" t="n">
        <v>75.23582796483328</v>
      </c>
      <c r="J102" s="922">
        <f>I102-C102</f>
        <v/>
      </c>
      <c r="L102" s="988" t="n">
        <v>4.102720622482742</v>
      </c>
      <c r="M102" s="922">
        <f>L102-D102</f>
        <v/>
      </c>
    </row>
    <row r="103">
      <c r="A103" t="inlineStr">
        <is>
          <t>Jun-Aug 2018</t>
        </is>
      </c>
      <c r="B103">
        <f>RIGHT(A103, LEN(A103) - 8)</f>
        <v/>
      </c>
      <c r="C103">
        <f>'2'!K333</f>
        <v/>
      </c>
      <c r="D103">
        <f>'2'!E333</f>
        <v/>
      </c>
      <c r="E103">
        <f>'2'!Q333</f>
        <v/>
      </c>
      <c r="F103" t="n">
        <v>32427119.85331106</v>
      </c>
      <c r="G103">
        <f>F103/1000000</f>
        <v/>
      </c>
      <c r="I103" s="988" t="n">
        <v>75.26867891080202</v>
      </c>
      <c r="J103" s="922">
        <f>I103-C103</f>
        <v/>
      </c>
      <c r="L103" s="988" t="n">
        <v>4.117391508710472</v>
      </c>
      <c r="M103" s="922">
        <f>L103-D103</f>
        <v/>
      </c>
    </row>
    <row r="104">
      <c r="A104" t="inlineStr">
        <is>
          <t>Jul-Sep 2018</t>
        </is>
      </c>
      <c r="B104">
        <f>RIGHT(A104, LEN(A104) - 8)</f>
        <v/>
      </c>
      <c r="C104">
        <f>'2'!K334</f>
        <v/>
      </c>
      <c r="D104">
        <f>'2'!E334</f>
        <v/>
      </c>
      <c r="E104">
        <f>'2'!Q334</f>
        <v/>
      </c>
      <c r="F104" t="n">
        <v>32448405.8125776</v>
      </c>
      <c r="G104">
        <f>F104/1000000</f>
        <v/>
      </c>
      <c r="I104" s="988" t="n">
        <v>75.25915878717548</v>
      </c>
      <c r="J104" s="922">
        <f>I104-C104</f>
        <v/>
      </c>
      <c r="L104" s="988" t="n">
        <v>4.157183639283124</v>
      </c>
      <c r="M104" s="922">
        <f>L104-D104</f>
        <v/>
      </c>
    </row>
    <row r="105">
      <c r="A105" t="inlineStr">
        <is>
          <t>Aug-Oct 2018</t>
        </is>
      </c>
      <c r="B105">
        <f>RIGHT(A105, LEN(A105) - 8)</f>
        <v/>
      </c>
      <c r="C105">
        <f>'2'!K335</f>
        <v/>
      </c>
      <c r="D105">
        <f>'2'!E335</f>
        <v/>
      </c>
      <c r="E105">
        <f>'2'!Q335</f>
        <v/>
      </c>
      <c r="F105" t="n">
        <v>32510956.40521165</v>
      </c>
      <c r="G105">
        <f>F105/1000000</f>
        <v/>
      </c>
      <c r="I105" s="988" t="n">
        <v>75.41228401896299</v>
      </c>
      <c r="J105" s="922">
        <f>I105-C105</f>
        <v/>
      </c>
      <c r="L105" s="988" t="n">
        <v>4.140246421240555</v>
      </c>
      <c r="M105" s="922">
        <f>L105-D105</f>
        <v/>
      </c>
    </row>
    <row r="106">
      <c r="A106" t="inlineStr">
        <is>
          <t>Sep-Nov 2018</t>
        </is>
      </c>
      <c r="B106">
        <f>RIGHT(A106, LEN(A106) - 8)</f>
        <v/>
      </c>
      <c r="C106">
        <f>'2'!K336</f>
        <v/>
      </c>
      <c r="D106">
        <f>'2'!E336</f>
        <v/>
      </c>
      <c r="E106">
        <f>'2'!Q336</f>
        <v/>
      </c>
      <c r="F106" t="n">
        <v>32562339.27249657</v>
      </c>
      <c r="G106">
        <f>F106/1000000</f>
        <v/>
      </c>
      <c r="I106" s="988" t="n">
        <v>75.45571861192097</v>
      </c>
      <c r="J106" s="922">
        <f>I106-C106</f>
        <v/>
      </c>
      <c r="L106" s="988" t="n">
        <v>4.125151265043819</v>
      </c>
      <c r="M106" s="922">
        <f>L106-D106</f>
        <v/>
      </c>
    </row>
    <row r="107">
      <c r="A107" t="inlineStr">
        <is>
          <t>Oct-Dec 2018</t>
        </is>
      </c>
      <c r="B107">
        <f>RIGHT(A107, LEN(A107) - 8)</f>
        <v/>
      </c>
      <c r="C107">
        <f>'2'!K337</f>
        <v/>
      </c>
      <c r="D107">
        <f>'2'!E337</f>
        <v/>
      </c>
      <c r="E107">
        <f>'2'!Q337</f>
        <v/>
      </c>
      <c r="F107" t="n">
        <v>32618379.37489425</v>
      </c>
      <c r="G107">
        <f>F107/1000000</f>
        <v/>
      </c>
      <c r="I107" s="988" t="n">
        <v>75.52234277101556</v>
      </c>
      <c r="J107" s="922">
        <f>I107-C107</f>
        <v/>
      </c>
      <c r="L107" s="988" t="n">
        <v>4.10075043358797</v>
      </c>
      <c r="M107" s="922">
        <f>L107-D107</f>
        <v/>
      </c>
    </row>
    <row r="108">
      <c r="A108" t="inlineStr">
        <is>
          <t>Nov-Jan 2019</t>
        </is>
      </c>
      <c r="B108">
        <f>RIGHT(A108, LEN(A108) - 8)</f>
        <v/>
      </c>
      <c r="C108">
        <f>'2'!K338</f>
        <v/>
      </c>
      <c r="D108">
        <f>'2'!E338</f>
        <v/>
      </c>
      <c r="E108">
        <f>'2'!Q338</f>
        <v/>
      </c>
      <c r="F108" t="n">
        <v>32735930.41491551</v>
      </c>
      <c r="G108">
        <f>F108/1000000</f>
        <v/>
      </c>
      <c r="I108" s="988" t="n">
        <v>75.78859037471022</v>
      </c>
      <c r="J108" s="922">
        <f>I108-C108</f>
        <v/>
      </c>
      <c r="L108" s="988" t="n">
        <v>4.018892395903497</v>
      </c>
      <c r="M108" s="922">
        <f>L108-D108</f>
        <v/>
      </c>
    </row>
    <row r="109">
      <c r="A109" t="inlineStr">
        <is>
          <t>Dec-Feb 2019</t>
        </is>
      </c>
      <c r="B109">
        <f>RIGHT(A109, LEN(A109) - 8)</f>
        <v/>
      </c>
      <c r="C109">
        <f>'2'!K339</f>
        <v/>
      </c>
      <c r="D109">
        <f>'2'!E339</f>
        <v/>
      </c>
      <c r="E109">
        <f>'2'!Q339</f>
        <v/>
      </c>
      <c r="F109" t="n">
        <v>32744128.44229828</v>
      </c>
      <c r="G109">
        <f>F109/1000000</f>
        <v/>
      </c>
      <c r="I109" s="988" t="n">
        <v>75.80454241437722</v>
      </c>
      <c r="J109" s="922">
        <f>I109-C109</f>
        <v/>
      </c>
      <c r="L109" s="988" t="n">
        <v>4.031042284094584</v>
      </c>
      <c r="M109" s="922">
        <f>L109-D109</f>
        <v/>
      </c>
    </row>
    <row r="110">
      <c r="A110" t="inlineStr">
        <is>
          <t>Jan-Mar 2019</t>
        </is>
      </c>
      <c r="B110">
        <f>RIGHT(A110, LEN(A110) - 8)</f>
        <v/>
      </c>
      <c r="C110">
        <f>'2'!K340</f>
        <v/>
      </c>
      <c r="D110">
        <f>'2'!E340</f>
        <v/>
      </c>
      <c r="E110">
        <f>'2'!Q340</f>
        <v/>
      </c>
      <c r="F110" t="n">
        <v>32721046.98008286</v>
      </c>
      <c r="G110">
        <f>F110/1000000</f>
        <v/>
      </c>
      <c r="I110" s="988" t="n">
        <v>75.72915974325437</v>
      </c>
      <c r="J110" s="922">
        <f>I110-C110</f>
        <v/>
      </c>
      <c r="L110" s="988" t="n">
        <v>3.908932279745413</v>
      </c>
      <c r="M110" s="922">
        <f>L110-D110</f>
        <v/>
      </c>
    </row>
    <row r="111">
      <c r="A111" t="inlineStr">
        <is>
          <t>Feb-Apr 2019</t>
        </is>
      </c>
      <c r="B111">
        <f>RIGHT(A111, LEN(A111) - 8)</f>
        <v/>
      </c>
      <c r="C111">
        <f>'2'!K341</f>
        <v/>
      </c>
      <c r="D111">
        <f>'2'!E341</f>
        <v/>
      </c>
      <c r="E111">
        <f>'2'!Q341</f>
        <v/>
      </c>
      <c r="F111" t="n">
        <v>32771570.35470164</v>
      </c>
      <c r="G111">
        <f>F111/1000000</f>
        <v/>
      </c>
      <c r="I111" s="988" t="n">
        <v>75.77987510763475</v>
      </c>
      <c r="J111" s="922">
        <f>I111-C111</f>
        <v/>
      </c>
      <c r="L111" s="988" t="n">
        <v>3.922468491994391</v>
      </c>
      <c r="M111" s="922">
        <f>L111-D111</f>
        <v/>
      </c>
    </row>
    <row r="112">
      <c r="A112" t="inlineStr">
        <is>
          <t>Mar-May 2019</t>
        </is>
      </c>
      <c r="B112">
        <f>RIGHT(A112, LEN(A112) - 8)</f>
        <v/>
      </c>
      <c r="C112">
        <f>'2'!K342</f>
        <v/>
      </c>
      <c r="D112">
        <f>'2'!E342</f>
        <v/>
      </c>
      <c r="E112">
        <f>'2'!Q342</f>
        <v/>
      </c>
      <c r="F112" t="n">
        <v>32775474.26962852</v>
      </c>
      <c r="G112">
        <f>F112/1000000</f>
        <v/>
      </c>
      <c r="I112" s="988" t="n">
        <v>75.71112768813808</v>
      </c>
      <c r="J112" s="922">
        <f>I112-C112</f>
        <v/>
      </c>
      <c r="L112" s="988" t="n">
        <v>3.88912541999181</v>
      </c>
      <c r="M112" s="922">
        <f>L112-D112</f>
        <v/>
      </c>
    </row>
    <row r="113">
      <c r="A113" t="inlineStr">
        <is>
          <t>Apr-Jun 2019</t>
        </is>
      </c>
      <c r="B113">
        <f>RIGHT(A113, LEN(A113) - 8)</f>
        <v/>
      </c>
      <c r="C113">
        <f>'2'!K343</f>
        <v/>
      </c>
      <c r="D113">
        <f>'2'!E343</f>
        <v/>
      </c>
      <c r="E113">
        <f>'2'!Q343</f>
        <v/>
      </c>
      <c r="F113" t="n">
        <v>32838889.10009433</v>
      </c>
      <c r="G113">
        <f>F113/1000000</f>
        <v/>
      </c>
      <c r="I113" s="988" t="n">
        <v>75.75848809491326</v>
      </c>
      <c r="J113" s="922">
        <f>I113-C113</f>
        <v/>
      </c>
      <c r="L113" s="988" t="n">
        <v>3.987134983701154</v>
      </c>
      <c r="M113" s="922">
        <f>L113-D113</f>
        <v/>
      </c>
    </row>
    <row r="114">
      <c r="A114" t="inlineStr">
        <is>
          <t>May-Jul 2019</t>
        </is>
      </c>
      <c r="B114">
        <f>RIGHT(A114, LEN(A114) - 8)</f>
        <v/>
      </c>
      <c r="C114">
        <f>'2'!K344</f>
        <v/>
      </c>
      <c r="D114">
        <f>'2'!E344</f>
        <v/>
      </c>
      <c r="E114">
        <f>'2'!Q344</f>
        <v/>
      </c>
      <c r="F114" t="n">
        <v>32805829.13757712</v>
      </c>
      <c r="G114">
        <f>F114/1000000</f>
        <v/>
      </c>
      <c r="I114" s="988" t="n">
        <v>75.77715905656774</v>
      </c>
      <c r="J114" s="922">
        <f>I114-C114</f>
        <v/>
      </c>
      <c r="L114" s="988" t="n">
        <v>3.892945887639382</v>
      </c>
      <c r="M114" s="922">
        <f>L114-D114</f>
        <v/>
      </c>
    </row>
    <row r="115">
      <c r="A115" t="inlineStr">
        <is>
          <t>Jun-Aug 2019</t>
        </is>
      </c>
      <c r="B115">
        <f>RIGHT(A115, LEN(A115) - 8)</f>
        <v/>
      </c>
      <c r="C115">
        <f>'2'!K345</f>
        <v/>
      </c>
      <c r="D115">
        <f>'2'!E345</f>
        <v/>
      </c>
      <c r="E115">
        <f>'2'!Q345</f>
        <v/>
      </c>
      <c r="F115" t="n">
        <v>32719866.66504635</v>
      </c>
      <c r="G115">
        <f>F115/1000000</f>
        <v/>
      </c>
      <c r="I115" s="988" t="n">
        <v>75.5228735081062</v>
      </c>
      <c r="J115" s="922">
        <f>I115-C115</f>
        <v/>
      </c>
      <c r="L115" s="988" t="n">
        <v>3.959489039218091</v>
      </c>
      <c r="M115" s="922">
        <f>L115-D115</f>
        <v/>
      </c>
    </row>
    <row r="116">
      <c r="A116" t="inlineStr">
        <is>
          <t>Jul-Sep 2019</t>
        </is>
      </c>
      <c r="B116">
        <f>RIGHT(A116, LEN(A116) - 8)</f>
        <v/>
      </c>
      <c r="C116">
        <f>'2'!K346</f>
        <v/>
      </c>
      <c r="D116">
        <f>'2'!E346</f>
        <v/>
      </c>
      <c r="E116">
        <f>'2'!Q346</f>
        <v/>
      </c>
      <c r="F116" t="n">
        <v>32778692.08061869</v>
      </c>
      <c r="G116">
        <f>F116/1000000</f>
        <v/>
      </c>
      <c r="I116" s="988" t="n">
        <v>75.69053261308336</v>
      </c>
      <c r="J116" s="922">
        <f>I116-C116</f>
        <v/>
      </c>
      <c r="L116" s="988" t="n">
        <v>3.930642565746131</v>
      </c>
      <c r="M116" s="922">
        <f>L116-D116</f>
        <v/>
      </c>
    </row>
    <row r="117">
      <c r="A117" t="inlineStr">
        <is>
          <t>Aug-Oct 2019</t>
        </is>
      </c>
      <c r="B117">
        <f>RIGHT(A117, LEN(A117) - 8)</f>
        <v/>
      </c>
      <c r="C117">
        <f>'2'!K347</f>
        <v/>
      </c>
      <c r="D117">
        <f>'2'!E347</f>
        <v/>
      </c>
      <c r="E117">
        <f>'2'!Q347</f>
        <v/>
      </c>
      <c r="F117" t="n">
        <v>32825161.59004287</v>
      </c>
      <c r="G117">
        <f>F117/1000000</f>
        <v/>
      </c>
      <c r="I117" s="988" t="n">
        <v>75.79264145852494</v>
      </c>
      <c r="J117" s="922">
        <f>I117-C117</f>
        <v/>
      </c>
      <c r="L117" s="988" t="n">
        <v>3.855436386678711</v>
      </c>
      <c r="M117" s="922">
        <f>L117-D117</f>
        <v/>
      </c>
    </row>
    <row r="118">
      <c r="A118" t="inlineStr">
        <is>
          <t>Sep-Nov 2019</t>
        </is>
      </c>
      <c r="B118">
        <f>RIGHT(A118, LEN(A118) - 8)</f>
        <v/>
      </c>
      <c r="C118">
        <f>'2'!K348</f>
        <v/>
      </c>
      <c r="D118">
        <f>'2'!E348</f>
        <v/>
      </c>
      <c r="E118">
        <f>'2'!Q348</f>
        <v/>
      </c>
      <c r="F118" t="n">
        <v>32923054.71807707</v>
      </c>
      <c r="G118">
        <f>F118/1000000</f>
        <v/>
      </c>
      <c r="I118" s="988" t="n">
        <v>75.97723870589202</v>
      </c>
      <c r="J118" s="922">
        <f>I118-C118</f>
        <v/>
      </c>
      <c r="L118" s="988" t="n">
        <v>3.91718656438334</v>
      </c>
      <c r="M118" s="922">
        <f>L118-D118</f>
        <v/>
      </c>
    </row>
    <row r="119">
      <c r="A119" t="inlineStr">
        <is>
          <t>Oct-Dec 2019</t>
        </is>
      </c>
      <c r="B119">
        <f>RIGHT(A119, LEN(A119) - 8)</f>
        <v/>
      </c>
      <c r="C119">
        <f>'2'!K349</f>
        <v/>
      </c>
      <c r="D119">
        <f>'2'!E349</f>
        <v/>
      </c>
      <c r="E119">
        <f>'2'!Q349</f>
        <v/>
      </c>
      <c r="F119" t="n">
        <v>32954046.06377982</v>
      </c>
      <c r="G119">
        <f>F119/1000000</f>
        <v/>
      </c>
      <c r="I119" s="988" t="n">
        <v>76.10155973573079</v>
      </c>
      <c r="J119" s="922">
        <f>I119-C119</f>
        <v/>
      </c>
      <c r="L119" s="988" t="n">
        <v>3.867959509272337</v>
      </c>
      <c r="M119" s="922">
        <f>L119-D119</f>
        <v/>
      </c>
    </row>
    <row r="120">
      <c r="A120" t="inlineStr">
        <is>
          <t>Nov-Jan 2020</t>
        </is>
      </c>
      <c r="B120">
        <f>RIGHT(A120, LEN(A120) - 8)</f>
        <v/>
      </c>
      <c r="C120">
        <f>'2'!K350</f>
        <v/>
      </c>
      <c r="D120">
        <f>'2'!E350</f>
        <v/>
      </c>
      <c r="E120">
        <f>'2'!Q350</f>
        <v/>
      </c>
      <c r="F120" t="n">
        <v>33003797.83642692</v>
      </c>
      <c r="G120">
        <f>F120/1000000</f>
        <v/>
      </c>
      <c r="I120" s="988" t="n">
        <v>76.08338146378712</v>
      </c>
      <c r="J120" s="922">
        <f>I120-C120</f>
        <v/>
      </c>
      <c r="L120" s="988" t="n">
        <v>4.012542571736058</v>
      </c>
      <c r="M120" s="922">
        <f>L120-D120</f>
        <v/>
      </c>
    </row>
    <row r="121">
      <c r="A121" t="inlineStr">
        <is>
          <t>Dec-Feb 2020</t>
        </is>
      </c>
      <c r="B121">
        <f>RIGHT(A121, LEN(A121) - 8)</f>
        <v/>
      </c>
      <c r="C121">
        <f>'2'!K351</f>
        <v/>
      </c>
      <c r="D121">
        <f>'2'!E351</f>
        <v/>
      </c>
      <c r="E121">
        <f>'2'!Q351</f>
        <v/>
      </c>
      <c r="F121" t="n">
        <v>33090173.43066628</v>
      </c>
      <c r="G121">
        <f>F121/1000000</f>
        <v/>
      </c>
      <c r="I121" s="988" t="n">
        <v>76.18410739707814</v>
      </c>
      <c r="J121" s="922">
        <f>I121-C121</f>
        <v/>
      </c>
      <c r="L121" s="988" t="n">
        <v>4.061302353787362</v>
      </c>
      <c r="M121" s="922">
        <f>L121-D121</f>
        <v/>
      </c>
    </row>
    <row r="122">
      <c r="A122" t="inlineStr">
        <is>
          <t>Jan-Mar 2020</t>
        </is>
      </c>
      <c r="B122">
        <f>RIGHT(A122, LEN(A122) - 8)</f>
        <v/>
      </c>
      <c r="C122">
        <f>'2'!K352</f>
        <v/>
      </c>
      <c r="D122">
        <f>'2'!E352</f>
        <v/>
      </c>
      <c r="E122">
        <f>'2'!Q352</f>
        <v/>
      </c>
      <c r="F122" t="n">
        <v>32999837.72656411</v>
      </c>
      <c r="G122">
        <f>F122/1000000</f>
        <v/>
      </c>
      <c r="I122" s="988" t="n">
        <v>75.94586925446588</v>
      </c>
      <c r="J122" s="922">
        <f>I122-C122</f>
        <v/>
      </c>
      <c r="L122" s="988" t="n">
        <v>4.104415239738714</v>
      </c>
      <c r="M122" s="922">
        <f>L122-D122</f>
        <v/>
      </c>
    </row>
    <row r="123">
      <c r="A123" t="inlineStr">
        <is>
          <t>Feb-Apr 2020</t>
        </is>
      </c>
      <c r="B123">
        <f>RIGHT(A123, LEN(A123) - 8)</f>
        <v/>
      </c>
      <c r="C123">
        <f>'2'!K353</f>
        <v/>
      </c>
      <c r="D123">
        <f>'2'!E353</f>
        <v/>
      </c>
      <c r="E123">
        <f>'2'!Q353</f>
        <v/>
      </c>
      <c r="F123" t="n">
        <v>32793096.81865672</v>
      </c>
      <c r="G123">
        <f>F123/1000000</f>
        <v/>
      </c>
      <c r="I123" s="988" t="n">
        <v>75.60390753552009</v>
      </c>
      <c r="J123" s="922">
        <f>I123-C123</f>
        <v/>
      </c>
      <c r="L123" s="988" t="n">
        <v>4.154173324964807</v>
      </c>
      <c r="M123" s="922">
        <f>L123-D123</f>
        <v/>
      </c>
    </row>
    <row r="124">
      <c r="A124" t="inlineStr">
        <is>
          <t>Mar-May 2020</t>
        </is>
      </c>
      <c r="B124">
        <f>RIGHT(A124, LEN(A124) - 8)</f>
        <v/>
      </c>
      <c r="C124">
        <f>'2'!K354</f>
        <v/>
      </c>
      <c r="D124">
        <f>'2'!E354</f>
        <v/>
      </c>
      <c r="E124">
        <f>'2'!Q354</f>
        <v/>
      </c>
      <c r="F124" t="n">
        <v>32690661.67525958</v>
      </c>
      <c r="G124">
        <f>F124/1000000</f>
        <v/>
      </c>
      <c r="I124" s="988" t="n">
        <v>75.48671815552936</v>
      </c>
      <c r="J124" s="922">
        <f>I124-C124</f>
        <v/>
      </c>
      <c r="L124" s="988" t="n">
        <v>4.220977133985335</v>
      </c>
      <c r="M124" s="922">
        <f>L124-D124</f>
        <v/>
      </c>
    </row>
    <row r="125">
      <c r="A125" t="inlineStr">
        <is>
          <t>Apr-Jun 2020</t>
        </is>
      </c>
      <c r="B125">
        <f>RIGHT(A125, LEN(A125) - 8)</f>
        <v/>
      </c>
      <c r="C125">
        <f>'2'!K355</f>
        <v/>
      </c>
      <c r="D125">
        <f>'2'!E355</f>
        <v/>
      </c>
      <c r="E125">
        <f>'2'!Q355</f>
        <v/>
      </c>
      <c r="F125" t="n">
        <v>32570744.58272227</v>
      </c>
      <c r="G125">
        <f>F125/1000000</f>
        <v/>
      </c>
      <c r="I125" s="988" t="n">
        <v>75.32245989508908</v>
      </c>
      <c r="J125" s="922">
        <f>I125-C125</f>
        <v/>
      </c>
      <c r="L125" s="988" t="n">
        <v>4.219101740123883</v>
      </c>
      <c r="M125" s="922">
        <f>L125-D125</f>
        <v/>
      </c>
    </row>
    <row r="126">
      <c r="A126" t="inlineStr">
        <is>
          <t>May-Jul 2020</t>
        </is>
      </c>
      <c r="B126">
        <f>RIGHT(A126, LEN(A126) - 8)</f>
        <v/>
      </c>
      <c r="C126">
        <f>'2'!K356</f>
        <v/>
      </c>
      <c r="D126">
        <f>'2'!E356</f>
        <v/>
      </c>
      <c r="E126">
        <f>'2'!Q356</f>
        <v/>
      </c>
      <c r="F126" t="n">
        <v>32557447.58542818</v>
      </c>
      <c r="G126">
        <f>F126/1000000</f>
        <v/>
      </c>
      <c r="I126" s="988" t="n">
        <v>75.18367496201311</v>
      </c>
      <c r="J126" s="922">
        <f>I126-C126</f>
        <v/>
      </c>
      <c r="L126" s="988" t="n">
        <v>4.443064440937718</v>
      </c>
      <c r="M126" s="922">
        <f>L126-D126</f>
        <v/>
      </c>
    </row>
    <row r="127">
      <c r="A127" t="inlineStr">
        <is>
          <t>Jun-Aug 2020</t>
        </is>
      </c>
      <c r="B127">
        <f>RIGHT(A127, LEN(A127) - 8)</f>
        <v/>
      </c>
      <c r="C127">
        <f>'2'!K357</f>
        <v/>
      </c>
      <c r="D127">
        <f>'2'!E357</f>
        <v/>
      </c>
      <c r="E127">
        <f>'2'!Q357</f>
        <v/>
      </c>
      <c r="F127" t="n">
        <v>32475671.19083512</v>
      </c>
      <c r="G127">
        <f>F127/1000000</f>
        <v/>
      </c>
      <c r="I127" s="988" t="n">
        <v>74.90597468283995</v>
      </c>
      <c r="J127" s="922">
        <f>I127-C127</f>
        <v/>
      </c>
      <c r="L127" s="988" t="n">
        <v>4.660433275336978</v>
      </c>
      <c r="M127" s="922">
        <f>L127-D127</f>
        <v/>
      </c>
    </row>
    <row r="128">
      <c r="A128" t="inlineStr">
        <is>
          <t>Jul-Sep 2020</t>
        </is>
      </c>
      <c r="B128">
        <f>RIGHT(A128, LEN(A128) - 8)</f>
        <v/>
      </c>
      <c r="C128">
        <f>'2'!K358</f>
        <v/>
      </c>
      <c r="D128">
        <f>'2'!E358</f>
        <v/>
      </c>
      <c r="E128">
        <f>'2'!Q358</f>
        <v/>
      </c>
      <c r="F128" t="n">
        <v>32353993.76094998</v>
      </c>
      <c r="G128">
        <f>F128/1000000</f>
        <v/>
      </c>
      <c r="I128" s="988" t="n">
        <v>74.52970949546288</v>
      </c>
      <c r="J128" s="922">
        <f>I128-C128</f>
        <v/>
      </c>
      <c r="L128" s="988" t="n">
        <v>4.986489341711414</v>
      </c>
      <c r="M128" s="922">
        <f>L128-D128</f>
        <v/>
      </c>
    </row>
    <row r="129">
      <c r="A129" t="inlineStr">
        <is>
          <t>Aug-Oct 2020</t>
        </is>
      </c>
      <c r="B129">
        <f>RIGHT(A129, LEN(A129) - 8)</f>
        <v/>
      </c>
      <c r="C129">
        <f>'2'!K359</f>
        <v/>
      </c>
      <c r="D129">
        <f>'2'!E359</f>
        <v/>
      </c>
      <c r="E129">
        <f>'2'!Q359</f>
        <v/>
      </c>
      <c r="F129" t="n">
        <v>32335266.89190068</v>
      </c>
      <c r="G129">
        <f>F129/1000000</f>
        <v/>
      </c>
      <c r="I129" s="988" t="n">
        <v>74.44663835232404</v>
      </c>
      <c r="J129" s="922">
        <f>I129-C129</f>
        <v/>
      </c>
      <c r="L129" s="988" t="n">
        <v>5.165749260611233</v>
      </c>
      <c r="M129" s="922">
        <f>L129-D129</f>
        <v/>
      </c>
      <c r="O129" t="inlineStr">
        <is>
          <t>Employment Rate (16-64, Seasonally Adjusted (%))</t>
        </is>
      </c>
    </row>
    <row r="130">
      <c r="A130" t="inlineStr">
        <is>
          <t>Sep-Nov 2020</t>
        </is>
      </c>
      <c r="B130">
        <f>RIGHT(A130, LEN(A130) - 8)</f>
        <v/>
      </c>
      <c r="C130">
        <f>'2'!K360</f>
        <v/>
      </c>
      <c r="D130">
        <f>'2'!E360</f>
        <v/>
      </c>
      <c r="E130">
        <f>'2'!Q360</f>
        <v/>
      </c>
      <c r="F130" t="n">
        <v>32338613.49138634</v>
      </c>
      <c r="G130">
        <f>F130/1000000</f>
        <v/>
      </c>
      <c r="I130" s="988" t="n">
        <v>74.46038191141908</v>
      </c>
      <c r="J130" s="922">
        <f>I130-C130</f>
        <v/>
      </c>
      <c r="L130" s="988" t="n">
        <v>5.23803912019375</v>
      </c>
      <c r="M130" s="922">
        <f>L130-D130</f>
        <v/>
      </c>
    </row>
    <row r="131">
      <c r="A131" t="inlineStr">
        <is>
          <t>Oct-Dec 2020</t>
        </is>
      </c>
      <c r="B131">
        <f>RIGHT(A131, LEN(A131) - 8)</f>
        <v/>
      </c>
      <c r="C131">
        <f>'2'!K361</f>
        <v/>
      </c>
      <c r="D131">
        <f>'2'!E361</f>
        <v/>
      </c>
      <c r="E131">
        <f>'2'!Q361</f>
        <v/>
      </c>
      <c r="F131" t="n">
        <v>32197965.732435</v>
      </c>
      <c r="G131">
        <f>F131/1000000</f>
        <v/>
      </c>
      <c r="I131" s="988" t="n">
        <v>74.17157266965383</v>
      </c>
      <c r="J131" s="922">
        <f>I131-C131</f>
        <v/>
      </c>
      <c r="L131" s="988" t="n">
        <v>5.335601935695091</v>
      </c>
      <c r="M131" s="922">
        <f>L131-D131</f>
        <v/>
      </c>
    </row>
    <row r="132">
      <c r="A132" t="inlineStr">
        <is>
          <t>Nov-Jan 2021</t>
        </is>
      </c>
      <c r="B132">
        <f>RIGHT(A132, LEN(A132) - 8)</f>
        <v/>
      </c>
      <c r="C132">
        <f>'2'!K362</f>
        <v/>
      </c>
      <c r="D132">
        <f>'2'!E362</f>
        <v/>
      </c>
      <c r="E132">
        <f>'2'!Q362</f>
        <v/>
      </c>
      <c r="F132" t="n">
        <v>32170466.2153244</v>
      </c>
      <c r="G132">
        <f>F132/1000000</f>
        <v/>
      </c>
      <c r="I132" s="988" t="n">
        <v>74.14965507550963</v>
      </c>
      <c r="J132" s="922">
        <f>I132-C132</f>
        <v/>
      </c>
      <c r="L132" s="988" t="n">
        <v>5.256005925659365</v>
      </c>
      <c r="M132" s="922">
        <f>L132-D132</f>
        <v/>
      </c>
    </row>
    <row r="133">
      <c r="A133" t="inlineStr">
        <is>
          <t>Dec-Feb 2021</t>
        </is>
      </c>
      <c r="B133">
        <f>RIGHT(A133, LEN(A133) - 8)</f>
        <v/>
      </c>
      <c r="C133">
        <f>'2'!K363</f>
        <v/>
      </c>
      <c r="D133">
        <f>'2'!E363</f>
        <v/>
      </c>
      <c r="E133">
        <f>'2'!Q363</f>
        <v/>
      </c>
      <c r="F133" t="n">
        <v>32218137.31132744</v>
      </c>
      <c r="G133">
        <f>F133/1000000</f>
        <v/>
      </c>
      <c r="I133" s="988" t="n">
        <v>74.27553613496643</v>
      </c>
      <c r="J133" s="922">
        <f>I133-C133</f>
        <v/>
      </c>
      <c r="L133" s="988" t="n">
        <v>5.176620114156723</v>
      </c>
      <c r="M133" s="922">
        <f>L133-D133</f>
        <v/>
      </c>
    </row>
    <row r="134">
      <c r="A134" t="inlineStr">
        <is>
          <t>Jan-Mar 2021</t>
        </is>
      </c>
      <c r="B134">
        <f>RIGHT(A134, LEN(A134) - 8)</f>
        <v/>
      </c>
      <c r="C134">
        <f>'2'!K364</f>
        <v/>
      </c>
      <c r="D134">
        <f>'2'!E364</f>
        <v/>
      </c>
      <c r="E134">
        <f>'2'!Q364</f>
        <v/>
      </c>
      <c r="F134" t="n">
        <v>32220976.95614387</v>
      </c>
      <c r="G134">
        <f>F134/1000000</f>
        <v/>
      </c>
      <c r="I134" s="988" t="n">
        <v>74.24837715261248</v>
      </c>
      <c r="J134" s="922">
        <f>I134-C134</f>
        <v/>
      </c>
      <c r="L134" s="988" t="n">
        <v>5.061139398467572</v>
      </c>
      <c r="M134" s="922">
        <f>L134-D134</f>
        <v/>
      </c>
    </row>
    <row r="135">
      <c r="A135" t="inlineStr">
        <is>
          <t>Feb-Apr 2021</t>
        </is>
      </c>
      <c r="B135">
        <f>RIGHT(A135, LEN(A135) - 8)</f>
        <v/>
      </c>
      <c r="C135">
        <f>'2'!K365</f>
        <v/>
      </c>
      <c r="D135">
        <f>'2'!E365</f>
        <v/>
      </c>
      <c r="E135">
        <f>'2'!Q365</f>
        <v/>
      </c>
      <c r="F135" t="n">
        <v>32236308.34603796</v>
      </c>
      <c r="G135">
        <f>F135/1000000</f>
        <v/>
      </c>
      <c r="I135" s="988" t="n">
        <v>74.26820071491687</v>
      </c>
      <c r="J135" s="922">
        <f>I135-C135</f>
        <v/>
      </c>
      <c r="L135" s="988" t="n">
        <v>5.01087054113335</v>
      </c>
      <c r="M135" s="922">
        <f>L135-D135</f>
        <v/>
      </c>
    </row>
    <row r="136">
      <c r="A136" t="inlineStr">
        <is>
          <t>Mar-May 2021</t>
        </is>
      </c>
      <c r="B136">
        <f>RIGHT(A136, LEN(A136) - 8)</f>
        <v/>
      </c>
      <c r="C136">
        <f>'2'!K366</f>
        <v/>
      </c>
      <c r="D136">
        <f>'2'!E366</f>
        <v/>
      </c>
      <c r="E136">
        <f>'2'!Q366</f>
        <v/>
      </c>
      <c r="F136" t="n">
        <v>32259596.50844997</v>
      </c>
      <c r="G136">
        <f>F136/1000000</f>
        <v/>
      </c>
      <c r="I136" s="988" t="n">
        <v>74.32206904130622</v>
      </c>
      <c r="J136" s="922">
        <f>I136-C136</f>
        <v/>
      </c>
      <c r="L136" s="988" t="n">
        <v>4.981190084046418</v>
      </c>
      <c r="M136" s="922">
        <f>L136-D136</f>
        <v/>
      </c>
    </row>
    <row r="137">
      <c r="A137" t="inlineStr">
        <is>
          <t>Apr-Jun 2021</t>
        </is>
      </c>
      <c r="B137">
        <f>RIGHT(A137, LEN(A137) - 8)</f>
        <v/>
      </c>
      <c r="C137">
        <f>'2'!K367</f>
        <v/>
      </c>
      <c r="D137">
        <f>'2'!E367</f>
        <v/>
      </c>
      <c r="E137">
        <f>'2'!Q367</f>
        <v/>
      </c>
      <c r="F137" t="n">
        <v>32376948.51854177</v>
      </c>
      <c r="G137">
        <f>F137/1000000</f>
        <v/>
      </c>
      <c r="I137" s="988" t="n">
        <v>74.58429348797357</v>
      </c>
      <c r="J137" s="922">
        <f>I137-C137</f>
        <v/>
      </c>
      <c r="L137" s="988" t="n">
        <v>4.83958525259674</v>
      </c>
      <c r="M137" s="922">
        <f>L137-D137</f>
        <v/>
      </c>
    </row>
    <row r="138">
      <c r="A138" t="inlineStr">
        <is>
          <t>May-Jul 2021</t>
        </is>
      </c>
      <c r="B138">
        <f>RIGHT(A138, LEN(A138) - 8)</f>
        <v/>
      </c>
      <c r="C138">
        <f>'2'!K368</f>
        <v/>
      </c>
      <c r="D138">
        <f>'2'!E368</f>
        <v/>
      </c>
      <c r="E138">
        <f>'2'!Q368</f>
        <v/>
      </c>
      <c r="F138" t="n">
        <v>32489468.4139865</v>
      </c>
      <c r="G138">
        <f>F138/1000000</f>
        <v/>
      </c>
      <c r="I138" s="988" t="n">
        <v>74.70166322680082</v>
      </c>
      <c r="J138" s="922">
        <f>I138-C138</f>
        <v/>
      </c>
      <c r="L138" s="988" t="n">
        <v>4.70443449060069</v>
      </c>
      <c r="M138" s="922">
        <f>L138-D138</f>
        <v/>
      </c>
    </row>
    <row r="139">
      <c r="A139" t="inlineStr">
        <is>
          <t>Jun-Aug 2021</t>
        </is>
      </c>
      <c r="B139">
        <f>RIGHT(A139, LEN(A139) - 8)</f>
        <v/>
      </c>
      <c r="C139">
        <f>'2'!K369</f>
        <v/>
      </c>
      <c r="D139">
        <f>'2'!E369</f>
        <v/>
      </c>
      <c r="E139">
        <f>'2'!Q369</f>
        <v/>
      </c>
      <c r="F139" t="n">
        <v>32577076.1821041</v>
      </c>
      <c r="G139">
        <f>F139/1000000</f>
        <v/>
      </c>
      <c r="I139" s="988" t="n">
        <v>74.7958556835038</v>
      </c>
      <c r="J139" s="922">
        <f>I139-C139</f>
        <v/>
      </c>
      <c r="L139" s="988" t="n">
        <v>4.568007061655853</v>
      </c>
      <c r="M139" s="922">
        <f>L139-D139</f>
        <v/>
      </c>
    </row>
    <row r="140">
      <c r="A140" t="inlineStr">
        <is>
          <t>Jul-Sep 2021</t>
        </is>
      </c>
      <c r="B140">
        <f>RIGHT(A140, LEN(A140) - 8)</f>
        <v/>
      </c>
      <c r="C140">
        <f>'2'!K370</f>
        <v/>
      </c>
      <c r="D140">
        <f>'2'!E370</f>
        <v/>
      </c>
      <c r="E140">
        <f>'2'!Q370</f>
        <v/>
      </c>
      <c r="F140" t="n">
        <v>32687486.09275119</v>
      </c>
      <c r="G140">
        <f>F140/1000000</f>
        <v/>
      </c>
      <c r="I140" s="988" t="n">
        <v>74.88496789358831</v>
      </c>
      <c r="J140" s="922">
        <f>I140-C140</f>
        <v/>
      </c>
      <c r="L140" s="988" t="n">
        <v>4.390058901025887</v>
      </c>
      <c r="M140" s="922">
        <f>L140-D140</f>
        <v/>
      </c>
    </row>
    <row r="141">
      <c r="A141" t="inlineStr">
        <is>
          <t>Aug-Oct 2021</t>
        </is>
      </c>
      <c r="B141">
        <f>RIGHT(A141, LEN(A141) - 8)</f>
        <v/>
      </c>
      <c r="C141">
        <f>'2'!K371</f>
        <v/>
      </c>
      <c r="D141">
        <f>'2'!E371</f>
        <v/>
      </c>
      <c r="E141">
        <f>'2'!Q371</f>
        <v/>
      </c>
      <c r="F141" t="n">
        <v>32686196.66117037</v>
      </c>
      <c r="G141">
        <f>F141/1000000</f>
        <v/>
      </c>
      <c r="I141" s="988" t="n">
        <v>74.92822721907646</v>
      </c>
      <c r="J141" s="922">
        <f>I141-C141</f>
        <v/>
      </c>
      <c r="L141" s="988" t="n">
        <v>4.313333468202407</v>
      </c>
      <c r="M141" s="922">
        <f>L141-D141</f>
        <v/>
      </c>
    </row>
    <row r="142">
      <c r="A142" t="inlineStr">
        <is>
          <t>Sep-Nov 2021</t>
        </is>
      </c>
      <c r="B142">
        <f>RIGHT(A142, LEN(A142) - 8)</f>
        <v/>
      </c>
      <c r="C142">
        <f>'2'!K372</f>
        <v/>
      </c>
      <c r="D142">
        <f>'2'!E372</f>
        <v/>
      </c>
      <c r="E142">
        <f>'2'!Q372</f>
        <v/>
      </c>
      <c r="F142" t="n">
        <v>32672655.10507251</v>
      </c>
      <c r="G142">
        <f>F142/1000000</f>
        <v/>
      </c>
      <c r="I142" s="988" t="n">
        <v>74.95522881394359</v>
      </c>
      <c r="J142" s="922">
        <f>I142-C142</f>
        <v/>
      </c>
      <c r="L142" s="988" t="n">
        <v>4.202835864312832</v>
      </c>
      <c r="M142" s="922">
        <f>L142-D142</f>
        <v/>
      </c>
    </row>
    <row r="143">
      <c r="A143" t="inlineStr">
        <is>
          <t>Oct-Dec 2021</t>
        </is>
      </c>
      <c r="B143">
        <f>RIGHT(A143, LEN(A143) - 8)</f>
        <v/>
      </c>
      <c r="C143">
        <f>'2'!K373</f>
        <v/>
      </c>
      <c r="D143">
        <f>'2'!E373</f>
        <v/>
      </c>
      <c r="E143">
        <f>'2'!Q373</f>
        <v/>
      </c>
      <c r="F143" t="n">
        <v>32686457.87498958</v>
      </c>
      <c r="G143">
        <f>F143/1000000</f>
        <v/>
      </c>
      <c r="I143" s="988" t="n">
        <v>75.00161841931818</v>
      </c>
      <c r="J143" s="922">
        <f>I143-C143</f>
        <v/>
      </c>
      <c r="L143" s="988" t="n">
        <v>4.176097657038565</v>
      </c>
      <c r="M143" s="922">
        <f>L143-D143</f>
        <v/>
      </c>
    </row>
    <row r="144">
      <c r="A144" t="inlineStr">
        <is>
          <t>Nov-Jan 2022</t>
        </is>
      </c>
      <c r="B144">
        <f>RIGHT(A144, LEN(A144) - 8)</f>
        <v/>
      </c>
      <c r="C144">
        <f>'2'!K374</f>
        <v/>
      </c>
      <c r="D144">
        <f>'2'!E374</f>
        <v/>
      </c>
      <c r="E144">
        <f>'2'!Q374</f>
        <v/>
      </c>
      <c r="F144" t="n">
        <v>32656934.36843973</v>
      </c>
      <c r="G144">
        <f>F144/1000000</f>
        <v/>
      </c>
      <c r="I144" s="988" t="n">
        <v>74.95960243562396</v>
      </c>
      <c r="J144" s="922">
        <f>I144-C144</f>
        <v/>
      </c>
      <c r="L144" s="988" t="n">
        <v>4.108312348453282</v>
      </c>
      <c r="M144" s="922">
        <f>L144-D144</f>
        <v/>
      </c>
    </row>
    <row r="145">
      <c r="A145" t="inlineStr">
        <is>
          <t>Dec-Feb 2022</t>
        </is>
      </c>
      <c r="B145">
        <f>RIGHT(A145, LEN(A145) - 8)</f>
        <v/>
      </c>
      <c r="C145">
        <f>'2'!K375</f>
        <v/>
      </c>
      <c r="D145">
        <f>'2'!E375</f>
        <v/>
      </c>
      <c r="E145">
        <f>'2'!Q375</f>
        <v/>
      </c>
      <c r="F145" t="n">
        <v>32701192.84023999</v>
      </c>
      <c r="G145">
        <f>F145/1000000</f>
        <v/>
      </c>
      <c r="I145" s="988" t="n">
        <v>74.98780337256899</v>
      </c>
      <c r="J145" s="922">
        <f>I145-C145</f>
        <v/>
      </c>
      <c r="L145" s="988" t="n">
        <v>3.968227267275197</v>
      </c>
      <c r="M145" s="922">
        <f>L145-D145</f>
        <v/>
      </c>
    </row>
    <row r="146">
      <c r="A146" t="inlineStr">
        <is>
          <t>Jan-Mar 2022</t>
        </is>
      </c>
      <c r="B146">
        <f>RIGHT(A146, LEN(A146) - 8)</f>
        <v/>
      </c>
      <c r="C146">
        <f>'2'!K376</f>
        <v/>
      </c>
      <c r="D146">
        <f>'2'!E376</f>
        <v/>
      </c>
      <c r="E146">
        <f>'2'!Q376</f>
        <v/>
      </c>
      <c r="F146" t="n">
        <v>32774623.6823072</v>
      </c>
      <c r="G146">
        <f>F146/1000000</f>
        <v/>
      </c>
      <c r="I146" s="988" t="n">
        <v>75.14264723226874</v>
      </c>
      <c r="J146" s="922">
        <f>I146-C146</f>
        <v/>
      </c>
      <c r="L146" s="988" t="n">
        <v>3.85222267667179</v>
      </c>
      <c r="M146" s="922">
        <f>L146-D146</f>
        <v/>
      </c>
    </row>
    <row r="147">
      <c r="A147" t="inlineStr">
        <is>
          <t>Feb-Apr 2022</t>
        </is>
      </c>
      <c r="B147">
        <f>RIGHT(A147, LEN(A147) - 8)</f>
        <v/>
      </c>
      <c r="C147">
        <f>'2'!K377</f>
        <v/>
      </c>
      <c r="D147">
        <f>'2'!E377</f>
        <v/>
      </c>
      <c r="E147">
        <f>'2'!Q377</f>
        <v/>
      </c>
      <c r="F147" t="n">
        <v>32857183.78520043</v>
      </c>
      <c r="G147">
        <f>F147/1000000</f>
        <v/>
      </c>
      <c r="I147" s="988" t="n">
        <v>75.15988035731257</v>
      </c>
      <c r="J147" s="922">
        <f>I147-C147</f>
        <v/>
      </c>
      <c r="L147" s="988" t="n">
        <v>3.9602974535382</v>
      </c>
      <c r="M147" s="922">
        <f>L147-D147</f>
        <v/>
      </c>
    </row>
    <row r="148">
      <c r="A148" t="inlineStr">
        <is>
          <t>Mar-May 2022</t>
        </is>
      </c>
      <c r="B148">
        <f>RIGHT(A148, LEN(A148) - 8)</f>
        <v/>
      </c>
      <c r="C148">
        <f>'2'!K378</f>
        <v/>
      </c>
      <c r="D148">
        <f>'2'!E378</f>
        <v/>
      </c>
      <c r="E148">
        <f>'2'!Q378</f>
        <v/>
      </c>
      <c r="F148" t="n">
        <v>33020760.13687991</v>
      </c>
      <c r="G148">
        <f>F148/1000000</f>
        <v/>
      </c>
      <c r="I148" s="988" t="n">
        <v>75.37004993121462</v>
      </c>
      <c r="J148" s="922">
        <f>I148-C148</f>
        <v/>
      </c>
      <c r="L148" s="988" t="n">
        <v>3.904056111913638</v>
      </c>
      <c r="M148" s="922">
        <f>L148-D148</f>
        <v/>
      </c>
    </row>
    <row r="149">
      <c r="A149" t="inlineStr">
        <is>
          <t>Apr-Jun 2022</t>
        </is>
      </c>
      <c r="B149">
        <f>RIGHT(A149, LEN(A149) - 8)</f>
        <v/>
      </c>
      <c r="C149">
        <f>'2'!K379</f>
        <v/>
      </c>
      <c r="D149">
        <f>'2'!E379</f>
        <v/>
      </c>
      <c r="E149">
        <f>'2'!Q379</f>
        <v/>
      </c>
      <c r="F149" t="n">
        <v>32957882.6099645</v>
      </c>
      <c r="G149">
        <f>F149/1000000</f>
        <v/>
      </c>
      <c r="I149" s="988" t="n">
        <v>75.02131254847134</v>
      </c>
      <c r="J149" s="922">
        <f>I149-C149</f>
        <v/>
      </c>
      <c r="L149" s="988" t="n">
        <v>3.936842809498019</v>
      </c>
      <c r="M149" s="922">
        <f>L149-D149</f>
        <v/>
      </c>
    </row>
    <row r="150">
      <c r="A150" t="inlineStr">
        <is>
          <t>May-Jul 2022</t>
        </is>
      </c>
      <c r="B150">
        <f>RIGHT(A150, LEN(A150) - 8)</f>
        <v/>
      </c>
      <c r="C150">
        <f>'2'!K380</f>
        <v/>
      </c>
      <c r="D150">
        <f>'2'!E380</f>
        <v/>
      </c>
      <c r="E150">
        <f>'2'!Q380</f>
        <v/>
      </c>
      <c r="F150" t="n">
        <v>32920197.86450028</v>
      </c>
      <c r="G150">
        <f>F150/1000000</f>
        <v/>
      </c>
      <c r="I150" s="988" t="n">
        <v>74.92430741985442</v>
      </c>
      <c r="J150" s="922">
        <f>I150-C150</f>
        <v/>
      </c>
      <c r="L150" s="988" t="n">
        <v>3.747758062152815</v>
      </c>
      <c r="M150" s="922">
        <f>L150-D150</f>
        <v/>
      </c>
    </row>
    <row r="151">
      <c r="A151" t="inlineStr">
        <is>
          <t>Jun-Aug 2022</t>
        </is>
      </c>
      <c r="B151">
        <f>RIGHT(A151, LEN(A151) - 8)</f>
        <v/>
      </c>
      <c r="C151">
        <f>'2'!K381</f>
        <v/>
      </c>
      <c r="D151">
        <f>'2'!E381</f>
        <v/>
      </c>
      <c r="E151">
        <f>'2'!Q381</f>
        <v/>
      </c>
      <c r="F151" t="n">
        <v>32929161.68098031</v>
      </c>
      <c r="G151">
        <f>F151/1000000</f>
        <v/>
      </c>
      <c r="I151" s="988" t="n">
        <v>75.04147931493928</v>
      </c>
      <c r="J151" s="922">
        <f>I151-C151</f>
        <v/>
      </c>
      <c r="L151" s="988" t="n">
        <v>3.646716838715635</v>
      </c>
      <c r="M151" s="922">
        <f>L151-D151</f>
        <v/>
      </c>
    </row>
    <row r="152">
      <c r="A152" t="inlineStr">
        <is>
          <t>Jul-Sep 2022</t>
        </is>
      </c>
      <c r="B152">
        <f>RIGHT(A152, LEN(A152) - 8)</f>
        <v/>
      </c>
      <c r="C152">
        <f>'2'!K382</f>
        <v/>
      </c>
      <c r="D152">
        <f>'2'!E382</f>
        <v/>
      </c>
      <c r="E152">
        <f>'2'!Q382</f>
        <v/>
      </c>
      <c r="F152" t="n">
        <v>32915867.68014048</v>
      </c>
      <c r="G152">
        <f>F152/1000000</f>
        <v/>
      </c>
      <c r="I152" s="988" t="n">
        <v>74.96945096998961</v>
      </c>
      <c r="J152" s="922">
        <f>I152-C152</f>
        <v/>
      </c>
      <c r="L152" s="988" t="n">
        <v>3.752161402914916</v>
      </c>
      <c r="M152" s="922">
        <f>L152-D152</f>
        <v/>
      </c>
    </row>
    <row r="153">
      <c r="A153" t="inlineStr">
        <is>
          <t>Aug-Oct 2022</t>
        </is>
      </c>
      <c r="B153">
        <f>RIGHT(A153, LEN(A153) - 8)</f>
        <v/>
      </c>
      <c r="C153">
        <f>'2'!K383</f>
        <v/>
      </c>
      <c r="D153">
        <f>'2'!E383</f>
        <v/>
      </c>
      <c r="E153">
        <f>'2'!Q383</f>
        <v/>
      </c>
      <c r="F153" t="n">
        <v>32951175.21833764</v>
      </c>
      <c r="G153">
        <f>F153/1000000</f>
        <v/>
      </c>
      <c r="I153" s="988" t="n">
        <v>75.04315532039142</v>
      </c>
      <c r="J153" s="922">
        <f>I153-C153</f>
        <v/>
      </c>
      <c r="L153" s="988" t="n">
        <v>3.856796624249185</v>
      </c>
      <c r="M153" s="922">
        <f>L153-D153</f>
        <v/>
      </c>
      <c r="O153" t="inlineStr">
        <is>
          <t>Unemployment rate (16+, seasonally adjusted)</t>
        </is>
      </c>
    </row>
    <row r="154">
      <c r="A154" t="inlineStr">
        <is>
          <t>Sep-Nov 2022</t>
        </is>
      </c>
      <c r="B154">
        <f>RIGHT(A154, LEN(A154) - 8)</f>
        <v/>
      </c>
      <c r="C154">
        <f>'2'!K384</f>
        <v/>
      </c>
      <c r="D154">
        <f>'2'!E384</f>
        <v/>
      </c>
      <c r="E154">
        <f>'2'!Q384</f>
        <v/>
      </c>
      <c r="F154" t="n">
        <v>33076041.79373298</v>
      </c>
      <c r="G154">
        <f>F154/1000000</f>
        <v/>
      </c>
      <c r="I154" s="988" t="n">
        <v>75.23653440354173</v>
      </c>
      <c r="J154" s="922">
        <f>I154-C154</f>
        <v/>
      </c>
      <c r="L154" s="988" t="n">
        <v>3.803155738140657</v>
      </c>
      <c r="M154" s="922">
        <f>L154-D154</f>
        <v/>
      </c>
    </row>
    <row r="155">
      <c r="A155" t="inlineStr">
        <is>
          <t>Oct-Dec 2022</t>
        </is>
      </c>
      <c r="B155">
        <f>RIGHT(A155, LEN(A155) - 8)</f>
        <v/>
      </c>
      <c r="C155">
        <f>'2'!K385</f>
        <v/>
      </c>
      <c r="D155">
        <f>'2'!E385</f>
        <v/>
      </c>
      <c r="E155">
        <f>'2'!Q385</f>
        <v/>
      </c>
      <c r="F155" t="n">
        <v>33066998.46733286</v>
      </c>
      <c r="G155">
        <f>F155/1000000</f>
        <v/>
      </c>
      <c r="I155" s="988" t="n">
        <v>75.18609011840306</v>
      </c>
      <c r="J155" s="922">
        <f>I155-C155</f>
        <v/>
      </c>
      <c r="L155" s="988" t="n">
        <v>3.873868244431654</v>
      </c>
      <c r="M155" s="922">
        <f>L155-D155</f>
        <v/>
      </c>
    </row>
    <row r="156">
      <c r="A156" t="inlineStr">
        <is>
          <t>Nov-Jan 2023</t>
        </is>
      </c>
      <c r="B156">
        <f>RIGHT(A156, LEN(A156) - 8)</f>
        <v/>
      </c>
      <c r="C156">
        <f>'2'!K386</f>
        <v/>
      </c>
      <c r="D156">
        <f>'2'!E386</f>
        <v/>
      </c>
      <c r="E156">
        <f>'2'!Q386</f>
        <v/>
      </c>
      <c r="F156" t="n">
        <v>33099434.59521031</v>
      </c>
      <c r="G156">
        <f>F156/1000000</f>
        <v/>
      </c>
      <c r="I156" s="988" t="n">
        <v>75.24363706292365</v>
      </c>
      <c r="J156" s="922">
        <f>I156-C156</f>
        <v/>
      </c>
      <c r="L156" s="988" t="n">
        <v>3.819650981152872</v>
      </c>
      <c r="M156" s="922">
        <f>L156-D156</f>
        <v/>
      </c>
    </row>
    <row r="157">
      <c r="A157" t="inlineStr">
        <is>
          <t>Dec-Feb 2023</t>
        </is>
      </c>
      <c r="B157">
        <f>RIGHT(A157, LEN(A157) - 8)</f>
        <v/>
      </c>
      <c r="C157">
        <f>'2'!K387</f>
        <v/>
      </c>
      <c r="D157">
        <f>'2'!E387</f>
        <v/>
      </c>
      <c r="E157">
        <f>'2'!Q387</f>
        <v/>
      </c>
      <c r="F157" t="n">
        <v>33175551.15060799</v>
      </c>
      <c r="G157">
        <f>F157/1000000</f>
        <v/>
      </c>
      <c r="I157" s="988" t="n">
        <v>75.23848134687134</v>
      </c>
      <c r="J157" s="922">
        <f>I157-C157</f>
        <v/>
      </c>
      <c r="L157" s="988" t="n">
        <v>3.899553029289738</v>
      </c>
      <c r="M157" s="922">
        <f>L157-D157</f>
        <v/>
      </c>
    </row>
    <row r="158">
      <c r="A158" t="inlineStr">
        <is>
          <t>Jan-Mar 2023</t>
        </is>
      </c>
      <c r="B158">
        <f>RIGHT(A158, LEN(A158) - 8)</f>
        <v/>
      </c>
      <c r="C158">
        <f>'2'!K388</f>
        <v/>
      </c>
      <c r="D158">
        <f>'2'!E388</f>
        <v/>
      </c>
      <c r="E158">
        <f>'2'!Q388</f>
        <v/>
      </c>
      <c r="F158" t="n">
        <v>33200617.4840371</v>
      </c>
      <c r="G158">
        <f>F158/1000000</f>
        <v/>
      </c>
      <c r="I158" s="988" t="n">
        <v>75.27870315588686</v>
      </c>
      <c r="J158" s="922">
        <f>I158-C158</f>
        <v/>
      </c>
      <c r="L158" s="988" t="n">
        <v>3.999166158341896</v>
      </c>
      <c r="M158" s="922">
        <f>L158-D158</f>
        <v/>
      </c>
    </row>
    <row r="159">
      <c r="A159" t="inlineStr">
        <is>
          <t>Feb-Apr 2023</t>
        </is>
      </c>
      <c r="B159">
        <f>RIGHT(A159, LEN(A159) - 8)</f>
        <v/>
      </c>
      <c r="C159">
        <f>'2'!K389</f>
        <v/>
      </c>
      <c r="D159">
        <f>'2'!E389</f>
        <v/>
      </c>
      <c r="E159">
        <f>'2'!Q389</f>
        <v/>
      </c>
      <c r="F159" t="n">
        <v>33325667.59716491</v>
      </c>
      <c r="G159">
        <f>F159/1000000</f>
        <v/>
      </c>
      <c r="I159" s="988" t="n">
        <v>75.43069012796637</v>
      </c>
      <c r="J159" s="922">
        <f>I159-C159</f>
        <v/>
      </c>
      <c r="L159" s="988" t="n">
        <v>3.901681387095709</v>
      </c>
      <c r="M159" s="922">
        <f>L159-D159</f>
        <v/>
      </c>
    </row>
    <row r="160">
      <c r="A160" t="inlineStr">
        <is>
          <t>Mar-May 2023</t>
        </is>
      </c>
      <c r="B160">
        <f>RIGHT(A160, LEN(A160) - 8)</f>
        <v/>
      </c>
      <c r="C160">
        <f>'2'!K390</f>
        <v/>
      </c>
      <c r="D160">
        <f>'2'!E390</f>
        <v/>
      </c>
      <c r="E160">
        <f>'2'!Q390</f>
        <v/>
      </c>
      <c r="F160" t="n">
        <v>33310556.78207575</v>
      </c>
      <c r="G160">
        <f>F160/1000000</f>
        <v/>
      </c>
      <c r="I160" s="988" t="n">
        <v>75.46029284698649</v>
      </c>
      <c r="J160" s="922">
        <f>I160-C160</f>
        <v/>
      </c>
      <c r="L160" s="988" t="n">
        <v>4.01972314419322</v>
      </c>
      <c r="M160" s="922">
        <f>L160-D160</f>
        <v/>
      </c>
    </row>
    <row r="161">
      <c r="A161" t="inlineStr">
        <is>
          <t>Apr-Jun 2023</t>
        </is>
      </c>
      <c r="B161">
        <f>RIGHT(A161, LEN(A161) - 8)</f>
        <v/>
      </c>
      <c r="C161">
        <f>'2'!K391</f>
        <v/>
      </c>
      <c r="D161">
        <f>'2'!E391</f>
        <v/>
      </c>
      <c r="E161">
        <f>'2'!Q391</f>
        <v/>
      </c>
      <c r="F161" t="n">
        <v>33162821.43488222</v>
      </c>
      <c r="G161">
        <f>F161/1000000</f>
        <v/>
      </c>
      <c r="I161" s="988" t="n">
        <v>75.16918776964731</v>
      </c>
      <c r="J161" s="922">
        <f>I161-C161</f>
        <v/>
      </c>
      <c r="L161" s="988" t="n">
        <v>4.218053804210328</v>
      </c>
      <c r="M161" s="922">
        <f>L161-D161</f>
        <v/>
      </c>
    </row>
    <row r="162">
      <c r="A162" t="inlineStr">
        <is>
          <t>May-Jul 2023</t>
        </is>
      </c>
      <c r="B162">
        <f>RIGHT(A162, LEN(A162) - 8)</f>
        <v/>
      </c>
      <c r="C162">
        <f>'2'!K392</f>
        <v/>
      </c>
      <c r="D162">
        <f>'2'!E392</f>
        <v/>
      </c>
      <c r="E162">
        <f>'2'!Q392</f>
        <v/>
      </c>
      <c r="F162" t="n">
        <v>33082006.65421486</v>
      </c>
      <c r="G162">
        <f>F162/1000000</f>
        <v/>
      </c>
      <c r="I162" s="988" t="n">
        <v>74.91192303627233</v>
      </c>
      <c r="J162" s="922">
        <f>I162-C162</f>
        <v/>
      </c>
      <c r="L162" s="988" t="n">
        <v>4.327557519932277</v>
      </c>
      <c r="M162" s="922">
        <f>L162-D162</f>
        <v/>
      </c>
    </row>
    <row r="163">
      <c r="A163" t="inlineStr">
        <is>
          <t>Jun-Aug 2023</t>
        </is>
      </c>
      <c r="B163">
        <f>RIGHT(A163, LEN(A163) - 8)</f>
        <v/>
      </c>
      <c r="C163">
        <f>'2'!K393</f>
        <v/>
      </c>
      <c r="D163">
        <f>'2'!E393</f>
        <v/>
      </c>
      <c r="E163">
        <f>'2'!Q393</f>
        <v/>
      </c>
      <c r="F163" t="n">
        <v>33027892.86868375</v>
      </c>
      <c r="G163">
        <f>F163/1000000</f>
        <v/>
      </c>
      <c r="I163" s="988" t="n">
        <v>74.74498469860642</v>
      </c>
      <c r="J163" s="922">
        <f>I163-C163</f>
        <v/>
      </c>
      <c r="L163" s="988" t="n">
        <v>4.21208599958077</v>
      </c>
      <c r="M163" s="922">
        <f>L163-D163</f>
        <v/>
      </c>
    </row>
    <row r="164">
      <c r="A164" t="inlineStr">
        <is>
          <t>Jul-Sep 2023</t>
        </is>
      </c>
      <c r="B164">
        <f>RIGHT(A164, LEN(A164) - 8)</f>
        <v/>
      </c>
      <c r="C164">
        <f>'2'!K394</f>
        <v/>
      </c>
      <c r="D164">
        <f>'2'!E394</f>
        <v/>
      </c>
      <c r="E164">
        <f>'2'!Q394</f>
        <v/>
      </c>
      <c r="F164" t="n">
        <v>33102185.80371803</v>
      </c>
      <c r="G164">
        <f>F164/1000000</f>
        <v/>
      </c>
      <c r="I164" s="988" t="n">
        <v>74.84646884495379</v>
      </c>
      <c r="J164" s="922">
        <f>I164-C164</f>
        <v/>
      </c>
      <c r="L164" s="988" t="n">
        <v>4.076241538254306</v>
      </c>
      <c r="M164" s="922">
        <f>L164-D164</f>
        <v/>
      </c>
    </row>
    <row r="165">
      <c r="A165" t="inlineStr">
        <is>
          <t>Aug-Oct 2023</t>
        </is>
      </c>
      <c r="B165">
        <f>RIGHT(A165, LEN(A165) - 8)</f>
        <v/>
      </c>
      <c r="C165">
        <f>'2'!K395</f>
        <v/>
      </c>
      <c r="D165">
        <f>'2'!E395</f>
        <v/>
      </c>
      <c r="E165">
        <f>'2'!Q395</f>
        <v/>
      </c>
      <c r="F165" t="n">
        <v>33195699.01136957</v>
      </c>
      <c r="G165">
        <f>F165/1000000</f>
        <v/>
      </c>
      <c r="I165" s="988" t="n">
        <v>75.06267675799042</v>
      </c>
      <c r="J165" s="922">
        <f>I165-C165</f>
        <v/>
      </c>
      <c r="L165" s="988" t="n">
        <v>3.954574933780591</v>
      </c>
      <c r="M165" s="922">
        <f>L165-D165</f>
        <v/>
      </c>
    </row>
    <row r="166">
      <c r="A166" t="inlineStr">
        <is>
          <t>Sep-Nov 2023</t>
        </is>
      </c>
      <c r="B166">
        <f>RIGHT(A166, LEN(A166) - 8)</f>
        <v/>
      </c>
      <c r="C166">
        <f>'2'!K396</f>
        <v/>
      </c>
      <c r="D166">
        <f>'2'!E396</f>
        <v/>
      </c>
      <c r="E166">
        <f>'2'!Q396</f>
        <v/>
      </c>
      <c r="F166" t="n">
        <v>33136212.16941565</v>
      </c>
      <c r="G166">
        <f>F166/1000000</f>
        <v/>
      </c>
      <c r="I166" s="988" t="n">
        <v>74.98748619835801</v>
      </c>
      <c r="J166" s="922">
        <f>I166-C166</f>
        <v/>
      </c>
      <c r="L166" s="988" t="n">
        <v>3.929177074765049</v>
      </c>
      <c r="M166" s="922">
        <f>L166-D166</f>
        <v/>
      </c>
    </row>
    <row r="167">
      <c r="A167" t="inlineStr">
        <is>
          <t>Oct-Dec 2023</t>
        </is>
      </c>
      <c r="B167">
        <f>RIGHT(A167, LEN(A167) - 8)</f>
        <v/>
      </c>
      <c r="C167">
        <f>'2'!K397</f>
        <v/>
      </c>
      <c r="D167">
        <f>'2'!E397</f>
        <v/>
      </c>
      <c r="E167">
        <f>'2'!Q397</f>
        <v/>
      </c>
      <c r="F167" t="n">
        <v>33174381.3381513</v>
      </c>
      <c r="G167">
        <f>F167/1000000</f>
        <v/>
      </c>
      <c r="I167" s="988" t="n">
        <v>75.00856523743148</v>
      </c>
      <c r="J167" s="922">
        <f>I167-C167</f>
        <v/>
      </c>
      <c r="L167" s="988" t="n">
        <v>3.826618326559586</v>
      </c>
      <c r="M167" s="922">
        <f>L167-D167</f>
        <v/>
      </c>
    </row>
    <row r="168">
      <c r="A168" t="inlineStr">
        <is>
          <t>Nov-Jan 2024</t>
        </is>
      </c>
      <c r="B168">
        <f>RIGHT(A168, LEN(A168) - 8)</f>
        <v/>
      </c>
      <c r="C168">
        <f>'2'!K398</f>
        <v/>
      </c>
      <c r="D168">
        <f>'2'!E398</f>
        <v/>
      </c>
      <c r="E168">
        <f>'2'!Q398</f>
        <v/>
      </c>
      <c r="F168" t="n">
        <v>33174976.0243221</v>
      </c>
      <c r="G168">
        <f>F168/1000000</f>
        <v/>
      </c>
      <c r="I168" s="988" t="n">
        <v>74.84542434693246</v>
      </c>
      <c r="J168" s="922">
        <f>I168-C168</f>
        <v/>
      </c>
      <c r="L168" s="988" t="n">
        <v>3.981339309189242</v>
      </c>
      <c r="M168" s="922">
        <f>L168-D168</f>
        <v/>
      </c>
    </row>
    <row r="169">
      <c r="A169" t="inlineStr">
        <is>
          <t>Dec-Feb 2024</t>
        </is>
      </c>
      <c r="B169">
        <f>RIGHT(A169, LEN(A169) - 8)</f>
        <v/>
      </c>
      <c r="C169">
        <f>'2'!K399</f>
        <v/>
      </c>
      <c r="D169">
        <f>'2'!E399</f>
        <v/>
      </c>
      <c r="E169">
        <f>'2'!Q399</f>
        <v/>
      </c>
      <c r="I169" s="1009" t="n">
        <v>74.48788745193859</v>
      </c>
      <c r="J169" s="922">
        <f>I169-C169</f>
        <v/>
      </c>
      <c r="L169" s="1009" t="n">
        <v>4.183920879300816</v>
      </c>
      <c r="M169" s="922">
        <f>L169-D169</f>
        <v/>
      </c>
    </row>
    <row r="170">
      <c r="A170" t="inlineStr">
        <is>
          <t>Jan-Mar 2024</t>
        </is>
      </c>
      <c r="B170">
        <f>RIGHT(A170, LEN(A170) - 8)</f>
        <v/>
      </c>
      <c r="C170">
        <f>'2'!K400</f>
        <v/>
      </c>
      <c r="D170">
        <f>'2'!E400</f>
        <v/>
      </c>
      <c r="E170">
        <f>'2'!Q400</f>
        <v/>
      </c>
      <c r="J170" s="922" t="n"/>
    </row>
    <row r="171">
      <c r="A171" t="inlineStr">
        <is>
          <t>Feb-Apr 2024</t>
        </is>
      </c>
      <c r="B171">
        <f>RIGHT(A171, LEN(A171) - 8)</f>
        <v/>
      </c>
      <c r="C171">
        <f>'2'!K401</f>
        <v/>
      </c>
      <c r="D171">
        <f>'2'!E401</f>
        <v/>
      </c>
      <c r="E171">
        <f>'2'!Q401</f>
        <v/>
      </c>
      <c r="J171" s="922" t="n"/>
    </row>
    <row r="172">
      <c r="A172" t="inlineStr">
        <is>
          <t>Mar-May 2024</t>
        </is>
      </c>
      <c r="B172">
        <f>RIGHT(A172, LEN(A172) - 8)</f>
        <v/>
      </c>
      <c r="C172">
        <f>'2'!K402</f>
        <v/>
      </c>
      <c r="D172">
        <f>'2'!E402</f>
        <v/>
      </c>
      <c r="E172">
        <f>'2'!Q402</f>
        <v/>
      </c>
      <c r="J172" s="922" t="n"/>
    </row>
    <row r="173">
      <c r="A173" t="inlineStr">
        <is>
          <t>Apr-Jun 2024</t>
        </is>
      </c>
      <c r="B173">
        <f>RIGHT(A173, LEN(A173) - 8)</f>
        <v/>
      </c>
      <c r="C173">
        <f>'2'!K403</f>
        <v/>
      </c>
      <c r="D173">
        <f>'2'!E403</f>
        <v/>
      </c>
      <c r="E173">
        <f>'2'!Q403</f>
        <v/>
      </c>
      <c r="J173" s="922" t="n"/>
    </row>
    <row r="174">
      <c r="A174" t="inlineStr">
        <is>
          <t>May-Jul 2024</t>
        </is>
      </c>
      <c r="B174">
        <f>RIGHT(A174, LEN(A174) - 8)</f>
        <v/>
      </c>
      <c r="C174">
        <f>'2'!K404</f>
        <v/>
      </c>
      <c r="D174">
        <f>'2'!E404</f>
        <v/>
      </c>
      <c r="E174">
        <f>'2'!Q404</f>
        <v/>
      </c>
      <c r="J174" s="922" t="n"/>
      <c r="O174" t="inlineStr">
        <is>
          <t>Inactivity Rate (16-64, Seasonally Adjusted (%))</t>
        </is>
      </c>
    </row>
    <row r="175">
      <c r="A175" t="inlineStr">
        <is>
          <t>Jun-Aug 2024</t>
        </is>
      </c>
      <c r="B175">
        <f>RIGHT(A175, LEN(A175) - 8)</f>
        <v/>
      </c>
      <c r="C175">
        <f>'2'!K405</f>
        <v/>
      </c>
      <c r="D175">
        <f>'2'!E405</f>
        <v/>
      </c>
      <c r="E175">
        <f>'2'!Q405</f>
        <v/>
      </c>
      <c r="J175" s="922" t="n"/>
    </row>
    <row r="176">
      <c r="A176" t="inlineStr">
        <is>
          <t>Jul-Sep 2024</t>
        </is>
      </c>
      <c r="B176">
        <f>RIGHT(A176, LEN(A176) - 8)</f>
        <v/>
      </c>
      <c r="C176">
        <f>'2'!K406</f>
        <v/>
      </c>
      <c r="D176">
        <f>'2'!E406</f>
        <v/>
      </c>
      <c r="E176">
        <f>'2'!Q406</f>
        <v/>
      </c>
      <c r="J176" s="922" t="n"/>
    </row>
    <row r="177">
      <c r="A177" t="inlineStr">
        <is>
          <t>Aug-Oct 2024</t>
        </is>
      </c>
      <c r="B177">
        <f>RIGHT(A177, LEN(A177) - 8)</f>
        <v/>
      </c>
      <c r="C177">
        <f>'2'!K407</f>
        <v/>
      </c>
      <c r="D177">
        <f>'2'!E407</f>
        <v/>
      </c>
      <c r="E177">
        <f>'2'!Q407</f>
        <v/>
      </c>
      <c r="J177" s="922" t="n"/>
    </row>
    <row r="178">
      <c r="A178" t="inlineStr">
        <is>
          <t>Sep-Nov 2024</t>
        </is>
      </c>
      <c r="B178">
        <f>RIGHT(A178, LEN(A178) - 8)</f>
        <v/>
      </c>
      <c r="C178">
        <f>'2'!K408</f>
        <v/>
      </c>
      <c r="D178">
        <f>'2'!E408</f>
        <v/>
      </c>
      <c r="E178">
        <f>'2'!Q408</f>
        <v/>
      </c>
      <c r="J178" s="922" t="n"/>
    </row>
    <row r="179">
      <c r="A179" s="18" t="inlineStr">
        <is>
          <t>Oct-Dec 2024</t>
        </is>
      </c>
      <c r="B179">
        <f>RIGHT(A179, LEN(A179) - 8)</f>
        <v/>
      </c>
      <c r="C179">
        <f>'2'!K409</f>
        <v/>
      </c>
      <c r="D179">
        <f>'2'!E409</f>
        <v/>
      </c>
      <c r="E179">
        <f>'2'!Q409</f>
        <v/>
      </c>
      <c r="J179" s="922" t="n"/>
    </row>
    <row r="180">
      <c r="A180" t="inlineStr">
        <is>
          <t>Nov-Jan 2025</t>
        </is>
      </c>
      <c r="B180">
        <f>RIGHT(A180, LEN(A180) - 8)</f>
        <v/>
      </c>
      <c r="C180">
        <f>'2'!K410</f>
        <v/>
      </c>
      <c r="D180">
        <f>'2'!E410</f>
        <v/>
      </c>
      <c r="E180">
        <f>'2'!Q410</f>
        <v/>
      </c>
      <c r="J180" s="922" t="n"/>
    </row>
    <row r="181">
      <c r="A181" t="inlineStr">
        <is>
          <t>Dec-Feb 2025</t>
        </is>
      </c>
      <c r="B181">
        <f>RIGHT(A181, LEN(A181) - 8)</f>
        <v/>
      </c>
      <c r="C181">
        <f>'2'!K411</f>
        <v/>
      </c>
      <c r="D181">
        <f>'2'!E411</f>
        <v/>
      </c>
      <c r="E181">
        <f>'2'!Q411</f>
        <v/>
      </c>
      <c r="J181" s="922" t="n"/>
    </row>
    <row r="182">
      <c r="A182" s="18" t="inlineStr">
        <is>
          <t>Jan-Mar 2025</t>
        </is>
      </c>
      <c r="B182">
        <f>RIGHT(A182, LEN(A182) - 8)</f>
        <v/>
      </c>
      <c r="C182">
        <f>'2'!K412</f>
        <v/>
      </c>
      <c r="D182">
        <f>'2'!E412</f>
        <v/>
      </c>
      <c r="E182">
        <f>'2'!Q412</f>
        <v/>
      </c>
      <c r="J182" s="922" t="n"/>
    </row>
    <row r="183">
      <c r="A183" s="18" t="inlineStr">
        <is>
          <t>Feb-Apr 2025</t>
        </is>
      </c>
      <c r="B183">
        <f>RIGHT(A183, LEN(A183) - 8)</f>
        <v/>
      </c>
      <c r="C183">
        <f>'2'!K413</f>
        <v/>
      </c>
      <c r="D183">
        <f>'2'!E413</f>
        <v/>
      </c>
      <c r="E183">
        <f>'2'!Q413</f>
        <v/>
      </c>
      <c r="J183" s="922" t="n"/>
    </row>
    <row r="184">
      <c r="A184" s="18" t="inlineStr">
        <is>
          <t>Mar-May 2025</t>
        </is>
      </c>
      <c r="B184">
        <f>RIGHT(A184, LEN(A184) - 8)</f>
        <v/>
      </c>
      <c r="C184">
        <f>'2'!K414</f>
        <v/>
      </c>
      <c r="D184">
        <f>'2'!E414</f>
        <v/>
      </c>
      <c r="E184">
        <f>'2'!Q414</f>
        <v/>
      </c>
      <c r="J184" s="922" t="n"/>
    </row>
    <row r="185">
      <c r="A185" s="18" t="inlineStr">
        <is>
          <t>Apr-Jun 2025</t>
        </is>
      </c>
      <c r="B185">
        <f>RIGHT(A185, LEN(A185) - 8)</f>
        <v/>
      </c>
      <c r="C185">
        <f>'2'!K415</f>
        <v/>
      </c>
      <c r="D185">
        <f>'2'!E415</f>
        <v/>
      </c>
      <c r="E185">
        <f>'2'!Q415</f>
        <v/>
      </c>
      <c r="J185" s="922" t="n"/>
    </row>
    <row r="186">
      <c r="A186" s="18" t="inlineStr">
        <is>
          <t>May-Jul 2025</t>
        </is>
      </c>
      <c r="B186">
        <f>RIGHT(A186, LEN(A186) - 8)</f>
        <v/>
      </c>
      <c r="C186">
        <f>'2'!K416</f>
        <v/>
      </c>
      <c r="D186">
        <f>'2'!E416</f>
        <v/>
      </c>
      <c r="E186">
        <f>'2'!Q416</f>
        <v/>
      </c>
      <c r="J186" s="922" t="n"/>
    </row>
    <row r="187">
      <c r="A187" s="18" t="inlineStr">
        <is>
          <t>Jun-Aug 2025</t>
        </is>
      </c>
      <c r="B187">
        <f>RIGHT(A187, LEN(A187) - 8)</f>
        <v/>
      </c>
      <c r="C187">
        <f>'2'!K417</f>
        <v/>
      </c>
      <c r="D187">
        <f>'2'!E417</f>
        <v/>
      </c>
      <c r="E187">
        <f>'2'!Q417</f>
        <v/>
      </c>
      <c r="J187" s="922" t="n"/>
    </row>
    <row r="188">
      <c r="A188" s="722" t="inlineStr">
        <is>
          <t>Jul-Sep 2025</t>
        </is>
      </c>
      <c r="B188">
        <f>RIGHT(A188, LEN(A188) - 8)</f>
        <v/>
      </c>
      <c r="C188">
        <f>'2'!K418</f>
        <v/>
      </c>
      <c r="D188">
        <f>'2'!E418</f>
        <v/>
      </c>
      <c r="E188">
        <f>'2'!Q418</f>
        <v/>
      </c>
      <c r="J188" s="922" t="n"/>
    </row>
    <row r="189">
      <c r="A189" s="714" t="inlineStr">
        <is>
          <t>Aug-Oct 2025</t>
        </is>
      </c>
      <c r="B189">
        <f>RIGHT(A189, LEN(A189) - 8)</f>
        <v/>
      </c>
      <c r="C189">
        <f>'2'!K419</f>
        <v/>
      </c>
      <c r="D189">
        <f>'2'!E419</f>
        <v/>
      </c>
      <c r="E189">
        <f>'2'!Q419</f>
        <v/>
      </c>
      <c r="J189" s="922" t="n"/>
    </row>
    <row r="190">
      <c r="J190" s="922" t="n"/>
    </row>
    <row r="191">
      <c r="J191" s="922" t="n"/>
    </row>
    <row r="192">
      <c r="J192" s="922" t="n"/>
    </row>
    <row r="193">
      <c r="J193" s="922" t="n"/>
    </row>
    <row r="194">
      <c r="J194" s="922" t="n"/>
    </row>
    <row r="195">
      <c r="J195" s="922" t="n"/>
    </row>
    <row r="196">
      <c r="J196" s="922" t="n"/>
    </row>
    <row r="197">
      <c r="J197" s="922" t="n"/>
    </row>
    <row r="198">
      <c r="J198" s="922" t="n"/>
    </row>
    <row r="199">
      <c r="J199" s="922" t="n"/>
    </row>
    <row r="200">
      <c r="J200" s="922" t="n"/>
    </row>
    <row r="201">
      <c r="J201" s="922" t="n"/>
    </row>
    <row r="202">
      <c r="J202" s="922" t="n"/>
    </row>
    <row r="203">
      <c r="J203" s="922" t="n"/>
    </row>
    <row r="204">
      <c r="J204" s="922" t="n"/>
    </row>
    <row r="205">
      <c r="J205" s="922" t="n"/>
    </row>
    <row r="206">
      <c r="J206" s="922" t="n"/>
    </row>
    <row r="207">
      <c r="J207" s="922" t="n"/>
    </row>
    <row r="208">
      <c r="J208" s="922" t="n"/>
    </row>
    <row r="209">
      <c r="J209" s="922" t="n"/>
    </row>
    <row r="210">
      <c r="J210" s="922" t="n"/>
    </row>
    <row r="211">
      <c r="J211" s="922" t="n"/>
    </row>
    <row r="212">
      <c r="J212" s="922" t="n"/>
    </row>
    <row r="213">
      <c r="J213" s="922" t="n"/>
    </row>
    <row r="214">
      <c r="J214" s="922" t="n"/>
    </row>
    <row r="215">
      <c r="J215" s="922" t="n"/>
    </row>
    <row r="216">
      <c r="J216" s="922" t="n"/>
    </row>
    <row r="217">
      <c r="J217" s="922" t="n"/>
    </row>
    <row r="218">
      <c r="J218" s="922" t="n"/>
    </row>
    <row r="219">
      <c r="J219" s="922" t="n"/>
    </row>
    <row r="220">
      <c r="J220" s="922" t="n"/>
    </row>
    <row r="221">
      <c r="J221" s="922" t="n"/>
    </row>
    <row r="222">
      <c r="J222" s="922" t="n"/>
    </row>
    <row r="223">
      <c r="J223" s="922" t="n"/>
    </row>
    <row r="224">
      <c r="J224" s="922" t="n"/>
    </row>
    <row r="225">
      <c r="J225" s="922" t="n"/>
    </row>
    <row r="226">
      <c r="J226" s="922" t="n"/>
    </row>
    <row r="227">
      <c r="J227" s="922" t="n"/>
    </row>
    <row r="228">
      <c r="J228" s="922" t="n"/>
    </row>
    <row r="229">
      <c r="J229" s="922" t="n"/>
    </row>
    <row r="230">
      <c r="J230" s="922" t="n"/>
    </row>
    <row r="231">
      <c r="J231" s="922" t="n"/>
    </row>
    <row r="232">
      <c r="J232" s="922" t="n"/>
    </row>
    <row r="233">
      <c r="J233" s="922" t="n"/>
    </row>
    <row r="234">
      <c r="J234" s="922" t="n"/>
    </row>
    <row r="235">
      <c r="J235" s="922" t="n"/>
    </row>
    <row r="236">
      <c r="J236" s="922" t="n"/>
    </row>
    <row r="237">
      <c r="J237" s="922" t="n"/>
    </row>
    <row r="238">
      <c r="J238" s="922" t="n"/>
    </row>
    <row r="239">
      <c r="J239" s="922" t="n"/>
    </row>
    <row r="240">
      <c r="J240" s="922" t="n"/>
    </row>
    <row r="241">
      <c r="J241" s="922" t="n"/>
    </row>
    <row r="242">
      <c r="J242" s="922" t="n"/>
    </row>
    <row r="243">
      <c r="J243" s="922" t="n"/>
    </row>
    <row r="244">
      <c r="J244" s="922" t="n"/>
    </row>
    <row r="245">
      <c r="J245" s="922" t="n"/>
    </row>
    <row r="246">
      <c r="J246" s="922" t="n"/>
    </row>
    <row r="247">
      <c r="J247" s="922" t="n"/>
    </row>
    <row r="248">
      <c r="J248" s="922" t="n"/>
    </row>
    <row r="249">
      <c r="J249" s="922" t="n"/>
    </row>
    <row r="250">
      <c r="J250" s="922" t="n"/>
    </row>
    <row r="251">
      <c r="J251" s="922" t="n"/>
    </row>
    <row r="252">
      <c r="J252" s="922" t="n"/>
    </row>
    <row r="253">
      <c r="J253" s="922" t="n"/>
    </row>
    <row r="254">
      <c r="J254" s="922" t="n"/>
    </row>
    <row r="255">
      <c r="J255" s="922" t="n"/>
    </row>
    <row r="256">
      <c r="J256" s="922" t="n"/>
    </row>
    <row r="257">
      <c r="J257" s="922" t="n"/>
    </row>
    <row r="258">
      <c r="J258" s="922" t="n"/>
    </row>
    <row r="259">
      <c r="J259" s="922" t="n"/>
    </row>
    <row r="260">
      <c r="J260" s="922" t="n"/>
    </row>
    <row r="261">
      <c r="J261" s="922" t="n"/>
    </row>
    <row r="262">
      <c r="J262" s="922" t="n"/>
    </row>
    <row r="263">
      <c r="J263" s="922" t="n"/>
    </row>
    <row r="264">
      <c r="J264" s="922" t="n"/>
    </row>
    <row r="265">
      <c r="J265" s="922" t="n"/>
    </row>
    <row r="266">
      <c r="J266" s="922" t="n"/>
    </row>
    <row r="267">
      <c r="J267" s="922" t="n"/>
    </row>
    <row r="268">
      <c r="J268" s="922" t="n"/>
    </row>
    <row r="269">
      <c r="J269" s="922" t="n"/>
    </row>
    <row r="270">
      <c r="J270" s="922" t="n"/>
    </row>
    <row r="271">
      <c r="J271" s="922" t="n"/>
    </row>
    <row r="272">
      <c r="J272" s="922" t="n"/>
    </row>
    <row r="273">
      <c r="J273" s="922" t="n"/>
    </row>
    <row r="274">
      <c r="J274" s="922" t="n"/>
    </row>
    <row r="275">
      <c r="J275" s="922" t="n"/>
    </row>
    <row r="276">
      <c r="J276" s="922" t="n"/>
    </row>
    <row r="277">
      <c r="J277" s="922" t="n"/>
    </row>
    <row r="278">
      <c r="J278" s="922" t="n"/>
    </row>
    <row r="279">
      <c r="J279" s="922" t="n"/>
    </row>
    <row r="280">
      <c r="J280" s="922" t="n"/>
    </row>
    <row r="281">
      <c r="J281" s="922" t="n"/>
    </row>
    <row r="282">
      <c r="J282" s="922" t="n"/>
    </row>
    <row r="283">
      <c r="J283" s="922" t="n"/>
    </row>
    <row r="284">
      <c r="J284" s="922" t="n"/>
    </row>
    <row r="285">
      <c r="J285" s="922" t="n"/>
    </row>
    <row r="286">
      <c r="J286" s="922" t="n"/>
    </row>
    <row r="287">
      <c r="J287" s="922" t="n"/>
    </row>
    <row r="288">
      <c r="J288" s="922" t="n"/>
    </row>
    <row r="289">
      <c r="J289" s="922" t="n"/>
    </row>
    <row r="290">
      <c r="J290" s="922" t="n"/>
    </row>
    <row r="291">
      <c r="J291" s="922" t="n"/>
    </row>
    <row r="292">
      <c r="J292" s="922" t="n"/>
    </row>
    <row r="293">
      <c r="J293" s="922" t="n"/>
    </row>
    <row r="294">
      <c r="J294" s="922" t="n"/>
    </row>
    <row r="295">
      <c r="J295" s="922" t="n"/>
    </row>
    <row r="296">
      <c r="J296" s="922" t="n"/>
    </row>
    <row r="297">
      <c r="J297" s="922" t="n"/>
    </row>
    <row r="298">
      <c r="J298" s="922" t="n"/>
    </row>
    <row r="299">
      <c r="J299" s="922" t="n"/>
    </row>
    <row r="300">
      <c r="J300" s="922" t="n"/>
    </row>
    <row r="301">
      <c r="J301" s="922" t="n"/>
    </row>
    <row r="302">
      <c r="J302" s="922" t="n"/>
    </row>
    <row r="303">
      <c r="J303" s="922" t="n"/>
    </row>
    <row r="304">
      <c r="J304" s="922" t="n"/>
    </row>
    <row r="305">
      <c r="J305" s="922" t="n"/>
    </row>
    <row r="306">
      <c r="J306" s="922" t="n"/>
    </row>
    <row r="307">
      <c r="J307" s="922" t="n"/>
    </row>
    <row r="308">
      <c r="J308" s="922" t="n"/>
    </row>
    <row r="309">
      <c r="J309" s="922" t="n"/>
    </row>
    <row r="310">
      <c r="J310" s="922" t="n"/>
    </row>
    <row r="311">
      <c r="J311" s="922" t="n"/>
    </row>
    <row r="312">
      <c r="J312" s="922" t="n"/>
    </row>
    <row r="313">
      <c r="J313" s="922" t="n"/>
    </row>
    <row r="314">
      <c r="J314" s="922" t="n"/>
    </row>
    <row r="315">
      <c r="J315" s="922" t="n"/>
    </row>
    <row r="316">
      <c r="J316" s="922" t="n"/>
    </row>
    <row r="317">
      <c r="J317" s="922" t="n"/>
    </row>
    <row r="318">
      <c r="J318" s="922" t="n"/>
    </row>
    <row r="319">
      <c r="J319" s="922" t="n"/>
    </row>
    <row r="320">
      <c r="J320" s="922" t="n"/>
    </row>
    <row r="321">
      <c r="J321" s="922" t="n"/>
    </row>
    <row r="322">
      <c r="J322" s="922" t="n"/>
    </row>
    <row r="323">
      <c r="J323" s="922" t="n"/>
    </row>
    <row r="324">
      <c r="J324" s="922" t="n"/>
    </row>
    <row r="325">
      <c r="J325" s="922" t="n"/>
    </row>
    <row r="326">
      <c r="J326" s="922" t="n"/>
    </row>
    <row r="327">
      <c r="J327" s="922" t="n"/>
    </row>
    <row r="328">
      <c r="J328" s="922" t="n"/>
    </row>
    <row r="329">
      <c r="J329" s="922" t="n"/>
    </row>
    <row r="330">
      <c r="J330" s="922" t="n"/>
    </row>
    <row r="331">
      <c r="J331" s="922" t="n"/>
    </row>
  </sheetData>
  <pageMargins left="0.7" right="0.7" top="0.75" bottom="0.75" header="0.3" footer="0.3"/>
  <drawing xmlns:r="http://schemas.openxmlformats.org/officeDocument/2006/relationships" r:id="rId1"/>
</worksheet>
</file>

<file path=xl/worksheets/sheet32.xml><?xml version="1.0" encoding="utf-8"?>
<worksheet xmlns="http://schemas.openxmlformats.org/spreadsheetml/2006/main">
  <sheetPr>
    <tabColor rgb="FFFF0000"/>
    <outlinePr summaryBelow="1" summaryRight="1"/>
    <pageSetUpPr/>
  </sheetPr>
  <dimension ref="A1:D766"/>
  <sheetViews>
    <sheetView zoomScale="68" workbookViewId="0">
      <selection activeCell="R25" sqref="R25"/>
    </sheetView>
  </sheetViews>
  <sheetFormatPr baseColWidth="8" defaultRowHeight="14.5"/>
  <sheetData>
    <row r="1">
      <c r="B1" s="665" t="n"/>
      <c r="C1" s="665">
        <f>'20'!C16</f>
        <v/>
      </c>
      <c r="D1" s="665" t="n"/>
    </row>
    <row r="2">
      <c r="A2">
        <f>RIGHT(B2,4)</f>
        <v/>
      </c>
      <c r="B2" s="665">
        <f>'20'!A17</f>
        <v/>
      </c>
      <c r="C2">
        <f>'20'!C17</f>
        <v/>
      </c>
    </row>
    <row r="3">
      <c r="A3">
        <f>RIGHT(B3,4)</f>
        <v/>
      </c>
      <c r="B3" s="665">
        <f>'20'!A18</f>
        <v/>
      </c>
      <c r="C3">
        <f>'20'!C18</f>
        <v/>
      </c>
    </row>
    <row r="4">
      <c r="A4">
        <f>RIGHT(B4,4)</f>
        <v/>
      </c>
      <c r="B4" s="665">
        <f>'20'!A19</f>
        <v/>
      </c>
      <c r="C4">
        <f>'20'!C19</f>
        <v/>
      </c>
    </row>
    <row r="5">
      <c r="A5">
        <f>RIGHT(B5,4)</f>
        <v/>
      </c>
      <c r="B5" s="665">
        <f>'20'!A20</f>
        <v/>
      </c>
      <c r="C5">
        <f>'20'!C20</f>
        <v/>
      </c>
    </row>
    <row r="6">
      <c r="A6">
        <f>RIGHT(B6,4)</f>
        <v/>
      </c>
      <c r="B6" s="665">
        <f>'20'!A21</f>
        <v/>
      </c>
      <c r="C6">
        <f>'20'!C21</f>
        <v/>
      </c>
    </row>
    <row r="7">
      <c r="A7">
        <f>RIGHT(B7,4)</f>
        <v/>
      </c>
      <c r="B7" s="665">
        <f>'20'!A22</f>
        <v/>
      </c>
      <c r="C7">
        <f>'20'!C22</f>
        <v/>
      </c>
    </row>
    <row r="8">
      <c r="A8">
        <f>RIGHT(B8,4)</f>
        <v/>
      </c>
      <c r="B8" s="665">
        <f>'20'!A23</f>
        <v/>
      </c>
      <c r="C8">
        <f>'20'!C23</f>
        <v/>
      </c>
    </row>
    <row r="9">
      <c r="A9">
        <f>RIGHT(B9,4)</f>
        <v/>
      </c>
      <c r="B9" s="665">
        <f>'20'!A24</f>
        <v/>
      </c>
      <c r="C9">
        <f>'20'!C24</f>
        <v/>
      </c>
    </row>
    <row r="10">
      <c r="A10">
        <f>RIGHT(B10,4)</f>
        <v/>
      </c>
      <c r="B10" s="665">
        <f>'20'!A25</f>
        <v/>
      </c>
      <c r="C10">
        <f>'20'!C25</f>
        <v/>
      </c>
    </row>
    <row r="11">
      <c r="A11">
        <f>RIGHT(B11,4)</f>
        <v/>
      </c>
      <c r="B11" s="665">
        <f>'20'!A26</f>
        <v/>
      </c>
      <c r="C11">
        <f>'20'!C26</f>
        <v/>
      </c>
    </row>
    <row r="12">
      <c r="A12">
        <f>RIGHT(B12,4)</f>
        <v/>
      </c>
      <c r="B12" s="665">
        <f>'20'!A27</f>
        <v/>
      </c>
      <c r="C12">
        <f>'20'!C27</f>
        <v/>
      </c>
    </row>
    <row r="13">
      <c r="A13">
        <f>RIGHT(B13,4)</f>
        <v/>
      </c>
      <c r="B13" s="665">
        <f>'20'!A28</f>
        <v/>
      </c>
      <c r="C13">
        <f>'20'!C28</f>
        <v/>
      </c>
    </row>
    <row r="14">
      <c r="A14">
        <f>RIGHT(B14,4)</f>
        <v/>
      </c>
      <c r="B14" s="665">
        <f>'20'!A29</f>
        <v/>
      </c>
      <c r="C14">
        <f>'20'!C29</f>
        <v/>
      </c>
    </row>
    <row r="15">
      <c r="A15">
        <f>RIGHT(B15,4)</f>
        <v/>
      </c>
      <c r="B15" s="665">
        <f>'20'!A30</f>
        <v/>
      </c>
      <c r="C15">
        <f>'20'!C30</f>
        <v/>
      </c>
    </row>
    <row r="16">
      <c r="A16">
        <f>RIGHT(B16,4)</f>
        <v/>
      </c>
      <c r="B16" s="665">
        <f>'20'!A31</f>
        <v/>
      </c>
      <c r="C16">
        <f>'20'!C31</f>
        <v/>
      </c>
    </row>
    <row r="17">
      <c r="A17">
        <f>RIGHT(B17,4)</f>
        <v/>
      </c>
      <c r="B17" s="665">
        <f>'20'!A32</f>
        <v/>
      </c>
      <c r="C17">
        <f>'20'!C32</f>
        <v/>
      </c>
    </row>
    <row r="18">
      <c r="A18">
        <f>RIGHT(B18,4)</f>
        <v/>
      </c>
      <c r="B18" s="665">
        <f>'20'!A33</f>
        <v/>
      </c>
      <c r="C18">
        <f>'20'!C33</f>
        <v/>
      </c>
    </row>
    <row r="19">
      <c r="A19">
        <f>RIGHT(B19,4)</f>
        <v/>
      </c>
      <c r="B19" s="665">
        <f>'20'!A34</f>
        <v/>
      </c>
      <c r="C19">
        <f>'20'!C34</f>
        <v/>
      </c>
    </row>
    <row r="20">
      <c r="A20">
        <f>RIGHT(B20,4)</f>
        <v/>
      </c>
      <c r="B20" s="665">
        <f>'20'!A35</f>
        <v/>
      </c>
      <c r="C20">
        <f>'20'!C35</f>
        <v/>
      </c>
    </row>
    <row r="21">
      <c r="A21">
        <f>RIGHT(B21,4)</f>
        <v/>
      </c>
      <c r="B21" s="665">
        <f>'20'!A36</f>
        <v/>
      </c>
      <c r="C21">
        <f>'20'!C36</f>
        <v/>
      </c>
    </row>
    <row r="22">
      <c r="A22">
        <f>RIGHT(B22,4)</f>
        <v/>
      </c>
      <c r="B22" s="665">
        <f>'20'!A37</f>
        <v/>
      </c>
      <c r="C22">
        <f>'20'!C37</f>
        <v/>
      </c>
    </row>
    <row r="23">
      <c r="A23">
        <f>RIGHT(B23,4)</f>
        <v/>
      </c>
      <c r="B23" s="665">
        <f>'20'!A38</f>
        <v/>
      </c>
      <c r="C23">
        <f>'20'!C38</f>
        <v/>
      </c>
    </row>
    <row r="24">
      <c r="A24">
        <f>RIGHT(B24,4)</f>
        <v/>
      </c>
      <c r="B24" s="665">
        <f>'20'!A39</f>
        <v/>
      </c>
      <c r="C24">
        <f>'20'!C39</f>
        <v/>
      </c>
    </row>
    <row r="25">
      <c r="A25">
        <f>RIGHT(B25,4)</f>
        <v/>
      </c>
      <c r="B25" s="665">
        <f>'20'!A40</f>
        <v/>
      </c>
      <c r="C25">
        <f>'20'!C40</f>
        <v/>
      </c>
    </row>
    <row r="26">
      <c r="A26">
        <f>RIGHT(B26,4)</f>
        <v/>
      </c>
      <c r="B26" s="665">
        <f>'20'!A41</f>
        <v/>
      </c>
      <c r="C26">
        <f>'20'!C41</f>
        <v/>
      </c>
    </row>
    <row r="27">
      <c r="A27">
        <f>RIGHT(B27,4)</f>
        <v/>
      </c>
      <c r="B27" s="665">
        <f>'20'!A42</f>
        <v/>
      </c>
      <c r="C27">
        <f>'20'!C42</f>
        <v/>
      </c>
    </row>
    <row r="28">
      <c r="A28">
        <f>RIGHT(B28,4)</f>
        <v/>
      </c>
      <c r="B28" s="665">
        <f>'20'!A43</f>
        <v/>
      </c>
      <c r="C28">
        <f>'20'!C43</f>
        <v/>
      </c>
    </row>
    <row r="29">
      <c r="A29">
        <f>RIGHT(B29,4)</f>
        <v/>
      </c>
      <c r="B29" s="665">
        <f>'20'!A44</f>
        <v/>
      </c>
      <c r="C29">
        <f>'20'!C44</f>
        <v/>
      </c>
    </row>
    <row r="30">
      <c r="A30">
        <f>RIGHT(B30,4)</f>
        <v/>
      </c>
      <c r="B30" s="665">
        <f>'20'!A45</f>
        <v/>
      </c>
      <c r="C30">
        <f>'20'!C45</f>
        <v/>
      </c>
    </row>
    <row r="31">
      <c r="A31">
        <f>RIGHT(B31,4)</f>
        <v/>
      </c>
      <c r="B31" s="665">
        <f>'20'!A46</f>
        <v/>
      </c>
      <c r="C31">
        <f>'20'!C46</f>
        <v/>
      </c>
    </row>
    <row r="32">
      <c r="A32">
        <f>RIGHT(B32,4)</f>
        <v/>
      </c>
      <c r="B32" s="665">
        <f>'20'!A47</f>
        <v/>
      </c>
      <c r="C32">
        <f>'20'!C47</f>
        <v/>
      </c>
    </row>
    <row r="33">
      <c r="A33">
        <f>RIGHT(B33,4)</f>
        <v/>
      </c>
      <c r="B33" s="665">
        <f>'20'!A48</f>
        <v/>
      </c>
      <c r="C33">
        <f>'20'!C48</f>
        <v/>
      </c>
    </row>
    <row r="34">
      <c r="A34">
        <f>RIGHT(B34,4)</f>
        <v/>
      </c>
      <c r="B34" s="665">
        <f>'20'!A49</f>
        <v/>
      </c>
      <c r="C34">
        <f>'20'!C49</f>
        <v/>
      </c>
    </row>
    <row r="35">
      <c r="A35">
        <f>RIGHT(B35,4)</f>
        <v/>
      </c>
      <c r="B35" s="665">
        <f>'20'!A50</f>
        <v/>
      </c>
      <c r="C35">
        <f>'20'!C50</f>
        <v/>
      </c>
    </row>
    <row r="36">
      <c r="A36">
        <f>RIGHT(B36,4)</f>
        <v/>
      </c>
      <c r="B36" s="665">
        <f>'20'!A51</f>
        <v/>
      </c>
      <c r="C36">
        <f>'20'!C51</f>
        <v/>
      </c>
    </row>
    <row r="37">
      <c r="A37">
        <f>RIGHT(B37,4)</f>
        <v/>
      </c>
      <c r="B37" s="665">
        <f>'20'!A52</f>
        <v/>
      </c>
      <c r="C37">
        <f>'20'!C52</f>
        <v/>
      </c>
    </row>
    <row r="38">
      <c r="A38">
        <f>RIGHT(B38,4)</f>
        <v/>
      </c>
      <c r="B38" s="665">
        <f>'20'!A53</f>
        <v/>
      </c>
      <c r="C38">
        <f>'20'!C53</f>
        <v/>
      </c>
    </row>
    <row r="39">
      <c r="A39">
        <f>RIGHT(B39,4)</f>
        <v/>
      </c>
      <c r="B39" s="665">
        <f>'20'!A54</f>
        <v/>
      </c>
      <c r="C39">
        <f>'20'!C54</f>
        <v/>
      </c>
    </row>
    <row r="40">
      <c r="A40">
        <f>RIGHT(B40,4)</f>
        <v/>
      </c>
      <c r="B40" s="665">
        <f>'20'!A55</f>
        <v/>
      </c>
      <c r="C40">
        <f>'20'!C55</f>
        <v/>
      </c>
    </row>
    <row r="41">
      <c r="A41">
        <f>RIGHT(B41,4)</f>
        <v/>
      </c>
      <c r="B41" s="665">
        <f>'20'!A56</f>
        <v/>
      </c>
      <c r="C41">
        <f>'20'!C56</f>
        <v/>
      </c>
    </row>
    <row r="42">
      <c r="A42">
        <f>RIGHT(B42,4)</f>
        <v/>
      </c>
      <c r="B42" s="665">
        <f>'20'!A57</f>
        <v/>
      </c>
      <c r="C42">
        <f>'20'!C57</f>
        <v/>
      </c>
    </row>
    <row r="43">
      <c r="A43">
        <f>RIGHT(B43,4)</f>
        <v/>
      </c>
      <c r="B43" s="665">
        <f>'20'!A58</f>
        <v/>
      </c>
      <c r="C43">
        <f>'20'!C58</f>
        <v/>
      </c>
    </row>
    <row r="44">
      <c r="A44">
        <f>RIGHT(B44,4)</f>
        <v/>
      </c>
      <c r="B44" s="665">
        <f>'20'!A59</f>
        <v/>
      </c>
      <c r="C44">
        <f>'20'!C59</f>
        <v/>
      </c>
    </row>
    <row r="45">
      <c r="A45">
        <f>RIGHT(B45,4)</f>
        <v/>
      </c>
      <c r="B45" s="665">
        <f>'20'!A60</f>
        <v/>
      </c>
      <c r="C45">
        <f>'20'!C60</f>
        <v/>
      </c>
    </row>
    <row r="46">
      <c r="A46">
        <f>RIGHT(B46,4)</f>
        <v/>
      </c>
      <c r="B46" s="665">
        <f>'20'!A61</f>
        <v/>
      </c>
      <c r="C46">
        <f>'20'!C61</f>
        <v/>
      </c>
    </row>
    <row r="47">
      <c r="A47">
        <f>RIGHT(B47,4)</f>
        <v/>
      </c>
      <c r="B47" s="665">
        <f>'20'!A62</f>
        <v/>
      </c>
      <c r="C47">
        <f>'20'!C62</f>
        <v/>
      </c>
    </row>
    <row r="48">
      <c r="A48">
        <f>RIGHT(B48,4)</f>
        <v/>
      </c>
      <c r="B48" s="665">
        <f>'20'!A63</f>
        <v/>
      </c>
      <c r="C48">
        <f>'20'!C63</f>
        <v/>
      </c>
    </row>
    <row r="49">
      <c r="A49">
        <f>RIGHT(B49,4)</f>
        <v/>
      </c>
      <c r="B49" s="665">
        <f>'20'!A64</f>
        <v/>
      </c>
      <c r="C49">
        <f>'20'!C64</f>
        <v/>
      </c>
    </row>
    <row r="50">
      <c r="A50">
        <f>RIGHT(B50,4)</f>
        <v/>
      </c>
      <c r="B50" s="665">
        <f>'20'!A65</f>
        <v/>
      </c>
      <c r="C50">
        <f>'20'!C65</f>
        <v/>
      </c>
    </row>
    <row r="51">
      <c r="A51">
        <f>RIGHT(B51,4)</f>
        <v/>
      </c>
      <c r="B51" s="665">
        <f>'20'!A66</f>
        <v/>
      </c>
      <c r="C51">
        <f>'20'!C66</f>
        <v/>
      </c>
    </row>
    <row r="52">
      <c r="A52">
        <f>RIGHT(B52,4)</f>
        <v/>
      </c>
      <c r="B52" s="665">
        <f>'20'!A67</f>
        <v/>
      </c>
      <c r="C52">
        <f>'20'!C67</f>
        <v/>
      </c>
    </row>
    <row r="53">
      <c r="A53">
        <f>RIGHT(B53,4)</f>
        <v/>
      </c>
      <c r="B53" s="665">
        <f>'20'!A68</f>
        <v/>
      </c>
      <c r="C53">
        <f>'20'!C68</f>
        <v/>
      </c>
    </row>
    <row r="54">
      <c r="A54">
        <f>RIGHT(B54,4)</f>
        <v/>
      </c>
      <c r="B54" s="665">
        <f>'20'!A69</f>
        <v/>
      </c>
      <c r="C54">
        <f>'20'!C69</f>
        <v/>
      </c>
    </row>
    <row r="55">
      <c r="A55">
        <f>RIGHT(B55,4)</f>
        <v/>
      </c>
      <c r="B55" s="665">
        <f>'20'!A70</f>
        <v/>
      </c>
      <c r="C55">
        <f>'20'!C70</f>
        <v/>
      </c>
    </row>
    <row r="56">
      <c r="A56">
        <f>RIGHT(B56,4)</f>
        <v/>
      </c>
      <c r="B56" s="665">
        <f>'20'!A71</f>
        <v/>
      </c>
      <c r="C56">
        <f>'20'!C71</f>
        <v/>
      </c>
    </row>
    <row r="57">
      <c r="A57">
        <f>RIGHT(B57,4)</f>
        <v/>
      </c>
      <c r="B57" s="665">
        <f>'20'!A72</f>
        <v/>
      </c>
      <c r="C57">
        <f>'20'!C72</f>
        <v/>
      </c>
    </row>
    <row r="58">
      <c r="A58">
        <f>RIGHT(B58,4)</f>
        <v/>
      </c>
      <c r="B58" s="665">
        <f>'20'!A73</f>
        <v/>
      </c>
      <c r="C58">
        <f>'20'!C73</f>
        <v/>
      </c>
    </row>
    <row r="59">
      <c r="A59">
        <f>RIGHT(B59,4)</f>
        <v/>
      </c>
      <c r="B59" s="665">
        <f>'20'!A74</f>
        <v/>
      </c>
      <c r="C59">
        <f>'20'!C74</f>
        <v/>
      </c>
    </row>
    <row r="60">
      <c r="A60">
        <f>RIGHT(B60,4)</f>
        <v/>
      </c>
      <c r="B60" s="665">
        <f>'20'!A75</f>
        <v/>
      </c>
      <c r="C60">
        <f>'20'!C75</f>
        <v/>
      </c>
    </row>
    <row r="61">
      <c r="A61">
        <f>RIGHT(B61,4)</f>
        <v/>
      </c>
      <c r="B61" s="665">
        <f>'20'!A76</f>
        <v/>
      </c>
      <c r="C61">
        <f>'20'!C76</f>
        <v/>
      </c>
    </row>
    <row r="62">
      <c r="A62">
        <f>RIGHT(B62,4)</f>
        <v/>
      </c>
      <c r="B62" s="665">
        <f>'20'!A77</f>
        <v/>
      </c>
      <c r="C62">
        <f>'20'!C77</f>
        <v/>
      </c>
    </row>
    <row r="63">
      <c r="A63">
        <f>RIGHT(B63,4)</f>
        <v/>
      </c>
      <c r="B63" s="665">
        <f>'20'!A78</f>
        <v/>
      </c>
      <c r="C63">
        <f>'20'!C78</f>
        <v/>
      </c>
    </row>
    <row r="64">
      <c r="A64">
        <f>RIGHT(B64,4)</f>
        <v/>
      </c>
      <c r="B64" s="665">
        <f>'20'!A79</f>
        <v/>
      </c>
      <c r="C64">
        <f>'20'!C79</f>
        <v/>
      </c>
    </row>
    <row r="65">
      <c r="A65">
        <f>RIGHT(B65,4)</f>
        <v/>
      </c>
      <c r="B65" s="665">
        <f>'20'!A80</f>
        <v/>
      </c>
      <c r="C65">
        <f>'20'!C80</f>
        <v/>
      </c>
    </row>
    <row r="66">
      <c r="A66">
        <f>RIGHT(B66,4)</f>
        <v/>
      </c>
      <c r="B66" s="665">
        <f>'20'!A81</f>
        <v/>
      </c>
      <c r="C66">
        <f>'20'!C81</f>
        <v/>
      </c>
    </row>
    <row r="67">
      <c r="A67">
        <f>RIGHT(B67,4)</f>
        <v/>
      </c>
      <c r="B67" s="665">
        <f>'20'!A82</f>
        <v/>
      </c>
      <c r="C67">
        <f>'20'!C82</f>
        <v/>
      </c>
    </row>
    <row r="68">
      <c r="A68">
        <f>RIGHT(B68,4)</f>
        <v/>
      </c>
      <c r="B68" s="665">
        <f>'20'!A83</f>
        <v/>
      </c>
      <c r="C68">
        <f>'20'!C83</f>
        <v/>
      </c>
    </row>
    <row r="69">
      <c r="A69">
        <f>RIGHT(B69,4)</f>
        <v/>
      </c>
      <c r="B69" s="665">
        <f>'20'!A84</f>
        <v/>
      </c>
      <c r="C69">
        <f>'20'!C84</f>
        <v/>
      </c>
    </row>
    <row r="70">
      <c r="A70">
        <f>RIGHT(B70,4)</f>
        <v/>
      </c>
      <c r="B70" s="665">
        <f>'20'!A85</f>
        <v/>
      </c>
      <c r="C70">
        <f>'20'!C85</f>
        <v/>
      </c>
    </row>
    <row r="71">
      <c r="A71">
        <f>RIGHT(B71,4)</f>
        <v/>
      </c>
      <c r="B71" s="665">
        <f>'20'!A86</f>
        <v/>
      </c>
      <c r="C71">
        <f>'20'!C86</f>
        <v/>
      </c>
    </row>
    <row r="72">
      <c r="A72">
        <f>RIGHT(B72,4)</f>
        <v/>
      </c>
      <c r="B72" s="665">
        <f>'20'!A87</f>
        <v/>
      </c>
      <c r="C72">
        <f>'20'!C87</f>
        <v/>
      </c>
    </row>
    <row r="73">
      <c r="A73">
        <f>RIGHT(B73,4)</f>
        <v/>
      </c>
      <c r="B73" s="665">
        <f>'20'!A88</f>
        <v/>
      </c>
      <c r="C73">
        <f>'20'!C88</f>
        <v/>
      </c>
    </row>
    <row r="74">
      <c r="A74">
        <f>RIGHT(B74,4)</f>
        <v/>
      </c>
      <c r="B74" s="665">
        <f>'20'!A89</f>
        <v/>
      </c>
      <c r="C74">
        <f>'20'!C89</f>
        <v/>
      </c>
    </row>
    <row r="75">
      <c r="A75">
        <f>RIGHT(B75,4)</f>
        <v/>
      </c>
      <c r="B75" s="665">
        <f>'20'!A90</f>
        <v/>
      </c>
      <c r="C75">
        <f>'20'!C90</f>
        <v/>
      </c>
    </row>
    <row r="76">
      <c r="A76">
        <f>RIGHT(B76,4)</f>
        <v/>
      </c>
      <c r="B76" s="665">
        <f>'20'!A91</f>
        <v/>
      </c>
      <c r="C76">
        <f>'20'!C91</f>
        <v/>
      </c>
    </row>
    <row r="77">
      <c r="A77">
        <f>RIGHT(B77,4)</f>
        <v/>
      </c>
      <c r="B77" s="665">
        <f>'20'!A92</f>
        <v/>
      </c>
      <c r="C77">
        <f>'20'!C92</f>
        <v/>
      </c>
    </row>
    <row r="78">
      <c r="A78">
        <f>RIGHT(B78,4)</f>
        <v/>
      </c>
      <c r="B78" s="665">
        <f>'20'!A93</f>
        <v/>
      </c>
      <c r="C78">
        <f>'20'!C93</f>
        <v/>
      </c>
    </row>
    <row r="79">
      <c r="A79">
        <f>RIGHT(B79,4)</f>
        <v/>
      </c>
      <c r="B79" s="665">
        <f>'20'!A94</f>
        <v/>
      </c>
      <c r="C79">
        <f>'20'!C94</f>
        <v/>
      </c>
    </row>
    <row r="80">
      <c r="A80">
        <f>RIGHT(B80,4)</f>
        <v/>
      </c>
      <c r="B80" s="665">
        <f>'20'!A95</f>
        <v/>
      </c>
      <c r="C80">
        <f>'20'!C95</f>
        <v/>
      </c>
    </row>
    <row r="81">
      <c r="A81">
        <f>RIGHT(B81,4)</f>
        <v/>
      </c>
      <c r="B81" s="665">
        <f>'20'!A96</f>
        <v/>
      </c>
      <c r="C81">
        <f>'20'!C96</f>
        <v/>
      </c>
    </row>
    <row r="82">
      <c r="A82">
        <f>RIGHT(B82,4)</f>
        <v/>
      </c>
      <c r="B82" s="665">
        <f>'20'!A97</f>
        <v/>
      </c>
      <c r="C82">
        <f>'20'!C97</f>
        <v/>
      </c>
    </row>
    <row r="83">
      <c r="A83">
        <f>RIGHT(B83,4)</f>
        <v/>
      </c>
      <c r="B83" s="665">
        <f>'20'!A98</f>
        <v/>
      </c>
      <c r="C83">
        <f>'20'!C98</f>
        <v/>
      </c>
    </row>
    <row r="84">
      <c r="A84">
        <f>RIGHT(B84,4)</f>
        <v/>
      </c>
      <c r="B84" s="665">
        <f>'20'!A99</f>
        <v/>
      </c>
      <c r="C84">
        <f>'20'!C99</f>
        <v/>
      </c>
    </row>
    <row r="85">
      <c r="A85">
        <f>RIGHT(B85,4)</f>
        <v/>
      </c>
      <c r="B85" s="665">
        <f>'20'!A100</f>
        <v/>
      </c>
      <c r="C85">
        <f>'20'!C100</f>
        <v/>
      </c>
    </row>
    <row r="86">
      <c r="A86">
        <f>RIGHT(B86,4)</f>
        <v/>
      </c>
      <c r="B86" s="665">
        <f>'20'!A101</f>
        <v/>
      </c>
      <c r="C86">
        <f>'20'!C101</f>
        <v/>
      </c>
    </row>
    <row r="87">
      <c r="A87">
        <f>RIGHT(B87,4)</f>
        <v/>
      </c>
      <c r="B87" s="665">
        <f>'20'!A102</f>
        <v/>
      </c>
      <c r="C87">
        <f>'20'!C102</f>
        <v/>
      </c>
    </row>
    <row r="88">
      <c r="A88">
        <f>RIGHT(B88,4)</f>
        <v/>
      </c>
      <c r="B88" s="665">
        <f>'20'!A103</f>
        <v/>
      </c>
      <c r="C88">
        <f>'20'!C103</f>
        <v/>
      </c>
    </row>
    <row r="89">
      <c r="A89">
        <f>RIGHT(B89,4)</f>
        <v/>
      </c>
      <c r="B89" s="665">
        <f>'20'!A104</f>
        <v/>
      </c>
      <c r="C89">
        <f>'20'!C104</f>
        <v/>
      </c>
    </row>
    <row r="90">
      <c r="A90">
        <f>RIGHT(B90,4)</f>
        <v/>
      </c>
      <c r="B90" s="665">
        <f>'20'!A105</f>
        <v/>
      </c>
      <c r="C90">
        <f>'20'!C105</f>
        <v/>
      </c>
    </row>
    <row r="91">
      <c r="A91">
        <f>RIGHT(B91,4)</f>
        <v/>
      </c>
      <c r="B91" s="665">
        <f>'20'!A106</f>
        <v/>
      </c>
      <c r="C91">
        <f>'20'!C106</f>
        <v/>
      </c>
    </row>
    <row r="92">
      <c r="A92">
        <f>RIGHT(B92,4)</f>
        <v/>
      </c>
      <c r="B92" s="665">
        <f>'20'!A107</f>
        <v/>
      </c>
      <c r="C92">
        <f>'20'!C107</f>
        <v/>
      </c>
    </row>
    <row r="93">
      <c r="A93">
        <f>RIGHT(B93,4)</f>
        <v/>
      </c>
      <c r="B93" s="665">
        <f>'20'!A108</f>
        <v/>
      </c>
      <c r="C93">
        <f>'20'!C108</f>
        <v/>
      </c>
    </row>
    <row r="94">
      <c r="A94">
        <f>RIGHT(B94,4)</f>
        <v/>
      </c>
      <c r="B94" s="665">
        <f>'20'!A109</f>
        <v/>
      </c>
      <c r="C94">
        <f>'20'!C109</f>
        <v/>
      </c>
    </row>
    <row r="95">
      <c r="A95">
        <f>RIGHT(B95,4)</f>
        <v/>
      </c>
      <c r="B95" s="665">
        <f>'20'!A110</f>
        <v/>
      </c>
      <c r="C95">
        <f>'20'!C110</f>
        <v/>
      </c>
    </row>
    <row r="96">
      <c r="A96">
        <f>RIGHT(B96,4)</f>
        <v/>
      </c>
      <c r="B96" s="665">
        <f>'20'!A111</f>
        <v/>
      </c>
      <c r="C96">
        <f>'20'!C111</f>
        <v/>
      </c>
    </row>
    <row r="97">
      <c r="A97">
        <f>RIGHT(B97,4)</f>
        <v/>
      </c>
      <c r="B97" s="665">
        <f>'20'!A112</f>
        <v/>
      </c>
      <c r="C97">
        <f>'20'!C112</f>
        <v/>
      </c>
    </row>
    <row r="98">
      <c r="A98">
        <f>RIGHT(B98,4)</f>
        <v/>
      </c>
      <c r="B98" s="665">
        <f>'20'!A113</f>
        <v/>
      </c>
      <c r="C98">
        <f>'20'!C113</f>
        <v/>
      </c>
    </row>
    <row r="99">
      <c r="A99">
        <f>RIGHT(B99,4)</f>
        <v/>
      </c>
      <c r="B99" s="665">
        <f>'20'!A114</f>
        <v/>
      </c>
      <c r="C99">
        <f>'20'!C114</f>
        <v/>
      </c>
    </row>
    <row r="100">
      <c r="A100">
        <f>RIGHT(B100,4)</f>
        <v/>
      </c>
      <c r="B100" s="665">
        <f>'20'!A115</f>
        <v/>
      </c>
      <c r="C100">
        <f>'20'!C115</f>
        <v/>
      </c>
    </row>
    <row r="101">
      <c r="A101">
        <f>RIGHT(B101,4)</f>
        <v/>
      </c>
      <c r="B101" s="665">
        <f>'20'!A116</f>
        <v/>
      </c>
      <c r="C101">
        <f>'20'!C116</f>
        <v/>
      </c>
    </row>
    <row r="102">
      <c r="A102">
        <f>RIGHT(B102,4)</f>
        <v/>
      </c>
      <c r="B102" s="665">
        <f>'20'!A117</f>
        <v/>
      </c>
      <c r="C102">
        <f>'20'!C117</f>
        <v/>
      </c>
    </row>
    <row r="103">
      <c r="A103">
        <f>RIGHT(B103,4)</f>
        <v/>
      </c>
      <c r="B103" s="665">
        <f>'20'!A118</f>
        <v/>
      </c>
      <c r="C103">
        <f>'20'!C118</f>
        <v/>
      </c>
    </row>
    <row r="104">
      <c r="A104">
        <f>RIGHT(B104,4)</f>
        <v/>
      </c>
      <c r="B104" s="665">
        <f>'20'!A119</f>
        <v/>
      </c>
      <c r="C104">
        <f>'20'!C119</f>
        <v/>
      </c>
    </row>
    <row r="105">
      <c r="A105">
        <f>RIGHT(B105,4)</f>
        <v/>
      </c>
      <c r="B105" s="665">
        <f>'20'!A120</f>
        <v/>
      </c>
      <c r="C105">
        <f>'20'!C120</f>
        <v/>
      </c>
    </row>
    <row r="106">
      <c r="A106">
        <f>RIGHT(B106,4)</f>
        <v/>
      </c>
      <c r="B106" s="665">
        <f>'20'!A121</f>
        <v/>
      </c>
      <c r="C106">
        <f>'20'!C121</f>
        <v/>
      </c>
    </row>
    <row r="107">
      <c r="A107">
        <f>RIGHT(B107,4)</f>
        <v/>
      </c>
      <c r="B107" s="665">
        <f>'20'!A122</f>
        <v/>
      </c>
      <c r="C107">
        <f>'20'!C122</f>
        <v/>
      </c>
    </row>
    <row r="108">
      <c r="A108">
        <f>RIGHT(B108,4)</f>
        <v/>
      </c>
      <c r="B108" s="665">
        <f>'20'!A123</f>
        <v/>
      </c>
      <c r="C108">
        <f>'20'!C123</f>
        <v/>
      </c>
    </row>
    <row r="109">
      <c r="A109">
        <f>RIGHT(B109,4)</f>
        <v/>
      </c>
      <c r="B109" s="665">
        <f>'20'!A124</f>
        <v/>
      </c>
      <c r="C109">
        <f>'20'!C124</f>
        <v/>
      </c>
    </row>
    <row r="110">
      <c r="A110">
        <f>RIGHT(B110,4)</f>
        <v/>
      </c>
      <c r="B110" s="665">
        <f>'20'!A125</f>
        <v/>
      </c>
      <c r="C110">
        <f>'20'!C125</f>
        <v/>
      </c>
    </row>
    <row r="111">
      <c r="A111">
        <f>RIGHT(B111,4)</f>
        <v/>
      </c>
      <c r="B111" s="665">
        <f>'20'!A126</f>
        <v/>
      </c>
      <c r="C111">
        <f>'20'!C126</f>
        <v/>
      </c>
    </row>
    <row r="112">
      <c r="A112">
        <f>RIGHT(B112,4)</f>
        <v/>
      </c>
      <c r="B112" s="665">
        <f>'20'!A127</f>
        <v/>
      </c>
      <c r="C112">
        <f>'20'!C127</f>
        <v/>
      </c>
    </row>
    <row r="113">
      <c r="A113">
        <f>RIGHT(B113,4)</f>
        <v/>
      </c>
      <c r="B113" s="665">
        <f>'20'!A128</f>
        <v/>
      </c>
      <c r="C113">
        <f>'20'!C128</f>
        <v/>
      </c>
    </row>
    <row r="114">
      <c r="A114">
        <f>RIGHT(B114,4)</f>
        <v/>
      </c>
      <c r="B114" s="665">
        <f>'20'!A129</f>
        <v/>
      </c>
      <c r="C114">
        <f>'20'!C129</f>
        <v/>
      </c>
    </row>
    <row r="115">
      <c r="A115">
        <f>RIGHT(B115,4)</f>
        <v/>
      </c>
      <c r="B115" s="665">
        <f>'20'!A130</f>
        <v/>
      </c>
      <c r="C115">
        <f>'20'!C130</f>
        <v/>
      </c>
    </row>
    <row r="116">
      <c r="A116">
        <f>RIGHT(B116,4)</f>
        <v/>
      </c>
      <c r="B116" s="665">
        <f>'20'!A131</f>
        <v/>
      </c>
      <c r="C116">
        <f>'20'!C131</f>
        <v/>
      </c>
    </row>
    <row r="117">
      <c r="A117">
        <f>RIGHT(B117,4)</f>
        <v/>
      </c>
      <c r="B117" s="665">
        <f>'20'!A132</f>
        <v/>
      </c>
      <c r="C117">
        <f>'20'!C132</f>
        <v/>
      </c>
    </row>
    <row r="118">
      <c r="A118">
        <f>RIGHT(B118,4)</f>
        <v/>
      </c>
      <c r="B118" s="665">
        <f>'20'!A133</f>
        <v/>
      </c>
      <c r="C118">
        <f>'20'!C133</f>
        <v/>
      </c>
    </row>
    <row r="119">
      <c r="A119">
        <f>RIGHT(B119,4)</f>
        <v/>
      </c>
      <c r="B119" s="665">
        <f>'20'!A134</f>
        <v/>
      </c>
      <c r="C119">
        <f>'20'!C134</f>
        <v/>
      </c>
    </row>
    <row r="120">
      <c r="A120">
        <f>RIGHT(B120,4)</f>
        <v/>
      </c>
      <c r="B120" s="665">
        <f>'20'!A135</f>
        <v/>
      </c>
      <c r="C120">
        <f>'20'!C135</f>
        <v/>
      </c>
    </row>
    <row r="121">
      <c r="A121">
        <f>RIGHT(B121,4)</f>
        <v/>
      </c>
      <c r="B121" s="665">
        <f>'20'!A136</f>
        <v/>
      </c>
      <c r="C121">
        <f>'20'!C136</f>
        <v/>
      </c>
    </row>
    <row r="122">
      <c r="A122">
        <f>RIGHT(B122,4)</f>
        <v/>
      </c>
      <c r="B122" s="665">
        <f>'20'!A137</f>
        <v/>
      </c>
      <c r="C122">
        <f>'20'!C137</f>
        <v/>
      </c>
    </row>
    <row r="123">
      <c r="A123">
        <f>RIGHT(B123,4)</f>
        <v/>
      </c>
      <c r="B123" s="665">
        <f>'20'!A138</f>
        <v/>
      </c>
      <c r="C123">
        <f>'20'!C138</f>
        <v/>
      </c>
    </row>
    <row r="124">
      <c r="A124">
        <f>RIGHT(B124,4)</f>
        <v/>
      </c>
      <c r="B124" s="665">
        <f>'20'!A139</f>
        <v/>
      </c>
      <c r="C124">
        <f>'20'!C139</f>
        <v/>
      </c>
    </row>
    <row r="125">
      <c r="A125">
        <f>RIGHT(B125,4)</f>
        <v/>
      </c>
      <c r="B125" s="665">
        <f>'20'!A140</f>
        <v/>
      </c>
      <c r="C125">
        <f>'20'!C140</f>
        <v/>
      </c>
    </row>
    <row r="126">
      <c r="A126">
        <f>RIGHT(B126,4)</f>
        <v/>
      </c>
      <c r="B126" s="665">
        <f>'20'!A141</f>
        <v/>
      </c>
      <c r="C126">
        <f>'20'!C141</f>
        <v/>
      </c>
    </row>
    <row r="127">
      <c r="A127">
        <f>RIGHT(B127,4)</f>
        <v/>
      </c>
      <c r="B127" s="665">
        <f>'20'!A142</f>
        <v/>
      </c>
      <c r="C127">
        <f>'20'!C142</f>
        <v/>
      </c>
    </row>
    <row r="128">
      <c r="A128">
        <f>RIGHT(B128,4)</f>
        <v/>
      </c>
      <c r="B128" s="665">
        <f>'20'!A143</f>
        <v/>
      </c>
      <c r="C128">
        <f>'20'!C143</f>
        <v/>
      </c>
    </row>
    <row r="129">
      <c r="A129">
        <f>RIGHT(B129,4)</f>
        <v/>
      </c>
      <c r="B129" s="665">
        <f>'20'!A144</f>
        <v/>
      </c>
      <c r="C129">
        <f>'20'!C144</f>
        <v/>
      </c>
    </row>
    <row r="130">
      <c r="A130">
        <f>RIGHT(B130,4)</f>
        <v/>
      </c>
      <c r="B130" s="665">
        <f>'20'!A145</f>
        <v/>
      </c>
      <c r="C130">
        <f>'20'!C145</f>
        <v/>
      </c>
    </row>
    <row r="131">
      <c r="A131">
        <f>RIGHT(B131,4)</f>
        <v/>
      </c>
      <c r="B131" s="665">
        <f>'20'!A146</f>
        <v/>
      </c>
      <c r="C131">
        <f>'20'!C146</f>
        <v/>
      </c>
    </row>
    <row r="132">
      <c r="A132">
        <f>RIGHT(B132,4)</f>
        <v/>
      </c>
      <c r="B132" s="665">
        <f>'20'!A147</f>
        <v/>
      </c>
      <c r="C132">
        <f>'20'!C147</f>
        <v/>
      </c>
    </row>
    <row r="133">
      <c r="A133">
        <f>RIGHT(B133,4)</f>
        <v/>
      </c>
      <c r="B133" s="665">
        <f>'20'!A148</f>
        <v/>
      </c>
      <c r="C133">
        <f>'20'!C148</f>
        <v/>
      </c>
    </row>
    <row r="134">
      <c r="A134">
        <f>RIGHT(B134,4)</f>
        <v/>
      </c>
      <c r="B134" s="665">
        <f>'20'!A149</f>
        <v/>
      </c>
      <c r="C134">
        <f>'20'!C149</f>
        <v/>
      </c>
    </row>
    <row r="135">
      <c r="A135">
        <f>RIGHT(B135,4)</f>
        <v/>
      </c>
      <c r="B135" s="665">
        <f>'20'!A150</f>
        <v/>
      </c>
      <c r="C135">
        <f>'20'!C150</f>
        <v/>
      </c>
    </row>
    <row r="136">
      <c r="A136">
        <f>RIGHT(B136,4)</f>
        <v/>
      </c>
      <c r="B136" s="665">
        <f>'20'!A151</f>
        <v/>
      </c>
      <c r="C136">
        <f>'20'!C151</f>
        <v/>
      </c>
    </row>
    <row r="137">
      <c r="A137">
        <f>RIGHT(B137,4)</f>
        <v/>
      </c>
      <c r="B137" s="665">
        <f>'20'!A152</f>
        <v/>
      </c>
      <c r="C137">
        <f>'20'!C152</f>
        <v/>
      </c>
    </row>
    <row r="138">
      <c r="A138">
        <f>RIGHT(B138,4)</f>
        <v/>
      </c>
      <c r="B138" s="665">
        <f>'20'!A153</f>
        <v/>
      </c>
      <c r="C138">
        <f>'20'!C153</f>
        <v/>
      </c>
    </row>
    <row r="139">
      <c r="A139">
        <f>RIGHT(B139,4)</f>
        <v/>
      </c>
      <c r="B139" s="665">
        <f>'20'!A154</f>
        <v/>
      </c>
      <c r="C139">
        <f>'20'!C154</f>
        <v/>
      </c>
    </row>
    <row r="140">
      <c r="A140">
        <f>RIGHT(B140,4)</f>
        <v/>
      </c>
      <c r="B140" s="665">
        <f>'20'!A155</f>
        <v/>
      </c>
      <c r="C140">
        <f>'20'!C155</f>
        <v/>
      </c>
    </row>
    <row r="141">
      <c r="A141">
        <f>RIGHT(B141,4)</f>
        <v/>
      </c>
      <c r="B141" s="665">
        <f>'20'!A156</f>
        <v/>
      </c>
      <c r="C141">
        <f>'20'!C156</f>
        <v/>
      </c>
    </row>
    <row r="142">
      <c r="A142">
        <f>RIGHT(B142,4)</f>
        <v/>
      </c>
      <c r="B142" s="665">
        <f>'20'!A157</f>
        <v/>
      </c>
      <c r="C142">
        <f>'20'!C157</f>
        <v/>
      </c>
    </row>
    <row r="143">
      <c r="A143">
        <f>RIGHT(B143,4)</f>
        <v/>
      </c>
      <c r="B143" s="665">
        <f>'20'!A158</f>
        <v/>
      </c>
      <c r="C143">
        <f>'20'!C158</f>
        <v/>
      </c>
    </row>
    <row r="144">
      <c r="A144">
        <f>RIGHT(B144,4)</f>
        <v/>
      </c>
      <c r="B144" s="665">
        <f>'20'!A159</f>
        <v/>
      </c>
      <c r="C144">
        <f>'20'!C159</f>
        <v/>
      </c>
    </row>
    <row r="145">
      <c r="A145">
        <f>RIGHT(B145,4)</f>
        <v/>
      </c>
      <c r="B145" s="665">
        <f>'20'!A160</f>
        <v/>
      </c>
      <c r="C145">
        <f>'20'!C160</f>
        <v/>
      </c>
    </row>
    <row r="146">
      <c r="A146">
        <f>RIGHT(B146,4)</f>
        <v/>
      </c>
      <c r="B146" s="665">
        <f>'20'!A161</f>
        <v/>
      </c>
      <c r="C146">
        <f>'20'!C161</f>
        <v/>
      </c>
    </row>
    <row r="147">
      <c r="A147">
        <f>RIGHT(B147,4)</f>
        <v/>
      </c>
      <c r="B147" s="665">
        <f>'20'!A162</f>
        <v/>
      </c>
      <c r="C147">
        <f>'20'!C162</f>
        <v/>
      </c>
    </row>
    <row r="148">
      <c r="A148">
        <f>RIGHT(B148,4)</f>
        <v/>
      </c>
      <c r="B148" s="665">
        <f>'20'!A163</f>
        <v/>
      </c>
      <c r="C148">
        <f>'20'!C163</f>
        <v/>
      </c>
    </row>
    <row r="149">
      <c r="A149">
        <f>RIGHT(B149,4)</f>
        <v/>
      </c>
      <c r="B149" s="665">
        <f>'20'!A164</f>
        <v/>
      </c>
      <c r="C149">
        <f>'20'!C164</f>
        <v/>
      </c>
    </row>
    <row r="150">
      <c r="A150">
        <f>RIGHT(B150,4)</f>
        <v/>
      </c>
      <c r="B150" s="665">
        <f>'20'!A165</f>
        <v/>
      </c>
      <c r="C150">
        <f>'20'!C165</f>
        <v/>
      </c>
    </row>
    <row r="151">
      <c r="A151">
        <f>RIGHT(B151,4)</f>
        <v/>
      </c>
      <c r="B151" s="665">
        <f>'20'!A166</f>
        <v/>
      </c>
      <c r="C151">
        <f>'20'!C166</f>
        <v/>
      </c>
    </row>
    <row r="152">
      <c r="A152">
        <f>RIGHT(B152,4)</f>
        <v/>
      </c>
      <c r="B152" s="665">
        <f>'20'!A167</f>
        <v/>
      </c>
      <c r="C152">
        <f>'20'!C167</f>
        <v/>
      </c>
    </row>
    <row r="153">
      <c r="A153">
        <f>RIGHT(B153,4)</f>
        <v/>
      </c>
      <c r="B153" s="665">
        <f>'20'!A168</f>
        <v/>
      </c>
      <c r="C153">
        <f>'20'!C168</f>
        <v/>
      </c>
    </row>
    <row r="154">
      <c r="A154">
        <f>RIGHT(B154,4)</f>
        <v/>
      </c>
      <c r="B154" s="665">
        <f>'20'!A169</f>
        <v/>
      </c>
      <c r="C154">
        <f>'20'!C169</f>
        <v/>
      </c>
    </row>
    <row r="155">
      <c r="A155">
        <f>RIGHT(B155,4)</f>
        <v/>
      </c>
      <c r="B155" s="665">
        <f>'20'!A170</f>
        <v/>
      </c>
      <c r="C155">
        <f>'20'!C170</f>
        <v/>
      </c>
    </row>
    <row r="156">
      <c r="A156">
        <f>RIGHT(B156,4)</f>
        <v/>
      </c>
      <c r="B156" s="665">
        <f>'20'!A171</f>
        <v/>
      </c>
      <c r="C156">
        <f>'20'!C171</f>
        <v/>
      </c>
    </row>
    <row r="157">
      <c r="A157">
        <f>RIGHT(B157,4)</f>
        <v/>
      </c>
      <c r="B157" s="665">
        <f>'20'!A172</f>
        <v/>
      </c>
      <c r="C157">
        <f>'20'!C172</f>
        <v/>
      </c>
    </row>
    <row r="158">
      <c r="A158">
        <f>RIGHT(B158,4)</f>
        <v/>
      </c>
      <c r="B158" s="665">
        <f>'20'!A173</f>
        <v/>
      </c>
      <c r="C158">
        <f>'20'!C173</f>
        <v/>
      </c>
    </row>
    <row r="159">
      <c r="A159">
        <f>RIGHT(B159,4)</f>
        <v/>
      </c>
      <c r="B159" s="665">
        <f>'20'!A174</f>
        <v/>
      </c>
      <c r="C159">
        <f>'20'!C174</f>
        <v/>
      </c>
    </row>
    <row r="160">
      <c r="A160">
        <f>RIGHT(B160,4)</f>
        <v/>
      </c>
      <c r="B160" s="665">
        <f>'20'!A175</f>
        <v/>
      </c>
      <c r="C160">
        <f>'20'!C175</f>
        <v/>
      </c>
    </row>
    <row r="161">
      <c r="A161">
        <f>RIGHT(B161,4)</f>
        <v/>
      </c>
      <c r="B161" s="665">
        <f>'20'!A176</f>
        <v/>
      </c>
      <c r="C161">
        <f>'20'!C176</f>
        <v/>
      </c>
    </row>
    <row r="162">
      <c r="A162">
        <f>RIGHT(B162,4)</f>
        <v/>
      </c>
      <c r="B162" s="665">
        <f>'20'!A177</f>
        <v/>
      </c>
      <c r="C162">
        <f>'20'!C177</f>
        <v/>
      </c>
    </row>
    <row r="163">
      <c r="A163">
        <f>RIGHT(B163,4)</f>
        <v/>
      </c>
      <c r="B163" s="665">
        <f>'20'!A178</f>
        <v/>
      </c>
      <c r="C163">
        <f>'20'!C178</f>
        <v/>
      </c>
    </row>
    <row r="164">
      <c r="A164">
        <f>RIGHT(B164,4)</f>
        <v/>
      </c>
      <c r="B164" s="665">
        <f>'20'!A179</f>
        <v/>
      </c>
      <c r="C164">
        <f>'20'!C179</f>
        <v/>
      </c>
    </row>
    <row r="165">
      <c r="A165">
        <f>RIGHT(B165,4)</f>
        <v/>
      </c>
      <c r="B165" s="665">
        <f>'20'!A180</f>
        <v/>
      </c>
      <c r="C165">
        <f>'20'!C180</f>
        <v/>
      </c>
    </row>
    <row r="166">
      <c r="A166">
        <f>RIGHT(B166,4)</f>
        <v/>
      </c>
      <c r="B166" s="665">
        <f>'20'!A181</f>
        <v/>
      </c>
      <c r="C166">
        <f>'20'!C181</f>
        <v/>
      </c>
    </row>
    <row r="167">
      <c r="A167">
        <f>RIGHT(B167,4)</f>
        <v/>
      </c>
      <c r="B167" s="665">
        <f>'20'!A182</f>
        <v/>
      </c>
      <c r="C167">
        <f>'20'!C182</f>
        <v/>
      </c>
    </row>
    <row r="168">
      <c r="A168">
        <f>RIGHT(B168,4)</f>
        <v/>
      </c>
      <c r="B168" s="665">
        <f>'20'!A183</f>
        <v/>
      </c>
      <c r="C168">
        <f>'20'!C183</f>
        <v/>
      </c>
    </row>
    <row r="169">
      <c r="A169">
        <f>RIGHT(B169,4)</f>
        <v/>
      </c>
      <c r="B169" s="665">
        <f>'20'!A184</f>
        <v/>
      </c>
      <c r="C169">
        <f>'20'!C184</f>
        <v/>
      </c>
    </row>
    <row r="170">
      <c r="A170">
        <f>RIGHT(B170,4)</f>
        <v/>
      </c>
      <c r="B170" s="665">
        <f>'20'!A185</f>
        <v/>
      </c>
      <c r="C170">
        <f>'20'!C185</f>
        <v/>
      </c>
    </row>
    <row r="171">
      <c r="A171">
        <f>RIGHT(B171,4)</f>
        <v/>
      </c>
      <c r="B171" s="665">
        <f>'20'!A186</f>
        <v/>
      </c>
      <c r="C171">
        <f>'20'!C186</f>
        <v/>
      </c>
    </row>
    <row r="172">
      <c r="A172">
        <f>RIGHT(B172,4)</f>
        <v/>
      </c>
      <c r="B172" s="665">
        <f>'20'!A187</f>
        <v/>
      </c>
      <c r="C172">
        <f>'20'!C187</f>
        <v/>
      </c>
    </row>
    <row r="173">
      <c r="A173">
        <f>RIGHT(B173,4)</f>
        <v/>
      </c>
      <c r="B173" s="665">
        <f>'20'!A188</f>
        <v/>
      </c>
      <c r="C173">
        <f>'20'!C188</f>
        <v/>
      </c>
    </row>
    <row r="174">
      <c r="A174">
        <f>RIGHT(B174,4)</f>
        <v/>
      </c>
      <c r="B174" s="665">
        <f>'20'!A189</f>
        <v/>
      </c>
      <c r="C174">
        <f>'20'!C189</f>
        <v/>
      </c>
    </row>
    <row r="175">
      <c r="A175">
        <f>RIGHT(B175,4)</f>
        <v/>
      </c>
      <c r="B175" s="665">
        <f>'20'!A190</f>
        <v/>
      </c>
      <c r="C175">
        <f>'20'!C190</f>
        <v/>
      </c>
    </row>
    <row r="176">
      <c r="A176">
        <f>RIGHT(B176,4)</f>
        <v/>
      </c>
      <c r="B176" s="665">
        <f>'20'!A191</f>
        <v/>
      </c>
      <c r="C176">
        <f>'20'!C191</f>
        <v/>
      </c>
    </row>
    <row r="177">
      <c r="A177">
        <f>RIGHT(B177,4)</f>
        <v/>
      </c>
      <c r="B177" s="665">
        <f>'20'!A192</f>
        <v/>
      </c>
      <c r="C177">
        <f>'20'!C192</f>
        <v/>
      </c>
    </row>
    <row r="178">
      <c r="A178">
        <f>RIGHT(B178,4)</f>
        <v/>
      </c>
      <c r="B178" s="665">
        <f>'20'!A193</f>
        <v/>
      </c>
      <c r="C178">
        <f>'20'!C193</f>
        <v/>
      </c>
    </row>
    <row r="179">
      <c r="A179">
        <f>RIGHT(B179,4)</f>
        <v/>
      </c>
      <c r="B179" s="665">
        <f>'20'!A194</f>
        <v/>
      </c>
      <c r="C179">
        <f>'20'!C194</f>
        <v/>
      </c>
    </row>
    <row r="180">
      <c r="A180">
        <f>RIGHT(B180,4)</f>
        <v/>
      </c>
      <c r="B180" s="665">
        <f>'20'!A195</f>
        <v/>
      </c>
      <c r="C180">
        <f>'20'!C195</f>
        <v/>
      </c>
    </row>
    <row r="181">
      <c r="A181">
        <f>RIGHT(B181,4)</f>
        <v/>
      </c>
      <c r="B181" s="665">
        <f>'20'!A196</f>
        <v/>
      </c>
      <c r="C181">
        <f>'20'!C196</f>
        <v/>
      </c>
    </row>
    <row r="182">
      <c r="A182">
        <f>RIGHT(B182,4)</f>
        <v/>
      </c>
      <c r="B182" s="665">
        <f>'20'!A197</f>
        <v/>
      </c>
      <c r="C182">
        <f>'20'!C197</f>
        <v/>
      </c>
    </row>
    <row r="183">
      <c r="A183">
        <f>RIGHT(B183,4)</f>
        <v/>
      </c>
      <c r="B183" s="665">
        <f>'20'!A198</f>
        <v/>
      </c>
      <c r="C183">
        <f>'20'!C198</f>
        <v/>
      </c>
    </row>
    <row r="184">
      <c r="A184">
        <f>RIGHT(B184,4)</f>
        <v/>
      </c>
      <c r="B184" s="665">
        <f>'20'!A199</f>
        <v/>
      </c>
      <c r="C184">
        <f>'20'!C199</f>
        <v/>
      </c>
    </row>
    <row r="185">
      <c r="A185">
        <f>RIGHT(B185,4)</f>
        <v/>
      </c>
      <c r="B185" s="665">
        <f>'20'!A200</f>
        <v/>
      </c>
      <c r="C185">
        <f>'20'!C200</f>
        <v/>
      </c>
    </row>
    <row r="186">
      <c r="A186">
        <f>RIGHT(B186,4)</f>
        <v/>
      </c>
      <c r="B186" s="665">
        <f>'20'!A201</f>
        <v/>
      </c>
      <c r="C186">
        <f>'20'!C201</f>
        <v/>
      </c>
    </row>
    <row r="187">
      <c r="A187">
        <f>RIGHT(B187,4)</f>
        <v/>
      </c>
      <c r="B187" s="665">
        <f>'20'!A202</f>
        <v/>
      </c>
      <c r="C187">
        <f>'20'!C202</f>
        <v/>
      </c>
    </row>
    <row r="188">
      <c r="A188">
        <f>RIGHT(B188,4)</f>
        <v/>
      </c>
      <c r="B188" s="665">
        <f>'20'!A203</f>
        <v/>
      </c>
      <c r="C188">
        <f>'20'!C203</f>
        <v/>
      </c>
    </row>
    <row r="189">
      <c r="A189">
        <f>RIGHT(B189,4)</f>
        <v/>
      </c>
      <c r="B189" s="665">
        <f>'20'!A204</f>
        <v/>
      </c>
      <c r="C189">
        <f>'20'!C204</f>
        <v/>
      </c>
    </row>
    <row r="190">
      <c r="A190">
        <f>RIGHT(B190,4)</f>
        <v/>
      </c>
      <c r="B190" s="665">
        <f>'20'!A205</f>
        <v/>
      </c>
      <c r="C190">
        <f>'20'!C205</f>
        <v/>
      </c>
    </row>
    <row r="191">
      <c r="A191">
        <f>RIGHT(B191,4)</f>
        <v/>
      </c>
      <c r="B191" s="665">
        <f>'20'!A206</f>
        <v/>
      </c>
      <c r="C191">
        <f>'20'!C206</f>
        <v/>
      </c>
    </row>
    <row r="192">
      <c r="A192">
        <f>RIGHT(B192,4)</f>
        <v/>
      </c>
      <c r="B192" s="665">
        <f>'20'!A207</f>
        <v/>
      </c>
      <c r="C192">
        <f>'20'!C207</f>
        <v/>
      </c>
    </row>
    <row r="193">
      <c r="A193">
        <f>RIGHT(B193,4)</f>
        <v/>
      </c>
      <c r="B193" s="665">
        <f>'20'!A208</f>
        <v/>
      </c>
      <c r="C193">
        <f>'20'!C208</f>
        <v/>
      </c>
    </row>
    <row r="194">
      <c r="A194">
        <f>RIGHT(B194,4)</f>
        <v/>
      </c>
      <c r="B194" s="665">
        <f>'20'!A209</f>
        <v/>
      </c>
      <c r="C194">
        <f>'20'!C209</f>
        <v/>
      </c>
    </row>
    <row r="195">
      <c r="A195">
        <f>RIGHT(B195,4)</f>
        <v/>
      </c>
      <c r="B195" s="665">
        <f>'20'!A210</f>
        <v/>
      </c>
      <c r="C195">
        <f>'20'!C210</f>
        <v/>
      </c>
    </row>
    <row r="196">
      <c r="A196">
        <f>RIGHT(B196,4)</f>
        <v/>
      </c>
      <c r="B196" s="665">
        <f>'20'!A211</f>
        <v/>
      </c>
      <c r="C196">
        <f>'20'!C211</f>
        <v/>
      </c>
    </row>
    <row r="197">
      <c r="A197">
        <f>RIGHT(B197,4)</f>
        <v/>
      </c>
      <c r="B197" s="665">
        <f>'20'!A212</f>
        <v/>
      </c>
      <c r="C197">
        <f>'20'!C212</f>
        <v/>
      </c>
    </row>
    <row r="198">
      <c r="A198">
        <f>RIGHT(B198,4)</f>
        <v/>
      </c>
      <c r="B198" s="665">
        <f>'20'!A213</f>
        <v/>
      </c>
      <c r="C198">
        <f>'20'!C213</f>
        <v/>
      </c>
    </row>
    <row r="199">
      <c r="A199">
        <f>RIGHT(B199,4)</f>
        <v/>
      </c>
      <c r="B199" s="665">
        <f>'20'!A214</f>
        <v/>
      </c>
      <c r="C199">
        <f>'20'!C214</f>
        <v/>
      </c>
    </row>
    <row r="200">
      <c r="A200">
        <f>RIGHT(B200,4)</f>
        <v/>
      </c>
      <c r="B200" s="665">
        <f>'20'!A215</f>
        <v/>
      </c>
      <c r="C200">
        <f>'20'!C215</f>
        <v/>
      </c>
    </row>
    <row r="201">
      <c r="A201">
        <f>RIGHT(B201,4)</f>
        <v/>
      </c>
      <c r="B201" s="665">
        <f>'20'!A216</f>
        <v/>
      </c>
      <c r="C201">
        <f>'20'!C216</f>
        <v/>
      </c>
    </row>
    <row r="202">
      <c r="A202">
        <f>RIGHT(B202,4)</f>
        <v/>
      </c>
      <c r="B202" s="665">
        <f>'20'!A217</f>
        <v/>
      </c>
      <c r="C202">
        <f>'20'!C217</f>
        <v/>
      </c>
    </row>
    <row r="203">
      <c r="A203">
        <f>RIGHT(B203,4)</f>
        <v/>
      </c>
      <c r="B203" s="665">
        <f>'20'!A218</f>
        <v/>
      </c>
      <c r="C203">
        <f>'20'!C218</f>
        <v/>
      </c>
    </row>
    <row r="204">
      <c r="A204">
        <f>RIGHT(B204,4)</f>
        <v/>
      </c>
      <c r="B204" s="665">
        <f>'20'!A219</f>
        <v/>
      </c>
      <c r="C204">
        <f>'20'!C219</f>
        <v/>
      </c>
    </row>
    <row r="205">
      <c r="A205">
        <f>RIGHT(B205,4)</f>
        <v/>
      </c>
      <c r="B205" s="665">
        <f>'20'!A220</f>
        <v/>
      </c>
      <c r="C205">
        <f>'20'!C220</f>
        <v/>
      </c>
    </row>
    <row r="206">
      <c r="A206">
        <f>RIGHT(B206,4)</f>
        <v/>
      </c>
      <c r="B206" s="665">
        <f>'20'!A221</f>
        <v/>
      </c>
      <c r="C206">
        <f>'20'!C221</f>
        <v/>
      </c>
    </row>
    <row r="207">
      <c r="A207">
        <f>RIGHT(B207,4)</f>
        <v/>
      </c>
      <c r="B207" s="665">
        <f>'20'!A222</f>
        <v/>
      </c>
      <c r="C207">
        <f>'20'!C222</f>
        <v/>
      </c>
    </row>
    <row r="208">
      <c r="A208">
        <f>RIGHT(B208,4)</f>
        <v/>
      </c>
      <c r="B208" s="665">
        <f>'20'!A223</f>
        <v/>
      </c>
      <c r="C208">
        <f>'20'!C223</f>
        <v/>
      </c>
    </row>
    <row r="209">
      <c r="A209">
        <f>RIGHT(B209,4)</f>
        <v/>
      </c>
      <c r="B209" s="665">
        <f>'20'!A224</f>
        <v/>
      </c>
      <c r="C209">
        <f>'20'!C224</f>
        <v/>
      </c>
    </row>
    <row r="210">
      <c r="A210">
        <f>RIGHT(B210,4)</f>
        <v/>
      </c>
      <c r="B210" s="665">
        <f>'20'!A225</f>
        <v/>
      </c>
      <c r="C210">
        <f>'20'!C225</f>
        <v/>
      </c>
    </row>
    <row r="211">
      <c r="A211">
        <f>RIGHT(B211,4)</f>
        <v/>
      </c>
      <c r="B211" s="665">
        <f>'20'!A226</f>
        <v/>
      </c>
      <c r="C211">
        <f>'20'!C226</f>
        <v/>
      </c>
    </row>
    <row r="212">
      <c r="A212">
        <f>RIGHT(B212,4)</f>
        <v/>
      </c>
      <c r="B212" s="665">
        <f>'20'!A227</f>
        <v/>
      </c>
      <c r="C212">
        <f>'20'!C227</f>
        <v/>
      </c>
    </row>
    <row r="213">
      <c r="A213">
        <f>RIGHT(B213,4)</f>
        <v/>
      </c>
      <c r="B213" s="665">
        <f>'20'!A228</f>
        <v/>
      </c>
      <c r="C213">
        <f>'20'!C228</f>
        <v/>
      </c>
    </row>
    <row r="214">
      <c r="A214">
        <f>RIGHT(B214,4)</f>
        <v/>
      </c>
      <c r="B214" s="665">
        <f>'20'!A229</f>
        <v/>
      </c>
      <c r="C214">
        <f>'20'!C229</f>
        <v/>
      </c>
    </row>
    <row r="215">
      <c r="A215">
        <f>RIGHT(B215,4)</f>
        <v/>
      </c>
      <c r="B215" s="665">
        <f>'20'!A230</f>
        <v/>
      </c>
      <c r="C215">
        <f>'20'!C230</f>
        <v/>
      </c>
    </row>
    <row r="216">
      <c r="A216">
        <f>RIGHT(B216,4)</f>
        <v/>
      </c>
      <c r="B216" s="665">
        <f>'20'!A231</f>
        <v/>
      </c>
      <c r="C216">
        <f>'20'!C231</f>
        <v/>
      </c>
    </row>
    <row r="217">
      <c r="A217">
        <f>RIGHT(B217,4)</f>
        <v/>
      </c>
      <c r="B217" s="665">
        <f>'20'!A232</f>
        <v/>
      </c>
      <c r="C217">
        <f>'20'!C232</f>
        <v/>
      </c>
    </row>
    <row r="218">
      <c r="A218">
        <f>RIGHT(B218,4)</f>
        <v/>
      </c>
      <c r="B218" s="665">
        <f>'20'!A233</f>
        <v/>
      </c>
      <c r="C218">
        <f>'20'!C233</f>
        <v/>
      </c>
    </row>
    <row r="219">
      <c r="A219">
        <f>RIGHT(B219,4)</f>
        <v/>
      </c>
      <c r="B219" s="665">
        <f>'20'!A234</f>
        <v/>
      </c>
      <c r="C219">
        <f>'20'!C234</f>
        <v/>
      </c>
    </row>
    <row r="220">
      <c r="A220">
        <f>RIGHT(B220,4)</f>
        <v/>
      </c>
      <c r="B220" s="665">
        <f>'20'!A235</f>
        <v/>
      </c>
      <c r="C220">
        <f>'20'!C235</f>
        <v/>
      </c>
    </row>
    <row r="221">
      <c r="A221">
        <f>RIGHT(B221,4)</f>
        <v/>
      </c>
      <c r="B221" s="665">
        <f>'20'!A236</f>
        <v/>
      </c>
      <c r="C221">
        <f>'20'!C236</f>
        <v/>
      </c>
    </row>
    <row r="222">
      <c r="A222">
        <f>RIGHT(B222,4)</f>
        <v/>
      </c>
      <c r="B222" s="665">
        <f>'20'!A237</f>
        <v/>
      </c>
      <c r="C222">
        <f>'20'!C237</f>
        <v/>
      </c>
    </row>
    <row r="223">
      <c r="A223">
        <f>RIGHT(B223,4)</f>
        <v/>
      </c>
      <c r="B223" s="665">
        <f>'20'!A238</f>
        <v/>
      </c>
      <c r="C223">
        <f>'20'!C238</f>
        <v/>
      </c>
    </row>
    <row r="224">
      <c r="A224">
        <f>RIGHT(B224,4)</f>
        <v/>
      </c>
      <c r="B224" s="665">
        <f>'20'!A239</f>
        <v/>
      </c>
      <c r="C224">
        <f>'20'!C239</f>
        <v/>
      </c>
    </row>
    <row r="225">
      <c r="A225">
        <f>RIGHT(B225,4)</f>
        <v/>
      </c>
      <c r="B225" s="665">
        <f>'20'!A240</f>
        <v/>
      </c>
      <c r="C225">
        <f>'20'!C240</f>
        <v/>
      </c>
    </row>
    <row r="226">
      <c r="A226">
        <f>RIGHT(B226,4)</f>
        <v/>
      </c>
      <c r="B226" s="665">
        <f>'20'!A241</f>
        <v/>
      </c>
      <c r="C226">
        <f>'20'!C241</f>
        <v/>
      </c>
    </row>
    <row r="227">
      <c r="A227">
        <f>RIGHT(B227,4)</f>
        <v/>
      </c>
      <c r="B227" s="665">
        <f>'20'!A242</f>
        <v/>
      </c>
      <c r="C227">
        <f>'20'!C242</f>
        <v/>
      </c>
    </row>
    <row r="228">
      <c r="A228">
        <f>RIGHT(B228,4)</f>
        <v/>
      </c>
      <c r="B228" s="665">
        <f>'20'!A243</f>
        <v/>
      </c>
      <c r="C228">
        <f>'20'!C243</f>
        <v/>
      </c>
    </row>
    <row r="229">
      <c r="A229">
        <f>RIGHT(B229,4)</f>
        <v/>
      </c>
      <c r="B229" s="665">
        <f>'20'!A244</f>
        <v/>
      </c>
      <c r="C229">
        <f>'20'!C244</f>
        <v/>
      </c>
    </row>
    <row r="230">
      <c r="A230">
        <f>RIGHT(B230,4)</f>
        <v/>
      </c>
      <c r="B230" s="665">
        <f>'20'!A245</f>
        <v/>
      </c>
      <c r="C230">
        <f>'20'!C245</f>
        <v/>
      </c>
    </row>
    <row r="231">
      <c r="A231">
        <f>RIGHT(B231,4)</f>
        <v/>
      </c>
      <c r="B231" s="665">
        <f>'20'!A246</f>
        <v/>
      </c>
      <c r="C231">
        <f>'20'!C246</f>
        <v/>
      </c>
    </row>
    <row r="232">
      <c r="A232">
        <f>RIGHT(B232,4)</f>
        <v/>
      </c>
      <c r="B232" s="665">
        <f>'20'!A247</f>
        <v/>
      </c>
      <c r="C232">
        <f>'20'!C247</f>
        <v/>
      </c>
    </row>
    <row r="233">
      <c r="A233">
        <f>RIGHT(B233,4)</f>
        <v/>
      </c>
      <c r="B233" s="665">
        <f>'20'!A248</f>
        <v/>
      </c>
      <c r="C233">
        <f>'20'!C248</f>
        <v/>
      </c>
    </row>
    <row r="234">
      <c r="A234">
        <f>RIGHT(B234,4)</f>
        <v/>
      </c>
      <c r="B234" s="665">
        <f>'20'!A249</f>
        <v/>
      </c>
      <c r="C234">
        <f>'20'!C249</f>
        <v/>
      </c>
    </row>
    <row r="235">
      <c r="A235">
        <f>RIGHT(B235,4)</f>
        <v/>
      </c>
      <c r="B235" s="665">
        <f>'20'!A250</f>
        <v/>
      </c>
      <c r="C235">
        <f>'20'!C250</f>
        <v/>
      </c>
    </row>
    <row r="236">
      <c r="A236">
        <f>RIGHT(B236,4)</f>
        <v/>
      </c>
      <c r="B236" s="665">
        <f>'20'!A251</f>
        <v/>
      </c>
      <c r="C236">
        <f>'20'!C251</f>
        <v/>
      </c>
    </row>
    <row r="237">
      <c r="A237">
        <f>RIGHT(B237,4)</f>
        <v/>
      </c>
      <c r="B237" s="665">
        <f>'20'!A252</f>
        <v/>
      </c>
      <c r="C237">
        <f>'20'!C252</f>
        <v/>
      </c>
    </row>
    <row r="238">
      <c r="A238">
        <f>RIGHT(B238,4)</f>
        <v/>
      </c>
      <c r="B238" s="665">
        <f>'20'!A253</f>
        <v/>
      </c>
      <c r="C238">
        <f>'20'!C253</f>
        <v/>
      </c>
    </row>
    <row r="239">
      <c r="A239">
        <f>RIGHT(B239,4)</f>
        <v/>
      </c>
      <c r="B239" s="665">
        <f>'20'!A254</f>
        <v/>
      </c>
      <c r="C239">
        <f>'20'!C254</f>
        <v/>
      </c>
    </row>
    <row r="240">
      <c r="A240">
        <f>RIGHT(B240,4)</f>
        <v/>
      </c>
      <c r="B240" s="665">
        <f>'20'!A255</f>
        <v/>
      </c>
      <c r="C240">
        <f>'20'!C255</f>
        <v/>
      </c>
    </row>
    <row r="241">
      <c r="A241">
        <f>RIGHT(B241,4)</f>
        <v/>
      </c>
      <c r="B241" s="665">
        <f>'20'!A256</f>
        <v/>
      </c>
      <c r="C241">
        <f>'20'!C256</f>
        <v/>
      </c>
    </row>
    <row r="242">
      <c r="A242">
        <f>RIGHT(B242,4)</f>
        <v/>
      </c>
      <c r="B242" s="665">
        <f>'20'!A257</f>
        <v/>
      </c>
      <c r="C242">
        <f>'20'!C257</f>
        <v/>
      </c>
    </row>
    <row r="243">
      <c r="A243">
        <f>RIGHT(B243,4)</f>
        <v/>
      </c>
      <c r="B243" s="665">
        <f>'20'!A258</f>
        <v/>
      </c>
      <c r="C243">
        <f>'20'!C258</f>
        <v/>
      </c>
    </row>
    <row r="244">
      <c r="A244">
        <f>RIGHT(B244,4)</f>
        <v/>
      </c>
      <c r="B244" s="665">
        <f>'20'!A259</f>
        <v/>
      </c>
      <c r="C244">
        <f>'20'!C259</f>
        <v/>
      </c>
    </row>
    <row r="245">
      <c r="A245">
        <f>RIGHT(B245,4)</f>
        <v/>
      </c>
      <c r="B245" s="665">
        <f>'20'!A260</f>
        <v/>
      </c>
      <c r="C245">
        <f>'20'!C260</f>
        <v/>
      </c>
    </row>
    <row r="246">
      <c r="A246">
        <f>RIGHT(B246,4)</f>
        <v/>
      </c>
      <c r="B246" s="665">
        <f>'20'!A261</f>
        <v/>
      </c>
      <c r="C246">
        <f>'20'!C261</f>
        <v/>
      </c>
    </row>
    <row r="247">
      <c r="A247">
        <f>RIGHT(B247,4)</f>
        <v/>
      </c>
      <c r="B247" s="665">
        <f>'20'!A262</f>
        <v/>
      </c>
      <c r="C247">
        <f>'20'!C262</f>
        <v/>
      </c>
    </row>
    <row r="248">
      <c r="A248">
        <f>RIGHT(B248,4)</f>
        <v/>
      </c>
      <c r="B248" s="665">
        <f>'20'!A263</f>
        <v/>
      </c>
      <c r="C248">
        <f>'20'!C263</f>
        <v/>
      </c>
    </row>
    <row r="249">
      <c r="A249">
        <f>RIGHT(B249,4)</f>
        <v/>
      </c>
      <c r="B249" s="665">
        <f>'20'!A264</f>
        <v/>
      </c>
      <c r="C249">
        <f>'20'!C264</f>
        <v/>
      </c>
    </row>
    <row r="250">
      <c r="A250">
        <f>RIGHT(B250,4)</f>
        <v/>
      </c>
      <c r="B250" s="665">
        <f>'20'!A265</f>
        <v/>
      </c>
      <c r="C250">
        <f>'20'!C265</f>
        <v/>
      </c>
    </row>
    <row r="251">
      <c r="A251">
        <f>RIGHT(B251,4)</f>
        <v/>
      </c>
      <c r="B251" s="665">
        <f>'20'!A266</f>
        <v/>
      </c>
      <c r="C251">
        <f>'20'!C266</f>
        <v/>
      </c>
    </row>
    <row r="252">
      <c r="A252">
        <f>RIGHT(B252,4)</f>
        <v/>
      </c>
      <c r="B252" s="665">
        <f>'20'!A267</f>
        <v/>
      </c>
      <c r="C252">
        <f>'20'!C267</f>
        <v/>
      </c>
    </row>
    <row r="253">
      <c r="A253">
        <f>RIGHT(B253,4)</f>
        <v/>
      </c>
      <c r="B253" s="665">
        <f>'20'!A268</f>
        <v/>
      </c>
      <c r="C253">
        <f>'20'!C268</f>
        <v/>
      </c>
    </row>
    <row r="254">
      <c r="A254">
        <f>RIGHT(B254,4)</f>
        <v/>
      </c>
      <c r="B254" s="665">
        <f>'20'!A269</f>
        <v/>
      </c>
      <c r="C254">
        <f>'20'!C269</f>
        <v/>
      </c>
    </row>
    <row r="255">
      <c r="A255">
        <f>RIGHT(B255,4)</f>
        <v/>
      </c>
      <c r="B255" s="665">
        <f>'20'!A270</f>
        <v/>
      </c>
      <c r="C255">
        <f>'20'!C270</f>
        <v/>
      </c>
    </row>
    <row r="256">
      <c r="A256">
        <f>RIGHT(B256,4)</f>
        <v/>
      </c>
      <c r="B256" s="665">
        <f>'20'!A271</f>
        <v/>
      </c>
      <c r="C256">
        <f>'20'!C271</f>
        <v/>
      </c>
    </row>
    <row r="257">
      <c r="A257">
        <f>RIGHT(B257,4)</f>
        <v/>
      </c>
      <c r="B257" s="665">
        <f>'20'!A272</f>
        <v/>
      </c>
      <c r="C257">
        <f>'20'!C272</f>
        <v/>
      </c>
    </row>
    <row r="258">
      <c r="A258">
        <f>RIGHT(B258,4)</f>
        <v/>
      </c>
      <c r="B258" s="665">
        <f>'20'!A273</f>
        <v/>
      </c>
      <c r="C258">
        <f>'20'!C273</f>
        <v/>
      </c>
    </row>
    <row r="259">
      <c r="A259">
        <f>RIGHT(B259,4)</f>
        <v/>
      </c>
      <c r="B259" s="665">
        <f>'20'!A274</f>
        <v/>
      </c>
      <c r="C259">
        <f>'20'!C274</f>
        <v/>
      </c>
    </row>
    <row r="260">
      <c r="A260">
        <f>RIGHT(B260,4)</f>
        <v/>
      </c>
      <c r="B260" s="665">
        <f>'20'!A275</f>
        <v/>
      </c>
      <c r="C260">
        <f>'20'!C275</f>
        <v/>
      </c>
    </row>
    <row r="261">
      <c r="A261">
        <f>RIGHT(B261,4)</f>
        <v/>
      </c>
      <c r="B261" s="665">
        <f>'20'!A276</f>
        <v/>
      </c>
      <c r="C261">
        <f>'20'!C276</f>
        <v/>
      </c>
    </row>
    <row r="262">
      <c r="A262">
        <f>RIGHT(B262,4)</f>
        <v/>
      </c>
      <c r="B262" s="665">
        <f>'20'!A277</f>
        <v/>
      </c>
      <c r="C262">
        <f>'20'!C277</f>
        <v/>
      </c>
    </row>
    <row r="263">
      <c r="A263">
        <f>RIGHT(B263,4)</f>
        <v/>
      </c>
      <c r="B263" s="665">
        <f>'20'!A278</f>
        <v/>
      </c>
      <c r="C263">
        <f>'20'!C278</f>
        <v/>
      </c>
    </row>
    <row r="264">
      <c r="A264">
        <f>RIGHT(B264,4)</f>
        <v/>
      </c>
      <c r="B264" s="665">
        <f>'20'!A279</f>
        <v/>
      </c>
      <c r="C264">
        <f>'20'!C279</f>
        <v/>
      </c>
    </row>
    <row r="265">
      <c r="A265">
        <f>RIGHT(B265,4)</f>
        <v/>
      </c>
      <c r="B265" s="665">
        <f>'20'!A280</f>
        <v/>
      </c>
      <c r="C265">
        <f>'20'!C280</f>
        <v/>
      </c>
    </row>
    <row r="266">
      <c r="A266">
        <f>RIGHT(B266,4)</f>
        <v/>
      </c>
      <c r="B266" s="665">
        <f>'20'!A281</f>
        <v/>
      </c>
      <c r="C266">
        <f>'20'!C281</f>
        <v/>
      </c>
    </row>
    <row r="267">
      <c r="A267">
        <f>RIGHT(B267,4)</f>
        <v/>
      </c>
      <c r="B267" s="665">
        <f>'20'!A282</f>
        <v/>
      </c>
      <c r="C267">
        <f>'20'!C282</f>
        <v/>
      </c>
    </row>
    <row r="268">
      <c r="A268">
        <f>RIGHT(B268,4)</f>
        <v/>
      </c>
      <c r="B268" s="665">
        <f>'20'!A283</f>
        <v/>
      </c>
      <c r="C268">
        <f>'20'!C283</f>
        <v/>
      </c>
    </row>
    <row r="269">
      <c r="A269">
        <f>RIGHT(B269,4)</f>
        <v/>
      </c>
      <c r="B269" s="665">
        <f>'20'!A284</f>
        <v/>
      </c>
      <c r="C269">
        <f>'20'!C284</f>
        <v/>
      </c>
    </row>
    <row r="270">
      <c r="A270">
        <f>RIGHT(B270,4)</f>
        <v/>
      </c>
      <c r="B270" s="665">
        <f>'20'!A285</f>
        <v/>
      </c>
      <c r="C270">
        <f>'20'!C285</f>
        <v/>
      </c>
    </row>
    <row r="271">
      <c r="A271">
        <f>RIGHT(B271,4)</f>
        <v/>
      </c>
      <c r="B271" s="665">
        <f>'20'!A286</f>
        <v/>
      </c>
      <c r="C271">
        <f>'20'!C286</f>
        <v/>
      </c>
    </row>
    <row r="272">
      <c r="A272">
        <f>RIGHT(B272,4)</f>
        <v/>
      </c>
      <c r="B272" s="665">
        <f>'20'!A287</f>
        <v/>
      </c>
      <c r="C272">
        <f>'20'!C287</f>
        <v/>
      </c>
    </row>
    <row r="273">
      <c r="A273">
        <f>RIGHT(B273,4)</f>
        <v/>
      </c>
      <c r="B273" s="665">
        <f>'20'!A288</f>
        <v/>
      </c>
      <c r="C273">
        <f>'20'!C288</f>
        <v/>
      </c>
    </row>
    <row r="274">
      <c r="A274">
        <f>RIGHT(B274,4)</f>
        <v/>
      </c>
      <c r="B274" s="665">
        <f>'20'!A289</f>
        <v/>
      </c>
      <c r="C274">
        <f>'20'!C289</f>
        <v/>
      </c>
    </row>
    <row r="275">
      <c r="A275">
        <f>RIGHT(B275,4)</f>
        <v/>
      </c>
      <c r="B275" s="665">
        <f>'20'!A290</f>
        <v/>
      </c>
      <c r="C275">
        <f>'20'!C290</f>
        <v/>
      </c>
    </row>
    <row r="276">
      <c r="A276">
        <f>RIGHT(B276,4)</f>
        <v/>
      </c>
      <c r="B276" s="665">
        <f>'20'!A291</f>
        <v/>
      </c>
      <c r="C276">
        <f>'20'!C291</f>
        <v/>
      </c>
    </row>
    <row r="277">
      <c r="A277">
        <f>RIGHT(B277,4)</f>
        <v/>
      </c>
      <c r="B277" s="665">
        <f>'20'!A292</f>
        <v/>
      </c>
      <c r="C277">
        <f>'20'!C292</f>
        <v/>
      </c>
    </row>
    <row r="278">
      <c r="A278">
        <f>RIGHT(B278,4)</f>
        <v/>
      </c>
      <c r="B278" s="665">
        <f>'20'!A293</f>
        <v/>
      </c>
      <c r="C278">
        <f>'20'!C293</f>
        <v/>
      </c>
    </row>
    <row r="279">
      <c r="A279">
        <f>RIGHT(B279,4)</f>
        <v/>
      </c>
      <c r="B279" s="665">
        <f>'20'!A294</f>
        <v/>
      </c>
      <c r="C279">
        <f>'20'!C294</f>
        <v/>
      </c>
    </row>
    <row r="280">
      <c r="A280">
        <f>RIGHT(B280,4)</f>
        <v/>
      </c>
      <c r="B280" s="665">
        <f>'20'!A295</f>
        <v/>
      </c>
      <c r="C280">
        <f>'20'!C295</f>
        <v/>
      </c>
    </row>
    <row r="281">
      <c r="A281">
        <f>RIGHT(B281,4)</f>
        <v/>
      </c>
      <c r="B281" s="665">
        <f>'20'!A296</f>
        <v/>
      </c>
      <c r="C281">
        <f>'20'!C296</f>
        <v/>
      </c>
    </row>
    <row r="282">
      <c r="A282">
        <f>RIGHT(B282,4)</f>
        <v/>
      </c>
      <c r="B282" s="665">
        <f>'20'!A297</f>
        <v/>
      </c>
      <c r="C282">
        <f>'20'!C297</f>
        <v/>
      </c>
    </row>
    <row r="283">
      <c r="A283">
        <f>RIGHT(B283,4)</f>
        <v/>
      </c>
      <c r="B283" s="665">
        <f>'20'!A298</f>
        <v/>
      </c>
      <c r="C283">
        <f>'20'!C298</f>
        <v/>
      </c>
    </row>
    <row r="284">
      <c r="A284">
        <f>RIGHT(B284,4)</f>
        <v/>
      </c>
      <c r="B284" s="665">
        <f>'20'!A299</f>
        <v/>
      </c>
      <c r="C284">
        <f>'20'!C299</f>
        <v/>
      </c>
    </row>
    <row r="285">
      <c r="A285">
        <f>RIGHT(B285,4)</f>
        <v/>
      </c>
      <c r="B285" s="665">
        <f>'20'!A300</f>
        <v/>
      </c>
      <c r="C285">
        <f>'20'!C300</f>
        <v/>
      </c>
    </row>
    <row r="286">
      <c r="A286">
        <f>RIGHT(B286,4)</f>
        <v/>
      </c>
      <c r="B286" s="665">
        <f>'20'!A301</f>
        <v/>
      </c>
      <c r="C286">
        <f>'20'!C301</f>
        <v/>
      </c>
    </row>
    <row r="287">
      <c r="A287">
        <f>RIGHT(B287,4)</f>
        <v/>
      </c>
      <c r="B287" s="665">
        <f>'20'!A302</f>
        <v/>
      </c>
      <c r="C287">
        <f>'20'!C302</f>
        <v/>
      </c>
    </row>
    <row r="288">
      <c r="A288">
        <f>RIGHT(B288,4)</f>
        <v/>
      </c>
      <c r="B288" s="665">
        <f>'20'!A303</f>
        <v/>
      </c>
      <c r="C288">
        <f>'20'!C303</f>
        <v/>
      </c>
    </row>
    <row r="289">
      <c r="A289">
        <f>RIGHT(B289,4)</f>
        <v/>
      </c>
      <c r="B289" s="665">
        <f>'20'!A304</f>
        <v/>
      </c>
      <c r="C289">
        <f>'20'!C304</f>
        <v/>
      </c>
    </row>
    <row r="290">
      <c r="A290">
        <f>RIGHT(B290,4)</f>
        <v/>
      </c>
      <c r="B290" s="665">
        <f>'20'!A305</f>
        <v/>
      </c>
      <c r="C290">
        <f>'20'!C305</f>
        <v/>
      </c>
    </row>
    <row r="291">
      <c r="A291">
        <f>RIGHT(B291,4)</f>
        <v/>
      </c>
      <c r="B291" s="665">
        <f>'20'!A306</f>
        <v/>
      </c>
      <c r="C291">
        <f>'20'!C306</f>
        <v/>
      </c>
    </row>
    <row r="292">
      <c r="A292">
        <f>RIGHT(B292,4)</f>
        <v/>
      </c>
      <c r="B292" s="665">
        <f>'20'!A307</f>
        <v/>
      </c>
      <c r="C292">
        <f>'20'!C307</f>
        <v/>
      </c>
    </row>
    <row r="293">
      <c r="A293">
        <f>RIGHT(B293,4)</f>
        <v/>
      </c>
      <c r="B293" s="665">
        <f>'20'!A308</f>
        <v/>
      </c>
      <c r="C293">
        <f>'20'!C308</f>
        <v/>
      </c>
    </row>
    <row r="294">
      <c r="A294">
        <f>RIGHT(B294,4)</f>
        <v/>
      </c>
      <c r="B294" s="665">
        <f>'20'!A309</f>
        <v/>
      </c>
      <c r="C294">
        <f>'20'!C309</f>
        <v/>
      </c>
    </row>
    <row r="295">
      <c r="B295" s="665" t="n"/>
    </row>
    <row r="296">
      <c r="B296" s="665" t="n"/>
    </row>
    <row r="297">
      <c r="B297" s="665" t="n"/>
    </row>
    <row r="298">
      <c r="B298" s="665" t="n"/>
    </row>
    <row r="299">
      <c r="B299" s="665" t="n"/>
    </row>
    <row r="300">
      <c r="B300" s="665" t="n"/>
    </row>
    <row r="301">
      <c r="B301" s="665" t="n"/>
    </row>
    <row r="302">
      <c r="B302" s="665" t="n"/>
    </row>
    <row r="303">
      <c r="B303" s="665" t="n"/>
    </row>
    <row r="304">
      <c r="B304" s="665" t="n"/>
    </row>
    <row r="305">
      <c r="B305" s="665" t="n"/>
    </row>
    <row r="306">
      <c r="B306" s="665" t="n"/>
    </row>
    <row r="307">
      <c r="B307" s="665" t="n"/>
    </row>
    <row r="308">
      <c r="B308" s="665" t="n"/>
    </row>
    <row r="309">
      <c r="B309" s="665" t="n"/>
    </row>
    <row r="310">
      <c r="B310" s="665" t="n"/>
    </row>
    <row r="311">
      <c r="B311" s="665" t="n"/>
    </row>
    <row r="312">
      <c r="B312" s="665" t="n"/>
    </row>
    <row r="313">
      <c r="B313" s="665" t="n"/>
    </row>
    <row r="314">
      <c r="B314" s="665" t="n"/>
    </row>
    <row r="315">
      <c r="B315" s="665" t="n"/>
    </row>
    <row r="316">
      <c r="B316" s="665" t="n"/>
    </row>
    <row r="317">
      <c r="B317" s="665" t="n"/>
    </row>
    <row r="318">
      <c r="B318" s="665" t="n"/>
    </row>
    <row r="319">
      <c r="B319" s="665" t="n"/>
    </row>
    <row r="320">
      <c r="B320" s="665" t="n"/>
    </row>
    <row r="321">
      <c r="B321" s="665" t="n"/>
    </row>
    <row r="322">
      <c r="B322" s="665" t="n"/>
    </row>
    <row r="323">
      <c r="B323" s="665" t="n"/>
    </row>
    <row r="324">
      <c r="B324" s="665" t="n"/>
    </row>
    <row r="325">
      <c r="B325" s="665" t="n"/>
    </row>
    <row r="326">
      <c r="B326" s="665" t="n"/>
    </row>
    <row r="327">
      <c r="B327" s="665" t="n"/>
    </row>
    <row r="328">
      <c r="B328" s="665" t="n"/>
    </row>
    <row r="329">
      <c r="B329" s="665" t="n"/>
    </row>
    <row r="330">
      <c r="B330" s="665" t="n"/>
    </row>
    <row r="331">
      <c r="B331" s="665" t="n"/>
    </row>
    <row r="332">
      <c r="B332" s="665" t="n"/>
    </row>
    <row r="333">
      <c r="B333" s="665" t="n"/>
    </row>
    <row r="334">
      <c r="B334" s="665" t="n"/>
    </row>
    <row r="335">
      <c r="B335" s="665" t="n"/>
    </row>
    <row r="336">
      <c r="B336" s="665" t="n"/>
    </row>
    <row r="337">
      <c r="B337" s="665" t="n"/>
    </row>
    <row r="338">
      <c r="B338" s="665" t="n"/>
    </row>
    <row r="339">
      <c r="B339" s="665" t="n"/>
    </row>
    <row r="340">
      <c r="B340" s="665" t="n"/>
    </row>
    <row r="341">
      <c r="B341" s="665" t="n"/>
    </row>
    <row r="342">
      <c r="B342" s="665" t="n"/>
    </row>
    <row r="343">
      <c r="B343" s="665" t="n"/>
    </row>
    <row r="344">
      <c r="B344" s="665" t="n"/>
    </row>
    <row r="345">
      <c r="B345" s="665" t="n"/>
    </row>
    <row r="346">
      <c r="B346" s="665" t="n"/>
    </row>
    <row r="347">
      <c r="B347" s="665" t="n"/>
    </row>
    <row r="348">
      <c r="B348" s="665" t="n"/>
    </row>
    <row r="349">
      <c r="B349" s="665" t="n"/>
    </row>
    <row r="350">
      <c r="B350" s="665" t="n"/>
    </row>
    <row r="351">
      <c r="B351" s="665" t="n"/>
    </row>
    <row r="352">
      <c r="B352" s="665" t="n"/>
    </row>
    <row r="353">
      <c r="B353" s="665" t="n"/>
    </row>
    <row r="354">
      <c r="B354" s="665" t="n"/>
    </row>
    <row r="355">
      <c r="B355" s="665" t="n"/>
    </row>
    <row r="356">
      <c r="B356" s="665" t="n"/>
    </row>
    <row r="357">
      <c r="B357" s="665" t="n"/>
    </row>
    <row r="358">
      <c r="B358" s="665" t="n"/>
    </row>
    <row r="359">
      <c r="B359" s="665" t="n"/>
    </row>
    <row r="360">
      <c r="B360" s="665" t="n"/>
    </row>
    <row r="361">
      <c r="B361" s="665" t="n"/>
    </row>
    <row r="362">
      <c r="B362" s="665" t="n"/>
    </row>
    <row r="363">
      <c r="B363" s="665" t="n"/>
    </row>
    <row r="364">
      <c r="B364" s="665" t="n"/>
    </row>
    <row r="365">
      <c r="B365" s="665" t="n"/>
    </row>
    <row r="366">
      <c r="B366" s="665" t="n"/>
    </row>
    <row r="367">
      <c r="B367" s="665" t="n"/>
    </row>
    <row r="368">
      <c r="B368" s="665" t="n"/>
    </row>
    <row r="369">
      <c r="B369" s="665" t="n"/>
    </row>
    <row r="370">
      <c r="B370" s="665" t="n"/>
    </row>
    <row r="371">
      <c r="B371" s="665" t="n"/>
    </row>
    <row r="372">
      <c r="B372" s="665" t="n"/>
    </row>
    <row r="373">
      <c r="B373" s="665" t="n"/>
    </row>
    <row r="374">
      <c r="B374" s="665" t="n"/>
    </row>
    <row r="375">
      <c r="B375" s="665" t="n"/>
    </row>
    <row r="376">
      <c r="B376" s="665" t="n"/>
    </row>
    <row r="377">
      <c r="B377" s="665" t="n"/>
    </row>
    <row r="378">
      <c r="B378" s="665" t="n"/>
    </row>
    <row r="379">
      <c r="B379" s="665" t="n"/>
    </row>
    <row r="380">
      <c r="B380" s="665" t="n"/>
    </row>
    <row r="381">
      <c r="B381" s="665" t="n"/>
    </row>
    <row r="382">
      <c r="B382" s="665" t="n"/>
    </row>
    <row r="383">
      <c r="B383" s="665" t="n"/>
    </row>
    <row r="384">
      <c r="B384" s="665" t="n"/>
    </row>
    <row r="385">
      <c r="B385" s="665" t="n"/>
    </row>
    <row r="386">
      <c r="B386" s="665" t="n"/>
    </row>
    <row r="387">
      <c r="B387" s="665" t="n"/>
    </row>
    <row r="388">
      <c r="B388" s="665" t="n"/>
    </row>
    <row r="389">
      <c r="B389" s="665" t="n"/>
    </row>
    <row r="390">
      <c r="B390" s="665" t="n"/>
    </row>
    <row r="391">
      <c r="B391" s="665" t="n"/>
    </row>
    <row r="392">
      <c r="B392" s="665" t="n"/>
    </row>
    <row r="393">
      <c r="B393" s="665" t="n"/>
    </row>
    <row r="394">
      <c r="B394" s="665" t="n"/>
    </row>
    <row r="395">
      <c r="B395" s="665" t="n"/>
    </row>
    <row r="396">
      <c r="B396" s="665" t="n"/>
    </row>
    <row r="397">
      <c r="B397" s="665" t="n"/>
    </row>
    <row r="398">
      <c r="B398" s="665" t="n"/>
    </row>
    <row r="399">
      <c r="B399" s="665" t="n"/>
    </row>
    <row r="400">
      <c r="B400" s="665" t="n"/>
    </row>
    <row r="401">
      <c r="B401" s="665" t="n"/>
    </row>
    <row r="402">
      <c r="B402" s="665" t="n"/>
    </row>
    <row r="403">
      <c r="B403" s="665" t="n"/>
    </row>
    <row r="404">
      <c r="B404" s="665" t="n"/>
    </row>
    <row r="405">
      <c r="B405" s="665" t="n"/>
    </row>
    <row r="406">
      <c r="B406" s="665" t="n"/>
    </row>
    <row r="407">
      <c r="B407" s="665" t="n"/>
    </row>
    <row r="408">
      <c r="B408" s="665" t="n"/>
    </row>
    <row r="409">
      <c r="B409" s="665" t="n"/>
    </row>
    <row r="410">
      <c r="B410" s="665" t="n"/>
    </row>
    <row r="411">
      <c r="B411" s="665" t="n"/>
    </row>
    <row r="412">
      <c r="B412" s="665" t="n"/>
    </row>
    <row r="413">
      <c r="B413" s="665" t="n"/>
    </row>
    <row r="414">
      <c r="B414" s="665" t="n"/>
    </row>
    <row r="415">
      <c r="B415" s="665" t="n"/>
    </row>
    <row r="416">
      <c r="B416" s="665" t="n"/>
    </row>
    <row r="417">
      <c r="B417" s="665" t="n"/>
    </row>
    <row r="418">
      <c r="B418" s="665" t="n"/>
    </row>
    <row r="419">
      <c r="B419" s="665" t="n"/>
    </row>
    <row r="420">
      <c r="B420" s="665" t="n"/>
    </row>
    <row r="421">
      <c r="B421" s="665" t="n"/>
    </row>
    <row r="422">
      <c r="B422" s="665" t="n"/>
    </row>
    <row r="423">
      <c r="B423" s="665" t="n"/>
    </row>
    <row r="424">
      <c r="B424" s="665" t="n"/>
    </row>
    <row r="425">
      <c r="B425" s="665" t="n"/>
    </row>
    <row r="426">
      <c r="B426" s="665" t="n"/>
    </row>
    <row r="427">
      <c r="B427" s="665" t="n"/>
    </row>
    <row r="428">
      <c r="B428" s="665" t="n"/>
    </row>
    <row r="429">
      <c r="B429" s="665" t="n"/>
    </row>
    <row r="430">
      <c r="B430" s="665" t="n"/>
    </row>
    <row r="431">
      <c r="B431" s="665" t="n"/>
    </row>
    <row r="432">
      <c r="B432" s="665" t="n"/>
    </row>
    <row r="433">
      <c r="B433" s="665" t="n"/>
    </row>
    <row r="434">
      <c r="B434" s="665" t="n"/>
    </row>
    <row r="435">
      <c r="B435" s="665" t="n"/>
    </row>
    <row r="436">
      <c r="B436" s="665" t="n"/>
    </row>
    <row r="437">
      <c r="B437" s="665" t="n"/>
    </row>
    <row r="438">
      <c r="B438" s="665" t="n"/>
    </row>
    <row r="439">
      <c r="B439" s="665" t="n"/>
    </row>
    <row r="440">
      <c r="B440" s="665" t="n"/>
    </row>
    <row r="441">
      <c r="B441" s="665" t="n"/>
    </row>
    <row r="442">
      <c r="B442" s="665" t="n"/>
    </row>
    <row r="443">
      <c r="B443" s="665" t="n"/>
    </row>
    <row r="444">
      <c r="B444" s="665" t="n"/>
    </row>
    <row r="445">
      <c r="B445" s="665" t="n"/>
    </row>
    <row r="446">
      <c r="B446" s="665" t="n"/>
    </row>
    <row r="447">
      <c r="B447" s="665" t="n"/>
    </row>
    <row r="448">
      <c r="B448" s="665" t="n"/>
    </row>
    <row r="449">
      <c r="B449" s="665" t="n"/>
    </row>
    <row r="450">
      <c r="B450" s="665" t="n"/>
    </row>
    <row r="451">
      <c r="B451" s="665" t="n"/>
    </row>
    <row r="452">
      <c r="B452" s="665" t="n"/>
    </row>
    <row r="453">
      <c r="B453" s="665" t="n"/>
    </row>
    <row r="454">
      <c r="B454" s="665" t="n"/>
    </row>
    <row r="455">
      <c r="B455" s="665" t="n"/>
    </row>
    <row r="456">
      <c r="B456" s="665" t="n"/>
    </row>
    <row r="457">
      <c r="B457" s="665" t="n"/>
    </row>
    <row r="458">
      <c r="B458" s="665" t="n"/>
    </row>
    <row r="459">
      <c r="B459" s="665" t="n"/>
    </row>
    <row r="460">
      <c r="B460" s="665" t="n"/>
    </row>
    <row r="461">
      <c r="B461" s="665" t="n"/>
    </row>
    <row r="462">
      <c r="B462" s="665" t="n"/>
    </row>
    <row r="463">
      <c r="B463" s="665" t="n"/>
    </row>
    <row r="464">
      <c r="B464" s="665" t="n"/>
    </row>
    <row r="465">
      <c r="B465" s="665" t="n"/>
    </row>
    <row r="466">
      <c r="B466" s="665" t="n"/>
    </row>
    <row r="467">
      <c r="B467" s="665" t="n"/>
    </row>
    <row r="468">
      <c r="B468" s="665" t="n"/>
    </row>
    <row r="469">
      <c r="B469" s="665" t="n"/>
    </row>
    <row r="470">
      <c r="B470" s="665" t="n"/>
    </row>
    <row r="471">
      <c r="B471" s="665" t="n"/>
    </row>
    <row r="472">
      <c r="B472" s="665" t="n"/>
    </row>
    <row r="473">
      <c r="B473" s="665" t="n"/>
    </row>
    <row r="474">
      <c r="B474" s="665" t="n"/>
    </row>
    <row r="475">
      <c r="B475" s="665" t="n"/>
    </row>
    <row r="476">
      <c r="B476" s="665" t="n"/>
    </row>
    <row r="477">
      <c r="B477" s="665" t="n"/>
    </row>
    <row r="478">
      <c r="B478" s="665" t="n"/>
    </row>
    <row r="479">
      <c r="B479" s="665" t="n"/>
    </row>
    <row r="480">
      <c r="B480" s="665" t="n"/>
    </row>
    <row r="481">
      <c r="B481" s="665" t="n"/>
    </row>
    <row r="482">
      <c r="B482" s="665" t="n"/>
    </row>
    <row r="483">
      <c r="B483" s="665" t="n"/>
    </row>
    <row r="484">
      <c r="B484" s="665" t="n"/>
    </row>
    <row r="485">
      <c r="B485" s="665" t="n"/>
    </row>
    <row r="486">
      <c r="B486" s="665" t="n"/>
    </row>
    <row r="487">
      <c r="B487" s="665" t="n"/>
    </row>
    <row r="488">
      <c r="B488" s="665" t="n"/>
    </row>
    <row r="489">
      <c r="B489" s="665" t="n"/>
    </row>
    <row r="490">
      <c r="B490" s="665" t="n"/>
    </row>
    <row r="491">
      <c r="B491" s="665" t="n"/>
    </row>
    <row r="492">
      <c r="B492" s="665" t="n"/>
    </row>
    <row r="493">
      <c r="B493" s="665" t="n"/>
    </row>
    <row r="494">
      <c r="B494" s="665" t="n"/>
    </row>
    <row r="495">
      <c r="B495" s="665" t="n"/>
    </row>
    <row r="496">
      <c r="B496" s="665" t="n"/>
    </row>
    <row r="497">
      <c r="B497" s="665" t="n"/>
    </row>
    <row r="498">
      <c r="B498" s="665" t="n"/>
    </row>
    <row r="499">
      <c r="B499" s="665" t="n"/>
    </row>
    <row r="500">
      <c r="B500" s="665" t="n"/>
    </row>
    <row r="501">
      <c r="B501" s="665" t="n"/>
    </row>
    <row r="502">
      <c r="B502" s="665" t="n"/>
    </row>
    <row r="503">
      <c r="B503" s="665" t="n"/>
    </row>
    <row r="504">
      <c r="B504" s="665" t="n"/>
    </row>
    <row r="505">
      <c r="B505" s="665" t="n"/>
    </row>
    <row r="506">
      <c r="B506" s="665" t="n"/>
    </row>
    <row r="507">
      <c r="B507" s="665" t="n"/>
    </row>
    <row r="508">
      <c r="B508" s="665" t="n"/>
    </row>
    <row r="509">
      <c r="B509" s="665" t="n"/>
    </row>
    <row r="510">
      <c r="B510" s="665" t="n"/>
    </row>
    <row r="511">
      <c r="B511" s="665" t="n"/>
    </row>
    <row r="512">
      <c r="B512" s="665" t="n"/>
    </row>
    <row r="513">
      <c r="B513" s="665" t="n"/>
    </row>
    <row r="514">
      <c r="B514" s="665" t="n"/>
    </row>
    <row r="515">
      <c r="B515" s="665" t="n"/>
    </row>
    <row r="516">
      <c r="B516" s="665" t="n"/>
    </row>
    <row r="517">
      <c r="B517" s="665" t="n"/>
    </row>
    <row r="518">
      <c r="B518" s="665" t="n"/>
    </row>
    <row r="519">
      <c r="B519" s="665" t="n"/>
    </row>
    <row r="520">
      <c r="B520" s="665" t="n"/>
    </row>
    <row r="521">
      <c r="B521" s="665" t="n"/>
    </row>
    <row r="522">
      <c r="B522" s="665" t="n"/>
    </row>
    <row r="523">
      <c r="B523" s="665" t="n"/>
    </row>
    <row r="524">
      <c r="B524" s="665" t="n"/>
    </row>
    <row r="525">
      <c r="B525" s="665" t="n"/>
    </row>
    <row r="526">
      <c r="B526" s="665" t="n"/>
    </row>
    <row r="527">
      <c r="B527" s="665" t="n"/>
    </row>
    <row r="528">
      <c r="B528" s="665" t="n"/>
    </row>
    <row r="529">
      <c r="B529" s="665" t="n"/>
    </row>
    <row r="530">
      <c r="B530" s="665" t="n"/>
    </row>
    <row r="531">
      <c r="B531" s="665" t="n"/>
    </row>
    <row r="532">
      <c r="B532" s="665" t="n"/>
    </row>
    <row r="533">
      <c r="B533" s="665" t="n"/>
    </row>
    <row r="534">
      <c r="B534" s="665" t="n"/>
    </row>
    <row r="535">
      <c r="B535" s="665" t="n"/>
    </row>
    <row r="536">
      <c r="B536" s="665" t="n"/>
    </row>
    <row r="537">
      <c r="B537" s="665" t="n"/>
    </row>
    <row r="538">
      <c r="B538" s="665" t="n"/>
    </row>
    <row r="539">
      <c r="B539" s="665" t="n"/>
    </row>
    <row r="540">
      <c r="B540" s="665" t="n"/>
    </row>
    <row r="541">
      <c r="B541" s="665" t="n"/>
    </row>
    <row r="542">
      <c r="B542" s="665" t="n"/>
    </row>
    <row r="543">
      <c r="B543" s="665" t="n"/>
    </row>
    <row r="544">
      <c r="B544" s="665" t="n"/>
    </row>
    <row r="545">
      <c r="B545" s="665" t="n"/>
    </row>
    <row r="546">
      <c r="B546" s="665" t="n"/>
    </row>
    <row r="547">
      <c r="B547" s="665" t="n"/>
    </row>
    <row r="548">
      <c r="B548" s="665" t="n"/>
    </row>
    <row r="549">
      <c r="B549" s="665" t="n"/>
    </row>
    <row r="550">
      <c r="B550" s="665" t="n"/>
    </row>
    <row r="551">
      <c r="B551" s="665" t="n"/>
    </row>
    <row r="552">
      <c r="B552" s="665" t="n"/>
    </row>
    <row r="553">
      <c r="B553" s="665" t="n"/>
    </row>
    <row r="554">
      <c r="B554" s="665" t="n"/>
    </row>
    <row r="555">
      <c r="B555" s="665" t="n"/>
    </row>
    <row r="556">
      <c r="B556" s="665" t="n"/>
    </row>
    <row r="557">
      <c r="B557" s="665" t="n"/>
    </row>
    <row r="558">
      <c r="B558" s="665" t="n"/>
    </row>
    <row r="559">
      <c r="B559" s="665" t="n"/>
    </row>
    <row r="560">
      <c r="B560" s="665" t="n"/>
    </row>
    <row r="561">
      <c r="B561" s="665" t="n"/>
    </row>
    <row r="562">
      <c r="B562" s="665" t="n"/>
    </row>
    <row r="563">
      <c r="B563" s="665" t="n"/>
    </row>
    <row r="564">
      <c r="B564" s="665" t="n"/>
    </row>
    <row r="565">
      <c r="B565" s="665" t="n"/>
    </row>
    <row r="566">
      <c r="B566" s="665" t="n"/>
    </row>
    <row r="567">
      <c r="B567" s="665" t="n"/>
    </row>
    <row r="568">
      <c r="B568" s="665" t="n"/>
    </row>
    <row r="569">
      <c r="B569" s="665" t="n"/>
    </row>
    <row r="570">
      <c r="B570" s="665" t="n"/>
    </row>
    <row r="571">
      <c r="B571" s="665" t="n"/>
    </row>
    <row r="572">
      <c r="B572" s="665" t="n"/>
    </row>
    <row r="573">
      <c r="B573" s="665" t="n"/>
    </row>
    <row r="574">
      <c r="B574" s="665" t="n"/>
    </row>
    <row r="575">
      <c r="B575" s="665" t="n"/>
    </row>
    <row r="576">
      <c r="B576" s="665" t="n"/>
    </row>
    <row r="577">
      <c r="B577" s="665" t="n"/>
    </row>
    <row r="578">
      <c r="B578" s="665" t="n"/>
    </row>
    <row r="579">
      <c r="B579" s="665" t="n"/>
    </row>
    <row r="580">
      <c r="B580" s="665" t="n"/>
    </row>
    <row r="581">
      <c r="B581" s="665" t="n"/>
    </row>
    <row r="582">
      <c r="B582" s="665" t="n"/>
    </row>
    <row r="583">
      <c r="B583" s="665" t="n"/>
    </row>
    <row r="584">
      <c r="B584" s="665" t="n"/>
    </row>
    <row r="585">
      <c r="B585" s="665" t="n"/>
    </row>
    <row r="586">
      <c r="B586" s="665" t="n"/>
    </row>
    <row r="587">
      <c r="B587" s="665" t="n"/>
    </row>
    <row r="588">
      <c r="B588" s="665" t="n"/>
    </row>
    <row r="589">
      <c r="B589" s="665" t="n"/>
    </row>
    <row r="590">
      <c r="B590" s="665" t="n"/>
    </row>
    <row r="591">
      <c r="B591" s="665" t="n"/>
    </row>
    <row r="592">
      <c r="B592" s="665" t="n"/>
    </row>
    <row r="593">
      <c r="B593" s="665" t="n"/>
    </row>
    <row r="594">
      <c r="B594" s="665" t="n"/>
    </row>
    <row r="595">
      <c r="B595" s="665" t="n"/>
    </row>
    <row r="596">
      <c r="B596" s="665" t="n"/>
    </row>
    <row r="597">
      <c r="B597" s="665" t="n"/>
    </row>
    <row r="598">
      <c r="B598" s="665" t="n"/>
    </row>
    <row r="599">
      <c r="B599" s="665" t="n"/>
    </row>
    <row r="600">
      <c r="B600" s="665" t="n"/>
    </row>
    <row r="601">
      <c r="B601" s="665" t="n"/>
    </row>
    <row r="602">
      <c r="B602" s="665" t="n"/>
    </row>
    <row r="603">
      <c r="B603" s="665" t="n"/>
    </row>
    <row r="604">
      <c r="B604" s="665" t="n"/>
    </row>
    <row r="605">
      <c r="B605" s="665" t="n"/>
    </row>
    <row r="606">
      <c r="B606" s="665" t="n"/>
    </row>
    <row r="607">
      <c r="B607" s="665" t="n"/>
    </row>
    <row r="608">
      <c r="B608" s="665" t="n"/>
    </row>
    <row r="609">
      <c r="B609" s="665" t="n"/>
    </row>
    <row r="610">
      <c r="B610" s="665" t="n"/>
    </row>
    <row r="611">
      <c r="B611" s="665" t="n"/>
    </row>
    <row r="612">
      <c r="B612" s="665" t="n"/>
    </row>
    <row r="613">
      <c r="B613" s="665" t="n"/>
    </row>
    <row r="614">
      <c r="B614" s="665" t="n"/>
    </row>
    <row r="615">
      <c r="B615" s="665" t="n"/>
    </row>
    <row r="616">
      <c r="B616" s="665" t="n"/>
    </row>
    <row r="617">
      <c r="B617" s="665" t="n"/>
    </row>
    <row r="618">
      <c r="B618" s="665" t="n"/>
    </row>
    <row r="619">
      <c r="B619" s="665" t="n"/>
    </row>
    <row r="620">
      <c r="B620" s="665" t="n"/>
    </row>
    <row r="621">
      <c r="B621" s="665" t="n"/>
    </row>
    <row r="622">
      <c r="B622" s="665" t="n"/>
    </row>
    <row r="623">
      <c r="B623" s="665" t="n"/>
    </row>
    <row r="624">
      <c r="B624" s="665" t="n"/>
    </row>
    <row r="625">
      <c r="B625" s="665" t="n"/>
    </row>
    <row r="626">
      <c r="B626" s="665" t="n"/>
    </row>
    <row r="627">
      <c r="B627" s="665" t="n"/>
    </row>
    <row r="628">
      <c r="B628" s="665" t="n"/>
    </row>
    <row r="629">
      <c r="B629" s="665" t="n"/>
    </row>
    <row r="630">
      <c r="B630" s="665" t="n"/>
    </row>
    <row r="631">
      <c r="B631" s="665" t="n"/>
    </row>
    <row r="632">
      <c r="B632" s="665" t="n"/>
    </row>
    <row r="633">
      <c r="B633" s="665" t="n"/>
    </row>
    <row r="634">
      <c r="B634" s="665" t="n"/>
    </row>
    <row r="635">
      <c r="B635" s="665" t="n"/>
    </row>
    <row r="636">
      <c r="B636" s="665" t="n"/>
    </row>
    <row r="637">
      <c r="B637" s="665" t="n"/>
    </row>
    <row r="638">
      <c r="B638" s="665" t="n"/>
    </row>
    <row r="639">
      <c r="B639" s="665" t="n"/>
    </row>
    <row r="640">
      <c r="B640" s="665" t="n"/>
    </row>
    <row r="641">
      <c r="B641" s="665" t="n"/>
    </row>
    <row r="642">
      <c r="B642" s="665" t="n"/>
    </row>
    <row r="643">
      <c r="B643" s="665" t="n"/>
    </row>
    <row r="644">
      <c r="B644" s="665" t="n"/>
    </row>
    <row r="645">
      <c r="B645" s="665" t="n"/>
    </row>
    <row r="646">
      <c r="B646" s="665" t="n"/>
    </row>
    <row r="647">
      <c r="B647" s="665" t="n"/>
    </row>
    <row r="648">
      <c r="B648" s="665" t="n"/>
    </row>
    <row r="649">
      <c r="B649" s="665" t="n"/>
    </row>
    <row r="650">
      <c r="B650" s="665" t="n"/>
    </row>
    <row r="651">
      <c r="B651" s="665" t="n"/>
    </row>
    <row r="652">
      <c r="B652" s="665" t="n"/>
    </row>
    <row r="653">
      <c r="B653" s="665" t="n"/>
    </row>
    <row r="654">
      <c r="B654" s="665" t="n"/>
    </row>
    <row r="655">
      <c r="B655" s="665" t="n"/>
    </row>
    <row r="656">
      <c r="B656" s="665" t="n"/>
    </row>
    <row r="657">
      <c r="B657" s="665" t="n"/>
    </row>
    <row r="658">
      <c r="B658" s="665" t="n"/>
    </row>
    <row r="659">
      <c r="B659" s="665" t="n"/>
    </row>
    <row r="660">
      <c r="B660" s="665" t="n"/>
    </row>
    <row r="661">
      <c r="B661" s="665" t="n"/>
    </row>
    <row r="662">
      <c r="B662" s="665" t="n"/>
    </row>
    <row r="663">
      <c r="B663" s="665" t="n"/>
    </row>
    <row r="664">
      <c r="B664" s="665" t="n"/>
    </row>
    <row r="665">
      <c r="B665" s="665" t="n"/>
    </row>
    <row r="666">
      <c r="B666" s="665" t="n"/>
    </row>
    <row r="667">
      <c r="B667" s="665" t="n"/>
    </row>
    <row r="668">
      <c r="B668" s="665" t="n"/>
    </row>
    <row r="669">
      <c r="B669" s="665" t="n"/>
    </row>
    <row r="670">
      <c r="B670" s="665" t="n"/>
    </row>
    <row r="671">
      <c r="B671" s="665" t="n"/>
    </row>
    <row r="672">
      <c r="B672" s="665" t="n"/>
    </row>
    <row r="673">
      <c r="B673" s="665" t="n"/>
    </row>
    <row r="674">
      <c r="B674" s="665" t="n"/>
    </row>
    <row r="675">
      <c r="B675" s="665" t="n"/>
    </row>
    <row r="676">
      <c r="B676" s="665" t="n"/>
    </row>
    <row r="677">
      <c r="B677" s="665" t="n"/>
    </row>
    <row r="678">
      <c r="B678" s="665" t="n"/>
    </row>
    <row r="679">
      <c r="B679" s="665" t="n"/>
    </row>
    <row r="680">
      <c r="B680" s="665" t="n"/>
    </row>
    <row r="681">
      <c r="B681" s="665" t="n"/>
    </row>
    <row r="682">
      <c r="B682" s="665" t="n"/>
    </row>
    <row r="683">
      <c r="B683" s="665" t="n"/>
    </row>
    <row r="684">
      <c r="B684" s="665" t="n"/>
    </row>
    <row r="685">
      <c r="B685" s="665" t="n"/>
    </row>
    <row r="686">
      <c r="B686" s="665" t="n"/>
    </row>
    <row r="687">
      <c r="B687" s="665" t="n"/>
    </row>
    <row r="688">
      <c r="B688" s="665" t="n"/>
    </row>
    <row r="689">
      <c r="B689" s="665" t="n"/>
    </row>
    <row r="690">
      <c r="B690" s="665" t="n"/>
    </row>
    <row r="691">
      <c r="B691" s="665" t="n"/>
    </row>
    <row r="692">
      <c r="B692" s="665" t="n"/>
    </row>
    <row r="693">
      <c r="B693" s="665" t="n"/>
    </row>
    <row r="694">
      <c r="B694" s="665" t="n"/>
    </row>
    <row r="695">
      <c r="B695" s="665" t="n"/>
    </row>
    <row r="696">
      <c r="B696" s="665" t="n"/>
    </row>
    <row r="697">
      <c r="B697" s="665" t="n"/>
    </row>
    <row r="698">
      <c r="B698" s="665" t="n"/>
    </row>
    <row r="699">
      <c r="B699" s="665" t="n"/>
    </row>
    <row r="700">
      <c r="B700" s="665" t="n"/>
    </row>
    <row r="701">
      <c r="B701" s="665" t="n"/>
    </row>
    <row r="702">
      <c r="B702" s="665" t="n"/>
    </row>
    <row r="703">
      <c r="B703" s="665" t="n"/>
    </row>
    <row r="704">
      <c r="B704" s="665" t="n"/>
    </row>
    <row r="705">
      <c r="B705" s="665" t="n"/>
    </row>
    <row r="706">
      <c r="B706" s="665" t="n"/>
    </row>
    <row r="707">
      <c r="B707" s="665" t="n"/>
    </row>
    <row r="708">
      <c r="B708" s="665" t="n"/>
    </row>
    <row r="709">
      <c r="B709" s="665" t="n"/>
    </row>
    <row r="710">
      <c r="B710" s="665" t="n"/>
    </row>
    <row r="711">
      <c r="B711" s="665" t="n"/>
    </row>
    <row r="712">
      <c r="B712" s="665" t="n"/>
    </row>
    <row r="713">
      <c r="B713" s="665" t="n"/>
    </row>
    <row r="714">
      <c r="B714" s="665" t="n"/>
    </row>
    <row r="715">
      <c r="B715" s="665" t="n"/>
    </row>
    <row r="716">
      <c r="B716" s="665" t="n"/>
    </row>
    <row r="717">
      <c r="B717" s="665" t="n"/>
    </row>
    <row r="718">
      <c r="B718" s="665" t="n"/>
    </row>
    <row r="719">
      <c r="B719" s="665" t="n"/>
    </row>
    <row r="720">
      <c r="B720" s="665" t="n"/>
    </row>
    <row r="721">
      <c r="B721" s="665" t="n"/>
    </row>
    <row r="722">
      <c r="B722" s="665" t="n"/>
    </row>
    <row r="723">
      <c r="B723" s="665" t="n"/>
    </row>
    <row r="724">
      <c r="B724" s="665" t="n"/>
    </row>
    <row r="725">
      <c r="B725" s="665" t="n"/>
    </row>
    <row r="726">
      <c r="B726" s="665" t="n"/>
    </row>
    <row r="727">
      <c r="B727" s="665" t="n"/>
    </row>
    <row r="728">
      <c r="B728" s="665" t="n"/>
    </row>
    <row r="729">
      <c r="B729" s="665" t="n"/>
    </row>
    <row r="730">
      <c r="B730" s="665" t="n"/>
    </row>
    <row r="731">
      <c r="B731" s="665" t="n"/>
    </row>
    <row r="732">
      <c r="B732" s="665" t="n"/>
    </row>
    <row r="733">
      <c r="B733" s="665" t="n"/>
    </row>
    <row r="734">
      <c r="B734" s="665" t="n"/>
    </row>
    <row r="735">
      <c r="B735" s="665" t="n"/>
    </row>
    <row r="736">
      <c r="B736" s="665" t="n"/>
    </row>
    <row r="737">
      <c r="B737" s="665" t="n"/>
    </row>
    <row r="738">
      <c r="B738" s="665" t="n"/>
    </row>
    <row r="739">
      <c r="B739" s="665" t="n"/>
    </row>
    <row r="740">
      <c r="B740" s="665" t="n"/>
    </row>
    <row r="741">
      <c r="B741" s="665" t="n"/>
    </row>
    <row r="742">
      <c r="B742" s="665" t="n"/>
    </row>
    <row r="743">
      <c r="B743" s="665" t="n"/>
    </row>
    <row r="744">
      <c r="B744" s="665" t="n"/>
    </row>
    <row r="745">
      <c r="B745" s="665" t="n"/>
    </row>
    <row r="746">
      <c r="B746" s="665" t="n"/>
    </row>
    <row r="747">
      <c r="B747" s="665" t="n"/>
    </row>
    <row r="748">
      <c r="B748" s="665" t="n"/>
    </row>
    <row r="749">
      <c r="B749" s="665" t="n"/>
    </row>
    <row r="750">
      <c r="B750" s="665" t="n"/>
    </row>
    <row r="751">
      <c r="B751" s="665" t="n"/>
    </row>
    <row r="752">
      <c r="B752" s="665" t="n"/>
    </row>
    <row r="753">
      <c r="B753" s="665" t="n"/>
    </row>
    <row r="754">
      <c r="B754" s="665" t="n"/>
    </row>
    <row r="755">
      <c r="B755" s="665" t="n"/>
    </row>
    <row r="756">
      <c r="B756" s="665" t="n"/>
    </row>
    <row r="757">
      <c r="B757" s="665" t="n"/>
    </row>
    <row r="758">
      <c r="B758" s="665" t="n"/>
    </row>
    <row r="759">
      <c r="B759" s="665" t="n"/>
    </row>
    <row r="760">
      <c r="B760" s="665" t="n"/>
    </row>
    <row r="761">
      <c r="B761" s="665" t="n"/>
    </row>
    <row r="762">
      <c r="B762" s="665" t="n"/>
    </row>
    <row r="763">
      <c r="B763" s="665" t="n"/>
    </row>
    <row r="764">
      <c r="B764" s="665" t="n"/>
    </row>
    <row r="765">
      <c r="B765" s="665" t="n"/>
    </row>
    <row r="766">
      <c r="B766" s="665" t="n"/>
    </row>
  </sheetData>
  <pageMargins left="0.7" right="0.7" top="0.75" bottom="0.75" header="0.3" footer="0.3"/>
  <drawing xmlns:r="http://schemas.openxmlformats.org/officeDocument/2006/relationships" r:id="rId1"/>
</worksheet>
</file>

<file path=xl/worksheets/sheet33.xml><?xml version="1.0" encoding="utf-8"?>
<worksheet xmlns="http://schemas.openxmlformats.org/spreadsheetml/2006/main">
  <sheetPr>
    <tabColor rgb="FFFF0000"/>
    <outlinePr summaryBelow="1" summaryRight="1"/>
    <pageSetUpPr/>
  </sheetPr>
  <dimension ref="A2:D140"/>
  <sheetViews>
    <sheetView zoomScale="63" workbookViewId="0">
      <selection activeCell="P46" sqref="P46"/>
    </sheetView>
  </sheetViews>
  <sheetFormatPr baseColWidth="8" defaultRowHeight="14.5"/>
  <cols>
    <col width="10.453125" bestFit="1" customWidth="1" style="828" min="1" max="1"/>
    <col width="13.6328125" bestFit="1" customWidth="1" style="828" min="2" max="2"/>
    <col width="11" bestFit="1" customWidth="1" style="828" min="4" max="4"/>
  </cols>
  <sheetData>
    <row r="2">
      <c r="A2">
        <f>'1. Payrolled employees (UK)'!A10</f>
        <v/>
      </c>
      <c r="B2">
        <f>'1. Payrolled employees (UK)'!B10</f>
        <v/>
      </c>
    </row>
    <row r="3">
      <c r="A3" s="195">
        <f>DATEVALUE('1. Payrolled employees (UK)'!A11)</f>
        <v/>
      </c>
      <c r="B3" s="1142">
        <f>'1. Payrolled employees (UK)'!B11</f>
        <v/>
      </c>
      <c r="C3" s="662" t="inlineStr">
        <is>
          <t>Max</t>
        </is>
      </c>
      <c r="D3" s="1165">
        <f>MAX($B$3:$B$139)</f>
        <v/>
      </c>
    </row>
    <row r="4">
      <c r="A4" s="195">
        <f>DATEVALUE('1. Payrolled employees (UK)'!A12)</f>
        <v/>
      </c>
      <c r="B4" s="1142">
        <f>'1. Payrolled employees (UK)'!B12</f>
        <v/>
      </c>
    </row>
    <row r="5">
      <c r="A5" s="195">
        <f>DATEVALUE('1. Payrolled employees (UK)'!A13)</f>
        <v/>
      </c>
      <c r="B5" s="1142">
        <f>'1. Payrolled employees (UK)'!B13</f>
        <v/>
      </c>
      <c r="D5" t="inlineStr">
        <is>
          <t>Number of Payrolled Employees</t>
        </is>
      </c>
    </row>
    <row r="6">
      <c r="A6" s="195">
        <f>DATEVALUE('1. Payrolled employees (UK)'!A14)</f>
        <v/>
      </c>
      <c r="B6" s="1142">
        <f>'1. Payrolled employees (UK)'!B14</f>
        <v/>
      </c>
    </row>
    <row r="7">
      <c r="A7" s="195">
        <f>DATEVALUE('1. Payrolled employees (UK)'!A15)</f>
        <v/>
      </c>
      <c r="B7" s="1142">
        <f>'1. Payrolled employees (UK)'!B15</f>
        <v/>
      </c>
    </row>
    <row r="8">
      <c r="A8" s="195">
        <f>DATEVALUE('1. Payrolled employees (UK)'!A16)</f>
        <v/>
      </c>
      <c r="B8" s="1142">
        <f>'1. Payrolled employees (UK)'!B16</f>
        <v/>
      </c>
    </row>
    <row r="9">
      <c r="A9" s="195">
        <f>DATEVALUE('1. Payrolled employees (UK)'!A17)</f>
        <v/>
      </c>
      <c r="B9" s="1142">
        <f>'1. Payrolled employees (UK)'!B17</f>
        <v/>
      </c>
    </row>
    <row r="10">
      <c r="A10" s="195">
        <f>DATEVALUE('1. Payrolled employees (UK)'!A18)</f>
        <v/>
      </c>
      <c r="B10" s="1142">
        <f>'1. Payrolled employees (UK)'!B18</f>
        <v/>
      </c>
    </row>
    <row r="11">
      <c r="A11" s="195">
        <f>DATEVALUE('1. Payrolled employees (UK)'!A19)</f>
        <v/>
      </c>
      <c r="B11" s="1142">
        <f>'1. Payrolled employees (UK)'!B19</f>
        <v/>
      </c>
    </row>
    <row r="12">
      <c r="A12" s="195">
        <f>DATEVALUE('1. Payrolled employees (UK)'!A20)</f>
        <v/>
      </c>
      <c r="B12" s="1142">
        <f>'1. Payrolled employees (UK)'!B20</f>
        <v/>
      </c>
    </row>
    <row r="13">
      <c r="A13" s="195">
        <f>DATEVALUE('1. Payrolled employees (UK)'!A21)</f>
        <v/>
      </c>
      <c r="B13" s="1142">
        <f>'1. Payrolled employees (UK)'!B21</f>
        <v/>
      </c>
    </row>
    <row r="14">
      <c r="A14" s="195">
        <f>DATEVALUE('1. Payrolled employees (UK)'!A22)</f>
        <v/>
      </c>
      <c r="B14" s="1142">
        <f>'1. Payrolled employees (UK)'!B22</f>
        <v/>
      </c>
    </row>
    <row r="15">
      <c r="A15" s="195">
        <f>DATEVALUE('1. Payrolled employees (UK)'!A23)</f>
        <v/>
      </c>
      <c r="B15" s="1142">
        <f>'1. Payrolled employees (UK)'!B23</f>
        <v/>
      </c>
    </row>
    <row r="16">
      <c r="A16" s="195">
        <f>DATEVALUE('1. Payrolled employees (UK)'!A24)</f>
        <v/>
      </c>
      <c r="B16" s="1142">
        <f>'1. Payrolled employees (UK)'!B24</f>
        <v/>
      </c>
    </row>
    <row r="17">
      <c r="A17" s="195">
        <f>DATEVALUE('1. Payrolled employees (UK)'!A25)</f>
        <v/>
      </c>
      <c r="B17" s="1142">
        <f>'1. Payrolled employees (UK)'!B25</f>
        <v/>
      </c>
    </row>
    <row r="18">
      <c r="A18" s="195">
        <f>DATEVALUE('1. Payrolled employees (UK)'!A26)</f>
        <v/>
      </c>
      <c r="B18" s="1142">
        <f>'1. Payrolled employees (UK)'!B26</f>
        <v/>
      </c>
    </row>
    <row r="19">
      <c r="A19" s="195">
        <f>DATEVALUE('1. Payrolled employees (UK)'!A27)</f>
        <v/>
      </c>
      <c r="B19" s="1142">
        <f>'1. Payrolled employees (UK)'!B27</f>
        <v/>
      </c>
    </row>
    <row r="20">
      <c r="A20" s="195">
        <f>DATEVALUE('1. Payrolled employees (UK)'!A28)</f>
        <v/>
      </c>
      <c r="B20" s="1142">
        <f>'1. Payrolled employees (UK)'!B28</f>
        <v/>
      </c>
    </row>
    <row r="21">
      <c r="A21" s="195">
        <f>DATEVALUE('1. Payrolled employees (UK)'!A29)</f>
        <v/>
      </c>
      <c r="B21" s="1142">
        <f>'1. Payrolled employees (UK)'!B29</f>
        <v/>
      </c>
    </row>
    <row r="22">
      <c r="A22" s="195">
        <f>DATEVALUE('1. Payrolled employees (UK)'!A30)</f>
        <v/>
      </c>
      <c r="B22" s="1142">
        <f>'1. Payrolled employees (UK)'!B30</f>
        <v/>
      </c>
    </row>
    <row r="23">
      <c r="A23" s="195">
        <f>DATEVALUE('1. Payrolled employees (UK)'!A31)</f>
        <v/>
      </c>
      <c r="B23" s="1142">
        <f>'1. Payrolled employees (UK)'!B31</f>
        <v/>
      </c>
    </row>
    <row r="24">
      <c r="A24" s="195">
        <f>DATEVALUE('1. Payrolled employees (UK)'!A32)</f>
        <v/>
      </c>
      <c r="B24" s="1142">
        <f>'1. Payrolled employees (UK)'!B32</f>
        <v/>
      </c>
    </row>
    <row r="25">
      <c r="A25" s="195">
        <f>DATEVALUE('1. Payrolled employees (UK)'!A33)</f>
        <v/>
      </c>
      <c r="B25" s="1142">
        <f>'1. Payrolled employees (UK)'!B33</f>
        <v/>
      </c>
    </row>
    <row r="26">
      <c r="A26" s="195">
        <f>DATEVALUE('1. Payrolled employees (UK)'!A34)</f>
        <v/>
      </c>
      <c r="B26" s="1142">
        <f>'1. Payrolled employees (UK)'!B34</f>
        <v/>
      </c>
    </row>
    <row r="27">
      <c r="A27" s="195">
        <f>DATEVALUE('1. Payrolled employees (UK)'!A35)</f>
        <v/>
      </c>
      <c r="B27" s="1142">
        <f>'1. Payrolled employees (UK)'!B35</f>
        <v/>
      </c>
    </row>
    <row r="28">
      <c r="A28" s="195">
        <f>DATEVALUE('1. Payrolled employees (UK)'!A36)</f>
        <v/>
      </c>
      <c r="B28" s="1142">
        <f>'1. Payrolled employees (UK)'!B36</f>
        <v/>
      </c>
    </row>
    <row r="29">
      <c r="A29" s="195">
        <f>DATEVALUE('1. Payrolled employees (UK)'!A37)</f>
        <v/>
      </c>
      <c r="B29" s="1142">
        <f>'1. Payrolled employees (UK)'!B37</f>
        <v/>
      </c>
    </row>
    <row r="30">
      <c r="A30" s="195">
        <f>DATEVALUE('1. Payrolled employees (UK)'!A38)</f>
        <v/>
      </c>
      <c r="B30" s="1142">
        <f>'1. Payrolled employees (UK)'!B38</f>
        <v/>
      </c>
    </row>
    <row r="31">
      <c r="A31" s="195">
        <f>DATEVALUE('1. Payrolled employees (UK)'!A39)</f>
        <v/>
      </c>
      <c r="B31" s="1142">
        <f>'1. Payrolled employees (UK)'!B39</f>
        <v/>
      </c>
    </row>
    <row r="32">
      <c r="A32" s="195">
        <f>DATEVALUE('1. Payrolled employees (UK)'!A40)</f>
        <v/>
      </c>
      <c r="B32" s="1142">
        <f>'1. Payrolled employees (UK)'!B40</f>
        <v/>
      </c>
    </row>
    <row r="33">
      <c r="A33" s="195">
        <f>DATEVALUE('1. Payrolled employees (UK)'!A41)</f>
        <v/>
      </c>
      <c r="B33" s="1142">
        <f>'1. Payrolled employees (UK)'!B41</f>
        <v/>
      </c>
    </row>
    <row r="34">
      <c r="A34" s="195">
        <f>DATEVALUE('1. Payrolled employees (UK)'!A42)</f>
        <v/>
      </c>
      <c r="B34" s="1142">
        <f>'1. Payrolled employees (UK)'!B42</f>
        <v/>
      </c>
    </row>
    <row r="35">
      <c r="A35" s="195">
        <f>DATEVALUE('1. Payrolled employees (UK)'!A43)</f>
        <v/>
      </c>
      <c r="B35" s="1142">
        <f>'1. Payrolled employees (UK)'!B43</f>
        <v/>
      </c>
    </row>
    <row r="36">
      <c r="A36" s="195">
        <f>DATEVALUE('1. Payrolled employees (UK)'!A44)</f>
        <v/>
      </c>
      <c r="B36" s="1142">
        <f>'1. Payrolled employees (UK)'!B44</f>
        <v/>
      </c>
    </row>
    <row r="37">
      <c r="A37" s="195">
        <f>DATEVALUE('1. Payrolled employees (UK)'!A45)</f>
        <v/>
      </c>
      <c r="B37" s="1142">
        <f>'1. Payrolled employees (UK)'!B45</f>
        <v/>
      </c>
    </row>
    <row r="38">
      <c r="A38" s="195">
        <f>DATEVALUE('1. Payrolled employees (UK)'!A46)</f>
        <v/>
      </c>
      <c r="B38" s="1142">
        <f>'1. Payrolled employees (UK)'!B46</f>
        <v/>
      </c>
    </row>
    <row r="39">
      <c r="A39" s="195">
        <f>DATEVALUE('1. Payrolled employees (UK)'!A47)</f>
        <v/>
      </c>
      <c r="B39" s="1142">
        <f>'1. Payrolled employees (UK)'!B47</f>
        <v/>
      </c>
    </row>
    <row r="40">
      <c r="A40" s="195">
        <f>DATEVALUE('1. Payrolled employees (UK)'!A48)</f>
        <v/>
      </c>
      <c r="B40" s="1142">
        <f>'1. Payrolled employees (UK)'!B48</f>
        <v/>
      </c>
    </row>
    <row r="41">
      <c r="A41" s="195">
        <f>DATEVALUE('1. Payrolled employees (UK)'!A49)</f>
        <v/>
      </c>
      <c r="B41" s="1142">
        <f>'1. Payrolled employees (UK)'!B49</f>
        <v/>
      </c>
    </row>
    <row r="42">
      <c r="A42" s="195">
        <f>DATEVALUE('1. Payrolled employees (UK)'!A50)</f>
        <v/>
      </c>
      <c r="B42" s="1142">
        <f>'1. Payrolled employees (UK)'!B50</f>
        <v/>
      </c>
    </row>
    <row r="43">
      <c r="A43" s="195">
        <f>DATEVALUE('1. Payrolled employees (UK)'!A51)</f>
        <v/>
      </c>
      <c r="B43" s="1142">
        <f>'1. Payrolled employees (UK)'!B51</f>
        <v/>
      </c>
    </row>
    <row r="44">
      <c r="A44" s="195">
        <f>DATEVALUE('1. Payrolled employees (UK)'!A52)</f>
        <v/>
      </c>
      <c r="B44" s="1142">
        <f>'1. Payrolled employees (UK)'!B52</f>
        <v/>
      </c>
    </row>
    <row r="45">
      <c r="A45" s="195">
        <f>DATEVALUE('1. Payrolled employees (UK)'!A53)</f>
        <v/>
      </c>
      <c r="B45" s="1142">
        <f>'1. Payrolled employees (UK)'!B53</f>
        <v/>
      </c>
    </row>
    <row r="46">
      <c r="A46" s="195">
        <f>DATEVALUE('1. Payrolled employees (UK)'!A54)</f>
        <v/>
      </c>
      <c r="B46" s="1142">
        <f>'1. Payrolled employees (UK)'!B54</f>
        <v/>
      </c>
    </row>
    <row r="47">
      <c r="A47" s="195">
        <f>DATEVALUE('1. Payrolled employees (UK)'!A55)</f>
        <v/>
      </c>
      <c r="B47" s="1142">
        <f>'1. Payrolled employees (UK)'!B55</f>
        <v/>
      </c>
    </row>
    <row r="48">
      <c r="A48" s="195">
        <f>DATEVALUE('1. Payrolled employees (UK)'!A56)</f>
        <v/>
      </c>
      <c r="B48" s="1142">
        <f>'1. Payrolled employees (UK)'!B56</f>
        <v/>
      </c>
    </row>
    <row r="49">
      <c r="A49" s="195">
        <f>DATEVALUE('1. Payrolled employees (UK)'!A57)</f>
        <v/>
      </c>
      <c r="B49" s="1142">
        <f>'1. Payrolled employees (UK)'!B57</f>
        <v/>
      </c>
    </row>
    <row r="50">
      <c r="A50" s="195">
        <f>DATEVALUE('1. Payrolled employees (UK)'!A58)</f>
        <v/>
      </c>
      <c r="B50" s="1142">
        <f>'1. Payrolled employees (UK)'!B58</f>
        <v/>
      </c>
    </row>
    <row r="51">
      <c r="A51" s="195">
        <f>DATEVALUE('1. Payrolled employees (UK)'!A59)</f>
        <v/>
      </c>
      <c r="B51" s="1142">
        <f>'1. Payrolled employees (UK)'!B59</f>
        <v/>
      </c>
    </row>
    <row r="52">
      <c r="A52" s="195">
        <f>DATEVALUE('1. Payrolled employees (UK)'!A60)</f>
        <v/>
      </c>
      <c r="B52" s="1142">
        <f>'1. Payrolled employees (UK)'!B60</f>
        <v/>
      </c>
    </row>
    <row r="53">
      <c r="A53" s="195">
        <f>DATEVALUE('1. Payrolled employees (UK)'!A61)</f>
        <v/>
      </c>
      <c r="B53" s="1142">
        <f>'1. Payrolled employees (UK)'!B61</f>
        <v/>
      </c>
    </row>
    <row r="54">
      <c r="A54" s="195">
        <f>DATEVALUE('1. Payrolled employees (UK)'!A62)</f>
        <v/>
      </c>
      <c r="B54" s="1142">
        <f>'1. Payrolled employees (UK)'!B62</f>
        <v/>
      </c>
    </row>
    <row r="55">
      <c r="A55" s="195">
        <f>DATEVALUE('1. Payrolled employees (UK)'!A63)</f>
        <v/>
      </c>
      <c r="B55" s="1142">
        <f>'1. Payrolled employees (UK)'!B63</f>
        <v/>
      </c>
    </row>
    <row r="56">
      <c r="A56" s="195">
        <f>DATEVALUE('1. Payrolled employees (UK)'!A64)</f>
        <v/>
      </c>
      <c r="B56" s="1142">
        <f>'1. Payrolled employees (UK)'!B64</f>
        <v/>
      </c>
    </row>
    <row r="57">
      <c r="A57" s="195">
        <f>DATEVALUE('1. Payrolled employees (UK)'!A65)</f>
        <v/>
      </c>
      <c r="B57" s="1142">
        <f>'1. Payrolled employees (UK)'!B65</f>
        <v/>
      </c>
    </row>
    <row r="58">
      <c r="A58" s="195">
        <f>DATEVALUE('1. Payrolled employees (UK)'!A66)</f>
        <v/>
      </c>
      <c r="B58" s="1142">
        <f>'1. Payrolled employees (UK)'!B66</f>
        <v/>
      </c>
    </row>
    <row r="59">
      <c r="A59" s="195">
        <f>DATEVALUE('1. Payrolled employees (UK)'!A67)</f>
        <v/>
      </c>
      <c r="B59" s="1142">
        <f>'1. Payrolled employees (UK)'!B67</f>
        <v/>
      </c>
    </row>
    <row r="60">
      <c r="A60" s="195">
        <f>DATEVALUE('1. Payrolled employees (UK)'!A68)</f>
        <v/>
      </c>
      <c r="B60" s="1142">
        <f>'1. Payrolled employees (UK)'!B68</f>
        <v/>
      </c>
    </row>
    <row r="61">
      <c r="A61" s="195">
        <f>DATEVALUE('1. Payrolled employees (UK)'!A69)</f>
        <v/>
      </c>
      <c r="B61" s="1142">
        <f>'1. Payrolled employees (UK)'!B69</f>
        <v/>
      </c>
    </row>
    <row r="62">
      <c r="A62" s="195">
        <f>DATEVALUE('1. Payrolled employees (UK)'!A70)</f>
        <v/>
      </c>
      <c r="B62" s="1142">
        <f>'1. Payrolled employees (UK)'!B70</f>
        <v/>
      </c>
    </row>
    <row r="63">
      <c r="A63" s="195">
        <f>DATEVALUE('1. Payrolled employees (UK)'!A71)</f>
        <v/>
      </c>
      <c r="B63" s="1142">
        <f>'1. Payrolled employees (UK)'!B71</f>
        <v/>
      </c>
    </row>
    <row r="64">
      <c r="A64" s="195">
        <f>DATEVALUE('1. Payrolled employees (UK)'!A72)</f>
        <v/>
      </c>
      <c r="B64" s="1142">
        <f>'1. Payrolled employees (UK)'!B72</f>
        <v/>
      </c>
    </row>
    <row r="65">
      <c r="A65" s="195">
        <f>DATEVALUE('1. Payrolled employees (UK)'!A73)</f>
        <v/>
      </c>
      <c r="B65" s="1142">
        <f>'1. Payrolled employees (UK)'!B73</f>
        <v/>
      </c>
    </row>
    <row r="66">
      <c r="A66" s="195">
        <f>DATEVALUE('1. Payrolled employees (UK)'!A74)</f>
        <v/>
      </c>
      <c r="B66" s="1142">
        <f>'1. Payrolled employees (UK)'!B74</f>
        <v/>
      </c>
    </row>
    <row r="67">
      <c r="A67" s="195">
        <f>DATEVALUE('1. Payrolled employees (UK)'!A75)</f>
        <v/>
      </c>
      <c r="B67" s="1142">
        <f>'1. Payrolled employees (UK)'!B75</f>
        <v/>
      </c>
    </row>
    <row r="68">
      <c r="A68" s="195">
        <f>DATEVALUE('1. Payrolled employees (UK)'!A76)</f>
        <v/>
      </c>
      <c r="B68" s="1142">
        <f>'1. Payrolled employees (UK)'!B76</f>
        <v/>
      </c>
    </row>
    <row r="69">
      <c r="A69" s="195">
        <f>DATEVALUE('1. Payrolled employees (UK)'!A77)</f>
        <v/>
      </c>
      <c r="B69" s="1142">
        <f>'1. Payrolled employees (UK)'!B77</f>
        <v/>
      </c>
    </row>
    <row r="70">
      <c r="A70" s="195">
        <f>DATEVALUE('1. Payrolled employees (UK)'!A78)</f>
        <v/>
      </c>
      <c r="B70" s="1142">
        <f>'1. Payrolled employees (UK)'!B78</f>
        <v/>
      </c>
    </row>
    <row r="71">
      <c r="A71" s="195">
        <f>DATEVALUE('1. Payrolled employees (UK)'!A79)</f>
        <v/>
      </c>
      <c r="B71" s="1142">
        <f>'1. Payrolled employees (UK)'!B79</f>
        <v/>
      </c>
    </row>
    <row r="72">
      <c r="A72" s="195">
        <f>DATEVALUE('1. Payrolled employees (UK)'!A80)</f>
        <v/>
      </c>
      <c r="B72" s="1142">
        <f>'1. Payrolled employees (UK)'!B80</f>
        <v/>
      </c>
    </row>
    <row r="73">
      <c r="A73" s="195">
        <f>DATEVALUE('1. Payrolled employees (UK)'!A81)</f>
        <v/>
      </c>
      <c r="B73" s="1142">
        <f>'1. Payrolled employees (UK)'!B81</f>
        <v/>
      </c>
    </row>
    <row r="74">
      <c r="A74" s="195">
        <f>DATEVALUE('1. Payrolled employees (UK)'!A82)</f>
        <v/>
      </c>
      <c r="B74" s="1142">
        <f>'1. Payrolled employees (UK)'!B82</f>
        <v/>
      </c>
    </row>
    <row r="75">
      <c r="A75" s="195">
        <f>DATEVALUE('1. Payrolled employees (UK)'!A83)</f>
        <v/>
      </c>
      <c r="B75" s="1142">
        <f>'1. Payrolled employees (UK)'!B83</f>
        <v/>
      </c>
    </row>
    <row r="76">
      <c r="A76" s="195">
        <f>DATEVALUE('1. Payrolled employees (UK)'!A84)</f>
        <v/>
      </c>
      <c r="B76" s="1142">
        <f>'1. Payrolled employees (UK)'!B84</f>
        <v/>
      </c>
    </row>
    <row r="77">
      <c r="A77" s="195">
        <f>DATEVALUE('1. Payrolled employees (UK)'!A85)</f>
        <v/>
      </c>
      <c r="B77" s="1142">
        <f>'1. Payrolled employees (UK)'!B85</f>
        <v/>
      </c>
    </row>
    <row r="78">
      <c r="A78" s="195">
        <f>DATEVALUE('1. Payrolled employees (UK)'!A86)</f>
        <v/>
      </c>
      <c r="B78" s="1142">
        <f>'1. Payrolled employees (UK)'!B86</f>
        <v/>
      </c>
    </row>
    <row r="79">
      <c r="A79" s="195">
        <f>DATEVALUE('1. Payrolled employees (UK)'!A87)</f>
        <v/>
      </c>
      <c r="B79" s="1142">
        <f>'1. Payrolled employees (UK)'!B87</f>
        <v/>
      </c>
    </row>
    <row r="80">
      <c r="A80" s="195">
        <f>DATEVALUE('1. Payrolled employees (UK)'!A88)</f>
        <v/>
      </c>
      <c r="B80" s="1142">
        <f>'1. Payrolled employees (UK)'!B88</f>
        <v/>
      </c>
    </row>
    <row r="81">
      <c r="A81" s="195">
        <f>DATEVALUE('1. Payrolled employees (UK)'!A89)</f>
        <v/>
      </c>
      <c r="B81" s="1142">
        <f>'1. Payrolled employees (UK)'!B89</f>
        <v/>
      </c>
    </row>
    <row r="82">
      <c r="A82" s="195">
        <f>DATEVALUE('1. Payrolled employees (UK)'!A90)</f>
        <v/>
      </c>
      <c r="B82" s="1142">
        <f>'1. Payrolled employees (UK)'!B90</f>
        <v/>
      </c>
    </row>
    <row r="83">
      <c r="A83" s="195">
        <f>DATEVALUE('1. Payrolled employees (UK)'!A91)</f>
        <v/>
      </c>
      <c r="B83" s="1142">
        <f>'1. Payrolled employees (UK)'!B91</f>
        <v/>
      </c>
    </row>
    <row r="84">
      <c r="A84" s="195">
        <f>DATEVALUE('1. Payrolled employees (UK)'!A92)</f>
        <v/>
      </c>
      <c r="B84" s="1142">
        <f>'1. Payrolled employees (UK)'!B92</f>
        <v/>
      </c>
    </row>
    <row r="85">
      <c r="A85" s="195">
        <f>DATEVALUE('1. Payrolled employees (UK)'!A93)</f>
        <v/>
      </c>
      <c r="B85" s="1142">
        <f>'1. Payrolled employees (UK)'!B93</f>
        <v/>
      </c>
    </row>
    <row r="86">
      <c r="A86" s="195">
        <f>DATEVALUE('1. Payrolled employees (UK)'!A94)</f>
        <v/>
      </c>
      <c r="B86" s="1142">
        <f>'1. Payrolled employees (UK)'!B94</f>
        <v/>
      </c>
    </row>
    <row r="87">
      <c r="A87" s="195">
        <f>DATEVALUE('1. Payrolled employees (UK)'!A95)</f>
        <v/>
      </c>
      <c r="B87" s="1142">
        <f>'1. Payrolled employees (UK)'!B95</f>
        <v/>
      </c>
    </row>
    <row r="88">
      <c r="A88" s="195">
        <f>DATEVALUE('1. Payrolled employees (UK)'!A96)</f>
        <v/>
      </c>
      <c r="B88" s="1142">
        <f>'1. Payrolled employees (UK)'!B96</f>
        <v/>
      </c>
    </row>
    <row r="89">
      <c r="A89" s="195">
        <f>DATEVALUE('1. Payrolled employees (UK)'!A97)</f>
        <v/>
      </c>
      <c r="B89" s="1142">
        <f>'1. Payrolled employees (UK)'!B97</f>
        <v/>
      </c>
    </row>
    <row r="90">
      <c r="A90" s="195">
        <f>DATEVALUE('1. Payrolled employees (UK)'!A98)</f>
        <v/>
      </c>
      <c r="B90" s="1142">
        <f>'1. Payrolled employees (UK)'!B98</f>
        <v/>
      </c>
    </row>
    <row r="91">
      <c r="A91" s="195">
        <f>DATEVALUE('1. Payrolled employees (UK)'!A99)</f>
        <v/>
      </c>
      <c r="B91" s="1142">
        <f>'1. Payrolled employees (UK)'!B99</f>
        <v/>
      </c>
    </row>
    <row r="92">
      <c r="A92" s="195">
        <f>DATEVALUE('1. Payrolled employees (UK)'!A100)</f>
        <v/>
      </c>
      <c r="B92" s="1142">
        <f>'1. Payrolled employees (UK)'!B100</f>
        <v/>
      </c>
    </row>
    <row r="93">
      <c r="A93" s="195">
        <f>DATEVALUE('1. Payrolled employees (UK)'!A101)</f>
        <v/>
      </c>
      <c r="B93" s="1142">
        <f>'1. Payrolled employees (UK)'!B101</f>
        <v/>
      </c>
    </row>
    <row r="94">
      <c r="A94" s="195">
        <f>DATEVALUE('1. Payrolled employees (UK)'!A102)</f>
        <v/>
      </c>
      <c r="B94" s="1142">
        <f>'1. Payrolled employees (UK)'!B102</f>
        <v/>
      </c>
    </row>
    <row r="95">
      <c r="A95" s="195">
        <f>DATEVALUE('1. Payrolled employees (UK)'!A103)</f>
        <v/>
      </c>
      <c r="B95" s="1142">
        <f>'1. Payrolled employees (UK)'!B103</f>
        <v/>
      </c>
    </row>
    <row r="96">
      <c r="A96" s="195">
        <f>DATEVALUE('1. Payrolled employees (UK)'!A104)</f>
        <v/>
      </c>
      <c r="B96" s="1142">
        <f>'1. Payrolled employees (UK)'!B104</f>
        <v/>
      </c>
    </row>
    <row r="97">
      <c r="A97" s="195">
        <f>DATEVALUE('1. Payrolled employees (UK)'!A105)</f>
        <v/>
      </c>
      <c r="B97" s="1142">
        <f>'1. Payrolled employees (UK)'!B105</f>
        <v/>
      </c>
    </row>
    <row r="98">
      <c r="A98" s="195">
        <f>DATEVALUE('1. Payrolled employees (UK)'!A106)</f>
        <v/>
      </c>
      <c r="B98" s="1142">
        <f>'1. Payrolled employees (UK)'!B106</f>
        <v/>
      </c>
    </row>
    <row r="99">
      <c r="A99" s="195">
        <f>DATEVALUE('1. Payrolled employees (UK)'!A107)</f>
        <v/>
      </c>
      <c r="B99" s="1142">
        <f>'1. Payrolled employees (UK)'!B107</f>
        <v/>
      </c>
    </row>
    <row r="100">
      <c r="A100" s="195">
        <f>DATEVALUE('1. Payrolled employees (UK)'!A108)</f>
        <v/>
      </c>
      <c r="B100" s="1142">
        <f>'1. Payrolled employees (UK)'!B108</f>
        <v/>
      </c>
    </row>
    <row r="101">
      <c r="A101" s="195">
        <f>DATEVALUE('1. Payrolled employees (UK)'!A109)</f>
        <v/>
      </c>
      <c r="B101" s="1142">
        <f>'1. Payrolled employees (UK)'!B109</f>
        <v/>
      </c>
    </row>
    <row r="102">
      <c r="A102" s="195">
        <f>DATEVALUE('1. Payrolled employees (UK)'!A110)</f>
        <v/>
      </c>
      <c r="B102" s="1142">
        <f>'1. Payrolled employees (UK)'!B110</f>
        <v/>
      </c>
    </row>
    <row r="103">
      <c r="A103" s="195">
        <f>DATEVALUE('1. Payrolled employees (UK)'!A111)</f>
        <v/>
      </c>
      <c r="B103" s="1142">
        <f>'1. Payrolled employees (UK)'!B111</f>
        <v/>
      </c>
    </row>
    <row r="104">
      <c r="A104" s="195">
        <f>DATEVALUE('1. Payrolled employees (UK)'!A112)</f>
        <v/>
      </c>
      <c r="B104" s="1142">
        <f>'1. Payrolled employees (UK)'!B112</f>
        <v/>
      </c>
    </row>
    <row r="105">
      <c r="A105" s="195">
        <f>DATEVALUE('1. Payrolled employees (UK)'!A113)</f>
        <v/>
      </c>
      <c r="B105" s="1142">
        <f>'1. Payrolled employees (UK)'!B113</f>
        <v/>
      </c>
    </row>
    <row r="106">
      <c r="A106" s="195">
        <f>DATEVALUE('1. Payrolled employees (UK)'!A114)</f>
        <v/>
      </c>
      <c r="B106" s="1142">
        <f>'1. Payrolled employees (UK)'!B114</f>
        <v/>
      </c>
    </row>
    <row r="107">
      <c r="A107" s="195">
        <f>DATEVALUE('1. Payrolled employees (UK)'!A115)</f>
        <v/>
      </c>
      <c r="B107" s="1142">
        <f>'1. Payrolled employees (UK)'!B115</f>
        <v/>
      </c>
    </row>
    <row r="108">
      <c r="A108" s="195">
        <f>DATEVALUE('1. Payrolled employees (UK)'!A116)</f>
        <v/>
      </c>
      <c r="B108" s="1142">
        <f>'1. Payrolled employees (UK)'!B116</f>
        <v/>
      </c>
    </row>
    <row r="109">
      <c r="A109" s="195">
        <f>DATEVALUE('1. Payrolled employees (UK)'!A117)</f>
        <v/>
      </c>
      <c r="B109" s="1142">
        <f>'1. Payrolled employees (UK)'!B117</f>
        <v/>
      </c>
    </row>
    <row r="110">
      <c r="A110" s="195">
        <f>DATEVALUE('1. Payrolled employees (UK)'!A118)</f>
        <v/>
      </c>
      <c r="B110" s="1142">
        <f>'1. Payrolled employees (UK)'!B118</f>
        <v/>
      </c>
    </row>
    <row r="111">
      <c r="A111" s="195">
        <f>DATEVALUE('1. Payrolled employees (UK)'!A119)</f>
        <v/>
      </c>
      <c r="B111" s="1142">
        <f>'1. Payrolled employees (UK)'!B119</f>
        <v/>
      </c>
    </row>
    <row r="112">
      <c r="A112" s="195">
        <f>DATEVALUE('1. Payrolled employees (UK)'!A120)</f>
        <v/>
      </c>
      <c r="B112" s="1142">
        <f>'1. Payrolled employees (UK)'!B120</f>
        <v/>
      </c>
    </row>
    <row r="113">
      <c r="A113" s="195">
        <f>DATEVALUE('1. Payrolled employees (UK)'!A121)</f>
        <v/>
      </c>
      <c r="B113" s="1142">
        <f>'1. Payrolled employees (UK)'!B121</f>
        <v/>
      </c>
    </row>
    <row r="114">
      <c r="A114" s="195">
        <f>DATEVALUE('1. Payrolled employees (UK)'!A122)</f>
        <v/>
      </c>
      <c r="B114" s="1142">
        <f>'1. Payrolled employees (UK)'!B122</f>
        <v/>
      </c>
    </row>
    <row r="115">
      <c r="A115" s="195">
        <f>DATEVALUE('1. Payrolled employees (UK)'!A123)</f>
        <v/>
      </c>
      <c r="B115" s="1142">
        <f>'1. Payrolled employees (UK)'!B123</f>
        <v/>
      </c>
    </row>
    <row r="116">
      <c r="A116" s="195">
        <f>DATEVALUE('1. Payrolled employees (UK)'!A124)</f>
        <v/>
      </c>
      <c r="B116" s="1142">
        <f>'1. Payrolled employees (UK)'!B124</f>
        <v/>
      </c>
    </row>
    <row r="117">
      <c r="A117" s="195">
        <f>DATEVALUE('1. Payrolled employees (UK)'!A125)</f>
        <v/>
      </c>
      <c r="B117" s="1142">
        <f>'1. Payrolled employees (UK)'!B125</f>
        <v/>
      </c>
    </row>
    <row r="118">
      <c r="A118" s="195">
        <f>DATEVALUE('1. Payrolled employees (UK)'!A126)</f>
        <v/>
      </c>
      <c r="B118" s="1142">
        <f>'1. Payrolled employees (UK)'!B126</f>
        <v/>
      </c>
    </row>
    <row r="119">
      <c r="A119" s="195">
        <f>DATEVALUE('1. Payrolled employees (UK)'!A127)</f>
        <v/>
      </c>
      <c r="B119" s="1142">
        <f>'1. Payrolled employees (UK)'!B127</f>
        <v/>
      </c>
    </row>
    <row r="120">
      <c r="A120" s="195">
        <f>DATEVALUE('1. Payrolled employees (UK)'!A128)</f>
        <v/>
      </c>
      <c r="B120" s="1142">
        <f>'1. Payrolled employees (UK)'!B128</f>
        <v/>
      </c>
    </row>
    <row r="121">
      <c r="A121" s="195">
        <f>DATEVALUE('1. Payrolled employees (UK)'!A129)</f>
        <v/>
      </c>
      <c r="B121" s="1142">
        <f>'1. Payrolled employees (UK)'!B129</f>
        <v/>
      </c>
    </row>
    <row r="122">
      <c r="A122" s="195">
        <f>DATEVALUE('1. Payrolled employees (UK)'!A130)</f>
        <v/>
      </c>
      <c r="B122" s="1142">
        <f>'1. Payrolled employees (UK)'!B130</f>
        <v/>
      </c>
    </row>
    <row r="123">
      <c r="A123" s="195">
        <f>DATEVALUE('1. Payrolled employees (UK)'!A131)</f>
        <v/>
      </c>
      <c r="B123" s="1142">
        <f>'1. Payrolled employees (UK)'!B131</f>
        <v/>
      </c>
    </row>
    <row r="124">
      <c r="A124" s="195">
        <f>DATEVALUE('1. Payrolled employees (UK)'!A132)</f>
        <v/>
      </c>
      <c r="B124" s="1142">
        <f>'1. Payrolled employees (UK)'!B132</f>
        <v/>
      </c>
    </row>
    <row r="125">
      <c r="A125" s="195">
        <f>DATEVALUE('1. Payrolled employees (UK)'!A133)</f>
        <v/>
      </c>
      <c r="B125" s="1142">
        <f>'1. Payrolled employees (UK)'!B133</f>
        <v/>
      </c>
    </row>
    <row r="126">
      <c r="A126" s="195">
        <f>DATEVALUE('1. Payrolled employees (UK)'!A134)</f>
        <v/>
      </c>
      <c r="B126" s="1166">
        <f>'1. Payrolled employees (UK)'!B134</f>
        <v/>
      </c>
    </row>
    <row r="127">
      <c r="A127" s="195">
        <f>DATEVALUE('1. Payrolled employees (UK)'!A135)</f>
        <v/>
      </c>
      <c r="B127" s="1142">
        <f>'1. Payrolled employees (UK)'!B135</f>
        <v/>
      </c>
    </row>
    <row r="128">
      <c r="A128" s="195">
        <f>DATEVALUE('1. Payrolled employees (UK)'!A136)</f>
        <v/>
      </c>
      <c r="B128" s="1142">
        <f>'1. Payrolled employees (UK)'!B136</f>
        <v/>
      </c>
    </row>
    <row r="129">
      <c r="A129" s="195">
        <f>DATEVALUE('1. Payrolled employees (UK)'!A137)</f>
        <v/>
      </c>
      <c r="B129" s="1142">
        <f>'1. Payrolled employees (UK)'!B137</f>
        <v/>
      </c>
    </row>
    <row r="130">
      <c r="A130" s="195">
        <f>DATEVALUE('1. Payrolled employees (UK)'!A138)</f>
        <v/>
      </c>
      <c r="B130" s="1142">
        <f>'1. Payrolled employees (UK)'!B138</f>
        <v/>
      </c>
    </row>
    <row r="131">
      <c r="A131" s="195">
        <f>DATEVALUE('1. Payrolled employees (UK)'!A139)</f>
        <v/>
      </c>
      <c r="B131" s="1142">
        <f>'1. Payrolled employees (UK)'!B139</f>
        <v/>
      </c>
    </row>
    <row r="132">
      <c r="A132" s="195">
        <f>DATEVALUE('1. Payrolled employees (UK)'!A140)</f>
        <v/>
      </c>
      <c r="B132" s="1142">
        <f>'1. Payrolled employees (UK)'!B140</f>
        <v/>
      </c>
    </row>
    <row r="133">
      <c r="A133" s="195">
        <f>DATEVALUE('1. Payrolled employees (UK)'!A141)</f>
        <v/>
      </c>
      <c r="B133" s="1142">
        <f>'1. Payrolled employees (UK)'!B141</f>
        <v/>
      </c>
    </row>
    <row r="134">
      <c r="A134" s="195">
        <f>DATEVALUE('1. Payrolled employees (UK)'!A142)</f>
        <v/>
      </c>
      <c r="B134" s="1142">
        <f>'1. Payrolled employees (UK)'!B142</f>
        <v/>
      </c>
    </row>
    <row r="135">
      <c r="A135" s="195">
        <f>DATEVALUE('1. Payrolled employees (UK)'!A143)</f>
        <v/>
      </c>
      <c r="B135" s="1142">
        <f>'1. Payrolled employees (UK)'!B143</f>
        <v/>
      </c>
    </row>
    <row r="136">
      <c r="A136" s="195">
        <f>DATEVALUE('1. Payrolled employees (UK)'!A144)</f>
        <v/>
      </c>
      <c r="B136" s="1142">
        <f>'1. Payrolled employees (UK)'!B144</f>
        <v/>
      </c>
    </row>
    <row r="137">
      <c r="A137" s="195">
        <f>DATEVALUE('1. Payrolled employees (UK)'!A145)</f>
        <v/>
      </c>
      <c r="B137" s="1142">
        <f>'1. Payrolled employees (UK)'!B145</f>
        <v/>
      </c>
    </row>
    <row r="138">
      <c r="A138" s="195">
        <f>DATEVALUE('1. Payrolled employees (UK)'!A146)</f>
        <v/>
      </c>
      <c r="B138" s="1142">
        <f>'1. Payrolled employees (UK)'!B146</f>
        <v/>
      </c>
    </row>
    <row r="139">
      <c r="A139" s="195">
        <f>DATEVALUE('1. Payrolled employees (UK)'!A147)</f>
        <v/>
      </c>
      <c r="B139" s="1142">
        <f>'1. Payrolled employees (UK)'!B147</f>
        <v/>
      </c>
    </row>
    <row r="140">
      <c r="A140" s="195" t="n"/>
      <c r="B140" s="1142" t="n"/>
    </row>
  </sheetData>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2023-11-13T11:04:14Z</dcterms:created>
  <dcterms:modified xsi:type="dcterms:W3CDTF">2026-01-20T13:32:25Z</dcterms:modified>
  <cp:lastModifiedBy>Marjan ISLAM (DBT)</cp:lastModifiedBy>
  <cp:lastPrinted>2025-12-16T18:40:49Z</cp:lastPrinted>
</cp:coreProperties>
</file>

<file path=docProps/custom.xml><?xml version="1.0" encoding="utf-8"?>
<Properties xmlns:vt="http://schemas.openxmlformats.org/officeDocument/2006/docPropsVTypes" xmlns="http://schemas.openxmlformats.org/officeDocument/2006/custom-properties">
  <property name="Business Unit" fmtid="{D5CDD505-2E9C-101B-9397-08002B2CF9AE}" pid="2">
    <vt:lpwstr>6;#BEIS|594de1fb-2f2e-49e8-a305-5172f7f325d0</vt:lpwstr>
  </property>
  <property name="ContentTypeId" fmtid="{D5CDD505-2E9C-101B-9397-08002B2CF9AE}" pid="3">
    <vt:lpwstr>0x010100756EFDDA1DB6D84F8186A36A9142E684</vt:lpwstr>
  </property>
  <property name="_dlc_DocIdItemGuid" fmtid="{D5CDD505-2E9C-101B-9397-08002B2CF9AE}" pid="4">
    <vt:lpwstr>34b92c17-97e5-477a-a561-682730bafffa</vt:lpwstr>
  </property>
  <property name="MediaServiceImageTags" fmtid="{D5CDD505-2E9C-101B-9397-08002B2CF9AE}" pid="5">
    <vt:lpwstr/>
  </property>
  <property name="MSIP_Label_ba62f585-b40f-4ab9-bafe-39150f03d124_Enabled" fmtid="{D5CDD505-2E9C-101B-9397-08002B2CF9AE}" pid="6">
    <vt:lpwstr>true</vt:lpwstr>
  </property>
  <property name="MSIP_Label_ba62f585-b40f-4ab9-bafe-39150f03d124_SetDate" fmtid="{D5CDD505-2E9C-101B-9397-08002B2CF9AE}" pid="7">
    <vt:lpwstr>2023-11-14T07:41:12Z</vt:lpwstr>
  </property>
  <property name="MSIP_Label_ba62f585-b40f-4ab9-bafe-39150f03d124_Method" fmtid="{D5CDD505-2E9C-101B-9397-08002B2CF9AE}" pid="8">
    <vt:lpwstr>Standard</vt:lpwstr>
  </property>
  <property name="MSIP_Label_ba62f585-b40f-4ab9-bafe-39150f03d124_Name" fmtid="{D5CDD505-2E9C-101B-9397-08002B2CF9AE}" pid="9">
    <vt:lpwstr>OFFICIAL</vt:lpwstr>
  </property>
  <property name="MSIP_Label_ba62f585-b40f-4ab9-bafe-39150f03d124_SiteId" fmtid="{D5CDD505-2E9C-101B-9397-08002B2CF9AE}" pid="10">
    <vt:lpwstr>cbac7005-02c1-43eb-b497-e6492d1b2dd8</vt:lpwstr>
  </property>
  <property name="MSIP_Label_ba62f585-b40f-4ab9-bafe-39150f03d124_ActionId" fmtid="{D5CDD505-2E9C-101B-9397-08002B2CF9AE}" pid="11">
    <vt:lpwstr>785e197b-1a51-42e9-bee9-97740952c4ce</vt:lpwstr>
  </property>
  <property name="MSIP_Label_ba62f585-b40f-4ab9-bafe-39150f03d124_ContentBits" fmtid="{D5CDD505-2E9C-101B-9397-08002B2CF9AE}" pid="12">
    <vt:lpwstr>0</vt:lpwstr>
  </property>
  <property name="MSIP_Label_c1c05e37-788c-4c59-b50e-5c98323c0a70_Enabled" fmtid="{D5CDD505-2E9C-101B-9397-08002B2CF9AE}" pid="13">
    <vt:lpwstr>true</vt:lpwstr>
  </property>
  <property name="MSIP_Label_c1c05e37-788c-4c59-b50e-5c98323c0a70_SetDate" fmtid="{D5CDD505-2E9C-101B-9397-08002B2CF9AE}" pid="14">
    <vt:lpwstr>2024-03-25T13:20:47Z</vt:lpwstr>
  </property>
  <property name="MSIP_Label_c1c05e37-788c-4c59-b50e-5c98323c0a70_Method" fmtid="{D5CDD505-2E9C-101B-9397-08002B2CF9AE}" pid="15">
    <vt:lpwstr>Standard</vt:lpwstr>
  </property>
  <property name="MSIP_Label_c1c05e37-788c-4c59-b50e-5c98323c0a70_Name" fmtid="{D5CDD505-2E9C-101B-9397-08002B2CF9AE}" pid="16">
    <vt:lpwstr>OFFICIAL</vt:lpwstr>
  </property>
  <property name="MSIP_Label_c1c05e37-788c-4c59-b50e-5c98323c0a70_SiteId" fmtid="{D5CDD505-2E9C-101B-9397-08002B2CF9AE}" pid="17">
    <vt:lpwstr>8fa217ec-33aa-46fb-ad96-dfe68006bb86</vt:lpwstr>
  </property>
  <property name="MSIP_Label_c1c05e37-788c-4c59-b50e-5c98323c0a70_ActionId" fmtid="{D5CDD505-2E9C-101B-9397-08002B2CF9AE}" pid="18">
    <vt:lpwstr>c5e29a91-3b7d-488c-9a54-3962c645e903</vt:lpwstr>
  </property>
  <property name="MSIP_Label_c1c05e37-788c-4c59-b50e-5c98323c0a70_ContentBits" fmtid="{D5CDD505-2E9C-101B-9397-08002B2CF9AE}" pid="19">
    <vt:lpwstr>0</vt:lpwstr>
  </property>
  <property name="_ExtendedDescription" fmtid="{D5CDD505-2E9C-101B-9397-08002B2CF9AE}" pid="20">
    <vt:lpwstr/>
  </property>
  <property name="Business_x0020_Unit" fmtid="{D5CDD505-2E9C-101B-9397-08002B2CF9AE}" pid="21">
    <vt:lpwstr>6;#BEIS|594de1fb-2f2e-49e8-a305-5172f7f325d0</vt:lpwstr>
  </property>
</Properties>
</file>